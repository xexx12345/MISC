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1.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S:\IR-Eng\PROD\reportingTemplate\"/>
    </mc:Choice>
  </mc:AlternateContent>
  <bookViews>
    <workbookView xWindow="120" yWindow="105" windowWidth="19110" windowHeight="6330" tabRatio="884"/>
  </bookViews>
  <sheets>
    <sheet name="Control" sheetId="1" r:id="rId1"/>
    <sheet name="MappingandWarnings" sheetId="61" r:id="rId2"/>
    <sheet name="Report" sheetId="114" r:id="rId3"/>
    <sheet name="PivotCalcs" sheetId="70" r:id="rId4"/>
    <sheet name="Trend" sheetId="77" r:id="rId5"/>
    <sheet name="PV" sheetId="113" r:id="rId6"/>
    <sheet name="PnL" sheetId="115" r:id="rId7"/>
    <sheet name="DEV Menu" sheetId="112" r:id="rId8"/>
  </sheets>
  <functionGroups builtInGroupCount="18"/>
  <definedNames>
    <definedName name="DEVIMPORTLog">'DEV Menu'!$L$2</definedName>
    <definedName name="DEVLog">'DEV Menu'!$L$2</definedName>
    <definedName name="MSGLOG">Control!$B$22</definedName>
    <definedName name="trend">Trend!$A$1:$S$1</definedName>
  </definedNames>
  <calcPr calcId="152511"/>
  <pivotCaches>
    <pivotCache cacheId="19" r:id="rId9"/>
  </pivotCaches>
</workbook>
</file>

<file path=xl/calcChain.xml><?xml version="1.0" encoding="utf-8"?>
<calcChain xmlns="http://schemas.openxmlformats.org/spreadsheetml/2006/main">
  <c r="C6" i="1" l="1"/>
  <c r="N1" i="77"/>
  <c r="M1" i="77"/>
  <c r="L1" i="77"/>
  <c r="K1" i="77"/>
  <c r="J1" i="77"/>
  <c r="I1" i="77"/>
  <c r="H1" i="77"/>
  <c r="E4" i="113" l="1"/>
  <c r="E8" i="113"/>
  <c r="E12" i="113"/>
  <c r="E16" i="113"/>
  <c r="E20" i="113"/>
  <c r="E24" i="113"/>
  <c r="E28" i="113"/>
  <c r="E32" i="113"/>
  <c r="E36" i="113"/>
  <c r="E40" i="113"/>
  <c r="E44" i="113"/>
  <c r="E48" i="113"/>
  <c r="E52" i="113"/>
  <c r="E56" i="113"/>
  <c r="E60" i="113"/>
  <c r="E64" i="113"/>
  <c r="E68" i="113"/>
  <c r="E72" i="113"/>
  <c r="E76" i="113"/>
  <c r="E80" i="113"/>
  <c r="E84" i="113"/>
  <c r="E88" i="113"/>
  <c r="E92" i="113"/>
  <c r="E96" i="113"/>
  <c r="E100" i="113"/>
  <c r="E104" i="113"/>
  <c r="E108" i="113"/>
  <c r="E112" i="113"/>
  <c r="E116" i="113"/>
  <c r="E120" i="113"/>
  <c r="E124" i="113"/>
  <c r="E128" i="113"/>
  <c r="E132" i="113"/>
  <c r="E136" i="113"/>
  <c r="E140" i="113"/>
  <c r="E144" i="113"/>
  <c r="E148" i="113"/>
  <c r="E152" i="113"/>
  <c r="E156" i="113"/>
  <c r="E160" i="113"/>
  <c r="E164" i="113"/>
  <c r="E168" i="113"/>
  <c r="E172" i="113"/>
  <c r="E176" i="113"/>
  <c r="E180" i="113"/>
  <c r="E184" i="113"/>
  <c r="E188" i="113"/>
  <c r="E192" i="113"/>
  <c r="E196" i="113"/>
  <c r="E200" i="113"/>
  <c r="E204" i="113"/>
  <c r="E208" i="113"/>
  <c r="E212" i="113"/>
  <c r="E216" i="113"/>
  <c r="E220" i="113"/>
  <c r="E224" i="113"/>
  <c r="E228" i="113"/>
  <c r="E232" i="113"/>
  <c r="E236" i="113"/>
  <c r="E240" i="113"/>
  <c r="E244" i="113"/>
  <c r="E248" i="113"/>
  <c r="E252" i="113"/>
  <c r="E256" i="113"/>
  <c r="E260" i="113"/>
  <c r="E264" i="113"/>
  <c r="E268" i="113"/>
  <c r="E272" i="113"/>
  <c r="E276" i="113"/>
  <c r="E280" i="113"/>
  <c r="E284" i="113"/>
  <c r="E288" i="113"/>
  <c r="E292" i="113"/>
  <c r="E296" i="113"/>
  <c r="E300" i="113"/>
  <c r="E304" i="113"/>
  <c r="E308" i="113"/>
  <c r="E312" i="113"/>
  <c r="E316" i="113"/>
  <c r="E320" i="113"/>
  <c r="E324" i="113"/>
  <c r="E328" i="113"/>
  <c r="E332" i="113"/>
  <c r="E336" i="113"/>
  <c r="E340" i="113"/>
  <c r="E6" i="113"/>
  <c r="E10" i="113"/>
  <c r="E14" i="113"/>
  <c r="E18" i="113"/>
  <c r="E22" i="113"/>
  <c r="E26" i="113"/>
  <c r="E30" i="113"/>
  <c r="E34" i="113"/>
  <c r="E38" i="113"/>
  <c r="E42" i="113"/>
  <c r="E46" i="113"/>
  <c r="E50" i="113"/>
  <c r="E54" i="113"/>
  <c r="E58" i="113"/>
  <c r="E62" i="113"/>
  <c r="E66" i="113"/>
  <c r="E70" i="113"/>
  <c r="E74" i="113"/>
  <c r="E78" i="113"/>
  <c r="E82" i="113"/>
  <c r="E86" i="113"/>
  <c r="E90" i="113"/>
  <c r="E94" i="113"/>
  <c r="E98" i="113"/>
  <c r="E102" i="113"/>
  <c r="E106" i="113"/>
  <c r="E110" i="113"/>
  <c r="E114" i="113"/>
  <c r="E118" i="113"/>
  <c r="E122" i="113"/>
  <c r="E126" i="113"/>
  <c r="E130" i="113"/>
  <c r="E134" i="113"/>
  <c r="E138" i="113"/>
  <c r="E142" i="113"/>
  <c r="E146" i="113"/>
  <c r="E150" i="113"/>
  <c r="E154" i="113"/>
  <c r="E158" i="113"/>
  <c r="E162" i="113"/>
  <c r="E166" i="113"/>
  <c r="E170" i="113"/>
  <c r="E174" i="113"/>
  <c r="E178" i="113"/>
  <c r="E182" i="113"/>
  <c r="E186" i="113"/>
  <c r="E190" i="113"/>
  <c r="E194" i="113"/>
  <c r="E198" i="113"/>
  <c r="E202" i="113"/>
  <c r="E206" i="113"/>
  <c r="E210" i="113"/>
  <c r="E214" i="113"/>
  <c r="E218" i="113"/>
  <c r="E222" i="113"/>
  <c r="E226" i="113"/>
  <c r="E230" i="113"/>
  <c r="E234" i="113"/>
  <c r="E238" i="113"/>
  <c r="E242" i="113"/>
  <c r="E246" i="113"/>
  <c r="E250" i="113"/>
  <c r="E254" i="113"/>
  <c r="E258" i="113"/>
  <c r="E262" i="113"/>
  <c r="E266" i="113"/>
  <c r="E270" i="113"/>
  <c r="E274" i="113"/>
  <c r="E278" i="113"/>
  <c r="E282" i="113"/>
  <c r="E286" i="113"/>
  <c r="E290" i="113"/>
  <c r="E294" i="113"/>
  <c r="E298" i="113"/>
  <c r="E302" i="113"/>
  <c r="E306" i="113"/>
  <c r="E310" i="113"/>
  <c r="E314" i="113"/>
  <c r="E318" i="113"/>
  <c r="E322" i="113"/>
  <c r="E326" i="113"/>
  <c r="E330" i="113"/>
  <c r="E334" i="113"/>
  <c r="E5" i="113"/>
  <c r="E13" i="113"/>
  <c r="E21" i="113"/>
  <c r="E29" i="113"/>
  <c r="E37" i="113"/>
  <c r="E45" i="113"/>
  <c r="E53" i="113"/>
  <c r="E61" i="113"/>
  <c r="E69" i="113"/>
  <c r="E77" i="113"/>
  <c r="E85" i="113"/>
  <c r="E93" i="113"/>
  <c r="E101" i="113"/>
  <c r="E109" i="113"/>
  <c r="E117" i="113"/>
  <c r="E125" i="113"/>
  <c r="E133" i="113"/>
  <c r="E141" i="113"/>
  <c r="E149" i="113"/>
  <c r="E157" i="113"/>
  <c r="E165" i="113"/>
  <c r="E173" i="113"/>
  <c r="E181" i="113"/>
  <c r="E189" i="113"/>
  <c r="E197" i="113"/>
  <c r="E205" i="113"/>
  <c r="E213" i="113"/>
  <c r="E221" i="113"/>
  <c r="E229" i="113"/>
  <c r="E237" i="113"/>
  <c r="E245" i="113"/>
  <c r="E253" i="113"/>
  <c r="E261" i="113"/>
  <c r="E269" i="113"/>
  <c r="E277" i="113"/>
  <c r="E285" i="113"/>
  <c r="E293" i="113"/>
  <c r="E301" i="113"/>
  <c r="E309" i="113"/>
  <c r="E317" i="113"/>
  <c r="E325" i="113"/>
  <c r="E333" i="113"/>
  <c r="E339" i="113"/>
  <c r="E344" i="113"/>
  <c r="E348" i="113"/>
  <c r="E352" i="113"/>
  <c r="E356" i="113"/>
  <c r="E360" i="113"/>
  <c r="E364" i="113"/>
  <c r="E368" i="113"/>
  <c r="E372" i="113"/>
  <c r="E376" i="113"/>
  <c r="E380" i="113"/>
  <c r="E384" i="113"/>
  <c r="E388" i="113"/>
  <c r="E392" i="113"/>
  <c r="E396" i="113"/>
  <c r="E400" i="113"/>
  <c r="E404" i="113"/>
  <c r="E408" i="113"/>
  <c r="E412" i="113"/>
  <c r="E416" i="113"/>
  <c r="E420" i="113"/>
  <c r="E424" i="113"/>
  <c r="E428" i="113"/>
  <c r="E432" i="113"/>
  <c r="E436" i="113"/>
  <c r="E440" i="113"/>
  <c r="E444" i="113"/>
  <c r="E448" i="113"/>
  <c r="E452" i="113"/>
  <c r="E456" i="113"/>
  <c r="E460" i="113"/>
  <c r="E464" i="113"/>
  <c r="E468" i="113"/>
  <c r="E7" i="113"/>
  <c r="E15" i="113"/>
  <c r="E23" i="113"/>
  <c r="E31" i="113"/>
  <c r="E39" i="113"/>
  <c r="E47" i="113"/>
  <c r="E55" i="113"/>
  <c r="E63" i="113"/>
  <c r="E71" i="113"/>
  <c r="E79" i="113"/>
  <c r="E87" i="113"/>
  <c r="E95" i="113"/>
  <c r="E103" i="113"/>
  <c r="E111" i="113"/>
  <c r="E119" i="113"/>
  <c r="E127" i="113"/>
  <c r="E135" i="113"/>
  <c r="E143" i="113"/>
  <c r="E151" i="113"/>
  <c r="E159" i="113"/>
  <c r="E167" i="113"/>
  <c r="E175" i="113"/>
  <c r="E183" i="113"/>
  <c r="E191" i="113"/>
  <c r="E199" i="113"/>
  <c r="E207" i="113"/>
  <c r="E215" i="113"/>
  <c r="E223" i="113"/>
  <c r="E231" i="113"/>
  <c r="E239" i="113"/>
  <c r="E247" i="113"/>
  <c r="E255" i="113"/>
  <c r="E263" i="113"/>
  <c r="E271" i="113"/>
  <c r="E279" i="113"/>
  <c r="E287" i="113"/>
  <c r="E295" i="113"/>
  <c r="E303" i="113"/>
  <c r="E311" i="113"/>
  <c r="E319" i="113"/>
  <c r="E327" i="113"/>
  <c r="E335" i="113"/>
  <c r="E341" i="113"/>
  <c r="E345" i="113"/>
  <c r="E349" i="113"/>
  <c r="E353" i="113"/>
  <c r="E357" i="113"/>
  <c r="E361" i="113"/>
  <c r="E365" i="113"/>
  <c r="E369" i="113"/>
  <c r="E373" i="113"/>
  <c r="E377" i="113"/>
  <c r="E381" i="113"/>
  <c r="E385" i="113"/>
  <c r="E389" i="113"/>
  <c r="E393" i="113"/>
  <c r="E397" i="113"/>
  <c r="E401" i="113"/>
  <c r="E405" i="113"/>
  <c r="E409" i="113"/>
  <c r="E413" i="113"/>
  <c r="E417" i="113"/>
  <c r="E421" i="113"/>
  <c r="E425" i="113"/>
  <c r="E429" i="113"/>
  <c r="E433" i="113"/>
  <c r="E437" i="113"/>
  <c r="E441" i="113"/>
  <c r="E445" i="113"/>
  <c r="E449" i="113"/>
  <c r="E453" i="113"/>
  <c r="E457" i="113"/>
  <c r="E461" i="113"/>
  <c r="E465" i="113"/>
  <c r="E469" i="113"/>
  <c r="E473" i="113"/>
  <c r="E477" i="113"/>
  <c r="E481" i="113"/>
  <c r="E485" i="113"/>
  <c r="E489" i="113"/>
  <c r="E493" i="113"/>
  <c r="E497" i="113"/>
  <c r="E501" i="113"/>
  <c r="E505" i="113"/>
  <c r="E509" i="113"/>
  <c r="E3" i="113"/>
  <c r="E19" i="113"/>
  <c r="E35" i="113"/>
  <c r="E51" i="113"/>
  <c r="E67" i="113"/>
  <c r="E83" i="113"/>
  <c r="E99" i="113"/>
  <c r="E115" i="113"/>
  <c r="E131" i="113"/>
  <c r="E147" i="113"/>
  <c r="E163" i="113"/>
  <c r="E179" i="113"/>
  <c r="E195" i="113"/>
  <c r="E211" i="113"/>
  <c r="E227" i="113"/>
  <c r="E243" i="113"/>
  <c r="E259" i="113"/>
  <c r="E275" i="113"/>
  <c r="E291" i="113"/>
  <c r="E307" i="113"/>
  <c r="E323" i="113"/>
  <c r="E338" i="113"/>
  <c r="E347" i="113"/>
  <c r="E355" i="113"/>
  <c r="E363" i="113"/>
  <c r="E371" i="113"/>
  <c r="E379" i="113"/>
  <c r="E387" i="113"/>
  <c r="E395" i="113"/>
  <c r="E403" i="113"/>
  <c r="E411" i="113"/>
  <c r="E419" i="113"/>
  <c r="E427" i="113"/>
  <c r="E435" i="113"/>
  <c r="E443" i="113"/>
  <c r="E451" i="113"/>
  <c r="E459" i="113"/>
  <c r="E467" i="113"/>
  <c r="E474" i="113"/>
  <c r="E479" i="113"/>
  <c r="E484" i="113"/>
  <c r="E490" i="113"/>
  <c r="E495" i="113"/>
  <c r="E500" i="113"/>
  <c r="E506" i="113"/>
  <c r="E511" i="113"/>
  <c r="E515" i="113"/>
  <c r="E519" i="113"/>
  <c r="E523" i="113"/>
  <c r="E527" i="113"/>
  <c r="E531" i="113"/>
  <c r="E535" i="113"/>
  <c r="E539" i="113"/>
  <c r="E543" i="113"/>
  <c r="E547" i="113"/>
  <c r="E551" i="113"/>
  <c r="E555" i="113"/>
  <c r="E559" i="113"/>
  <c r="E563" i="113"/>
  <c r="E567" i="113"/>
  <c r="E571" i="113"/>
  <c r="E575" i="113"/>
  <c r="E579" i="113"/>
  <c r="E583" i="113"/>
  <c r="E587" i="113"/>
  <c r="E591" i="113"/>
  <c r="E9" i="113"/>
  <c r="E25" i="113"/>
  <c r="E41" i="113"/>
  <c r="E57" i="113"/>
  <c r="E73" i="113"/>
  <c r="E89" i="113"/>
  <c r="E105" i="113"/>
  <c r="E121" i="113"/>
  <c r="E137" i="113"/>
  <c r="E153" i="113"/>
  <c r="E169" i="113"/>
  <c r="E185" i="113"/>
  <c r="E201" i="113"/>
  <c r="E217" i="113"/>
  <c r="E233" i="113"/>
  <c r="E249" i="113"/>
  <c r="E265" i="113"/>
  <c r="E281" i="113"/>
  <c r="E297" i="113"/>
  <c r="E313" i="113"/>
  <c r="E329" i="113"/>
  <c r="E342" i="113"/>
  <c r="E350" i="113"/>
  <c r="E358" i="113"/>
  <c r="E366" i="113"/>
  <c r="E374" i="113"/>
  <c r="E382" i="113"/>
  <c r="E390" i="113"/>
  <c r="E398" i="113"/>
  <c r="E406" i="113"/>
  <c r="E414" i="113"/>
  <c r="E422" i="113"/>
  <c r="E430" i="113"/>
  <c r="E438" i="113"/>
  <c r="E446" i="113"/>
  <c r="E454" i="113"/>
  <c r="E462" i="113"/>
  <c r="E470" i="113"/>
  <c r="E475" i="113"/>
  <c r="E480" i="113"/>
  <c r="E486" i="113"/>
  <c r="E491" i="113"/>
  <c r="E496" i="113"/>
  <c r="E502" i="113"/>
  <c r="E507" i="113"/>
  <c r="E512" i="113"/>
  <c r="E516" i="113"/>
  <c r="E520" i="113"/>
  <c r="E524" i="113"/>
  <c r="E528" i="113"/>
  <c r="E532" i="113"/>
  <c r="E536" i="113"/>
  <c r="E540" i="113"/>
  <c r="E544" i="113"/>
  <c r="E548" i="113"/>
  <c r="E552" i="113"/>
  <c r="E556" i="113"/>
  <c r="E560" i="113"/>
  <c r="E564" i="113"/>
  <c r="E568" i="113"/>
  <c r="E572" i="113"/>
  <c r="E576" i="113"/>
  <c r="E580" i="113"/>
  <c r="E584" i="113"/>
  <c r="E588" i="113"/>
  <c r="E592" i="113"/>
  <c r="E596" i="113"/>
  <c r="E600" i="113"/>
  <c r="E604" i="113"/>
  <c r="E608" i="113"/>
  <c r="E612" i="113"/>
  <c r="E616" i="113"/>
  <c r="E620" i="113"/>
  <c r="E624" i="113"/>
  <c r="E628" i="113"/>
  <c r="E632" i="113"/>
  <c r="E636" i="113"/>
  <c r="E640" i="113"/>
  <c r="E644" i="113"/>
  <c r="E648" i="113"/>
  <c r="E652" i="113"/>
  <c r="E656" i="113"/>
  <c r="E660" i="113"/>
  <c r="E664" i="113"/>
  <c r="E668" i="113"/>
  <c r="E672" i="113"/>
  <c r="E676" i="113"/>
  <c r="E17" i="113"/>
  <c r="E33" i="113"/>
  <c r="E49" i="113"/>
  <c r="E65" i="113"/>
  <c r="E81" i="113"/>
  <c r="E97" i="113"/>
  <c r="E113" i="113"/>
  <c r="E129" i="113"/>
  <c r="E145" i="113"/>
  <c r="E161" i="113"/>
  <c r="E177" i="113"/>
  <c r="E193" i="113"/>
  <c r="E209" i="113"/>
  <c r="E225" i="113"/>
  <c r="E241" i="113"/>
  <c r="E257" i="113"/>
  <c r="E273" i="113"/>
  <c r="E289" i="113"/>
  <c r="E305" i="113"/>
  <c r="E321" i="113"/>
  <c r="E337" i="113"/>
  <c r="E346" i="113"/>
  <c r="E354" i="113"/>
  <c r="E362" i="113"/>
  <c r="E370" i="113"/>
  <c r="E378" i="113"/>
  <c r="E386" i="113"/>
  <c r="E394" i="113"/>
  <c r="E402" i="113"/>
  <c r="E410" i="113"/>
  <c r="E418" i="113"/>
  <c r="E426" i="113"/>
  <c r="E434" i="113"/>
  <c r="E442" i="113"/>
  <c r="E450" i="113"/>
  <c r="E458" i="113"/>
  <c r="E466" i="113"/>
  <c r="E472" i="113"/>
  <c r="E478" i="113"/>
  <c r="E483" i="113"/>
  <c r="E488" i="113"/>
  <c r="E494" i="113"/>
  <c r="E499" i="113"/>
  <c r="E504" i="113"/>
  <c r="E510" i="113"/>
  <c r="E514" i="113"/>
  <c r="E518" i="113"/>
  <c r="E522" i="113"/>
  <c r="E526" i="113"/>
  <c r="E530" i="113"/>
  <c r="E534" i="113"/>
  <c r="E538" i="113"/>
  <c r="E542" i="113"/>
  <c r="E546" i="113"/>
  <c r="E550" i="113"/>
  <c r="E554" i="113"/>
  <c r="E558" i="113"/>
  <c r="E562" i="113"/>
  <c r="E566" i="113"/>
  <c r="E570" i="113"/>
  <c r="E574" i="113"/>
  <c r="E578" i="113"/>
  <c r="E582" i="113"/>
  <c r="E586" i="113"/>
  <c r="E590" i="113"/>
  <c r="E594" i="113"/>
  <c r="E598" i="113"/>
  <c r="E602" i="113"/>
  <c r="E606" i="113"/>
  <c r="E610" i="113"/>
  <c r="E614" i="113"/>
  <c r="E618" i="113"/>
  <c r="E622" i="113"/>
  <c r="E626" i="113"/>
  <c r="E630" i="113"/>
  <c r="E634" i="113"/>
  <c r="E638" i="113"/>
  <c r="E642" i="113"/>
  <c r="E646" i="113"/>
  <c r="E650" i="113"/>
  <c r="E654" i="113"/>
  <c r="E658" i="113"/>
  <c r="E662" i="113"/>
  <c r="E666" i="113"/>
  <c r="E670" i="113"/>
  <c r="E11" i="113"/>
  <c r="E75" i="113"/>
  <c r="E139" i="113"/>
  <c r="E203" i="113"/>
  <c r="E267" i="113"/>
  <c r="E331" i="113"/>
  <c r="E367" i="113"/>
  <c r="E399" i="113"/>
  <c r="E431" i="113"/>
  <c r="E463" i="113"/>
  <c r="E487" i="113"/>
  <c r="E508" i="113"/>
  <c r="E525" i="113"/>
  <c r="E541" i="113"/>
  <c r="E557" i="113"/>
  <c r="E573" i="113"/>
  <c r="E589" i="113"/>
  <c r="E599" i="113"/>
  <c r="E607" i="113"/>
  <c r="E615" i="113"/>
  <c r="E623" i="113"/>
  <c r="E631" i="113"/>
  <c r="E639" i="113"/>
  <c r="E27" i="113"/>
  <c r="E91" i="113"/>
  <c r="E155" i="113"/>
  <c r="E219" i="113"/>
  <c r="E283" i="113"/>
  <c r="E343" i="113"/>
  <c r="E375" i="113"/>
  <c r="E407" i="113"/>
  <c r="E439" i="113"/>
  <c r="E471" i="113"/>
  <c r="E492" i="113"/>
  <c r="E513" i="113"/>
  <c r="E529" i="113"/>
  <c r="E545" i="113"/>
  <c r="E561" i="113"/>
  <c r="E577" i="113"/>
  <c r="E593" i="113"/>
  <c r="E601" i="113"/>
  <c r="E609" i="113"/>
  <c r="E617" i="113"/>
  <c r="E625" i="113"/>
  <c r="E633" i="113"/>
  <c r="E641" i="113"/>
  <c r="E649" i="113"/>
  <c r="E657" i="113"/>
  <c r="E665" i="113"/>
  <c r="E673" i="113"/>
  <c r="E678" i="113"/>
  <c r="E682" i="113"/>
  <c r="E686" i="113"/>
  <c r="E690" i="113"/>
  <c r="E694" i="113"/>
  <c r="E698" i="113"/>
  <c r="E702" i="113"/>
  <c r="E706" i="113"/>
  <c r="E710" i="113"/>
  <c r="E714" i="113"/>
  <c r="E718" i="113"/>
  <c r="E722" i="113"/>
  <c r="E726" i="113"/>
  <c r="E730" i="113"/>
  <c r="E734" i="113"/>
  <c r="E738" i="113"/>
  <c r="E742" i="113"/>
  <c r="E746" i="113"/>
  <c r="E750" i="113"/>
  <c r="E754" i="113"/>
  <c r="E758" i="113"/>
  <c r="E762" i="113"/>
  <c r="E766" i="113"/>
  <c r="E770" i="113"/>
  <c r="E774" i="113"/>
  <c r="E778" i="113"/>
  <c r="E782" i="113"/>
  <c r="E786" i="113"/>
  <c r="E790" i="113"/>
  <c r="E794" i="113"/>
  <c r="E798" i="113"/>
  <c r="E802" i="113"/>
  <c r="E806" i="113"/>
  <c r="E810" i="113"/>
  <c r="E814" i="113"/>
  <c r="E818" i="113"/>
  <c r="E822" i="113"/>
  <c r="E826" i="113"/>
  <c r="E830" i="113"/>
  <c r="E834" i="113"/>
  <c r="E838" i="113"/>
  <c r="E842" i="113"/>
  <c r="E846" i="113"/>
  <c r="E850" i="113"/>
  <c r="E854" i="113"/>
  <c r="E858" i="113"/>
  <c r="E862" i="113"/>
  <c r="E866" i="113"/>
  <c r="E870" i="113"/>
  <c r="E874" i="113"/>
  <c r="E878" i="113"/>
  <c r="E882" i="113"/>
  <c r="E886" i="113"/>
  <c r="E890" i="113"/>
  <c r="E894" i="113"/>
  <c r="E898" i="113"/>
  <c r="E902" i="113"/>
  <c r="E906" i="113"/>
  <c r="E910" i="113"/>
  <c r="E914" i="113"/>
  <c r="E918" i="113"/>
  <c r="E922" i="113"/>
  <c r="E926" i="113"/>
  <c r="E930" i="113"/>
  <c r="E934" i="113"/>
  <c r="E938" i="113"/>
  <c r="E942" i="113"/>
  <c r="E946" i="113"/>
  <c r="E950" i="113"/>
  <c r="E954" i="113"/>
  <c r="E958" i="113"/>
  <c r="E962" i="113"/>
  <c r="E966" i="113"/>
  <c r="E970" i="113"/>
  <c r="E974" i="113"/>
  <c r="E978" i="113"/>
  <c r="E982" i="113"/>
  <c r="E986" i="113"/>
  <c r="E990" i="113"/>
  <c r="E994" i="113"/>
  <c r="E998" i="113"/>
  <c r="E1002" i="113"/>
  <c r="E1006" i="113"/>
  <c r="E1010" i="113"/>
  <c r="E1014" i="113"/>
  <c r="E1018" i="113"/>
  <c r="E1022" i="113"/>
  <c r="E1026" i="113"/>
  <c r="E1030" i="113"/>
  <c r="E1034" i="113"/>
  <c r="E1038" i="113"/>
  <c r="E1042" i="113"/>
  <c r="E1046" i="113"/>
  <c r="E1050" i="113"/>
  <c r="E1054" i="113"/>
  <c r="E1058" i="113"/>
  <c r="E1062" i="113"/>
  <c r="E1066" i="113"/>
  <c r="E1070" i="113"/>
  <c r="E1074" i="113"/>
  <c r="E1078" i="113"/>
  <c r="E1082" i="113"/>
  <c r="E1086" i="113"/>
  <c r="E1090" i="113"/>
  <c r="E1094" i="113"/>
  <c r="E1098" i="113"/>
  <c r="E1102" i="113"/>
  <c r="E1106" i="113"/>
  <c r="E1110" i="113"/>
  <c r="E1114" i="113"/>
  <c r="E1118" i="113"/>
  <c r="E1122" i="113"/>
  <c r="E1126" i="113"/>
  <c r="E1130" i="113"/>
  <c r="E1134" i="113"/>
  <c r="E1138" i="113"/>
  <c r="E1142" i="113"/>
  <c r="E1146" i="113"/>
  <c r="E1150" i="113"/>
  <c r="E1154" i="113"/>
  <c r="E1158" i="113"/>
  <c r="E1162" i="113"/>
  <c r="E1166" i="113"/>
  <c r="E1170" i="113"/>
  <c r="E1174" i="113"/>
  <c r="E1178" i="113"/>
  <c r="E1182" i="113"/>
  <c r="E1186" i="113"/>
  <c r="E1190" i="113"/>
  <c r="E1194" i="113"/>
  <c r="E1198" i="113"/>
  <c r="E1202" i="113"/>
  <c r="E43" i="113"/>
  <c r="E107" i="113"/>
  <c r="E171" i="113"/>
  <c r="E235" i="113"/>
  <c r="E299" i="113"/>
  <c r="E351" i="113"/>
  <c r="E383" i="113"/>
  <c r="E415" i="113"/>
  <c r="E447" i="113"/>
  <c r="E476" i="113"/>
  <c r="E498" i="113"/>
  <c r="E517" i="113"/>
  <c r="E533" i="113"/>
  <c r="E549" i="113"/>
  <c r="E565" i="113"/>
  <c r="E581" i="113"/>
  <c r="E595" i="113"/>
  <c r="E603" i="113"/>
  <c r="E611" i="113"/>
  <c r="E619" i="113"/>
  <c r="E627" i="113"/>
  <c r="E635" i="113"/>
  <c r="E643" i="113"/>
  <c r="E651" i="113"/>
  <c r="E659" i="113"/>
  <c r="E667" i="113"/>
  <c r="E674" i="113"/>
  <c r="E679" i="113"/>
  <c r="E683" i="113"/>
  <c r="E687" i="113"/>
  <c r="E691" i="113"/>
  <c r="E695" i="113"/>
  <c r="E699" i="113"/>
  <c r="E703" i="113"/>
  <c r="E707" i="113"/>
  <c r="E711" i="113"/>
  <c r="E715" i="113"/>
  <c r="E719" i="113"/>
  <c r="E723" i="113"/>
  <c r="E727" i="113"/>
  <c r="E731" i="113"/>
  <c r="E735" i="113"/>
  <c r="E739" i="113"/>
  <c r="E743" i="113"/>
  <c r="E747" i="113"/>
  <c r="E751" i="113"/>
  <c r="E755" i="113"/>
  <c r="E759" i="113"/>
  <c r="E763" i="113"/>
  <c r="E767" i="113"/>
  <c r="E771" i="113"/>
  <c r="E775" i="113"/>
  <c r="E779" i="113"/>
  <c r="E783" i="113"/>
  <c r="E787" i="113"/>
  <c r="E791" i="113"/>
  <c r="E795" i="113"/>
  <c r="E799" i="113"/>
  <c r="E803" i="113"/>
  <c r="E807" i="113"/>
  <c r="E811" i="113"/>
  <c r="E815" i="113"/>
  <c r="E819" i="113"/>
  <c r="E823" i="113"/>
  <c r="E827" i="113"/>
  <c r="E831" i="113"/>
  <c r="E835" i="113"/>
  <c r="E839" i="113"/>
  <c r="E843" i="113"/>
  <c r="E847" i="113"/>
  <c r="E851" i="113"/>
  <c r="E855" i="113"/>
  <c r="E859" i="113"/>
  <c r="E863" i="113"/>
  <c r="E867" i="113"/>
  <c r="E871" i="113"/>
  <c r="E875" i="113"/>
  <c r="E879" i="113"/>
  <c r="E883" i="113"/>
  <c r="E887" i="113"/>
  <c r="E891" i="113"/>
  <c r="E895" i="113"/>
  <c r="E899" i="113"/>
  <c r="E903" i="113"/>
  <c r="E907" i="113"/>
  <c r="E911" i="113"/>
  <c r="E915" i="113"/>
  <c r="E919" i="113"/>
  <c r="E923" i="113"/>
  <c r="E927" i="113"/>
  <c r="E931" i="113"/>
  <c r="E935" i="113"/>
  <c r="E939" i="113"/>
  <c r="E943" i="113"/>
  <c r="E947" i="113"/>
  <c r="E951" i="113"/>
  <c r="E955" i="113"/>
  <c r="E959" i="113"/>
  <c r="E963" i="113"/>
  <c r="E967" i="113"/>
  <c r="E971" i="113"/>
  <c r="E975" i="113"/>
  <c r="E979" i="113"/>
  <c r="E983" i="113"/>
  <c r="E987" i="113"/>
  <c r="E991" i="113"/>
  <c r="E995" i="113"/>
  <c r="E999" i="113"/>
  <c r="E1003" i="113"/>
  <c r="E1007" i="113"/>
  <c r="E1011" i="113"/>
  <c r="E1015" i="113"/>
  <c r="E1019" i="113"/>
  <c r="E1023" i="113"/>
  <c r="E1027" i="113"/>
  <c r="E1031" i="113"/>
  <c r="E1035" i="113"/>
  <c r="E1039" i="113"/>
  <c r="E1043" i="113"/>
  <c r="E1047" i="113"/>
  <c r="E1051" i="113"/>
  <c r="E1055" i="113"/>
  <c r="E1059" i="113"/>
  <c r="E1063" i="113"/>
  <c r="E1067" i="113"/>
  <c r="E1071" i="113"/>
  <c r="E1075" i="113"/>
  <c r="E1079" i="113"/>
  <c r="E1083" i="113"/>
  <c r="E1087" i="113"/>
  <c r="E1091" i="113"/>
  <c r="E1095" i="113"/>
  <c r="E1099" i="113"/>
  <c r="E1103" i="113"/>
  <c r="E1107" i="113"/>
  <c r="E1111" i="113"/>
  <c r="E1115" i="113"/>
  <c r="E1119" i="113"/>
  <c r="E1123" i="113"/>
  <c r="E1127" i="113"/>
  <c r="E1131" i="113"/>
  <c r="E1135" i="113"/>
  <c r="E1139" i="113"/>
  <c r="E1143" i="113"/>
  <c r="E1147" i="113"/>
  <c r="E1151" i="113"/>
  <c r="E1155" i="113"/>
  <c r="E1159" i="113"/>
  <c r="E1163" i="113"/>
  <c r="E1167" i="113"/>
  <c r="E1171" i="113"/>
  <c r="E1175" i="113"/>
  <c r="E1179" i="113"/>
  <c r="E1183" i="113"/>
  <c r="E1187" i="113"/>
  <c r="E1191" i="113"/>
  <c r="E1195" i="113"/>
  <c r="E1199" i="113"/>
  <c r="E1203" i="113"/>
  <c r="E1207" i="113"/>
  <c r="E1211" i="113"/>
  <c r="E1215" i="113"/>
  <c r="E1219" i="113"/>
  <c r="E1223" i="113"/>
  <c r="E1227" i="113"/>
  <c r="E1231" i="113"/>
  <c r="E1235" i="113"/>
  <c r="E1239" i="113"/>
  <c r="E1243" i="113"/>
  <c r="E1247" i="113"/>
  <c r="E123" i="113"/>
  <c r="E359" i="113"/>
  <c r="E482" i="113"/>
  <c r="E553" i="113"/>
  <c r="E605" i="113"/>
  <c r="E637" i="113"/>
  <c r="E655" i="113"/>
  <c r="E671" i="113"/>
  <c r="E681" i="113"/>
  <c r="E689" i="113"/>
  <c r="E697" i="113"/>
  <c r="E705" i="113"/>
  <c r="E713" i="113"/>
  <c r="E721" i="113"/>
  <c r="E729" i="113"/>
  <c r="E737" i="113"/>
  <c r="E745" i="113"/>
  <c r="E753" i="113"/>
  <c r="E761" i="113"/>
  <c r="E769" i="113"/>
  <c r="E777" i="113"/>
  <c r="E785" i="113"/>
  <c r="E793" i="113"/>
  <c r="E801" i="113"/>
  <c r="E809" i="113"/>
  <c r="E817" i="113"/>
  <c r="E825" i="113"/>
  <c r="E833" i="113"/>
  <c r="E841" i="113"/>
  <c r="E849" i="113"/>
  <c r="E857" i="113"/>
  <c r="E865" i="113"/>
  <c r="E873" i="113"/>
  <c r="E881" i="113"/>
  <c r="E889" i="113"/>
  <c r="E897" i="113"/>
  <c r="E905" i="113"/>
  <c r="E913" i="113"/>
  <c r="E921" i="113"/>
  <c r="E929" i="113"/>
  <c r="E937" i="113"/>
  <c r="E945" i="113"/>
  <c r="E953" i="113"/>
  <c r="E961" i="113"/>
  <c r="E969" i="113"/>
  <c r="E977" i="113"/>
  <c r="E985" i="113"/>
  <c r="E993" i="113"/>
  <c r="E1001" i="113"/>
  <c r="E1009" i="113"/>
  <c r="E1017" i="113"/>
  <c r="E1025" i="113"/>
  <c r="E1033" i="113"/>
  <c r="E1041" i="113"/>
  <c r="E1049" i="113"/>
  <c r="E1057" i="113"/>
  <c r="E1065" i="113"/>
  <c r="E1073" i="113"/>
  <c r="E1081" i="113"/>
  <c r="E1089" i="113"/>
  <c r="E1097" i="113"/>
  <c r="E1105" i="113"/>
  <c r="E1113" i="113"/>
  <c r="E1121" i="113"/>
  <c r="E1129" i="113"/>
  <c r="E1137" i="113"/>
  <c r="E1145" i="113"/>
  <c r="E1153" i="113"/>
  <c r="E1161" i="113"/>
  <c r="E1169" i="113"/>
  <c r="E1177" i="113"/>
  <c r="E1185" i="113"/>
  <c r="E1193" i="113"/>
  <c r="E1201" i="113"/>
  <c r="E1208" i="113"/>
  <c r="E1213" i="113"/>
  <c r="E1218" i="113"/>
  <c r="E1224" i="113"/>
  <c r="E1229" i="113"/>
  <c r="E1234" i="113"/>
  <c r="E1240" i="113"/>
  <c r="E1245" i="113"/>
  <c r="E1250" i="113"/>
  <c r="E1254" i="113"/>
  <c r="E1258" i="113"/>
  <c r="E1262" i="113"/>
  <c r="E1266" i="113"/>
  <c r="E1270" i="113"/>
  <c r="E1274" i="113"/>
  <c r="E1278" i="113"/>
  <c r="E1282" i="113"/>
  <c r="E1286" i="113"/>
  <c r="E1290" i="113"/>
  <c r="E1294" i="113"/>
  <c r="E1298" i="113"/>
  <c r="E1302" i="113"/>
  <c r="E1306" i="113"/>
  <c r="E1310" i="113"/>
  <c r="E1314" i="113"/>
  <c r="E1318" i="113"/>
  <c r="E1322" i="113"/>
  <c r="E1326" i="113"/>
  <c r="E1330" i="113"/>
  <c r="E1334" i="113"/>
  <c r="E1338" i="113"/>
  <c r="E1342" i="113"/>
  <c r="E1346" i="113"/>
  <c r="E1350" i="113"/>
  <c r="E1354" i="113"/>
  <c r="E1358" i="113"/>
  <c r="E1362" i="113"/>
  <c r="E1366" i="113"/>
  <c r="E1370" i="113"/>
  <c r="E1374" i="113"/>
  <c r="E1378" i="113"/>
  <c r="E1382" i="113"/>
  <c r="E1386" i="113"/>
  <c r="E1390" i="113"/>
  <c r="E1394" i="113"/>
  <c r="E1398" i="113"/>
  <c r="E1402" i="113"/>
  <c r="E1406" i="113"/>
  <c r="E1410" i="113"/>
  <c r="E1414" i="113"/>
  <c r="E1418" i="113"/>
  <c r="E1422" i="113"/>
  <c r="E1426" i="113"/>
  <c r="E1430" i="113"/>
  <c r="E1434" i="113"/>
  <c r="E1438" i="113"/>
  <c r="E1442" i="113"/>
  <c r="E1446" i="113"/>
  <c r="E1450" i="113"/>
  <c r="E1454" i="113"/>
  <c r="E1458" i="113"/>
  <c r="E1462" i="113"/>
  <c r="E1466" i="113"/>
  <c r="E1470" i="113"/>
  <c r="E1474" i="113"/>
  <c r="E1478" i="113"/>
  <c r="E1482" i="113"/>
  <c r="E1486" i="113"/>
  <c r="E1490" i="113"/>
  <c r="E1494" i="113"/>
  <c r="E1498" i="113"/>
  <c r="E1502" i="113"/>
  <c r="E1506" i="113"/>
  <c r="E1510" i="113"/>
  <c r="E1514" i="113"/>
  <c r="E1518" i="113"/>
  <c r="E1522" i="113"/>
  <c r="E1526" i="113"/>
  <c r="E1530" i="113"/>
  <c r="E1534" i="113"/>
  <c r="E1538" i="113"/>
  <c r="E1542" i="113"/>
  <c r="E1546" i="113"/>
  <c r="E1550" i="113"/>
  <c r="E1554" i="113"/>
  <c r="E1558" i="113"/>
  <c r="E1562" i="113"/>
  <c r="E1566" i="113"/>
  <c r="E1570" i="113"/>
  <c r="E1574" i="113"/>
  <c r="E1578" i="113"/>
  <c r="E1582" i="113"/>
  <c r="E1586" i="113"/>
  <c r="E1590" i="113"/>
  <c r="E1594" i="113"/>
  <c r="E1598" i="113"/>
  <c r="E187" i="113"/>
  <c r="E391" i="113"/>
  <c r="E503" i="113"/>
  <c r="E569" i="113"/>
  <c r="E613" i="113"/>
  <c r="E645" i="113"/>
  <c r="E661" i="113"/>
  <c r="E675" i="113"/>
  <c r="E684" i="113"/>
  <c r="E692" i="113"/>
  <c r="E700" i="113"/>
  <c r="E708" i="113"/>
  <c r="E716" i="113"/>
  <c r="E724" i="113"/>
  <c r="E732" i="113"/>
  <c r="E740" i="113"/>
  <c r="E748" i="113"/>
  <c r="E756" i="113"/>
  <c r="E764" i="113"/>
  <c r="E772" i="113"/>
  <c r="E780" i="113"/>
  <c r="E788" i="113"/>
  <c r="E796" i="113"/>
  <c r="E804" i="113"/>
  <c r="E812" i="113"/>
  <c r="E820" i="113"/>
  <c r="E828" i="113"/>
  <c r="E836" i="113"/>
  <c r="E844" i="113"/>
  <c r="E852" i="113"/>
  <c r="E860" i="113"/>
  <c r="E868" i="113"/>
  <c r="E876" i="113"/>
  <c r="E884" i="113"/>
  <c r="E892" i="113"/>
  <c r="E900" i="113"/>
  <c r="E908" i="113"/>
  <c r="E916" i="113"/>
  <c r="E924" i="113"/>
  <c r="E932" i="113"/>
  <c r="E940" i="113"/>
  <c r="E948" i="113"/>
  <c r="E956" i="113"/>
  <c r="E964" i="113"/>
  <c r="E972" i="113"/>
  <c r="E980" i="113"/>
  <c r="E988" i="113"/>
  <c r="E996" i="113"/>
  <c r="E1004" i="113"/>
  <c r="E1012" i="113"/>
  <c r="E1020" i="113"/>
  <c r="E1028" i="113"/>
  <c r="E1036" i="113"/>
  <c r="E1044" i="113"/>
  <c r="E1052" i="113"/>
  <c r="E1060" i="113"/>
  <c r="E1068" i="113"/>
  <c r="E1076" i="113"/>
  <c r="E1084" i="113"/>
  <c r="E1092" i="113"/>
  <c r="E1100" i="113"/>
  <c r="E1108" i="113"/>
  <c r="E1116" i="113"/>
  <c r="E1124" i="113"/>
  <c r="E1132" i="113"/>
  <c r="E1140" i="113"/>
  <c r="E1148" i="113"/>
  <c r="E1156" i="113"/>
  <c r="E1164" i="113"/>
  <c r="E1172" i="113"/>
  <c r="E1180" i="113"/>
  <c r="E1188" i="113"/>
  <c r="E1196" i="113"/>
  <c r="E1204" i="113"/>
  <c r="E1209" i="113"/>
  <c r="E1214" i="113"/>
  <c r="E1220" i="113"/>
  <c r="E1225" i="113"/>
  <c r="E1230" i="113"/>
  <c r="E1236" i="113"/>
  <c r="E1241" i="113"/>
  <c r="E1246" i="113"/>
  <c r="E1251" i="113"/>
  <c r="E1255" i="113"/>
  <c r="E1259" i="113"/>
  <c r="E1263" i="113"/>
  <c r="E1267" i="113"/>
  <c r="E1271" i="113"/>
  <c r="E1275" i="113"/>
  <c r="E1279" i="113"/>
  <c r="E1283" i="113"/>
  <c r="E1287" i="113"/>
  <c r="E1291" i="113"/>
  <c r="E1295" i="113"/>
  <c r="E1299" i="113"/>
  <c r="E1303" i="113"/>
  <c r="E1307" i="113"/>
  <c r="E1311" i="113"/>
  <c r="E1315" i="113"/>
  <c r="E1319" i="113"/>
  <c r="E1323" i="113"/>
  <c r="E1327" i="113"/>
  <c r="E1331" i="113"/>
  <c r="E1335" i="113"/>
  <c r="E1339" i="113"/>
  <c r="E1343" i="113"/>
  <c r="E1347" i="113"/>
  <c r="E1351" i="113"/>
  <c r="E1355" i="113"/>
  <c r="E1359" i="113"/>
  <c r="E1363" i="113"/>
  <c r="E1367" i="113"/>
  <c r="E1371" i="113"/>
  <c r="E1375" i="113"/>
  <c r="E1379" i="113"/>
  <c r="E1383" i="113"/>
  <c r="E1387" i="113"/>
  <c r="E1391" i="113"/>
  <c r="E1395" i="113"/>
  <c r="E1399" i="113"/>
  <c r="E1403" i="113"/>
  <c r="E1407" i="113"/>
  <c r="E1411" i="113"/>
  <c r="E1415" i="113"/>
  <c r="E1419" i="113"/>
  <c r="E1423" i="113"/>
  <c r="E1427" i="113"/>
  <c r="E1431" i="113"/>
  <c r="E1435" i="113"/>
  <c r="E1439" i="113"/>
  <c r="E1443" i="113"/>
  <c r="E1447" i="113"/>
  <c r="E1451" i="113"/>
  <c r="E1455" i="113"/>
  <c r="E1459" i="113"/>
  <c r="E1463" i="113"/>
  <c r="E1467" i="113"/>
  <c r="E1471" i="113"/>
  <c r="E1475" i="113"/>
  <c r="E1479" i="113"/>
  <c r="E1483" i="113"/>
  <c r="E1487" i="113"/>
  <c r="E1491" i="113"/>
  <c r="E1495" i="113"/>
  <c r="E1499" i="113"/>
  <c r="E1503" i="113"/>
  <c r="E1507" i="113"/>
  <c r="E1511" i="113"/>
  <c r="E1515" i="113"/>
  <c r="E1519" i="113"/>
  <c r="E1523" i="113"/>
  <c r="E1527" i="113"/>
  <c r="E1531" i="113"/>
  <c r="E1535" i="113"/>
  <c r="E1539" i="113"/>
  <c r="E1543" i="113"/>
  <c r="E1547" i="113"/>
  <c r="E1551" i="113"/>
  <c r="E1555" i="113"/>
  <c r="E1559" i="113"/>
  <c r="E1563" i="113"/>
  <c r="E1567" i="113"/>
  <c r="E1571" i="113"/>
  <c r="E1575" i="113"/>
  <c r="E1579" i="113"/>
  <c r="E1583" i="113"/>
  <c r="E1587" i="113"/>
  <c r="E1591" i="113"/>
  <c r="E1595" i="113"/>
  <c r="E1599" i="113"/>
  <c r="E1603" i="113"/>
  <c r="E1607" i="113"/>
  <c r="E1611" i="113"/>
  <c r="E1615" i="113"/>
  <c r="E1619" i="113"/>
  <c r="E1623" i="113"/>
  <c r="E59" i="113"/>
  <c r="E455" i="113"/>
  <c r="E597" i="113"/>
  <c r="E653" i="113"/>
  <c r="E680" i="113"/>
  <c r="E696" i="113"/>
  <c r="E712" i="113"/>
  <c r="E728" i="113"/>
  <c r="E744" i="113"/>
  <c r="E760" i="113"/>
  <c r="E776" i="113"/>
  <c r="E792" i="113"/>
  <c r="E808" i="113"/>
  <c r="E824" i="113"/>
  <c r="E840" i="113"/>
  <c r="E856" i="113"/>
  <c r="E872" i="113"/>
  <c r="E888" i="113"/>
  <c r="E904" i="113"/>
  <c r="E920" i="113"/>
  <c r="E936" i="113"/>
  <c r="E952" i="113"/>
  <c r="E968" i="113"/>
  <c r="E984" i="113"/>
  <c r="E1000" i="113"/>
  <c r="E1016" i="113"/>
  <c r="E1032" i="113"/>
  <c r="E1048" i="113"/>
  <c r="E1064" i="113"/>
  <c r="E1080" i="113"/>
  <c r="E1096" i="113"/>
  <c r="E1112" i="113"/>
  <c r="E1128" i="113"/>
  <c r="E1144" i="113"/>
  <c r="E1160" i="113"/>
  <c r="E1176" i="113"/>
  <c r="E1192" i="113"/>
  <c r="E1206" i="113"/>
  <c r="E1217" i="113"/>
  <c r="E1228" i="113"/>
  <c r="E1238" i="113"/>
  <c r="E1249" i="113"/>
  <c r="E1257" i="113"/>
  <c r="E1265" i="113"/>
  <c r="E1273" i="113"/>
  <c r="E1281" i="113"/>
  <c r="E1289" i="113"/>
  <c r="E1297" i="113"/>
  <c r="E1305" i="113"/>
  <c r="E1313" i="113"/>
  <c r="E1321" i="113"/>
  <c r="E1329" i="113"/>
  <c r="E1337" i="113"/>
  <c r="E1345" i="113"/>
  <c r="E1353" i="113"/>
  <c r="E1361" i="113"/>
  <c r="E1369" i="113"/>
  <c r="E1377" i="113"/>
  <c r="E1385" i="113"/>
  <c r="E1393" i="113"/>
  <c r="E1401" i="113"/>
  <c r="E1409" i="113"/>
  <c r="E1417" i="113"/>
  <c r="E1425" i="113"/>
  <c r="E1433" i="113"/>
  <c r="E1441" i="113"/>
  <c r="E1449" i="113"/>
  <c r="E1457" i="113"/>
  <c r="E1465" i="113"/>
  <c r="E1473" i="113"/>
  <c r="E1481" i="113"/>
  <c r="E1489" i="113"/>
  <c r="E1497" i="113"/>
  <c r="E1505" i="113"/>
  <c r="E1513" i="113"/>
  <c r="E1521" i="113"/>
  <c r="E1529" i="113"/>
  <c r="E1537" i="113"/>
  <c r="E1545" i="113"/>
  <c r="E1553" i="113"/>
  <c r="E1561" i="113"/>
  <c r="E1569" i="113"/>
  <c r="E1577" i="113"/>
  <c r="E1585" i="113"/>
  <c r="E1593" i="113"/>
  <c r="E251" i="113"/>
  <c r="E521" i="113"/>
  <c r="E621" i="113"/>
  <c r="E663" i="113"/>
  <c r="E685" i="113"/>
  <c r="E701" i="113"/>
  <c r="E717" i="113"/>
  <c r="E733" i="113"/>
  <c r="E749" i="113"/>
  <c r="E765" i="113"/>
  <c r="E781" i="113"/>
  <c r="E797" i="113"/>
  <c r="E813" i="113"/>
  <c r="E829" i="113"/>
  <c r="E845" i="113"/>
  <c r="E861" i="113"/>
  <c r="E877" i="113"/>
  <c r="E893" i="113"/>
  <c r="E909" i="113"/>
  <c r="E925" i="113"/>
  <c r="E941" i="113"/>
  <c r="E957" i="113"/>
  <c r="E973" i="113"/>
  <c r="E989" i="113"/>
  <c r="E1005" i="113"/>
  <c r="E1021" i="113"/>
  <c r="E1037" i="113"/>
  <c r="E1053" i="113"/>
  <c r="E1069" i="113"/>
  <c r="E1085" i="113"/>
  <c r="E1101" i="113"/>
  <c r="E1117" i="113"/>
  <c r="E1133" i="113"/>
  <c r="E1149" i="113"/>
  <c r="E1165" i="113"/>
  <c r="E1181" i="113"/>
  <c r="E1197" i="113"/>
  <c r="E1210" i="113"/>
  <c r="E1221" i="113"/>
  <c r="E1232" i="113"/>
  <c r="E1242" i="113"/>
  <c r="E1252" i="113"/>
  <c r="E1260" i="113"/>
  <c r="E1268" i="113"/>
  <c r="E1276" i="113"/>
  <c r="E1284" i="113"/>
  <c r="E1292" i="113"/>
  <c r="E1300" i="113"/>
  <c r="E1308" i="113"/>
  <c r="E1316" i="113"/>
  <c r="E1324" i="113"/>
  <c r="E1332" i="113"/>
  <c r="E1340" i="113"/>
  <c r="E1348" i="113"/>
  <c r="E1356" i="113"/>
  <c r="E1364" i="113"/>
  <c r="E1372" i="113"/>
  <c r="E1380" i="113"/>
  <c r="E1388" i="113"/>
  <c r="E1396" i="113"/>
  <c r="E1404" i="113"/>
  <c r="E1412" i="113"/>
  <c r="E1420" i="113"/>
  <c r="E1428" i="113"/>
  <c r="E1436" i="113"/>
  <c r="E1444" i="113"/>
  <c r="E1452" i="113"/>
  <c r="E1460" i="113"/>
  <c r="E1468" i="113"/>
  <c r="E1476" i="113"/>
  <c r="E1484" i="113"/>
  <c r="E1492" i="113"/>
  <c r="E1500" i="113"/>
  <c r="E1508" i="113"/>
  <c r="E1516" i="113"/>
  <c r="E1524" i="113"/>
  <c r="E1532" i="113"/>
  <c r="E1540" i="113"/>
  <c r="E1548" i="113"/>
  <c r="E1556" i="113"/>
  <c r="E1564" i="113"/>
  <c r="E1572" i="113"/>
  <c r="E1580" i="113"/>
  <c r="E1588" i="113"/>
  <c r="E1596" i="113"/>
  <c r="E1602" i="113"/>
  <c r="E1608" i="113"/>
  <c r="E1613" i="113"/>
  <c r="E1618" i="113"/>
  <c r="E1624" i="113"/>
  <c r="E1628" i="113"/>
  <c r="E1632" i="113"/>
  <c r="E1636" i="113"/>
  <c r="E1640" i="113"/>
  <c r="E1644" i="113"/>
  <c r="E1648" i="113"/>
  <c r="E1652" i="113"/>
  <c r="E1656" i="113"/>
  <c r="E1660" i="113"/>
  <c r="E1664" i="113"/>
  <c r="E1668" i="113"/>
  <c r="E1672" i="113"/>
  <c r="E1676" i="113"/>
  <c r="E1680" i="113"/>
  <c r="E1684" i="113"/>
  <c r="E1688" i="113"/>
  <c r="E1692" i="113"/>
  <c r="E1696" i="113"/>
  <c r="E1700" i="113"/>
  <c r="E1704" i="113"/>
  <c r="E1708" i="113"/>
  <c r="E1712" i="113"/>
  <c r="E1716" i="113"/>
  <c r="E1720" i="113"/>
  <c r="E1724" i="113"/>
  <c r="E1728" i="113"/>
  <c r="E1732" i="113"/>
  <c r="E1736" i="113"/>
  <c r="E1740" i="113"/>
  <c r="E1744" i="113"/>
  <c r="E1748" i="113"/>
  <c r="E1752" i="113"/>
  <c r="E1756" i="113"/>
  <c r="E1760" i="113"/>
  <c r="E1764" i="113"/>
  <c r="E1768" i="113"/>
  <c r="E1772" i="113"/>
  <c r="E1776" i="113"/>
  <c r="E1780" i="113"/>
  <c r="E1784" i="113"/>
  <c r="E1788" i="113"/>
  <c r="E1792" i="113"/>
  <c r="E1796" i="113"/>
  <c r="E1800" i="113"/>
  <c r="E1804" i="113"/>
  <c r="E1808" i="113"/>
  <c r="E1812" i="113"/>
  <c r="E1816" i="113"/>
  <c r="E1820" i="113"/>
  <c r="E1824" i="113"/>
  <c r="E1828" i="113"/>
  <c r="E1832" i="113"/>
  <c r="E1836" i="113"/>
  <c r="E1840" i="113"/>
  <c r="E1844" i="113"/>
  <c r="E1848" i="113"/>
  <c r="E1852" i="113"/>
  <c r="E1856" i="113"/>
  <c r="E1860" i="113"/>
  <c r="E1864" i="113"/>
  <c r="E1868" i="113"/>
  <c r="E1872" i="113"/>
  <c r="E1876" i="113"/>
  <c r="E1880" i="113"/>
  <c r="E1884" i="113"/>
  <c r="E1888" i="113"/>
  <c r="E1892" i="113"/>
  <c r="E1896" i="113"/>
  <c r="E1900" i="113"/>
  <c r="E1904" i="113"/>
  <c r="E1908" i="113"/>
  <c r="E1912" i="113"/>
  <c r="E1916" i="113"/>
  <c r="E1920" i="113"/>
  <c r="E1924" i="113"/>
  <c r="E1928" i="113"/>
  <c r="E1932" i="113"/>
  <c r="E1936" i="113"/>
  <c r="E1940" i="113"/>
  <c r="E1944" i="113"/>
  <c r="E1948" i="113"/>
  <c r="E1952" i="113"/>
  <c r="E1956" i="113"/>
  <c r="E1960" i="113"/>
  <c r="E1964" i="113"/>
  <c r="E1968" i="113"/>
  <c r="E1972" i="113"/>
  <c r="E1976" i="113"/>
  <c r="E1980" i="113"/>
  <c r="E1984" i="113"/>
  <c r="E1988" i="113"/>
  <c r="E1992" i="113"/>
  <c r="E1996" i="113"/>
  <c r="E2000" i="113"/>
  <c r="E2004" i="113"/>
  <c r="E2008" i="113"/>
  <c r="E2012" i="113"/>
  <c r="E2016" i="113"/>
  <c r="E2020" i="113"/>
  <c r="E2024" i="113"/>
  <c r="E2028" i="113"/>
  <c r="E2032" i="113"/>
  <c r="E2036" i="113"/>
  <c r="E2040" i="113"/>
  <c r="E2044" i="113"/>
  <c r="E2048" i="113"/>
  <c r="E2052" i="113"/>
  <c r="E2056" i="113"/>
  <c r="E2060" i="113"/>
  <c r="E2064" i="113"/>
  <c r="E2068" i="113"/>
  <c r="E2072" i="113"/>
  <c r="E2076" i="113"/>
  <c r="E2080" i="113"/>
  <c r="E2084" i="113"/>
  <c r="E2088" i="113"/>
  <c r="E2092" i="113"/>
  <c r="E2096" i="113"/>
  <c r="E2100" i="113"/>
  <c r="E2104" i="113"/>
  <c r="E2108" i="113"/>
  <c r="E2112" i="113"/>
  <c r="E2116" i="113"/>
  <c r="E2120" i="113"/>
  <c r="E2124" i="113"/>
  <c r="E2128" i="113"/>
  <c r="E2132" i="113"/>
  <c r="E2136" i="113"/>
  <c r="E2140" i="113"/>
  <c r="E2144" i="113"/>
  <c r="E2148" i="113"/>
  <c r="E2152" i="113"/>
  <c r="E2156" i="113"/>
  <c r="E2160" i="113"/>
  <c r="E2164" i="113"/>
  <c r="E2168" i="113"/>
  <c r="E2172" i="113"/>
  <c r="E2176" i="113"/>
  <c r="E2180" i="113"/>
  <c r="E2184" i="113"/>
  <c r="E2188" i="113"/>
  <c r="E2192" i="113"/>
  <c r="E2196" i="113"/>
  <c r="E2200" i="113"/>
  <c r="E2204" i="113"/>
  <c r="E2208" i="113"/>
  <c r="E2212" i="113"/>
  <c r="E2216" i="113"/>
  <c r="E2220" i="113"/>
  <c r="E2224" i="113"/>
  <c r="E2228" i="113"/>
  <c r="E2232" i="113"/>
  <c r="E2236" i="113"/>
  <c r="E2240" i="113"/>
  <c r="E2244" i="113"/>
  <c r="E2248" i="113"/>
  <c r="E2252" i="113"/>
  <c r="E2256" i="113"/>
  <c r="E2260" i="113"/>
  <c r="E2264" i="113"/>
  <c r="E2268" i="113"/>
  <c r="E2272" i="113"/>
  <c r="E2276" i="113"/>
  <c r="E2280" i="113"/>
  <c r="E2284" i="113"/>
  <c r="E2288" i="113"/>
  <c r="E2292" i="113"/>
  <c r="E2296" i="113"/>
  <c r="E2300" i="113"/>
  <c r="E2304" i="113"/>
  <c r="E2308" i="113"/>
  <c r="E2312" i="113"/>
  <c r="E2316" i="113"/>
  <c r="E2320" i="113"/>
  <c r="E315" i="113"/>
  <c r="E537" i="113"/>
  <c r="E629" i="113"/>
  <c r="E669" i="113"/>
  <c r="E688" i="113"/>
  <c r="E704" i="113"/>
  <c r="E720" i="113"/>
  <c r="E736" i="113"/>
  <c r="E752" i="113"/>
  <c r="E768" i="113"/>
  <c r="E784" i="113"/>
  <c r="E800" i="113"/>
  <c r="E816" i="113"/>
  <c r="E832" i="113"/>
  <c r="E848" i="113"/>
  <c r="E864" i="113"/>
  <c r="E880" i="113"/>
  <c r="E896" i="113"/>
  <c r="E912" i="113"/>
  <c r="E928" i="113"/>
  <c r="E944" i="113"/>
  <c r="E960" i="113"/>
  <c r="E976" i="113"/>
  <c r="E992" i="113"/>
  <c r="E1008" i="113"/>
  <c r="E1024" i="113"/>
  <c r="E1040" i="113"/>
  <c r="E1056" i="113"/>
  <c r="E1072" i="113"/>
  <c r="E1088" i="113"/>
  <c r="E1104" i="113"/>
  <c r="E1120" i="113"/>
  <c r="E1136" i="113"/>
  <c r="E1152" i="113"/>
  <c r="E1168" i="113"/>
  <c r="E1184" i="113"/>
  <c r="E1200" i="113"/>
  <c r="E1212" i="113"/>
  <c r="E1222" i="113"/>
  <c r="E1233" i="113"/>
  <c r="E1244" i="113"/>
  <c r="E1253" i="113"/>
  <c r="E1261" i="113"/>
  <c r="E1269" i="113"/>
  <c r="E1277" i="113"/>
  <c r="E1285" i="113"/>
  <c r="E1293" i="113"/>
  <c r="E1301" i="113"/>
  <c r="E1309" i="113"/>
  <c r="E1317" i="113"/>
  <c r="E1325" i="113"/>
  <c r="E1333" i="113"/>
  <c r="E1341" i="113"/>
  <c r="E1349" i="113"/>
  <c r="E1357" i="113"/>
  <c r="E1365" i="113"/>
  <c r="E1373" i="113"/>
  <c r="E1381" i="113"/>
  <c r="E1389" i="113"/>
  <c r="E1397" i="113"/>
  <c r="E1405" i="113"/>
  <c r="E1413" i="113"/>
  <c r="E1421" i="113"/>
  <c r="E1429" i="113"/>
  <c r="E1437" i="113"/>
  <c r="E1445" i="113"/>
  <c r="E1453" i="113"/>
  <c r="E1461" i="113"/>
  <c r="E1469" i="113"/>
  <c r="E1477" i="113"/>
  <c r="E1485" i="113"/>
  <c r="E1493" i="113"/>
  <c r="E1501" i="113"/>
  <c r="E1509" i="113"/>
  <c r="E1517" i="113"/>
  <c r="E1525" i="113"/>
  <c r="E1533" i="113"/>
  <c r="E1541" i="113"/>
  <c r="E1549" i="113"/>
  <c r="E1557" i="113"/>
  <c r="E1565" i="113"/>
  <c r="E1573" i="113"/>
  <c r="E1581" i="113"/>
  <c r="E1589" i="113"/>
  <c r="E1597" i="113"/>
  <c r="E1604" i="113"/>
  <c r="E1609" i="113"/>
  <c r="E1614" i="113"/>
  <c r="E1620" i="113"/>
  <c r="E1625" i="113"/>
  <c r="E1629" i="113"/>
  <c r="E1633" i="113"/>
  <c r="E1637" i="113"/>
  <c r="E1641" i="113"/>
  <c r="E1645" i="113"/>
  <c r="E1649" i="113"/>
  <c r="E1653" i="113"/>
  <c r="E1657" i="113"/>
  <c r="E1661" i="113"/>
  <c r="E1665" i="113"/>
  <c r="E1669" i="113"/>
  <c r="E1673" i="113"/>
  <c r="E1677" i="113"/>
  <c r="E1681" i="113"/>
  <c r="E1685" i="113"/>
  <c r="E1689" i="113"/>
  <c r="E1693" i="113"/>
  <c r="E1697" i="113"/>
  <c r="E1701" i="113"/>
  <c r="E1705" i="113"/>
  <c r="E1709" i="113"/>
  <c r="E1713" i="113"/>
  <c r="E1717" i="113"/>
  <c r="E1721" i="113"/>
  <c r="E1725" i="113"/>
  <c r="E1729" i="113"/>
  <c r="E1733" i="113"/>
  <c r="E1737" i="113"/>
  <c r="E1741" i="113"/>
  <c r="E1745" i="113"/>
  <c r="E1749" i="113"/>
  <c r="E1753" i="113"/>
  <c r="E1757" i="113"/>
  <c r="E1761" i="113"/>
  <c r="E1765" i="113"/>
  <c r="E1769" i="113"/>
  <c r="E1773" i="113"/>
  <c r="E1777" i="113"/>
  <c r="E1781" i="113"/>
  <c r="E1785" i="113"/>
  <c r="E1789" i="113"/>
  <c r="E1793" i="113"/>
  <c r="E1797" i="113"/>
  <c r="E1801" i="113"/>
  <c r="E1805" i="113"/>
  <c r="E1809" i="113"/>
  <c r="E1813" i="113"/>
  <c r="E1817" i="113"/>
  <c r="E1821" i="113"/>
  <c r="E1825" i="113"/>
  <c r="E1829" i="113"/>
  <c r="E1833" i="113"/>
  <c r="E1837" i="113"/>
  <c r="E1841" i="113"/>
  <c r="E1845" i="113"/>
  <c r="E1849" i="113"/>
  <c r="E1853" i="113"/>
  <c r="E1857" i="113"/>
  <c r="E1861" i="113"/>
  <c r="E1865" i="113"/>
  <c r="E1869" i="113"/>
  <c r="E1873" i="113"/>
  <c r="E1877" i="113"/>
  <c r="E1881" i="113"/>
  <c r="E1885" i="113"/>
  <c r="E1889" i="113"/>
  <c r="E1893" i="113"/>
  <c r="E1897" i="113"/>
  <c r="E1901" i="113"/>
  <c r="E1905" i="113"/>
  <c r="E1909" i="113"/>
  <c r="E1913" i="113"/>
  <c r="E1917" i="113"/>
  <c r="E1921" i="113"/>
  <c r="E1925" i="113"/>
  <c r="E1929" i="113"/>
  <c r="E1933" i="113"/>
  <c r="E1937" i="113"/>
  <c r="E1941" i="113"/>
  <c r="E1945" i="113"/>
  <c r="E1949" i="113"/>
  <c r="E1953" i="113"/>
  <c r="E1957" i="113"/>
  <c r="E1961" i="113"/>
  <c r="E1965" i="113"/>
  <c r="E1969" i="113"/>
  <c r="E1973" i="113"/>
  <c r="E1977" i="113"/>
  <c r="E1981" i="113"/>
  <c r="E1985" i="113"/>
  <c r="E1989" i="113"/>
  <c r="E1993" i="113"/>
  <c r="E1997" i="113"/>
  <c r="E2001" i="113"/>
  <c r="E2005" i="113"/>
  <c r="E2009" i="113"/>
  <c r="E2013" i="113"/>
  <c r="E2017" i="113"/>
  <c r="E2021" i="113"/>
  <c r="E2025" i="113"/>
  <c r="E2029" i="113"/>
  <c r="E2033" i="113"/>
  <c r="E2037" i="113"/>
  <c r="E2041" i="113"/>
  <c r="E2045" i="113"/>
  <c r="E2049" i="113"/>
  <c r="E2053" i="113"/>
  <c r="E2057" i="113"/>
  <c r="E2061" i="113"/>
  <c r="E2065" i="113"/>
  <c r="E2069" i="113"/>
  <c r="E2073" i="113"/>
  <c r="E2077" i="113"/>
  <c r="E2081" i="113"/>
  <c r="E2085" i="113"/>
  <c r="E2089" i="113"/>
  <c r="E2093" i="113"/>
  <c r="E2097" i="113"/>
  <c r="E2101" i="113"/>
  <c r="E2105" i="113"/>
  <c r="E2109" i="113"/>
  <c r="E2113" i="113"/>
  <c r="E2117" i="113"/>
  <c r="E2121" i="113"/>
  <c r="E2125" i="113"/>
  <c r="E2129" i="113"/>
  <c r="E2133" i="113"/>
  <c r="E2137" i="113"/>
  <c r="E2141" i="113"/>
  <c r="E2145" i="113"/>
  <c r="E2149" i="113"/>
  <c r="E2153" i="113"/>
  <c r="E2157" i="113"/>
  <c r="E2161" i="113"/>
  <c r="E2165" i="113"/>
  <c r="E2169" i="113"/>
  <c r="E2173" i="113"/>
  <c r="E2177" i="113"/>
  <c r="E2181" i="113"/>
  <c r="E2185" i="113"/>
  <c r="E2189" i="113"/>
  <c r="E2193" i="113"/>
  <c r="E2197" i="113"/>
  <c r="E2201" i="113"/>
  <c r="E2205" i="113"/>
  <c r="E2209" i="113"/>
  <c r="E2213" i="113"/>
  <c r="E2217" i="113"/>
  <c r="E2221" i="113"/>
  <c r="E2225" i="113"/>
  <c r="E2229" i="113"/>
  <c r="E2233" i="113"/>
  <c r="E2237" i="113"/>
  <c r="E2241" i="113"/>
  <c r="E2245" i="113"/>
  <c r="E2249" i="113"/>
  <c r="E2253" i="113"/>
  <c r="E2257" i="113"/>
  <c r="E2261" i="113"/>
  <c r="E2265" i="113"/>
  <c r="E2269" i="113"/>
  <c r="E2273" i="113"/>
  <c r="E2277" i="113"/>
  <c r="E2281" i="113"/>
  <c r="E2285" i="113"/>
  <c r="E2289" i="113"/>
  <c r="E2293" i="113"/>
  <c r="E2297" i="113"/>
  <c r="E2301" i="113"/>
  <c r="E2305" i="113"/>
  <c r="E2309" i="113"/>
  <c r="E2313" i="113"/>
  <c r="E2317" i="113"/>
  <c r="E2321" i="113"/>
  <c r="E2325" i="113"/>
  <c r="E2329" i="113"/>
  <c r="E2333" i="113"/>
  <c r="E2337" i="113"/>
  <c r="E2341" i="113"/>
  <c r="E2345" i="113"/>
  <c r="E2349" i="113"/>
  <c r="E2353" i="113"/>
  <c r="E2357" i="113"/>
  <c r="E2361" i="113"/>
  <c r="E2365" i="113"/>
  <c r="E2369" i="113"/>
  <c r="E423" i="113"/>
  <c r="E693" i="113"/>
  <c r="E757" i="113"/>
  <c r="E821" i="113"/>
  <c r="E885" i="113"/>
  <c r="E949" i="113"/>
  <c r="E1013" i="113"/>
  <c r="E1077" i="113"/>
  <c r="E1141" i="113"/>
  <c r="E1205" i="113"/>
  <c r="E1248" i="113"/>
  <c r="E1280" i="113"/>
  <c r="E1312" i="113"/>
  <c r="E1344" i="113"/>
  <c r="E1376" i="113"/>
  <c r="E1408" i="113"/>
  <c r="E1440" i="113"/>
  <c r="E1472" i="113"/>
  <c r="E1504" i="113"/>
  <c r="E1536" i="113"/>
  <c r="E1568" i="113"/>
  <c r="E1600" i="113"/>
  <c r="E1610" i="113"/>
  <c r="E1621" i="113"/>
  <c r="E1630" i="113"/>
  <c r="E1638" i="113"/>
  <c r="E1646" i="113"/>
  <c r="E1654" i="113"/>
  <c r="E1662" i="113"/>
  <c r="E1670" i="113"/>
  <c r="E1678" i="113"/>
  <c r="E1686" i="113"/>
  <c r="E1694" i="113"/>
  <c r="E1702" i="113"/>
  <c r="E1710" i="113"/>
  <c r="E1718" i="113"/>
  <c r="E1726" i="113"/>
  <c r="E1734" i="113"/>
  <c r="E1742" i="113"/>
  <c r="E1750" i="113"/>
  <c r="E1758" i="113"/>
  <c r="E1766" i="113"/>
  <c r="E1774" i="113"/>
  <c r="E1782" i="113"/>
  <c r="E1790" i="113"/>
  <c r="E1798" i="113"/>
  <c r="E1806" i="113"/>
  <c r="E1814" i="113"/>
  <c r="E1822" i="113"/>
  <c r="E1830" i="113"/>
  <c r="E1838" i="113"/>
  <c r="E1846" i="113"/>
  <c r="E1854" i="113"/>
  <c r="E1862" i="113"/>
  <c r="E1870" i="113"/>
  <c r="E1878" i="113"/>
  <c r="E1886" i="113"/>
  <c r="E1894" i="113"/>
  <c r="E1902" i="113"/>
  <c r="E1910" i="113"/>
  <c r="E1918" i="113"/>
  <c r="E1926" i="113"/>
  <c r="E1934" i="113"/>
  <c r="E1942" i="113"/>
  <c r="E1950" i="113"/>
  <c r="E1958" i="113"/>
  <c r="E1966" i="113"/>
  <c r="E1974" i="113"/>
  <c r="E1982" i="113"/>
  <c r="E1990" i="113"/>
  <c r="E1998" i="113"/>
  <c r="E2006" i="113"/>
  <c r="E2014" i="113"/>
  <c r="E2022" i="113"/>
  <c r="E2030" i="113"/>
  <c r="E2038" i="113"/>
  <c r="E2046" i="113"/>
  <c r="E2054" i="113"/>
  <c r="E2062" i="113"/>
  <c r="E2070" i="113"/>
  <c r="E2078" i="113"/>
  <c r="E2086" i="113"/>
  <c r="E2094" i="113"/>
  <c r="E2102" i="113"/>
  <c r="E2110" i="113"/>
  <c r="E2118" i="113"/>
  <c r="E2126" i="113"/>
  <c r="E2134" i="113"/>
  <c r="E2142" i="113"/>
  <c r="E2150" i="113"/>
  <c r="E2158" i="113"/>
  <c r="E2166" i="113"/>
  <c r="E2174" i="113"/>
  <c r="E2182" i="113"/>
  <c r="E2190" i="113"/>
  <c r="E2198" i="113"/>
  <c r="E2206" i="113"/>
  <c r="E2214" i="113"/>
  <c r="E2222" i="113"/>
  <c r="E2230" i="113"/>
  <c r="E2238" i="113"/>
  <c r="E2246" i="113"/>
  <c r="E2254" i="113"/>
  <c r="E2262" i="113"/>
  <c r="E2270" i="113"/>
  <c r="E2278" i="113"/>
  <c r="E2286" i="113"/>
  <c r="E2294" i="113"/>
  <c r="E2302" i="113"/>
  <c r="E2310" i="113"/>
  <c r="E2318" i="113"/>
  <c r="E2324" i="113"/>
  <c r="E2330" i="113"/>
  <c r="E2335" i="113"/>
  <c r="E2340" i="113"/>
  <c r="E2346" i="113"/>
  <c r="E2351" i="113"/>
  <c r="E2356" i="113"/>
  <c r="E2362" i="113"/>
  <c r="E2367" i="113"/>
  <c r="E2372" i="113"/>
  <c r="E2376" i="113"/>
  <c r="E2380" i="113"/>
  <c r="E2384" i="113"/>
  <c r="E2388" i="113"/>
  <c r="E2392" i="113"/>
  <c r="E2396" i="113"/>
  <c r="E2400" i="113"/>
  <c r="E2404" i="113"/>
  <c r="E2408" i="113"/>
  <c r="E2412" i="113"/>
  <c r="E2416" i="113"/>
  <c r="E2420" i="113"/>
  <c r="E2424" i="113"/>
  <c r="E2428" i="113"/>
  <c r="E2432" i="113"/>
  <c r="E2436" i="113"/>
  <c r="E2440" i="113"/>
  <c r="E2444" i="113"/>
  <c r="E2448" i="113"/>
  <c r="E2452" i="113"/>
  <c r="E2456" i="113"/>
  <c r="E2460" i="113"/>
  <c r="E2464" i="113"/>
  <c r="E2468" i="113"/>
  <c r="E2472" i="113"/>
  <c r="E2476" i="113"/>
  <c r="E2480" i="113"/>
  <c r="E2484" i="113"/>
  <c r="E2488" i="113"/>
  <c r="E2492" i="113"/>
  <c r="E2496" i="113"/>
  <c r="E2500" i="113"/>
  <c r="E2504" i="113"/>
  <c r="E2508" i="113"/>
  <c r="E2512" i="113"/>
  <c r="E2516" i="113"/>
  <c r="E2520" i="113"/>
  <c r="E2524" i="113"/>
  <c r="E2528" i="113"/>
  <c r="E2532" i="113"/>
  <c r="E2536" i="113"/>
  <c r="E2540" i="113"/>
  <c r="E2544" i="113"/>
  <c r="E2548" i="113"/>
  <c r="E2552" i="113"/>
  <c r="E2556" i="113"/>
  <c r="E2560" i="113"/>
  <c r="E2564" i="113"/>
  <c r="E2568" i="113"/>
  <c r="E585" i="113"/>
  <c r="E709" i="113"/>
  <c r="E773" i="113"/>
  <c r="E837" i="113"/>
  <c r="E901" i="113"/>
  <c r="E965" i="113"/>
  <c r="E1029" i="113"/>
  <c r="E1093" i="113"/>
  <c r="E1157" i="113"/>
  <c r="E1216" i="113"/>
  <c r="E1256" i="113"/>
  <c r="E1288" i="113"/>
  <c r="E1320" i="113"/>
  <c r="E1352" i="113"/>
  <c r="E1384" i="113"/>
  <c r="E1416" i="113"/>
  <c r="E1448" i="113"/>
  <c r="E1480" i="113"/>
  <c r="E1512" i="113"/>
  <c r="E1544" i="113"/>
  <c r="E1576" i="113"/>
  <c r="E1601" i="113"/>
  <c r="E1612" i="113"/>
  <c r="E1622" i="113"/>
  <c r="E1631" i="113"/>
  <c r="E1639" i="113"/>
  <c r="E1647" i="113"/>
  <c r="E1655" i="113"/>
  <c r="E1663" i="113"/>
  <c r="E1671" i="113"/>
  <c r="E1679" i="113"/>
  <c r="E1687" i="113"/>
  <c r="E1695" i="113"/>
  <c r="E1703" i="113"/>
  <c r="E1711" i="113"/>
  <c r="E1719" i="113"/>
  <c r="E1727" i="113"/>
  <c r="E1735" i="113"/>
  <c r="E1743" i="113"/>
  <c r="E1751" i="113"/>
  <c r="E1759" i="113"/>
  <c r="E1767" i="113"/>
  <c r="E1775" i="113"/>
  <c r="E1783" i="113"/>
  <c r="E1791" i="113"/>
  <c r="E1799" i="113"/>
  <c r="E1807" i="113"/>
  <c r="E1815" i="113"/>
  <c r="E1823" i="113"/>
  <c r="E1831" i="113"/>
  <c r="E1839" i="113"/>
  <c r="E1847" i="113"/>
  <c r="E1855" i="113"/>
  <c r="E1863" i="113"/>
  <c r="E1871" i="113"/>
  <c r="E1879" i="113"/>
  <c r="E1887" i="113"/>
  <c r="E1895" i="113"/>
  <c r="E1903" i="113"/>
  <c r="E1911" i="113"/>
  <c r="E1919" i="113"/>
  <c r="E1927" i="113"/>
  <c r="E1935" i="113"/>
  <c r="E1943" i="113"/>
  <c r="E1951" i="113"/>
  <c r="E1959" i="113"/>
  <c r="E1967" i="113"/>
  <c r="E1975" i="113"/>
  <c r="E1983" i="113"/>
  <c r="E1991" i="113"/>
  <c r="E1999" i="113"/>
  <c r="E2007" i="113"/>
  <c r="E2015" i="113"/>
  <c r="E2023" i="113"/>
  <c r="E2031" i="113"/>
  <c r="E2039" i="113"/>
  <c r="E2047" i="113"/>
  <c r="E2055" i="113"/>
  <c r="E2063" i="113"/>
  <c r="E2071" i="113"/>
  <c r="E2079" i="113"/>
  <c r="E2087" i="113"/>
  <c r="E2095" i="113"/>
  <c r="E2103" i="113"/>
  <c r="E2111" i="113"/>
  <c r="E2119" i="113"/>
  <c r="E2127" i="113"/>
  <c r="E2135" i="113"/>
  <c r="E2143" i="113"/>
  <c r="E2151" i="113"/>
  <c r="E2159" i="113"/>
  <c r="E2167" i="113"/>
  <c r="E2175" i="113"/>
  <c r="E2183" i="113"/>
  <c r="E2191" i="113"/>
  <c r="E2199" i="113"/>
  <c r="E2207" i="113"/>
  <c r="E2215" i="113"/>
  <c r="E2223" i="113"/>
  <c r="E2231" i="113"/>
  <c r="E2239" i="113"/>
  <c r="E2247" i="113"/>
  <c r="E2255" i="113"/>
  <c r="E2263" i="113"/>
  <c r="E2271" i="113"/>
  <c r="E2279" i="113"/>
  <c r="E2287" i="113"/>
  <c r="E2295" i="113"/>
  <c r="E2303" i="113"/>
  <c r="E2311" i="113"/>
  <c r="E2319" i="113"/>
  <c r="E2326" i="113"/>
  <c r="E2331" i="113"/>
  <c r="E2336" i="113"/>
  <c r="E2342" i="113"/>
  <c r="E2347" i="113"/>
  <c r="E2352" i="113"/>
  <c r="E2358" i="113"/>
  <c r="E2363" i="113"/>
  <c r="E2368" i="113"/>
  <c r="E2373" i="113"/>
  <c r="E2377" i="113"/>
  <c r="E2381" i="113"/>
  <c r="E2385" i="113"/>
  <c r="E2389" i="113"/>
  <c r="E2393" i="113"/>
  <c r="E2397" i="113"/>
  <c r="E2401" i="113"/>
  <c r="E2405" i="113"/>
  <c r="E2409" i="113"/>
  <c r="E2413" i="113"/>
  <c r="E2417" i="113"/>
  <c r="E2421" i="113"/>
  <c r="E2425" i="113"/>
  <c r="E2429" i="113"/>
  <c r="E2433" i="113"/>
  <c r="E2437" i="113"/>
  <c r="E2441" i="113"/>
  <c r="E2445" i="113"/>
  <c r="E2449" i="113"/>
  <c r="E2453" i="113"/>
  <c r="E2457" i="113"/>
  <c r="E2461" i="113"/>
  <c r="E2465" i="113"/>
  <c r="E2469" i="113"/>
  <c r="E2473" i="113"/>
  <c r="E2477" i="113"/>
  <c r="E2481" i="113"/>
  <c r="E2485" i="113"/>
  <c r="E2489" i="113"/>
  <c r="E2493" i="113"/>
  <c r="E2497" i="113"/>
  <c r="E2501" i="113"/>
  <c r="E2505" i="113"/>
  <c r="E2509" i="113"/>
  <c r="E2513" i="113"/>
  <c r="E2517" i="113"/>
  <c r="E2521" i="113"/>
  <c r="E2525" i="113"/>
  <c r="E2529" i="113"/>
  <c r="E2533" i="113"/>
  <c r="E2537" i="113"/>
  <c r="E2541" i="113"/>
  <c r="E2545" i="113"/>
  <c r="E2549" i="113"/>
  <c r="E2553" i="113"/>
  <c r="E2557" i="113"/>
  <c r="E2561" i="113"/>
  <c r="E2565" i="113"/>
  <c r="E2569" i="113"/>
  <c r="E2573" i="113"/>
  <c r="E2577" i="113"/>
  <c r="E2581" i="113"/>
  <c r="E2585" i="113"/>
  <c r="E2589" i="113"/>
  <c r="E2593" i="113"/>
  <c r="E2597" i="113"/>
  <c r="E2601" i="113"/>
  <c r="E2605" i="113"/>
  <c r="E2609" i="113"/>
  <c r="E2613" i="113"/>
  <c r="E2617" i="113"/>
  <c r="E2621" i="113"/>
  <c r="E2625" i="113"/>
  <c r="E2629" i="113"/>
  <c r="E2633" i="113"/>
  <c r="E2637" i="113"/>
  <c r="E2641" i="113"/>
  <c r="E2645" i="113"/>
  <c r="E2649" i="113"/>
  <c r="E2653" i="113"/>
  <c r="E2657" i="113"/>
  <c r="E2661" i="113"/>
  <c r="E2665" i="113"/>
  <c r="E2669" i="113"/>
  <c r="E2673" i="113"/>
  <c r="E2677" i="113"/>
  <c r="E2681" i="113"/>
  <c r="E2685" i="113"/>
  <c r="E2689" i="113"/>
  <c r="E2693" i="113"/>
  <c r="E2697" i="113"/>
  <c r="E2701" i="113"/>
  <c r="E2705" i="113"/>
  <c r="E2709" i="113"/>
  <c r="E2713" i="113"/>
  <c r="E2717" i="113"/>
  <c r="E2721" i="113"/>
  <c r="E2725" i="113"/>
  <c r="E2729" i="113"/>
  <c r="E2733" i="113"/>
  <c r="E2737" i="113"/>
  <c r="E2741" i="113"/>
  <c r="E2745" i="113"/>
  <c r="E2749" i="113"/>
  <c r="E2753" i="113"/>
  <c r="E2757" i="113"/>
  <c r="E2761" i="113"/>
  <c r="E2765" i="113"/>
  <c r="E2769" i="113"/>
  <c r="E2773" i="113"/>
  <c r="E2777" i="113"/>
  <c r="E2781" i="113"/>
  <c r="E2785" i="113"/>
  <c r="E2789" i="113"/>
  <c r="E2793" i="113"/>
  <c r="E2797" i="113"/>
  <c r="E2801" i="113"/>
  <c r="E2805" i="113"/>
  <c r="E2809" i="113"/>
  <c r="E2813" i="113"/>
  <c r="E2817" i="113"/>
  <c r="E2821" i="113"/>
  <c r="E2825" i="113"/>
  <c r="E2829" i="113"/>
  <c r="E2833" i="113"/>
  <c r="E2837" i="113"/>
  <c r="E2841" i="113"/>
  <c r="E2845" i="113"/>
  <c r="E2849" i="113"/>
  <c r="E2853" i="113"/>
  <c r="E2857" i="113"/>
  <c r="E2861" i="113"/>
  <c r="E2865" i="113"/>
  <c r="E2869" i="113"/>
  <c r="E2873" i="113"/>
  <c r="E2877" i="113"/>
  <c r="E2881" i="113"/>
  <c r="E2885" i="113"/>
  <c r="E2889" i="113"/>
  <c r="E2893" i="113"/>
  <c r="E2897" i="113"/>
  <c r="E2901" i="113"/>
  <c r="E2905" i="113"/>
  <c r="E2909" i="113"/>
  <c r="E2913" i="113"/>
  <c r="E2917" i="113"/>
  <c r="E2921" i="113"/>
  <c r="E2925" i="113"/>
  <c r="E2929" i="113"/>
  <c r="E2933" i="113"/>
  <c r="E2937" i="113"/>
  <c r="E2941" i="113"/>
  <c r="E2945" i="113"/>
  <c r="E2949" i="113"/>
  <c r="E2953" i="113"/>
  <c r="E2957" i="113"/>
  <c r="E2961" i="113"/>
  <c r="E2965" i="113"/>
  <c r="E2969" i="113"/>
  <c r="E2973" i="113"/>
  <c r="E2977" i="113"/>
  <c r="E2981" i="113"/>
  <c r="E2985" i="113"/>
  <c r="E2989" i="113"/>
  <c r="E2993" i="113"/>
  <c r="E2997" i="113"/>
  <c r="E3001" i="113"/>
  <c r="E3005" i="113"/>
  <c r="E3009" i="113"/>
  <c r="E3013" i="113"/>
  <c r="E3017" i="113"/>
  <c r="E3021" i="113"/>
  <c r="E3025" i="113"/>
  <c r="E3029" i="113"/>
  <c r="E3033" i="113"/>
  <c r="E3037" i="113"/>
  <c r="E3041" i="113"/>
  <c r="E3045" i="113"/>
  <c r="E3049" i="113"/>
  <c r="E3053" i="113"/>
  <c r="E3057" i="113"/>
  <c r="E3061" i="113"/>
  <c r="E3065" i="113"/>
  <c r="E3069" i="113"/>
  <c r="E647" i="113"/>
  <c r="E725" i="113"/>
  <c r="E789" i="113"/>
  <c r="E853" i="113"/>
  <c r="E917" i="113"/>
  <c r="E981" i="113"/>
  <c r="E1045" i="113"/>
  <c r="E1109" i="113"/>
  <c r="E1173" i="113"/>
  <c r="E1226" i="113"/>
  <c r="E1264" i="113"/>
  <c r="E1296" i="113"/>
  <c r="E1328" i="113"/>
  <c r="E1360" i="113"/>
  <c r="E1392" i="113"/>
  <c r="E1424" i="113"/>
  <c r="E1456" i="113"/>
  <c r="E1488" i="113"/>
  <c r="E1520" i="113"/>
  <c r="E1552" i="113"/>
  <c r="E1584" i="113"/>
  <c r="E1605" i="113"/>
  <c r="E1616" i="113"/>
  <c r="E1626" i="113"/>
  <c r="E1634" i="113"/>
  <c r="E1642" i="113"/>
  <c r="E1650" i="113"/>
  <c r="E1658" i="113"/>
  <c r="E1666" i="113"/>
  <c r="E1674" i="113"/>
  <c r="E1682" i="113"/>
  <c r="E1690" i="113"/>
  <c r="E1698" i="113"/>
  <c r="E1706" i="113"/>
  <c r="E1714" i="113"/>
  <c r="E1722" i="113"/>
  <c r="E1730" i="113"/>
  <c r="E1738" i="113"/>
  <c r="E1746" i="113"/>
  <c r="E1754" i="113"/>
  <c r="E1762" i="113"/>
  <c r="E1770" i="113"/>
  <c r="E1778" i="113"/>
  <c r="E1786" i="113"/>
  <c r="E1794" i="113"/>
  <c r="E1802" i="113"/>
  <c r="E1810" i="113"/>
  <c r="E1818" i="113"/>
  <c r="E1826" i="113"/>
  <c r="E1834" i="113"/>
  <c r="E1842" i="113"/>
  <c r="E1850" i="113"/>
  <c r="E1858" i="113"/>
  <c r="E1866" i="113"/>
  <c r="E1874" i="113"/>
  <c r="E1882" i="113"/>
  <c r="E1890" i="113"/>
  <c r="E1898" i="113"/>
  <c r="E1906" i="113"/>
  <c r="E1914" i="113"/>
  <c r="E1922" i="113"/>
  <c r="E1930" i="113"/>
  <c r="E1938" i="113"/>
  <c r="E1946" i="113"/>
  <c r="E1954" i="113"/>
  <c r="E1962" i="113"/>
  <c r="E1970" i="113"/>
  <c r="E1978" i="113"/>
  <c r="E1986" i="113"/>
  <c r="E1994" i="113"/>
  <c r="E2002" i="113"/>
  <c r="E2010" i="113"/>
  <c r="E2018" i="113"/>
  <c r="E2026" i="113"/>
  <c r="E2034" i="113"/>
  <c r="E2042" i="113"/>
  <c r="E2050" i="113"/>
  <c r="E2058" i="113"/>
  <c r="E2066" i="113"/>
  <c r="E2074" i="113"/>
  <c r="E2082" i="113"/>
  <c r="E2090" i="113"/>
  <c r="E2098" i="113"/>
  <c r="E2106" i="113"/>
  <c r="E2114" i="113"/>
  <c r="E2122" i="113"/>
  <c r="E2130" i="113"/>
  <c r="E2138" i="113"/>
  <c r="E2146" i="113"/>
  <c r="E2154" i="113"/>
  <c r="E2162" i="113"/>
  <c r="E2170" i="113"/>
  <c r="E2178" i="113"/>
  <c r="E2186" i="113"/>
  <c r="E2194" i="113"/>
  <c r="E2202" i="113"/>
  <c r="E2210" i="113"/>
  <c r="E2218" i="113"/>
  <c r="E2226" i="113"/>
  <c r="E2234" i="113"/>
  <c r="E2242" i="113"/>
  <c r="E2250" i="113"/>
  <c r="E2258" i="113"/>
  <c r="E2266" i="113"/>
  <c r="E2274" i="113"/>
  <c r="E2282" i="113"/>
  <c r="E2290" i="113"/>
  <c r="E2298" i="113"/>
  <c r="E2306" i="113"/>
  <c r="E2314" i="113"/>
  <c r="E2322" i="113"/>
  <c r="E2327" i="113"/>
  <c r="E2332" i="113"/>
  <c r="E2338" i="113"/>
  <c r="E2343" i="113"/>
  <c r="E2348" i="113"/>
  <c r="E2354" i="113"/>
  <c r="E2359" i="113"/>
  <c r="E2364" i="113"/>
  <c r="E2370" i="113"/>
  <c r="E2374" i="113"/>
  <c r="E2378" i="113"/>
  <c r="E2382" i="113"/>
  <c r="E2386" i="113"/>
  <c r="E2390" i="113"/>
  <c r="E2394" i="113"/>
  <c r="E2398" i="113"/>
  <c r="E2402" i="113"/>
  <c r="E2406" i="113"/>
  <c r="E2410" i="113"/>
  <c r="E2414" i="113"/>
  <c r="E2418" i="113"/>
  <c r="E2422" i="113"/>
  <c r="E2426" i="113"/>
  <c r="E2430" i="113"/>
  <c r="E2434" i="113"/>
  <c r="E2438" i="113"/>
  <c r="E2442" i="113"/>
  <c r="E2446" i="113"/>
  <c r="E2450" i="113"/>
  <c r="E2454" i="113"/>
  <c r="E2458" i="113"/>
  <c r="E2462" i="113"/>
  <c r="E2466" i="113"/>
  <c r="E2470" i="113"/>
  <c r="E2474" i="113"/>
  <c r="E2478" i="113"/>
  <c r="E2482" i="113"/>
  <c r="E2486" i="113"/>
  <c r="E2490" i="113"/>
  <c r="E2494" i="113"/>
  <c r="E2498" i="113"/>
  <c r="E2502" i="113"/>
  <c r="E2506" i="113"/>
  <c r="E2510" i="113"/>
  <c r="E2514" i="113"/>
  <c r="E2518" i="113"/>
  <c r="E2522" i="113"/>
  <c r="E2526" i="113"/>
  <c r="E2530" i="113"/>
  <c r="E2534" i="113"/>
  <c r="E2538" i="113"/>
  <c r="E2542" i="113"/>
  <c r="E2546" i="113"/>
  <c r="E2550" i="113"/>
  <c r="E2554" i="113"/>
  <c r="E2558" i="113"/>
  <c r="E2562" i="113"/>
  <c r="E2566" i="113"/>
  <c r="E2570" i="113"/>
  <c r="E2574" i="113"/>
  <c r="E2578" i="113"/>
  <c r="E2582" i="113"/>
  <c r="E2586" i="113"/>
  <c r="E2590" i="113"/>
  <c r="E2594" i="113"/>
  <c r="E2598" i="113"/>
  <c r="E2602" i="113"/>
  <c r="E2606" i="113"/>
  <c r="E2610" i="113"/>
  <c r="E2614" i="113"/>
  <c r="E2618" i="113"/>
  <c r="E2622" i="113"/>
  <c r="E2626" i="113"/>
  <c r="E2630" i="113"/>
  <c r="E2634" i="113"/>
  <c r="E2638" i="113"/>
  <c r="E2642" i="113"/>
  <c r="E2646" i="113"/>
  <c r="E2650" i="113"/>
  <c r="E2654" i="113"/>
  <c r="E2658" i="113"/>
  <c r="E2662" i="113"/>
  <c r="E2666" i="113"/>
  <c r="E2670" i="113"/>
  <c r="E2674" i="113"/>
  <c r="E2678" i="113"/>
  <c r="E2682" i="113"/>
  <c r="E2686" i="113"/>
  <c r="E2690" i="113"/>
  <c r="E2694" i="113"/>
  <c r="E2698" i="113"/>
  <c r="E2702" i="113"/>
  <c r="E2706" i="113"/>
  <c r="E2710" i="113"/>
  <c r="E2714" i="113"/>
  <c r="E2718" i="113"/>
  <c r="E2722" i="113"/>
  <c r="E2726" i="113"/>
  <c r="E2730" i="113"/>
  <c r="E2734" i="113"/>
  <c r="E2738" i="113"/>
  <c r="E2742" i="113"/>
  <c r="E2746" i="113"/>
  <c r="E2750" i="113"/>
  <c r="E2754" i="113"/>
  <c r="E2758" i="113"/>
  <c r="E2762" i="113"/>
  <c r="E2766" i="113"/>
  <c r="E2770" i="113"/>
  <c r="E2774" i="113"/>
  <c r="E2778" i="113"/>
  <c r="E2782" i="113"/>
  <c r="E2786" i="113"/>
  <c r="E2790" i="113"/>
  <c r="E2794" i="113"/>
  <c r="E2798" i="113"/>
  <c r="E2802" i="113"/>
  <c r="E2806" i="113"/>
  <c r="E2810" i="113"/>
  <c r="E2814" i="113"/>
  <c r="E2818" i="113"/>
  <c r="E2822" i="113"/>
  <c r="E2826" i="113"/>
  <c r="E2830" i="113"/>
  <c r="E2834" i="113"/>
  <c r="E2838" i="113"/>
  <c r="E2842" i="113"/>
  <c r="E2846" i="113"/>
  <c r="E2850" i="113"/>
  <c r="E2854" i="113"/>
  <c r="E2858" i="113"/>
  <c r="E2862" i="113"/>
  <c r="E2866" i="113"/>
  <c r="E2870" i="113"/>
  <c r="E2874" i="113"/>
  <c r="E2878" i="113"/>
  <c r="E2882" i="113"/>
  <c r="E2886" i="113"/>
  <c r="E2890" i="113"/>
  <c r="E2894" i="113"/>
  <c r="E2898" i="113"/>
  <c r="E2902" i="113"/>
  <c r="E2906" i="113"/>
  <c r="E2910" i="113"/>
  <c r="E2914" i="113"/>
  <c r="E2918" i="113"/>
  <c r="E2922" i="113"/>
  <c r="E2926" i="113"/>
  <c r="E2930" i="113"/>
  <c r="E2934" i="113"/>
  <c r="E2938" i="113"/>
  <c r="E2942" i="113"/>
  <c r="E2946" i="113"/>
  <c r="E2950" i="113"/>
  <c r="E2954" i="113"/>
  <c r="E2958" i="113"/>
  <c r="E2962" i="113"/>
  <c r="E2966" i="113"/>
  <c r="E2970" i="113"/>
  <c r="E2974" i="113"/>
  <c r="E2978" i="113"/>
  <c r="E2982" i="113"/>
  <c r="E2986" i="113"/>
  <c r="E2990" i="113"/>
  <c r="E2994" i="113"/>
  <c r="E2998" i="113"/>
  <c r="E3002" i="113"/>
  <c r="E3006" i="113"/>
  <c r="E3010" i="113"/>
  <c r="E3014" i="113"/>
  <c r="E3018" i="113"/>
  <c r="E3022" i="113"/>
  <c r="E3026" i="113"/>
  <c r="E3030" i="113"/>
  <c r="E3034" i="113"/>
  <c r="E3038" i="113"/>
  <c r="E3042" i="113"/>
  <c r="E3046" i="113"/>
  <c r="E3050" i="113"/>
  <c r="E3054" i="113"/>
  <c r="E3058" i="113"/>
  <c r="E3062" i="113"/>
  <c r="E3066" i="113"/>
  <c r="E3070" i="113"/>
  <c r="E3074" i="113"/>
  <c r="E3078" i="113"/>
  <c r="E3082" i="113"/>
  <c r="E3086" i="113"/>
  <c r="E3090" i="113"/>
  <c r="E3094" i="113"/>
  <c r="E3098" i="113"/>
  <c r="E3102" i="113"/>
  <c r="E3106" i="113"/>
  <c r="E3110" i="113"/>
  <c r="E3114" i="113"/>
  <c r="E3118" i="113"/>
  <c r="E3122" i="113"/>
  <c r="E3126" i="113"/>
  <c r="E3130" i="113"/>
  <c r="E3134" i="113"/>
  <c r="E3138" i="113"/>
  <c r="E3142" i="113"/>
  <c r="E3146" i="113"/>
  <c r="E3150" i="113"/>
  <c r="E3154" i="113"/>
  <c r="E3158" i="113"/>
  <c r="E3162" i="113"/>
  <c r="E3166" i="113"/>
  <c r="E3170" i="113"/>
  <c r="E3174" i="113"/>
  <c r="E741" i="113"/>
  <c r="E997" i="113"/>
  <c r="E1237" i="113"/>
  <c r="E1368" i="113"/>
  <c r="E1496" i="113"/>
  <c r="E1606" i="113"/>
  <c r="E1643" i="113"/>
  <c r="E1675" i="113"/>
  <c r="E1707" i="113"/>
  <c r="E1739" i="113"/>
  <c r="E1771" i="113"/>
  <c r="E1803" i="113"/>
  <c r="E1835" i="113"/>
  <c r="E1867" i="113"/>
  <c r="E1899" i="113"/>
  <c r="E1931" i="113"/>
  <c r="E1963" i="113"/>
  <c r="E1995" i="113"/>
  <c r="E2027" i="113"/>
  <c r="E2059" i="113"/>
  <c r="E2091" i="113"/>
  <c r="E2123" i="113"/>
  <c r="E2155" i="113"/>
  <c r="E2187" i="113"/>
  <c r="E2219" i="113"/>
  <c r="E2251" i="113"/>
  <c r="E2283" i="113"/>
  <c r="E2315" i="113"/>
  <c r="E2339" i="113"/>
  <c r="E2360" i="113"/>
  <c r="E2379" i="113"/>
  <c r="E2395" i="113"/>
  <c r="E2411" i="113"/>
  <c r="E2427" i="113"/>
  <c r="E2443" i="113"/>
  <c r="E2459" i="113"/>
  <c r="E2475" i="113"/>
  <c r="E2491" i="113"/>
  <c r="E2507" i="113"/>
  <c r="E2523" i="113"/>
  <c r="E2539" i="113"/>
  <c r="E2555" i="113"/>
  <c r="E2571" i="113"/>
  <c r="E2579" i="113"/>
  <c r="E2587" i="113"/>
  <c r="E2595" i="113"/>
  <c r="E2603" i="113"/>
  <c r="E2611" i="113"/>
  <c r="E2619" i="113"/>
  <c r="E2627" i="113"/>
  <c r="E2635" i="113"/>
  <c r="E2643" i="113"/>
  <c r="E2651" i="113"/>
  <c r="E2659" i="113"/>
  <c r="E2667" i="113"/>
  <c r="E2675" i="113"/>
  <c r="E2683" i="113"/>
  <c r="E2691" i="113"/>
  <c r="E2699" i="113"/>
  <c r="E2707" i="113"/>
  <c r="E2715" i="113"/>
  <c r="E2723" i="113"/>
  <c r="E2731" i="113"/>
  <c r="E2739" i="113"/>
  <c r="E2747" i="113"/>
  <c r="E2755" i="113"/>
  <c r="E2763" i="113"/>
  <c r="E2771" i="113"/>
  <c r="E2779" i="113"/>
  <c r="E2787" i="113"/>
  <c r="E2795" i="113"/>
  <c r="E2803" i="113"/>
  <c r="E2811" i="113"/>
  <c r="E2819" i="113"/>
  <c r="E2827" i="113"/>
  <c r="E2835" i="113"/>
  <c r="E2843" i="113"/>
  <c r="E2851" i="113"/>
  <c r="E2859" i="113"/>
  <c r="E2867" i="113"/>
  <c r="E2875" i="113"/>
  <c r="E2883" i="113"/>
  <c r="E2891" i="113"/>
  <c r="E2899" i="113"/>
  <c r="E2907" i="113"/>
  <c r="E2915" i="113"/>
  <c r="E2923" i="113"/>
  <c r="E2931" i="113"/>
  <c r="E2939" i="113"/>
  <c r="E2947" i="113"/>
  <c r="E2955" i="113"/>
  <c r="E2963" i="113"/>
  <c r="E2971" i="113"/>
  <c r="E2979" i="113"/>
  <c r="E2987" i="113"/>
  <c r="E2995" i="113"/>
  <c r="E3003" i="113"/>
  <c r="E3011" i="113"/>
  <c r="E3019" i="113"/>
  <c r="E3027" i="113"/>
  <c r="E3035" i="113"/>
  <c r="E3043" i="113"/>
  <c r="E3051" i="113"/>
  <c r="E3059" i="113"/>
  <c r="E3067" i="113"/>
  <c r="E3073" i="113"/>
  <c r="E3079" i="113"/>
  <c r="E3084" i="113"/>
  <c r="E3089" i="113"/>
  <c r="E3095" i="113"/>
  <c r="E3100" i="113"/>
  <c r="E3105" i="113"/>
  <c r="E3111" i="113"/>
  <c r="E3116" i="113"/>
  <c r="E3121" i="113"/>
  <c r="E3127" i="113"/>
  <c r="E3132" i="113"/>
  <c r="E3137" i="113"/>
  <c r="E3143" i="113"/>
  <c r="E3148" i="113"/>
  <c r="E3153" i="113"/>
  <c r="E3159" i="113"/>
  <c r="E3164" i="113"/>
  <c r="E3169" i="113"/>
  <c r="E3175" i="113"/>
  <c r="E3179" i="113"/>
  <c r="E3183" i="113"/>
  <c r="E3187" i="113"/>
  <c r="E3191" i="113"/>
  <c r="E3195" i="113"/>
  <c r="E3199" i="113"/>
  <c r="E3203" i="113"/>
  <c r="E3207" i="113"/>
  <c r="E3211" i="113"/>
  <c r="E3215" i="113"/>
  <c r="E3219" i="113"/>
  <c r="E3223" i="113"/>
  <c r="E3227" i="113"/>
  <c r="E3231" i="113"/>
  <c r="E3235" i="113"/>
  <c r="E3239" i="113"/>
  <c r="E3243" i="113"/>
  <c r="E3247" i="113"/>
  <c r="E3251" i="113"/>
  <c r="E3255" i="113"/>
  <c r="E3259" i="113"/>
  <c r="E3263" i="113"/>
  <c r="E3267" i="113"/>
  <c r="E3271" i="113"/>
  <c r="E3275" i="113"/>
  <c r="E3279" i="113"/>
  <c r="E3283" i="113"/>
  <c r="E3287" i="113"/>
  <c r="E3291" i="113"/>
  <c r="E3295" i="113"/>
  <c r="E3299" i="113"/>
  <c r="E3303" i="113"/>
  <c r="E3307" i="113"/>
  <c r="E3311" i="113"/>
  <c r="E3315" i="113"/>
  <c r="E3319" i="113"/>
  <c r="E3323" i="113"/>
  <c r="E3327" i="113"/>
  <c r="E3331" i="113"/>
  <c r="E3335" i="113"/>
  <c r="E3339" i="113"/>
  <c r="E3343" i="113"/>
  <c r="E3347" i="113"/>
  <c r="E3351" i="113"/>
  <c r="E869" i="113"/>
  <c r="E1125" i="113"/>
  <c r="E1304" i="113"/>
  <c r="E1432" i="113"/>
  <c r="E1560" i="113"/>
  <c r="E1627" i="113"/>
  <c r="E1659" i="113"/>
  <c r="E1691" i="113"/>
  <c r="E1723" i="113"/>
  <c r="E1755" i="113"/>
  <c r="E1787" i="113"/>
  <c r="E1819" i="113"/>
  <c r="E1851" i="113"/>
  <c r="E1883" i="113"/>
  <c r="E1915" i="113"/>
  <c r="E1947" i="113"/>
  <c r="E1979" i="113"/>
  <c r="E2011" i="113"/>
  <c r="E2043" i="113"/>
  <c r="E2075" i="113"/>
  <c r="E2107" i="113"/>
  <c r="E2139" i="113"/>
  <c r="E2171" i="113"/>
  <c r="E2203" i="113"/>
  <c r="E2235" i="113"/>
  <c r="E2267" i="113"/>
  <c r="E2299" i="113"/>
  <c r="E2328" i="113"/>
  <c r="E2350" i="113"/>
  <c r="E2371" i="113"/>
  <c r="E2387" i="113"/>
  <c r="E2403" i="113"/>
  <c r="E2419" i="113"/>
  <c r="E2435" i="113"/>
  <c r="E2451" i="113"/>
  <c r="E2467" i="113"/>
  <c r="E2483" i="113"/>
  <c r="E2499" i="113"/>
  <c r="E2515" i="113"/>
  <c r="E2531" i="113"/>
  <c r="E2547" i="113"/>
  <c r="E2563" i="113"/>
  <c r="E2575" i="113"/>
  <c r="E2583" i="113"/>
  <c r="E2591" i="113"/>
  <c r="E2599" i="113"/>
  <c r="E2607" i="113"/>
  <c r="E2615" i="113"/>
  <c r="E2623" i="113"/>
  <c r="E2631" i="113"/>
  <c r="E2639" i="113"/>
  <c r="E2647" i="113"/>
  <c r="E2655" i="113"/>
  <c r="E2663" i="113"/>
  <c r="E2671" i="113"/>
  <c r="E2679" i="113"/>
  <c r="E2687" i="113"/>
  <c r="E2695" i="113"/>
  <c r="E2703" i="113"/>
  <c r="E2711" i="113"/>
  <c r="E2719" i="113"/>
  <c r="E2727" i="113"/>
  <c r="E2735" i="113"/>
  <c r="E2743" i="113"/>
  <c r="E2751" i="113"/>
  <c r="E2759" i="113"/>
  <c r="E2767" i="113"/>
  <c r="E2775" i="113"/>
  <c r="E2783" i="113"/>
  <c r="E2791" i="113"/>
  <c r="E2799" i="113"/>
  <c r="E2807" i="113"/>
  <c r="E2815" i="113"/>
  <c r="E2823" i="113"/>
  <c r="E2831" i="113"/>
  <c r="E2839" i="113"/>
  <c r="E2847" i="113"/>
  <c r="E2855" i="113"/>
  <c r="E2863" i="113"/>
  <c r="E2871" i="113"/>
  <c r="E2879" i="113"/>
  <c r="E2887" i="113"/>
  <c r="E2895" i="113"/>
  <c r="E2903" i="113"/>
  <c r="E2911" i="113"/>
  <c r="E2919" i="113"/>
  <c r="E2927" i="113"/>
  <c r="E2935" i="113"/>
  <c r="E2943" i="113"/>
  <c r="E2951" i="113"/>
  <c r="E2959" i="113"/>
  <c r="E2967" i="113"/>
  <c r="E2975" i="113"/>
  <c r="E2983" i="113"/>
  <c r="E2991" i="113"/>
  <c r="E2999" i="113"/>
  <c r="E3007" i="113"/>
  <c r="E3015" i="113"/>
  <c r="E3023" i="113"/>
  <c r="E3031" i="113"/>
  <c r="E3039" i="113"/>
  <c r="E3047" i="113"/>
  <c r="E3055" i="113"/>
  <c r="E3063" i="113"/>
  <c r="E3071" i="113"/>
  <c r="E3076" i="113"/>
  <c r="E3081" i="113"/>
  <c r="E3087" i="113"/>
  <c r="E3092" i="113"/>
  <c r="E3097" i="113"/>
  <c r="E3103" i="113"/>
  <c r="E3108" i="113"/>
  <c r="E3113" i="113"/>
  <c r="E3119" i="113"/>
  <c r="E3124" i="113"/>
  <c r="E3129" i="113"/>
  <c r="E3135" i="113"/>
  <c r="E3140" i="113"/>
  <c r="E3145" i="113"/>
  <c r="E3151" i="113"/>
  <c r="E3156" i="113"/>
  <c r="E3161" i="113"/>
  <c r="E3167" i="113"/>
  <c r="E3172" i="113"/>
  <c r="E3177" i="113"/>
  <c r="E3181" i="113"/>
  <c r="E3185" i="113"/>
  <c r="E3189" i="113"/>
  <c r="E3193" i="113"/>
  <c r="E3197" i="113"/>
  <c r="E3201" i="113"/>
  <c r="E3205" i="113"/>
  <c r="E3209" i="113"/>
  <c r="E3213" i="113"/>
  <c r="E3217" i="113"/>
  <c r="E3221" i="113"/>
  <c r="E3225" i="113"/>
  <c r="E3229" i="113"/>
  <c r="E3233" i="113"/>
  <c r="E3237" i="113"/>
  <c r="E3241" i="113"/>
  <c r="E3245" i="113"/>
  <c r="E3249" i="113"/>
  <c r="E3253" i="113"/>
  <c r="E3257" i="113"/>
  <c r="E3261" i="113"/>
  <c r="E3265" i="113"/>
  <c r="E3269" i="113"/>
  <c r="E3273" i="113"/>
  <c r="E3277" i="113"/>
  <c r="E3281" i="113"/>
  <c r="E3285" i="113"/>
  <c r="E3289" i="113"/>
  <c r="E3293" i="113"/>
  <c r="E3297" i="113"/>
  <c r="E3301" i="113"/>
  <c r="E3305" i="113"/>
  <c r="E3309" i="113"/>
  <c r="E3313" i="113"/>
  <c r="E3317" i="113"/>
  <c r="E3321" i="113"/>
  <c r="E3325" i="113"/>
  <c r="E3329" i="113"/>
  <c r="E3333" i="113"/>
  <c r="E3337" i="113"/>
  <c r="E3341" i="113"/>
  <c r="E3345" i="113"/>
  <c r="E3349" i="113"/>
  <c r="E3353" i="113"/>
  <c r="E3357" i="113"/>
  <c r="E677" i="113"/>
  <c r="E1189" i="113"/>
  <c r="E1464" i="113"/>
  <c r="E1635" i="113"/>
  <c r="E1699" i="113"/>
  <c r="E1763" i="113"/>
  <c r="E1827" i="113"/>
  <c r="E1891" i="113"/>
  <c r="E1955" i="113"/>
  <c r="E2019" i="113"/>
  <c r="E2083" i="113"/>
  <c r="E2147" i="113"/>
  <c r="E2211" i="113"/>
  <c r="E2275" i="113"/>
  <c r="E2334" i="113"/>
  <c r="E2375" i="113"/>
  <c r="E2407" i="113"/>
  <c r="E2439" i="113"/>
  <c r="E2471" i="113"/>
  <c r="E2503" i="113"/>
  <c r="E2535" i="113"/>
  <c r="E2567" i="113"/>
  <c r="E2584" i="113"/>
  <c r="E2600" i="113"/>
  <c r="E2616" i="113"/>
  <c r="E2632" i="113"/>
  <c r="E2648" i="113"/>
  <c r="E2664" i="113"/>
  <c r="E2680" i="113"/>
  <c r="E2696" i="113"/>
  <c r="E2712" i="113"/>
  <c r="E2728" i="113"/>
  <c r="E2744" i="113"/>
  <c r="E2760" i="113"/>
  <c r="E2776" i="113"/>
  <c r="E2792" i="113"/>
  <c r="E2808" i="113"/>
  <c r="E2824" i="113"/>
  <c r="E2840" i="113"/>
  <c r="E2856" i="113"/>
  <c r="E2872" i="113"/>
  <c r="E2888" i="113"/>
  <c r="E2904" i="113"/>
  <c r="E2920" i="113"/>
  <c r="E2936" i="113"/>
  <c r="E2952" i="113"/>
  <c r="E2968" i="113"/>
  <c r="E2984" i="113"/>
  <c r="E3000" i="113"/>
  <c r="E3016" i="113"/>
  <c r="E3032" i="113"/>
  <c r="E3048" i="113"/>
  <c r="E3064" i="113"/>
  <c r="E3077" i="113"/>
  <c r="E3088" i="113"/>
  <c r="E3099" i="113"/>
  <c r="E3109" i="113"/>
  <c r="E3120" i="113"/>
  <c r="E3131" i="113"/>
  <c r="E3141" i="113"/>
  <c r="E3152" i="113"/>
  <c r="E3163" i="113"/>
  <c r="E3173" i="113"/>
  <c r="E3182" i="113"/>
  <c r="E3190" i="113"/>
  <c r="E3198" i="113"/>
  <c r="E3206" i="113"/>
  <c r="E3214" i="113"/>
  <c r="E3222" i="113"/>
  <c r="E3230" i="113"/>
  <c r="E3238" i="113"/>
  <c r="E3246" i="113"/>
  <c r="E3254" i="113"/>
  <c r="E3262" i="113"/>
  <c r="E3270" i="113"/>
  <c r="E3278" i="113"/>
  <c r="E3286" i="113"/>
  <c r="E3294" i="113"/>
  <c r="E3302" i="113"/>
  <c r="E3310" i="113"/>
  <c r="E3318" i="113"/>
  <c r="E3326" i="113"/>
  <c r="E3334" i="113"/>
  <c r="E3342" i="113"/>
  <c r="E3350" i="113"/>
  <c r="E3356" i="113"/>
  <c r="E3361" i="113"/>
  <c r="E3365" i="113"/>
  <c r="E3369" i="113"/>
  <c r="E3373" i="113"/>
  <c r="E3377" i="113"/>
  <c r="E3381" i="113"/>
  <c r="E3385" i="113"/>
  <c r="E3389" i="113"/>
  <c r="E3393" i="113"/>
  <c r="E3397" i="113"/>
  <c r="E3401" i="113"/>
  <c r="E3405" i="113"/>
  <c r="E3409" i="113"/>
  <c r="E3413" i="113"/>
  <c r="E3417" i="113"/>
  <c r="E3421" i="113"/>
  <c r="E3425" i="113"/>
  <c r="E3429" i="113"/>
  <c r="E3433" i="113"/>
  <c r="E3437" i="113"/>
  <c r="E805" i="113"/>
  <c r="E1272" i="113"/>
  <c r="E1528" i="113"/>
  <c r="E1651" i="113"/>
  <c r="E1715" i="113"/>
  <c r="E1779" i="113"/>
  <c r="E1843" i="113"/>
  <c r="E1907" i="113"/>
  <c r="E1971" i="113"/>
  <c r="E2035" i="113"/>
  <c r="E2099" i="113"/>
  <c r="E2163" i="113"/>
  <c r="E2227" i="113"/>
  <c r="E2291" i="113"/>
  <c r="E2344" i="113"/>
  <c r="E2383" i="113"/>
  <c r="E2415" i="113"/>
  <c r="E2447" i="113"/>
  <c r="E2479" i="113"/>
  <c r="E2511" i="113"/>
  <c r="E2543" i="113"/>
  <c r="E2572" i="113"/>
  <c r="E2588" i="113"/>
  <c r="E2604" i="113"/>
  <c r="E2620" i="113"/>
  <c r="E2636" i="113"/>
  <c r="E2652" i="113"/>
  <c r="E2668" i="113"/>
  <c r="E2684" i="113"/>
  <c r="E2700" i="113"/>
  <c r="E2716" i="113"/>
  <c r="E2732" i="113"/>
  <c r="E2748" i="113"/>
  <c r="E2764" i="113"/>
  <c r="E2780" i="113"/>
  <c r="E2796" i="113"/>
  <c r="E2812" i="113"/>
  <c r="E2828" i="113"/>
  <c r="E2844" i="113"/>
  <c r="E2860" i="113"/>
  <c r="E2876" i="113"/>
  <c r="E2892" i="113"/>
  <c r="E2908" i="113"/>
  <c r="E2924" i="113"/>
  <c r="E2940" i="113"/>
  <c r="E2956" i="113"/>
  <c r="E2972" i="113"/>
  <c r="E2988" i="113"/>
  <c r="E3004" i="113"/>
  <c r="E3020" i="113"/>
  <c r="E3036" i="113"/>
  <c r="E3052" i="113"/>
  <c r="E3068" i="113"/>
  <c r="E3080" i="113"/>
  <c r="E3091" i="113"/>
  <c r="E3101" i="113"/>
  <c r="E3112" i="113"/>
  <c r="E3123" i="113"/>
  <c r="E3133" i="113"/>
  <c r="E3144" i="113"/>
  <c r="E3155" i="113"/>
  <c r="E3165" i="113"/>
  <c r="E3176" i="113"/>
  <c r="E3184" i="113"/>
  <c r="E3192" i="113"/>
  <c r="E3200" i="113"/>
  <c r="E3208" i="113"/>
  <c r="E3216" i="113"/>
  <c r="E3224" i="113"/>
  <c r="E3232" i="113"/>
  <c r="E3240" i="113"/>
  <c r="E3248" i="113"/>
  <c r="E3256" i="113"/>
  <c r="E3264" i="113"/>
  <c r="E3272" i="113"/>
  <c r="E3280" i="113"/>
  <c r="E3288" i="113"/>
  <c r="E3296" i="113"/>
  <c r="E3304" i="113"/>
  <c r="E3312" i="113"/>
  <c r="E3320" i="113"/>
  <c r="E3328" i="113"/>
  <c r="E3336" i="113"/>
  <c r="E3344" i="113"/>
  <c r="E3352" i="113"/>
  <c r="E3358" i="113"/>
  <c r="E3362" i="113"/>
  <c r="E3366" i="113"/>
  <c r="E3370" i="113"/>
  <c r="E3374" i="113"/>
  <c r="E3378" i="113"/>
  <c r="E3382" i="113"/>
  <c r="E3386" i="113"/>
  <c r="E3390" i="113"/>
  <c r="E3394" i="113"/>
  <c r="E3398" i="113"/>
  <c r="E3402" i="113"/>
  <c r="E3406" i="113"/>
  <c r="E3410" i="113"/>
  <c r="E3414" i="113"/>
  <c r="E3418" i="113"/>
  <c r="E3422" i="113"/>
  <c r="E3426" i="113"/>
  <c r="E3430" i="113"/>
  <c r="E3434" i="113"/>
  <c r="E3438" i="113"/>
  <c r="E3442" i="113"/>
  <c r="E3446" i="113"/>
  <c r="E3450" i="113"/>
  <c r="E3454" i="113"/>
  <c r="E3458" i="113"/>
  <c r="E3462" i="113"/>
  <c r="E3466" i="113"/>
  <c r="E3470" i="113"/>
  <c r="E3474" i="113"/>
  <c r="E3478" i="113"/>
  <c r="E3482" i="113"/>
  <c r="E3486" i="113"/>
  <c r="E3490" i="113"/>
  <c r="E3494" i="113"/>
  <c r="E3498" i="113"/>
  <c r="E3502" i="113"/>
  <c r="E3506" i="113"/>
  <c r="E3510" i="113"/>
  <c r="E3514" i="113"/>
  <c r="E3518" i="113"/>
  <c r="E3522" i="113"/>
  <c r="E3526" i="113"/>
  <c r="E3530" i="113"/>
  <c r="E3534" i="113"/>
  <c r="E3538" i="113"/>
  <c r="E3542" i="113"/>
  <c r="E3546" i="113"/>
  <c r="E3550" i="113"/>
  <c r="E3554" i="113"/>
  <c r="E3558" i="113"/>
  <c r="E3562" i="113"/>
  <c r="E3566" i="113"/>
  <c r="E3570" i="113"/>
  <c r="E3574" i="113"/>
  <c r="E3578" i="113"/>
  <c r="E3582" i="113"/>
  <c r="E3586" i="113"/>
  <c r="E3590" i="113"/>
  <c r="E3594" i="113"/>
  <c r="E3598" i="113"/>
  <c r="E3602" i="113"/>
  <c r="E3606" i="113"/>
  <c r="E3610" i="113"/>
  <c r="E3614" i="113"/>
  <c r="E3618" i="113"/>
  <c r="E3622" i="113"/>
  <c r="E3626" i="113"/>
  <c r="E3630" i="113"/>
  <c r="E3634" i="113"/>
  <c r="E3638" i="113"/>
  <c r="E3642" i="113"/>
  <c r="E3646" i="113"/>
  <c r="E3650" i="113"/>
  <c r="E3654" i="113"/>
  <c r="E3658" i="113"/>
  <c r="E3662" i="113"/>
  <c r="E3666" i="113"/>
  <c r="E3670" i="113"/>
  <c r="E3674" i="113"/>
  <c r="E3678" i="113"/>
  <c r="E3682" i="113"/>
  <c r="E3686" i="113"/>
  <c r="E3690" i="113"/>
  <c r="E3694" i="113"/>
  <c r="E3698" i="113"/>
  <c r="E3702" i="113"/>
  <c r="E3706" i="113"/>
  <c r="E3710" i="113"/>
  <c r="E3714" i="113"/>
  <c r="E3718" i="113"/>
  <c r="E3722" i="113"/>
  <c r="E3726" i="113"/>
  <c r="E3730" i="113"/>
  <c r="E3734" i="113"/>
  <c r="E3738" i="113"/>
  <c r="E3742" i="113"/>
  <c r="E3746" i="113"/>
  <c r="E3750" i="113"/>
  <c r="E3754" i="113"/>
  <c r="E3758" i="113"/>
  <c r="E3762" i="113"/>
  <c r="E3766" i="113"/>
  <c r="E3770" i="113"/>
  <c r="E3774" i="113"/>
  <c r="E3778" i="113"/>
  <c r="E3782" i="113"/>
  <c r="E3786" i="113"/>
  <c r="E3790" i="113"/>
  <c r="E3794" i="113"/>
  <c r="E3798" i="113"/>
  <c r="E3802" i="113"/>
  <c r="E3806" i="113"/>
  <c r="E3810" i="113"/>
  <c r="E3814" i="113"/>
  <c r="E3818" i="113"/>
  <c r="E3822" i="113"/>
  <c r="E3826" i="113"/>
  <c r="E3830" i="113"/>
  <c r="E3834" i="113"/>
  <c r="E3838" i="113"/>
  <c r="E3842" i="113"/>
  <c r="E3846" i="113"/>
  <c r="E3850" i="113"/>
  <c r="E3854" i="113"/>
  <c r="E3858" i="113"/>
  <c r="E3862" i="113"/>
  <c r="E3866" i="113"/>
  <c r="E3870" i="113"/>
  <c r="E3874" i="113"/>
  <c r="E3878" i="113"/>
  <c r="E3882" i="113"/>
  <c r="E3886" i="113"/>
  <c r="E3890" i="113"/>
  <c r="E3894" i="113"/>
  <c r="E3898" i="113"/>
  <c r="E3902" i="113"/>
  <c r="E3906" i="113"/>
  <c r="E3910" i="113"/>
  <c r="E3914" i="113"/>
  <c r="E3918" i="113"/>
  <c r="E3922" i="113"/>
  <c r="E3926" i="113"/>
  <c r="E3930" i="113"/>
  <c r="E3934" i="113"/>
  <c r="E3938" i="113"/>
  <c r="E3942" i="113"/>
  <c r="E3946" i="113"/>
  <c r="E3950" i="113"/>
  <c r="E3954" i="113"/>
  <c r="E3958" i="113"/>
  <c r="E3962" i="113"/>
  <c r="E3966" i="113"/>
  <c r="E3970" i="113"/>
  <c r="E3974" i="113"/>
  <c r="E3978" i="113"/>
  <c r="E3982" i="113"/>
  <c r="E3986" i="113"/>
  <c r="E3990" i="113"/>
  <c r="E3994" i="113"/>
  <c r="E3998" i="113"/>
  <c r="E4002" i="113"/>
  <c r="E4006" i="113"/>
  <c r="E4010" i="113"/>
  <c r="E4014" i="113"/>
  <c r="E4018" i="113"/>
  <c r="E4022" i="113"/>
  <c r="E4026" i="113"/>
  <c r="E4030" i="113"/>
  <c r="E4034" i="113"/>
  <c r="E4038" i="113"/>
  <c r="E4042" i="113"/>
  <c r="E4046" i="113"/>
  <c r="E4050" i="113"/>
  <c r="E4054" i="113"/>
  <c r="E4058" i="113"/>
  <c r="E4062" i="113"/>
  <c r="E4066" i="113"/>
  <c r="E4070" i="113"/>
  <c r="E4074" i="113"/>
  <c r="E4078" i="113"/>
  <c r="E4082" i="113"/>
  <c r="E4086" i="113"/>
  <c r="E4090" i="113"/>
  <c r="E4094" i="113"/>
  <c r="E4098" i="113"/>
  <c r="E4102" i="113"/>
  <c r="E4106" i="113"/>
  <c r="E4110" i="113"/>
  <c r="E4114" i="113"/>
  <c r="E4118" i="113"/>
  <c r="E4122" i="113"/>
  <c r="E4126" i="113"/>
  <c r="E4130" i="113"/>
  <c r="E4134" i="113"/>
  <c r="E4138" i="113"/>
  <c r="E4142" i="113"/>
  <c r="E4146" i="113"/>
  <c r="E4150" i="113"/>
  <c r="E4154" i="113"/>
  <c r="E4158" i="113"/>
  <c r="E4162" i="113"/>
  <c r="E4166" i="113"/>
  <c r="E4170" i="113"/>
  <c r="E4174" i="113"/>
  <c r="E4178" i="113"/>
  <c r="E4182" i="113"/>
  <c r="E4186" i="113"/>
  <c r="E4190" i="113"/>
  <c r="E4194" i="113"/>
  <c r="E4198" i="113"/>
  <c r="E4202" i="113"/>
  <c r="E4206" i="113"/>
  <c r="E4210" i="113"/>
  <c r="E4214" i="113"/>
  <c r="E4218" i="113"/>
  <c r="E4222" i="113"/>
  <c r="E4226" i="113"/>
  <c r="E4230" i="113"/>
  <c r="E4234" i="113"/>
  <c r="E4238" i="113"/>
  <c r="E4242" i="113"/>
  <c r="E4246" i="113"/>
  <c r="E4250" i="113"/>
  <c r="E4254" i="113"/>
  <c r="E4258" i="113"/>
  <c r="E933" i="113"/>
  <c r="E1336" i="113"/>
  <c r="E1592" i="113"/>
  <c r="E1667" i="113"/>
  <c r="E1731" i="113"/>
  <c r="E1795" i="113"/>
  <c r="E1859" i="113"/>
  <c r="E1923" i="113"/>
  <c r="E1987" i="113"/>
  <c r="E2051" i="113"/>
  <c r="E2115" i="113"/>
  <c r="E2179" i="113"/>
  <c r="E2243" i="113"/>
  <c r="E2307" i="113"/>
  <c r="E2355" i="113"/>
  <c r="E2391" i="113"/>
  <c r="E2423" i="113"/>
  <c r="E2455" i="113"/>
  <c r="E2487" i="113"/>
  <c r="E2519" i="113"/>
  <c r="E2551" i="113"/>
  <c r="E2576" i="113"/>
  <c r="E2592" i="113"/>
  <c r="E2608" i="113"/>
  <c r="E2624" i="113"/>
  <c r="E2640" i="113"/>
  <c r="E2656" i="113"/>
  <c r="E2672" i="113"/>
  <c r="E2688" i="113"/>
  <c r="E2704" i="113"/>
  <c r="E2720" i="113"/>
  <c r="E2736" i="113"/>
  <c r="E2752" i="113"/>
  <c r="E2768" i="113"/>
  <c r="E2784" i="113"/>
  <c r="E2800" i="113"/>
  <c r="E2816" i="113"/>
  <c r="E2832" i="113"/>
  <c r="E2848" i="113"/>
  <c r="E2864" i="113"/>
  <c r="E2880" i="113"/>
  <c r="E2896" i="113"/>
  <c r="E2912" i="113"/>
  <c r="E2928" i="113"/>
  <c r="E2944" i="113"/>
  <c r="E2960" i="113"/>
  <c r="E2976" i="113"/>
  <c r="E2992" i="113"/>
  <c r="E3008" i="113"/>
  <c r="E3024" i="113"/>
  <c r="E3040" i="113"/>
  <c r="E3056" i="113"/>
  <c r="E3072" i="113"/>
  <c r="E3083" i="113"/>
  <c r="E3093" i="113"/>
  <c r="E3104" i="113"/>
  <c r="E3115" i="113"/>
  <c r="E3125" i="113"/>
  <c r="E3136" i="113"/>
  <c r="E3147" i="113"/>
  <c r="E3157" i="113"/>
  <c r="E3168" i="113"/>
  <c r="E3178" i="113"/>
  <c r="E3186" i="113"/>
  <c r="E3194" i="113"/>
  <c r="E3202" i="113"/>
  <c r="E3210" i="113"/>
  <c r="E3218" i="113"/>
  <c r="E3226" i="113"/>
  <c r="E3234" i="113"/>
  <c r="E3242" i="113"/>
  <c r="E3250" i="113"/>
  <c r="E3258" i="113"/>
  <c r="E3266" i="113"/>
  <c r="E3274" i="113"/>
  <c r="E3282" i="113"/>
  <c r="E3290" i="113"/>
  <c r="E3298" i="113"/>
  <c r="E3306" i="113"/>
  <c r="E3314" i="113"/>
  <c r="E3322" i="113"/>
  <c r="E3330" i="113"/>
  <c r="E3338" i="113"/>
  <c r="E3346" i="113"/>
  <c r="E3354" i="113"/>
  <c r="E3359" i="113"/>
  <c r="E3363" i="113"/>
  <c r="E3367" i="113"/>
  <c r="E3371" i="113"/>
  <c r="E3375" i="113"/>
  <c r="E3379" i="113"/>
  <c r="E3383" i="113"/>
  <c r="E3387" i="113"/>
  <c r="E3391" i="113"/>
  <c r="E3395" i="113"/>
  <c r="E3399" i="113"/>
  <c r="E3403" i="113"/>
  <c r="E3407" i="113"/>
  <c r="E3411" i="113"/>
  <c r="E3415" i="113"/>
  <c r="E3419" i="113"/>
  <c r="E3423" i="113"/>
  <c r="E3427" i="113"/>
  <c r="E3431" i="113"/>
  <c r="E3435" i="113"/>
  <c r="E3439" i="113"/>
  <c r="E3443" i="113"/>
  <c r="E3447" i="113"/>
  <c r="E3451" i="113"/>
  <c r="E3455" i="113"/>
  <c r="E3459" i="113"/>
  <c r="E3463" i="113"/>
  <c r="E3467" i="113"/>
  <c r="E3471" i="113"/>
  <c r="E3475" i="113"/>
  <c r="E3479" i="113"/>
  <c r="E3483" i="113"/>
  <c r="E3487" i="113"/>
  <c r="E3491" i="113"/>
  <c r="E3495" i="113"/>
  <c r="E3499" i="113"/>
  <c r="E3503" i="113"/>
  <c r="E3507" i="113"/>
  <c r="E3511" i="113"/>
  <c r="E3515" i="113"/>
  <c r="E3519" i="113"/>
  <c r="E3523" i="113"/>
  <c r="E3527" i="113"/>
  <c r="E3531" i="113"/>
  <c r="E3535" i="113"/>
  <c r="E3539" i="113"/>
  <c r="E3543" i="113"/>
  <c r="E3547" i="113"/>
  <c r="E3551" i="113"/>
  <c r="E3555" i="113"/>
  <c r="E3559" i="113"/>
  <c r="E3563" i="113"/>
  <c r="E3567" i="113"/>
  <c r="E3571" i="113"/>
  <c r="E3575" i="113"/>
  <c r="E3579" i="113"/>
  <c r="E3583" i="113"/>
  <c r="E3587" i="113"/>
  <c r="E3591" i="113"/>
  <c r="E3595" i="113"/>
  <c r="E3599" i="113"/>
  <c r="E3603" i="113"/>
  <c r="E3607" i="113"/>
  <c r="E3611" i="113"/>
  <c r="E3615" i="113"/>
  <c r="E3619" i="113"/>
  <c r="E3623" i="113"/>
  <c r="E3627" i="113"/>
  <c r="E3631" i="113"/>
  <c r="E3635" i="113"/>
  <c r="E3639" i="113"/>
  <c r="E3643" i="113"/>
  <c r="E3647" i="113"/>
  <c r="E3651" i="113"/>
  <c r="E3655" i="113"/>
  <c r="E3659" i="113"/>
  <c r="E3663" i="113"/>
  <c r="E3667" i="113"/>
  <c r="E3671" i="113"/>
  <c r="E3675" i="113"/>
  <c r="E3679" i="113"/>
  <c r="E3683" i="113"/>
  <c r="E3687" i="113"/>
  <c r="E3691" i="113"/>
  <c r="E3695" i="113"/>
  <c r="E3699" i="113"/>
  <c r="E3703" i="113"/>
  <c r="E3707" i="113"/>
  <c r="E3711" i="113"/>
  <c r="E3715" i="113"/>
  <c r="E3719" i="113"/>
  <c r="E3723" i="113"/>
  <c r="E3727" i="113"/>
  <c r="E3731" i="113"/>
  <c r="E3735" i="113"/>
  <c r="E3739" i="113"/>
  <c r="E3743" i="113"/>
  <c r="E3747" i="113"/>
  <c r="E3751" i="113"/>
  <c r="E3755" i="113"/>
  <c r="E3759" i="113"/>
  <c r="E3763" i="113"/>
  <c r="E3767" i="113"/>
  <c r="E3771" i="113"/>
  <c r="E3775" i="113"/>
  <c r="E3779" i="113"/>
  <c r="E3783" i="113"/>
  <c r="E3787" i="113"/>
  <c r="E3791" i="113"/>
  <c r="E3795" i="113"/>
  <c r="E3799" i="113"/>
  <c r="E3803" i="113"/>
  <c r="E3807" i="113"/>
  <c r="E3811" i="113"/>
  <c r="E3815" i="113"/>
  <c r="E3819" i="113"/>
  <c r="E3823" i="113"/>
  <c r="E3827" i="113"/>
  <c r="E3831" i="113"/>
  <c r="E3835" i="113"/>
  <c r="E3839" i="113"/>
  <c r="E3843" i="113"/>
  <c r="E3847" i="113"/>
  <c r="E3851" i="113"/>
  <c r="E3855" i="113"/>
  <c r="E3859" i="113"/>
  <c r="E3863" i="113"/>
  <c r="E3867" i="113"/>
  <c r="E3871" i="113"/>
  <c r="E3875" i="113"/>
  <c r="E3879" i="113"/>
  <c r="E3883" i="113"/>
  <c r="E3887" i="113"/>
  <c r="E3891" i="113"/>
  <c r="E3895" i="113"/>
  <c r="E3899" i="113"/>
  <c r="E3903" i="113"/>
  <c r="E3907" i="113"/>
  <c r="E3911" i="113"/>
  <c r="E3915" i="113"/>
  <c r="E3919" i="113"/>
  <c r="E3923" i="113"/>
  <c r="E3927" i="113"/>
  <c r="E3931" i="113"/>
  <c r="E3935" i="113"/>
  <c r="E3939" i="113"/>
  <c r="E3943" i="113"/>
  <c r="E3947" i="113"/>
  <c r="E3951" i="113"/>
  <c r="E3955" i="113"/>
  <c r="E3959" i="113"/>
  <c r="E3963" i="113"/>
  <c r="E3967" i="113"/>
  <c r="E3971" i="113"/>
  <c r="E3975" i="113"/>
  <c r="E3979" i="113"/>
  <c r="E3983" i="113"/>
  <c r="E3987" i="113"/>
  <c r="E3991" i="113"/>
  <c r="E3995" i="113"/>
  <c r="E3999" i="113"/>
  <c r="E4003" i="113"/>
  <c r="E4007" i="113"/>
  <c r="E4011" i="113"/>
  <c r="E4015" i="113"/>
  <c r="E4019" i="113"/>
  <c r="E4023" i="113"/>
  <c r="E4027" i="113"/>
  <c r="E4031" i="113"/>
  <c r="E4035" i="113"/>
  <c r="E4039" i="113"/>
  <c r="E4043" i="113"/>
  <c r="E4047" i="113"/>
  <c r="E4051" i="113"/>
  <c r="E4055" i="113"/>
  <c r="E4059" i="113"/>
  <c r="E4063" i="113"/>
  <c r="E4067" i="113"/>
  <c r="E4071" i="113"/>
  <c r="E4075" i="113"/>
  <c r="E4079" i="113"/>
  <c r="E4083" i="113"/>
  <c r="E4087" i="113"/>
  <c r="E4091" i="113"/>
  <c r="E4095" i="113"/>
  <c r="E4099" i="113"/>
  <c r="E4103" i="113"/>
  <c r="E4107" i="113"/>
  <c r="E4111" i="113"/>
  <c r="E4115" i="113"/>
  <c r="E4119" i="113"/>
  <c r="E4123" i="113"/>
  <c r="E4127" i="113"/>
  <c r="E4131" i="113"/>
  <c r="E4135" i="113"/>
  <c r="E4139" i="113"/>
  <c r="E4143" i="113"/>
  <c r="E4147" i="113"/>
  <c r="E4151" i="113"/>
  <c r="E4155" i="113"/>
  <c r="E4159" i="113"/>
  <c r="E4163" i="113"/>
  <c r="E4167" i="113"/>
  <c r="E4171" i="113"/>
  <c r="E4175" i="113"/>
  <c r="E4179" i="113"/>
  <c r="E4183" i="113"/>
  <c r="E4187" i="113"/>
  <c r="E4191" i="113"/>
  <c r="E4195" i="113"/>
  <c r="E4199" i="113"/>
  <c r="E4203" i="113"/>
  <c r="E4207" i="113"/>
  <c r="E4211" i="113"/>
  <c r="E4215" i="113"/>
  <c r="E4219" i="113"/>
  <c r="E4223" i="113"/>
  <c r="E4227" i="113"/>
  <c r="E4231" i="113"/>
  <c r="E4235" i="113"/>
  <c r="E4239" i="113"/>
  <c r="E4243" i="113"/>
  <c r="E4247" i="113"/>
  <c r="E4251" i="113"/>
  <c r="E4255" i="113"/>
  <c r="E4259" i="113"/>
  <c r="E4263" i="113"/>
  <c r="E4267" i="113"/>
  <c r="E4271" i="113"/>
  <c r="E4275" i="113"/>
  <c r="E4279" i="113"/>
  <c r="E4283" i="113"/>
  <c r="E4287" i="113"/>
  <c r="E4291" i="113"/>
  <c r="E4295" i="113"/>
  <c r="E4299" i="113"/>
  <c r="E4303" i="113"/>
  <c r="E4307" i="113"/>
  <c r="E4311" i="113"/>
  <c r="E4315" i="113"/>
  <c r="E4319" i="113"/>
  <c r="E4323" i="113"/>
  <c r="E4327" i="113"/>
  <c r="E4331" i="113"/>
  <c r="E4335" i="113"/>
  <c r="E4339" i="113"/>
  <c r="E4343" i="113"/>
  <c r="E4347" i="113"/>
  <c r="E4351" i="113"/>
  <c r="E4355" i="113"/>
  <c r="E4359" i="113"/>
  <c r="E4363" i="113"/>
  <c r="E4367" i="113"/>
  <c r="E4371" i="113"/>
  <c r="E4375" i="113"/>
  <c r="E4379" i="113"/>
  <c r="E1061" i="113"/>
  <c r="E1747" i="113"/>
  <c r="E2003" i="113"/>
  <c r="E2259" i="113"/>
  <c r="E2431" i="113"/>
  <c r="E2559" i="113"/>
  <c r="E2628" i="113"/>
  <c r="E2692" i="113"/>
  <c r="E2756" i="113"/>
  <c r="E2820" i="113"/>
  <c r="E2884" i="113"/>
  <c r="E2948" i="113"/>
  <c r="E3012" i="113"/>
  <c r="E3075" i="113"/>
  <c r="E3117" i="113"/>
  <c r="E3160" i="113"/>
  <c r="E3196" i="113"/>
  <c r="E3228" i="113"/>
  <c r="E3260" i="113"/>
  <c r="E3292" i="113"/>
  <c r="E3324" i="113"/>
  <c r="E3355" i="113"/>
  <c r="E3372" i="113"/>
  <c r="E3388" i="113"/>
  <c r="E3404" i="113"/>
  <c r="E3420" i="113"/>
  <c r="E3436" i="113"/>
  <c r="E3445" i="113"/>
  <c r="E3453" i="113"/>
  <c r="E3461" i="113"/>
  <c r="E3469" i="113"/>
  <c r="E3477" i="113"/>
  <c r="E3485" i="113"/>
  <c r="E3493" i="113"/>
  <c r="E3501" i="113"/>
  <c r="E3509" i="113"/>
  <c r="E3517" i="113"/>
  <c r="E3525" i="113"/>
  <c r="E3533" i="113"/>
  <c r="E3541" i="113"/>
  <c r="E3549" i="113"/>
  <c r="E3557" i="113"/>
  <c r="E3565" i="113"/>
  <c r="E3573" i="113"/>
  <c r="E3581" i="113"/>
  <c r="E3589" i="113"/>
  <c r="E3597" i="113"/>
  <c r="E3605" i="113"/>
  <c r="E3613" i="113"/>
  <c r="E3621" i="113"/>
  <c r="E3629" i="113"/>
  <c r="E3637" i="113"/>
  <c r="E3645" i="113"/>
  <c r="E3653" i="113"/>
  <c r="E3661" i="113"/>
  <c r="E3669" i="113"/>
  <c r="E3677" i="113"/>
  <c r="E3685" i="113"/>
  <c r="E3693" i="113"/>
  <c r="E3701" i="113"/>
  <c r="E3709" i="113"/>
  <c r="E3717" i="113"/>
  <c r="E3725" i="113"/>
  <c r="E3733" i="113"/>
  <c r="E3741" i="113"/>
  <c r="E3749" i="113"/>
  <c r="E3757" i="113"/>
  <c r="E3765" i="113"/>
  <c r="E3773" i="113"/>
  <c r="E3781" i="113"/>
  <c r="E3789" i="113"/>
  <c r="E3797" i="113"/>
  <c r="E3805" i="113"/>
  <c r="E3813" i="113"/>
  <c r="E3821" i="113"/>
  <c r="E3829" i="113"/>
  <c r="E3837" i="113"/>
  <c r="E3845" i="113"/>
  <c r="E3853" i="113"/>
  <c r="E3861" i="113"/>
  <c r="E3869" i="113"/>
  <c r="E3877" i="113"/>
  <c r="E3885" i="113"/>
  <c r="E3893" i="113"/>
  <c r="E3901" i="113"/>
  <c r="E3909" i="113"/>
  <c r="E3917" i="113"/>
  <c r="E3925" i="113"/>
  <c r="E3933" i="113"/>
  <c r="E3941" i="113"/>
  <c r="E3949" i="113"/>
  <c r="E3957" i="113"/>
  <c r="E3965" i="113"/>
  <c r="E3973" i="113"/>
  <c r="E3981" i="113"/>
  <c r="E3989" i="113"/>
  <c r="E3997" i="113"/>
  <c r="E4005" i="113"/>
  <c r="E4013" i="113"/>
  <c r="E4021" i="113"/>
  <c r="E4029" i="113"/>
  <c r="E4037" i="113"/>
  <c r="E4045" i="113"/>
  <c r="E4053" i="113"/>
  <c r="E4061" i="113"/>
  <c r="E4069" i="113"/>
  <c r="E4077" i="113"/>
  <c r="E4085" i="113"/>
  <c r="E4093" i="113"/>
  <c r="E4101" i="113"/>
  <c r="E4109" i="113"/>
  <c r="E4117" i="113"/>
  <c r="E4125" i="113"/>
  <c r="E4133" i="113"/>
  <c r="E4141" i="113"/>
  <c r="E4149" i="113"/>
  <c r="E4157" i="113"/>
  <c r="E4165" i="113"/>
  <c r="E4173" i="113"/>
  <c r="E4181" i="113"/>
  <c r="E4189" i="113"/>
  <c r="E4197" i="113"/>
  <c r="E4205" i="113"/>
  <c r="E4213" i="113"/>
  <c r="E4221" i="113"/>
  <c r="E4229" i="113"/>
  <c r="E4237" i="113"/>
  <c r="E4245" i="113"/>
  <c r="E4253" i="113"/>
  <c r="E4261" i="113"/>
  <c r="E4266" i="113"/>
  <c r="E4272" i="113"/>
  <c r="E4277" i="113"/>
  <c r="E4282" i="113"/>
  <c r="E4288" i="113"/>
  <c r="E4293" i="113"/>
  <c r="E4298" i="113"/>
  <c r="E4304" i="113"/>
  <c r="E4309" i="113"/>
  <c r="E4314" i="113"/>
  <c r="E4320" i="113"/>
  <c r="E4325" i="113"/>
  <c r="E4330" i="113"/>
  <c r="E4336" i="113"/>
  <c r="E4341" i="113"/>
  <c r="E4346" i="113"/>
  <c r="E4352" i="113"/>
  <c r="E4357" i="113"/>
  <c r="E4362" i="113"/>
  <c r="E4368" i="113"/>
  <c r="E4373" i="113"/>
  <c r="E4378" i="113"/>
  <c r="E4383" i="113"/>
  <c r="E4387" i="113"/>
  <c r="E4391" i="113"/>
  <c r="E4395" i="113"/>
  <c r="E4399" i="113"/>
  <c r="E4403" i="113"/>
  <c r="E4407" i="113"/>
  <c r="E4411" i="113"/>
  <c r="E4415" i="113"/>
  <c r="E4419" i="113"/>
  <c r="E4423" i="113"/>
  <c r="E4427" i="113"/>
  <c r="E4431" i="113"/>
  <c r="E4435" i="113"/>
  <c r="E4439" i="113"/>
  <c r="E4443" i="113"/>
  <c r="E4447" i="113"/>
  <c r="E4451" i="113"/>
  <c r="E4455" i="113"/>
  <c r="E4459" i="113"/>
  <c r="E4463" i="113"/>
  <c r="E4467" i="113"/>
  <c r="E4471" i="113"/>
  <c r="E4475" i="113"/>
  <c r="E4479" i="113"/>
  <c r="E4483" i="113"/>
  <c r="E4487" i="113"/>
  <c r="E4491" i="113"/>
  <c r="E4495" i="113"/>
  <c r="E4499" i="113"/>
  <c r="E4503" i="113"/>
  <c r="E4507" i="113"/>
  <c r="E4511" i="113"/>
  <c r="E4515" i="113"/>
  <c r="E4519" i="113"/>
  <c r="E4523" i="113"/>
  <c r="E4527" i="113"/>
  <c r="E4531" i="113"/>
  <c r="E4535" i="113"/>
  <c r="E4539" i="113"/>
  <c r="E4543" i="113"/>
  <c r="E4547" i="113"/>
  <c r="E4551" i="113"/>
  <c r="E4555" i="113"/>
  <c r="E4559" i="113"/>
  <c r="E4563" i="113"/>
  <c r="E4567" i="113"/>
  <c r="E1400" i="113"/>
  <c r="E1811" i="113"/>
  <c r="E2067" i="113"/>
  <c r="E2323" i="113"/>
  <c r="E2463" i="113"/>
  <c r="E2580" i="113"/>
  <c r="E2644" i="113"/>
  <c r="E2708" i="113"/>
  <c r="E2772" i="113"/>
  <c r="E2836" i="113"/>
  <c r="E2900" i="113"/>
  <c r="E2964" i="113"/>
  <c r="E3028" i="113"/>
  <c r="E3085" i="113"/>
  <c r="E3128" i="113"/>
  <c r="E3171" i="113"/>
  <c r="E3204" i="113"/>
  <c r="E3236" i="113"/>
  <c r="E3268" i="113"/>
  <c r="E3300" i="113"/>
  <c r="E3332" i="113"/>
  <c r="E3360" i="113"/>
  <c r="E3376" i="113"/>
  <c r="E3392" i="113"/>
  <c r="E3408" i="113"/>
  <c r="E3424" i="113"/>
  <c r="E3440" i="113"/>
  <c r="E3448" i="113"/>
  <c r="E3456" i="113"/>
  <c r="E3464" i="113"/>
  <c r="E3472" i="113"/>
  <c r="E3480" i="113"/>
  <c r="E3488" i="113"/>
  <c r="E3496" i="113"/>
  <c r="E3504" i="113"/>
  <c r="E3512" i="113"/>
  <c r="E3520" i="113"/>
  <c r="E3528" i="113"/>
  <c r="E3536" i="113"/>
  <c r="E3544" i="113"/>
  <c r="E3552" i="113"/>
  <c r="E3560" i="113"/>
  <c r="E3568" i="113"/>
  <c r="E3576" i="113"/>
  <c r="E3584" i="113"/>
  <c r="E3592" i="113"/>
  <c r="E3600" i="113"/>
  <c r="E3608" i="113"/>
  <c r="E3616" i="113"/>
  <c r="E3624" i="113"/>
  <c r="E3632" i="113"/>
  <c r="E3640" i="113"/>
  <c r="E3648" i="113"/>
  <c r="E3656" i="113"/>
  <c r="E3664" i="113"/>
  <c r="E3672" i="113"/>
  <c r="E3680" i="113"/>
  <c r="E3688" i="113"/>
  <c r="E3696" i="113"/>
  <c r="E3704" i="113"/>
  <c r="E3712" i="113"/>
  <c r="E3720" i="113"/>
  <c r="E3728" i="113"/>
  <c r="E3736" i="113"/>
  <c r="E3744" i="113"/>
  <c r="E3752" i="113"/>
  <c r="E3760" i="113"/>
  <c r="E3768" i="113"/>
  <c r="E3776" i="113"/>
  <c r="E3784" i="113"/>
  <c r="E3792" i="113"/>
  <c r="E3800" i="113"/>
  <c r="E3808" i="113"/>
  <c r="E3816" i="113"/>
  <c r="E3824" i="113"/>
  <c r="E3832" i="113"/>
  <c r="E3840" i="113"/>
  <c r="E3848" i="113"/>
  <c r="E3856" i="113"/>
  <c r="E3864" i="113"/>
  <c r="E3872" i="113"/>
  <c r="E3880" i="113"/>
  <c r="E3888" i="113"/>
  <c r="E3896" i="113"/>
  <c r="E3904" i="113"/>
  <c r="E3912" i="113"/>
  <c r="E3920" i="113"/>
  <c r="E3928" i="113"/>
  <c r="E3936" i="113"/>
  <c r="E3944" i="113"/>
  <c r="E3952" i="113"/>
  <c r="E3960" i="113"/>
  <c r="E3968" i="113"/>
  <c r="E3976" i="113"/>
  <c r="E3984" i="113"/>
  <c r="E3992" i="113"/>
  <c r="E4000" i="113"/>
  <c r="E4008" i="113"/>
  <c r="E4016" i="113"/>
  <c r="E4024" i="113"/>
  <c r="E4032" i="113"/>
  <c r="E4040" i="113"/>
  <c r="E4048" i="113"/>
  <c r="E4056" i="113"/>
  <c r="E4064" i="113"/>
  <c r="E4072" i="113"/>
  <c r="E4080" i="113"/>
  <c r="E4088" i="113"/>
  <c r="E4096" i="113"/>
  <c r="E4104" i="113"/>
  <c r="E4112" i="113"/>
  <c r="E4120" i="113"/>
  <c r="E4128" i="113"/>
  <c r="E4136" i="113"/>
  <c r="E4144" i="113"/>
  <c r="E4152" i="113"/>
  <c r="E4160" i="113"/>
  <c r="E4168" i="113"/>
  <c r="E4176" i="113"/>
  <c r="E4184" i="113"/>
  <c r="E4192" i="113"/>
  <c r="E4200" i="113"/>
  <c r="E4208" i="113"/>
  <c r="E4216" i="113"/>
  <c r="E4224" i="113"/>
  <c r="E4232" i="113"/>
  <c r="E4240" i="113"/>
  <c r="E4248" i="113"/>
  <c r="E4256" i="113"/>
  <c r="E4262" i="113"/>
  <c r="E4268" i="113"/>
  <c r="E4273" i="113"/>
  <c r="E4278" i="113"/>
  <c r="E4284" i="113"/>
  <c r="E4289" i="113"/>
  <c r="E4294" i="113"/>
  <c r="E4300" i="113"/>
  <c r="E4305" i="113"/>
  <c r="E4310" i="113"/>
  <c r="E4316" i="113"/>
  <c r="E4321" i="113"/>
  <c r="E4326" i="113"/>
  <c r="E4332" i="113"/>
  <c r="E4337" i="113"/>
  <c r="E4342" i="113"/>
  <c r="E4348" i="113"/>
  <c r="E4353" i="113"/>
  <c r="E4358" i="113"/>
  <c r="E4364" i="113"/>
  <c r="E4369" i="113"/>
  <c r="E4374" i="113"/>
  <c r="E4380" i="113"/>
  <c r="E4384" i="113"/>
  <c r="E4388" i="113"/>
  <c r="E4392" i="113"/>
  <c r="E4396" i="113"/>
  <c r="E4400" i="113"/>
  <c r="E4404" i="113"/>
  <c r="E4408" i="113"/>
  <c r="E4412" i="113"/>
  <c r="E4416" i="113"/>
  <c r="E4420" i="113"/>
  <c r="E4424" i="113"/>
  <c r="E4428" i="113"/>
  <c r="E4432" i="113"/>
  <c r="E4436" i="113"/>
  <c r="E4440" i="113"/>
  <c r="E4444" i="113"/>
  <c r="E4448" i="113"/>
  <c r="E4452" i="113"/>
  <c r="E4456" i="113"/>
  <c r="E4460" i="113"/>
  <c r="E4464" i="113"/>
  <c r="E4468" i="113"/>
  <c r="E4472" i="113"/>
  <c r="E4476" i="113"/>
  <c r="E4480" i="113"/>
  <c r="E4484" i="113"/>
  <c r="E4488" i="113"/>
  <c r="E4492" i="113"/>
  <c r="E4496" i="113"/>
  <c r="E4500" i="113"/>
  <c r="E4504" i="113"/>
  <c r="E4508" i="113"/>
  <c r="E4512" i="113"/>
  <c r="E4516" i="113"/>
  <c r="E4520" i="113"/>
  <c r="E4524" i="113"/>
  <c r="E4528" i="113"/>
  <c r="E4532" i="113"/>
  <c r="E4536" i="113"/>
  <c r="E4540" i="113"/>
  <c r="E4544" i="113"/>
  <c r="E4548" i="113"/>
  <c r="E4552" i="113"/>
  <c r="E4556" i="113"/>
  <c r="E4560" i="113"/>
  <c r="E4564" i="113"/>
  <c r="E4568" i="113"/>
  <c r="E4572" i="113"/>
  <c r="E4576" i="113"/>
  <c r="E4580" i="113"/>
  <c r="E4584" i="113"/>
  <c r="E4588" i="113"/>
  <c r="E4592" i="113"/>
  <c r="E4596" i="113"/>
  <c r="E4600" i="113"/>
  <c r="E4604" i="113"/>
  <c r="E4608" i="113"/>
  <c r="E4612" i="113"/>
  <c r="E4616" i="113"/>
  <c r="E4620" i="113"/>
  <c r="E4624" i="113"/>
  <c r="E4628" i="113"/>
  <c r="E4632" i="113"/>
  <c r="E4636" i="113"/>
  <c r="E4640" i="113"/>
  <c r="E4644" i="113"/>
  <c r="E4648" i="113"/>
  <c r="E4652" i="113"/>
  <c r="E4656" i="113"/>
  <c r="E4660" i="113"/>
  <c r="E4664" i="113"/>
  <c r="E4668" i="113"/>
  <c r="E4672" i="113"/>
  <c r="E4676" i="113"/>
  <c r="E4680" i="113"/>
  <c r="E4684" i="113"/>
  <c r="E4688" i="113"/>
  <c r="E4692" i="113"/>
  <c r="E4696" i="113"/>
  <c r="E4700" i="113"/>
  <c r="E4704" i="113"/>
  <c r="E4708" i="113"/>
  <c r="E4712" i="113"/>
  <c r="E4716" i="113"/>
  <c r="E4720" i="113"/>
  <c r="E4724" i="113"/>
  <c r="E4728" i="113"/>
  <c r="E4732" i="113"/>
  <c r="E4736" i="113"/>
  <c r="E4740" i="113"/>
  <c r="E4744" i="113"/>
  <c r="E4748" i="113"/>
  <c r="E4752" i="113"/>
  <c r="E4756" i="113"/>
  <c r="E4760" i="113"/>
  <c r="E4764" i="113"/>
  <c r="E4768" i="113"/>
  <c r="E4772" i="113"/>
  <c r="E4776" i="113"/>
  <c r="E4780" i="113"/>
  <c r="E4784" i="113"/>
  <c r="E4788" i="113"/>
  <c r="E4792" i="113"/>
  <c r="E4796" i="113"/>
  <c r="E4800" i="113"/>
  <c r="E4804" i="113"/>
  <c r="E4808" i="113"/>
  <c r="E4812" i="113"/>
  <c r="E4816" i="113"/>
  <c r="E4820" i="113"/>
  <c r="E4824" i="113"/>
  <c r="E4828" i="113"/>
  <c r="E4832" i="113"/>
  <c r="E4836" i="113"/>
  <c r="E4840" i="113"/>
  <c r="E4844" i="113"/>
  <c r="E4848" i="113"/>
  <c r="E4852" i="113"/>
  <c r="E4856" i="113"/>
  <c r="E4860" i="113"/>
  <c r="E4864" i="113"/>
  <c r="E4868" i="113"/>
  <c r="E4872" i="113"/>
  <c r="E4876" i="113"/>
  <c r="E4880" i="113"/>
  <c r="E4884" i="113"/>
  <c r="E4888" i="113"/>
  <c r="E4892" i="113"/>
  <c r="E4896" i="113"/>
  <c r="E4900" i="113"/>
  <c r="E4904" i="113"/>
  <c r="E4908" i="113"/>
  <c r="E4912" i="113"/>
  <c r="E4916" i="113"/>
  <c r="E4920" i="113"/>
  <c r="E4924" i="113"/>
  <c r="E4928" i="113"/>
  <c r="E4932" i="113"/>
  <c r="E4936" i="113"/>
  <c r="E4940" i="113"/>
  <c r="E4944" i="113"/>
  <c r="E4948" i="113"/>
  <c r="E4952" i="113"/>
  <c r="E4956" i="113"/>
  <c r="E4960" i="113"/>
  <c r="E4964" i="113"/>
  <c r="E4968" i="113"/>
  <c r="E4972" i="113"/>
  <c r="E4976" i="113"/>
  <c r="E4980" i="113"/>
  <c r="E4984" i="113"/>
  <c r="E4988" i="113"/>
  <c r="E4992" i="113"/>
  <c r="E4996" i="113"/>
  <c r="E5000" i="113"/>
  <c r="E5004" i="113"/>
  <c r="E5008" i="113"/>
  <c r="E5012" i="113"/>
  <c r="E5016" i="113"/>
  <c r="E5020" i="113"/>
  <c r="E5024" i="113"/>
  <c r="E5028" i="113"/>
  <c r="E5032" i="113"/>
  <c r="E5036" i="113"/>
  <c r="E5040" i="113"/>
  <c r="E5044" i="113"/>
  <c r="E5048" i="113"/>
  <c r="E5052" i="113"/>
  <c r="E5056" i="113"/>
  <c r="E5060" i="113"/>
  <c r="E5064" i="113"/>
  <c r="E5068" i="113"/>
  <c r="E5072" i="113"/>
  <c r="E5076" i="113"/>
  <c r="E5080" i="113"/>
  <c r="E5084" i="113"/>
  <c r="E5088" i="113"/>
  <c r="E5092" i="113"/>
  <c r="E5096" i="113"/>
  <c r="E5100" i="113"/>
  <c r="E5104" i="113"/>
  <c r="E5108" i="113"/>
  <c r="E5112" i="113"/>
  <c r="E5116" i="113"/>
  <c r="E5120" i="113"/>
  <c r="E5124" i="113"/>
  <c r="E5128" i="113"/>
  <c r="E5132" i="113"/>
  <c r="E5136" i="113"/>
  <c r="E1617" i="113"/>
  <c r="E1875" i="113"/>
  <c r="E2131" i="113"/>
  <c r="E2366" i="113"/>
  <c r="E2495" i="113"/>
  <c r="E2596" i="113"/>
  <c r="E2660" i="113"/>
  <c r="E2724" i="113"/>
  <c r="E2788" i="113"/>
  <c r="E2852" i="113"/>
  <c r="E2916" i="113"/>
  <c r="E2980" i="113"/>
  <c r="E3044" i="113"/>
  <c r="E3096" i="113"/>
  <c r="E3139" i="113"/>
  <c r="E3180" i="113"/>
  <c r="E3212" i="113"/>
  <c r="E3244" i="113"/>
  <c r="E3276" i="113"/>
  <c r="E3308" i="113"/>
  <c r="E3340" i="113"/>
  <c r="E3364" i="113"/>
  <c r="E3380" i="113"/>
  <c r="E3396" i="113"/>
  <c r="E3412" i="113"/>
  <c r="E3428" i="113"/>
  <c r="E3441" i="113"/>
  <c r="E3449" i="113"/>
  <c r="E3457" i="113"/>
  <c r="E3465" i="113"/>
  <c r="E3473" i="113"/>
  <c r="E3481" i="113"/>
  <c r="E3489" i="113"/>
  <c r="E3497" i="113"/>
  <c r="E3505" i="113"/>
  <c r="E3513" i="113"/>
  <c r="E3521" i="113"/>
  <c r="E3529" i="113"/>
  <c r="E3537" i="113"/>
  <c r="E3545" i="113"/>
  <c r="E3553" i="113"/>
  <c r="E3561" i="113"/>
  <c r="E3569" i="113"/>
  <c r="E3577" i="113"/>
  <c r="E3585" i="113"/>
  <c r="E3593" i="113"/>
  <c r="E3601" i="113"/>
  <c r="E3609" i="113"/>
  <c r="E3617" i="113"/>
  <c r="E3625" i="113"/>
  <c r="E3633" i="113"/>
  <c r="E3641" i="113"/>
  <c r="E3649" i="113"/>
  <c r="E3657" i="113"/>
  <c r="E3665" i="113"/>
  <c r="E3673" i="113"/>
  <c r="E3681" i="113"/>
  <c r="E3689" i="113"/>
  <c r="E3697" i="113"/>
  <c r="E3705" i="113"/>
  <c r="E3713" i="113"/>
  <c r="E3721" i="113"/>
  <c r="E3729" i="113"/>
  <c r="E3737" i="113"/>
  <c r="E3745" i="113"/>
  <c r="E3753" i="113"/>
  <c r="E3761" i="113"/>
  <c r="E3769" i="113"/>
  <c r="E3777" i="113"/>
  <c r="E3785" i="113"/>
  <c r="E3793" i="113"/>
  <c r="E3801" i="113"/>
  <c r="E3809" i="113"/>
  <c r="E3817" i="113"/>
  <c r="E3825" i="113"/>
  <c r="E3833" i="113"/>
  <c r="E3841" i="113"/>
  <c r="E3849" i="113"/>
  <c r="E3857" i="113"/>
  <c r="E3865" i="113"/>
  <c r="E3873" i="113"/>
  <c r="E3881" i="113"/>
  <c r="E3889" i="113"/>
  <c r="E3897" i="113"/>
  <c r="E3905" i="113"/>
  <c r="E3913" i="113"/>
  <c r="E3921" i="113"/>
  <c r="E3929" i="113"/>
  <c r="E3937" i="113"/>
  <c r="E3945" i="113"/>
  <c r="E3953" i="113"/>
  <c r="E3961" i="113"/>
  <c r="E3969" i="113"/>
  <c r="E3977" i="113"/>
  <c r="E3985" i="113"/>
  <c r="E3993" i="113"/>
  <c r="E4001" i="113"/>
  <c r="E4009" i="113"/>
  <c r="E4017" i="113"/>
  <c r="E4025" i="113"/>
  <c r="E4033" i="113"/>
  <c r="E4041" i="113"/>
  <c r="E4049" i="113"/>
  <c r="E4057" i="113"/>
  <c r="E4065" i="113"/>
  <c r="E4073" i="113"/>
  <c r="E4081" i="113"/>
  <c r="E4089" i="113"/>
  <c r="E4097" i="113"/>
  <c r="E4105" i="113"/>
  <c r="E4113" i="113"/>
  <c r="E4121" i="113"/>
  <c r="E4129" i="113"/>
  <c r="E4137" i="113"/>
  <c r="E4145" i="113"/>
  <c r="E4153" i="113"/>
  <c r="E4161" i="113"/>
  <c r="E4169" i="113"/>
  <c r="E4177" i="113"/>
  <c r="E4185" i="113"/>
  <c r="E4193" i="113"/>
  <c r="E4201" i="113"/>
  <c r="E4209" i="113"/>
  <c r="E4217" i="113"/>
  <c r="E4225" i="113"/>
  <c r="E4233" i="113"/>
  <c r="E4241" i="113"/>
  <c r="E4249" i="113"/>
  <c r="E4257" i="113"/>
  <c r="E4264" i="113"/>
  <c r="E4269" i="113"/>
  <c r="E4274" i="113"/>
  <c r="E4280" i="113"/>
  <c r="E4285" i="113"/>
  <c r="E4290" i="113"/>
  <c r="E4296" i="113"/>
  <c r="E4301" i="113"/>
  <c r="E4306" i="113"/>
  <c r="E4312" i="113"/>
  <c r="E4317" i="113"/>
  <c r="E4322" i="113"/>
  <c r="E4328" i="113"/>
  <c r="E4333" i="113"/>
  <c r="E4338" i="113"/>
  <c r="E4344" i="113"/>
  <c r="E4349" i="113"/>
  <c r="E4354" i="113"/>
  <c r="E4360" i="113"/>
  <c r="E4365" i="113"/>
  <c r="E4370" i="113"/>
  <c r="E4376" i="113"/>
  <c r="E4381" i="113"/>
  <c r="E4385" i="113"/>
  <c r="E4389" i="113"/>
  <c r="E4393" i="113"/>
  <c r="E4397" i="113"/>
  <c r="E4401" i="113"/>
  <c r="E4405" i="113"/>
  <c r="E4409" i="113"/>
  <c r="E4413" i="113"/>
  <c r="E4417" i="113"/>
  <c r="E4421" i="113"/>
  <c r="E4425" i="113"/>
  <c r="E4429" i="113"/>
  <c r="E4433" i="113"/>
  <c r="E4437" i="113"/>
  <c r="E4441" i="113"/>
  <c r="E4445" i="113"/>
  <c r="E4449" i="113"/>
  <c r="E4453" i="113"/>
  <c r="E4457" i="113"/>
  <c r="E4461" i="113"/>
  <c r="E4465" i="113"/>
  <c r="E4469" i="113"/>
  <c r="E4473" i="113"/>
  <c r="E4477" i="113"/>
  <c r="E4481" i="113"/>
  <c r="E4485" i="113"/>
  <c r="E4489" i="113"/>
  <c r="E4493" i="113"/>
  <c r="E4497" i="113"/>
  <c r="E4501" i="113"/>
  <c r="E4505" i="113"/>
  <c r="E4509" i="113"/>
  <c r="E4513" i="113"/>
  <c r="E4517" i="113"/>
  <c r="E4521" i="113"/>
  <c r="E4525" i="113"/>
  <c r="E4529" i="113"/>
  <c r="E4533" i="113"/>
  <c r="E4537" i="113"/>
  <c r="E4541" i="113"/>
  <c r="E4545" i="113"/>
  <c r="E4549" i="113"/>
  <c r="E4553" i="113"/>
  <c r="E4557" i="113"/>
  <c r="E4561" i="113"/>
  <c r="E4565" i="113"/>
  <c r="E4569" i="113"/>
  <c r="E4573" i="113"/>
  <c r="E4577" i="113"/>
  <c r="E4581" i="113"/>
  <c r="E4585" i="113"/>
  <c r="E4589" i="113"/>
  <c r="E4593" i="113"/>
  <c r="E4597" i="113"/>
  <c r="E4601" i="113"/>
  <c r="E4605" i="113"/>
  <c r="E4609" i="113"/>
  <c r="E4613" i="113"/>
  <c r="E4617" i="113"/>
  <c r="E4621" i="113"/>
  <c r="E4625" i="113"/>
  <c r="E4629" i="113"/>
  <c r="E4633" i="113"/>
  <c r="E4637" i="113"/>
  <c r="E4641" i="113"/>
  <c r="E4645" i="113"/>
  <c r="E4649" i="113"/>
  <c r="E4653" i="113"/>
  <c r="E4657" i="113"/>
  <c r="E4661" i="113"/>
  <c r="E4665" i="113"/>
  <c r="E4669" i="113"/>
  <c r="E4673" i="113"/>
  <c r="E4677" i="113"/>
  <c r="E4681" i="113"/>
  <c r="E4685" i="113"/>
  <c r="E4689" i="113"/>
  <c r="E4693" i="113"/>
  <c r="E4697" i="113"/>
  <c r="E4701" i="113"/>
  <c r="E4705" i="113"/>
  <c r="E4709" i="113"/>
  <c r="E4713" i="113"/>
  <c r="E4717" i="113"/>
  <c r="E4721" i="113"/>
  <c r="E4725" i="113"/>
  <c r="E4729" i="113"/>
  <c r="E4733" i="113"/>
  <c r="E4737" i="113"/>
  <c r="E4741" i="113"/>
  <c r="E4745" i="113"/>
  <c r="E4749" i="113"/>
  <c r="E4753" i="113"/>
  <c r="E4757" i="113"/>
  <c r="E4761" i="113"/>
  <c r="E4765" i="113"/>
  <c r="E4769" i="113"/>
  <c r="E4773" i="113"/>
  <c r="E4777" i="113"/>
  <c r="E4781" i="113"/>
  <c r="E4785" i="113"/>
  <c r="E4789" i="113"/>
  <c r="E4793" i="113"/>
  <c r="E4797" i="113"/>
  <c r="E4801" i="113"/>
  <c r="E4805" i="113"/>
  <c r="E4809" i="113"/>
  <c r="E4813" i="113"/>
  <c r="E4817" i="113"/>
  <c r="E4821" i="113"/>
  <c r="E4825" i="113"/>
  <c r="E4829" i="113"/>
  <c r="E4833" i="113"/>
  <c r="E4837" i="113"/>
  <c r="E4841" i="113"/>
  <c r="E4845" i="113"/>
  <c r="E4849" i="113"/>
  <c r="E4853" i="113"/>
  <c r="E4857" i="113"/>
  <c r="E4861" i="113"/>
  <c r="E4865" i="113"/>
  <c r="E4869" i="113"/>
  <c r="E4873" i="113"/>
  <c r="E4877" i="113"/>
  <c r="E4881" i="113"/>
  <c r="E4885" i="113"/>
  <c r="E4889" i="113"/>
  <c r="E4893" i="113"/>
  <c r="E4897" i="113"/>
  <c r="E4901" i="113"/>
  <c r="E4905" i="113"/>
  <c r="E4909" i="113"/>
  <c r="E4913" i="113"/>
  <c r="E4917" i="113"/>
  <c r="E4921" i="113"/>
  <c r="E4925" i="113"/>
  <c r="E4929" i="113"/>
  <c r="E4933" i="113"/>
  <c r="E4937" i="113"/>
  <c r="E4941" i="113"/>
  <c r="E4945" i="113"/>
  <c r="E4949" i="113"/>
  <c r="E4953" i="113"/>
  <c r="E4957" i="113"/>
  <c r="E4961" i="113"/>
  <c r="E4965" i="113"/>
  <c r="E4969" i="113"/>
  <c r="E4973" i="113"/>
  <c r="E4977" i="113"/>
  <c r="E4981" i="113"/>
  <c r="E4985" i="113"/>
  <c r="E4989" i="113"/>
  <c r="E4993" i="113"/>
  <c r="E4997" i="113"/>
  <c r="E5001" i="113"/>
  <c r="E5005" i="113"/>
  <c r="E5009" i="113"/>
  <c r="E5013" i="113"/>
  <c r="E5017" i="113"/>
  <c r="E5021" i="113"/>
  <c r="E5025" i="113"/>
  <c r="E5029" i="113"/>
  <c r="E5033" i="113"/>
  <c r="E5037" i="113"/>
  <c r="E5041" i="113"/>
  <c r="E5045" i="113"/>
  <c r="E5049" i="113"/>
  <c r="E5053" i="113"/>
  <c r="E5057" i="113"/>
  <c r="E5061" i="113"/>
  <c r="E5065" i="113"/>
  <c r="E5069" i="113"/>
  <c r="E5073" i="113"/>
  <c r="E5077" i="113"/>
  <c r="E5081" i="113"/>
  <c r="E5085" i="113"/>
  <c r="E5089" i="113"/>
  <c r="E5093" i="113"/>
  <c r="E5097" i="113"/>
  <c r="E5101" i="113"/>
  <c r="E5105" i="113"/>
  <c r="E5109" i="113"/>
  <c r="E5113" i="113"/>
  <c r="E5117" i="113"/>
  <c r="E5121" i="113"/>
  <c r="E5125" i="113"/>
  <c r="E5129" i="113"/>
  <c r="E5133" i="113"/>
  <c r="E5137" i="113"/>
  <c r="E5141" i="113"/>
  <c r="E5145" i="113"/>
  <c r="E5149" i="113"/>
  <c r="E5153" i="113"/>
  <c r="E5157" i="113"/>
  <c r="E5161" i="113"/>
  <c r="E5165" i="113"/>
  <c r="E5169" i="113"/>
  <c r="E5173" i="113"/>
  <c r="E5177" i="113"/>
  <c r="E5181" i="113"/>
  <c r="E5185" i="113"/>
  <c r="E5189" i="113"/>
  <c r="E5193" i="113"/>
  <c r="E5197" i="113"/>
  <c r="E5201" i="113"/>
  <c r="E5205" i="113"/>
  <c r="E5209" i="113"/>
  <c r="E5213" i="113"/>
  <c r="E5217" i="113"/>
  <c r="E5221" i="113"/>
  <c r="E5225" i="113"/>
  <c r="E5229" i="113"/>
  <c r="E5233" i="113"/>
  <c r="E5237" i="113"/>
  <c r="E5241" i="113"/>
  <c r="E5245" i="113"/>
  <c r="E5249" i="113"/>
  <c r="E5253" i="113"/>
  <c r="E5257" i="113"/>
  <c r="E5261" i="113"/>
  <c r="E5265" i="113"/>
  <c r="E1683" i="113"/>
  <c r="E2527" i="113"/>
  <c r="E2804" i="113"/>
  <c r="E3060" i="113"/>
  <c r="E3220" i="113"/>
  <c r="E3348" i="113"/>
  <c r="E3416" i="113"/>
  <c r="E3460" i="113"/>
  <c r="E3492" i="113"/>
  <c r="E3524" i="113"/>
  <c r="E3556" i="113"/>
  <c r="E3588" i="113"/>
  <c r="E3620" i="113"/>
  <c r="E3652" i="113"/>
  <c r="E3684" i="113"/>
  <c r="E3716" i="113"/>
  <c r="E3748" i="113"/>
  <c r="E3780" i="113"/>
  <c r="E3812" i="113"/>
  <c r="E3844" i="113"/>
  <c r="E3876" i="113"/>
  <c r="E3908" i="113"/>
  <c r="E3940" i="113"/>
  <c r="E3972" i="113"/>
  <c r="E4004" i="113"/>
  <c r="E4036" i="113"/>
  <c r="E4068" i="113"/>
  <c r="E4100" i="113"/>
  <c r="E4132" i="113"/>
  <c r="E4164" i="113"/>
  <c r="E4196" i="113"/>
  <c r="E4228" i="113"/>
  <c r="E4260" i="113"/>
  <c r="E4281" i="113"/>
  <c r="E4302" i="113"/>
  <c r="E4324" i="113"/>
  <c r="E4345" i="113"/>
  <c r="E4366" i="113"/>
  <c r="E4386" i="113"/>
  <c r="E4402" i="113"/>
  <c r="E4418" i="113"/>
  <c r="E4434" i="113"/>
  <c r="E4450" i="113"/>
  <c r="E4466" i="113"/>
  <c r="E4482" i="113"/>
  <c r="E4498" i="113"/>
  <c r="E4514" i="113"/>
  <c r="E4530" i="113"/>
  <c r="E4546" i="113"/>
  <c r="E4562" i="113"/>
  <c r="E4574" i="113"/>
  <c r="E4582" i="113"/>
  <c r="E4590" i="113"/>
  <c r="E4598" i="113"/>
  <c r="E4606" i="113"/>
  <c r="E4614" i="113"/>
  <c r="E4622" i="113"/>
  <c r="E4630" i="113"/>
  <c r="E4638" i="113"/>
  <c r="E4646" i="113"/>
  <c r="E4654" i="113"/>
  <c r="E4662" i="113"/>
  <c r="E4670" i="113"/>
  <c r="E4678" i="113"/>
  <c r="E4686" i="113"/>
  <c r="E4694" i="113"/>
  <c r="E4702" i="113"/>
  <c r="E4710" i="113"/>
  <c r="E4718" i="113"/>
  <c r="E4726" i="113"/>
  <c r="E4734" i="113"/>
  <c r="E4742" i="113"/>
  <c r="E4750" i="113"/>
  <c r="E4758" i="113"/>
  <c r="E4766" i="113"/>
  <c r="E4774" i="113"/>
  <c r="E4782" i="113"/>
  <c r="E4790" i="113"/>
  <c r="E4798" i="113"/>
  <c r="E4806" i="113"/>
  <c r="E4814" i="113"/>
  <c r="E4822" i="113"/>
  <c r="E4830" i="113"/>
  <c r="E4838" i="113"/>
  <c r="E4846" i="113"/>
  <c r="E4854" i="113"/>
  <c r="E4862" i="113"/>
  <c r="E4870" i="113"/>
  <c r="E4878" i="113"/>
  <c r="E4886" i="113"/>
  <c r="E4894" i="113"/>
  <c r="E4902" i="113"/>
  <c r="E4910" i="113"/>
  <c r="E4918" i="113"/>
  <c r="E4926" i="113"/>
  <c r="E4934" i="113"/>
  <c r="E4942" i="113"/>
  <c r="E4950" i="113"/>
  <c r="E4958" i="113"/>
  <c r="E4966" i="113"/>
  <c r="E4974" i="113"/>
  <c r="E4982" i="113"/>
  <c r="E4990" i="113"/>
  <c r="E4998" i="113"/>
  <c r="E5006" i="113"/>
  <c r="E5014" i="113"/>
  <c r="E5022" i="113"/>
  <c r="E5030" i="113"/>
  <c r="E5038" i="113"/>
  <c r="E5046" i="113"/>
  <c r="E5054" i="113"/>
  <c r="E5062" i="113"/>
  <c r="E5070" i="113"/>
  <c r="E5078" i="113"/>
  <c r="E5086" i="113"/>
  <c r="E5094" i="113"/>
  <c r="E5102" i="113"/>
  <c r="E5110" i="113"/>
  <c r="E5118" i="113"/>
  <c r="E5126" i="113"/>
  <c r="E5134" i="113"/>
  <c r="E5140" i="113"/>
  <c r="E5146" i="113"/>
  <c r="E5151" i="113"/>
  <c r="E5156" i="113"/>
  <c r="E5162" i="113"/>
  <c r="E5167" i="113"/>
  <c r="E5172" i="113"/>
  <c r="E5178" i="113"/>
  <c r="E5183" i="113"/>
  <c r="E5188" i="113"/>
  <c r="E5194" i="113"/>
  <c r="E5199" i="113"/>
  <c r="E5204" i="113"/>
  <c r="E5210" i="113"/>
  <c r="E5215" i="113"/>
  <c r="E5220" i="113"/>
  <c r="E5226" i="113"/>
  <c r="E5231" i="113"/>
  <c r="E5236" i="113"/>
  <c r="E5242" i="113"/>
  <c r="E5247" i="113"/>
  <c r="E5252" i="113"/>
  <c r="E5258" i="113"/>
  <c r="E5263" i="113"/>
  <c r="E5268" i="113"/>
  <c r="E5272" i="113"/>
  <c r="E5276" i="113"/>
  <c r="E5280" i="113"/>
  <c r="E5284" i="113"/>
  <c r="E5288" i="113"/>
  <c r="E5292" i="113"/>
  <c r="E5296" i="113"/>
  <c r="E5300" i="113"/>
  <c r="E5304" i="113"/>
  <c r="E5308" i="113"/>
  <c r="E5312" i="113"/>
  <c r="E5316" i="113"/>
  <c r="E5320" i="113"/>
  <c r="E5324" i="113"/>
  <c r="E5328" i="113"/>
  <c r="E5332" i="113"/>
  <c r="E5336" i="113"/>
  <c r="E5340" i="113"/>
  <c r="E5344" i="113"/>
  <c r="E5348" i="113"/>
  <c r="E5352" i="113"/>
  <c r="E5356" i="113"/>
  <c r="E5360" i="113"/>
  <c r="E5364" i="113"/>
  <c r="E5368" i="113"/>
  <c r="E5372" i="113"/>
  <c r="E5376" i="113"/>
  <c r="E5380" i="113"/>
  <c r="E5384" i="113"/>
  <c r="E5388" i="113"/>
  <c r="E5392" i="113"/>
  <c r="E5396" i="113"/>
  <c r="E5400" i="113"/>
  <c r="E5404" i="113"/>
  <c r="E5408" i="113"/>
  <c r="E5412" i="113"/>
  <c r="E5416" i="113"/>
  <c r="E5420" i="113"/>
  <c r="E5424" i="113"/>
  <c r="E5428" i="113"/>
  <c r="E5432" i="113"/>
  <c r="E5436" i="113"/>
  <c r="E5440" i="113"/>
  <c r="E5444" i="113"/>
  <c r="E5448" i="113"/>
  <c r="E5452" i="113"/>
  <c r="E5456" i="113"/>
  <c r="E5460" i="113"/>
  <c r="E5464" i="113"/>
  <c r="E5468" i="113"/>
  <c r="E5472" i="113"/>
  <c r="E5476" i="113"/>
  <c r="E5480" i="113"/>
  <c r="E5484" i="113"/>
  <c r="E5488" i="113"/>
  <c r="E5492" i="113"/>
  <c r="E5496" i="113"/>
  <c r="E5500" i="113"/>
  <c r="E5504" i="113"/>
  <c r="E5508" i="113"/>
  <c r="E5512" i="113"/>
  <c r="E5516" i="113"/>
  <c r="E5520" i="113"/>
  <c r="E5524" i="113"/>
  <c r="E5528" i="113"/>
  <c r="E5532" i="113"/>
  <c r="E5536" i="113"/>
  <c r="E5540" i="113"/>
  <c r="E5544" i="113"/>
  <c r="E5548" i="113"/>
  <c r="E5552" i="113"/>
  <c r="E5556" i="113"/>
  <c r="E5560" i="113"/>
  <c r="E5564" i="113"/>
  <c r="E5568" i="113"/>
  <c r="E5572" i="113"/>
  <c r="E5576" i="113"/>
  <c r="E5580" i="113"/>
  <c r="E5584" i="113"/>
  <c r="E5588" i="113"/>
  <c r="E5592" i="113"/>
  <c r="E5596" i="113"/>
  <c r="E5600" i="113"/>
  <c r="E5604" i="113"/>
  <c r="E5608" i="113"/>
  <c r="E5612" i="113"/>
  <c r="E5616" i="113"/>
  <c r="E5620" i="113"/>
  <c r="E5624" i="113"/>
  <c r="E5628" i="113"/>
  <c r="E5632" i="113"/>
  <c r="E5636" i="113"/>
  <c r="E5640" i="113"/>
  <c r="E5644" i="113"/>
  <c r="E5648" i="113"/>
  <c r="E5652" i="113"/>
  <c r="E5656" i="113"/>
  <c r="E5660" i="113"/>
  <c r="E5664" i="113"/>
  <c r="E5668" i="113"/>
  <c r="E5672" i="113"/>
  <c r="E5676" i="113"/>
  <c r="E5680" i="113"/>
  <c r="E5684" i="113"/>
  <c r="E5688" i="113"/>
  <c r="E5692" i="113"/>
  <c r="E5696" i="113"/>
  <c r="E5700" i="113"/>
  <c r="E5704" i="113"/>
  <c r="E5708" i="113"/>
  <c r="E5712" i="113"/>
  <c r="E5716" i="113"/>
  <c r="E5720" i="113"/>
  <c r="E5724" i="113"/>
  <c r="E5728" i="113"/>
  <c r="E5732" i="113"/>
  <c r="E5736" i="113"/>
  <c r="E5740" i="113"/>
  <c r="E5744" i="113"/>
  <c r="E5748" i="113"/>
  <c r="E5752" i="113"/>
  <c r="E5756" i="113"/>
  <c r="E5760" i="113"/>
  <c r="E5764" i="113"/>
  <c r="E5768" i="113"/>
  <c r="E5772" i="113"/>
  <c r="E5776" i="113"/>
  <c r="E5780" i="113"/>
  <c r="E5784" i="113"/>
  <c r="E5788" i="113"/>
  <c r="E5792" i="113"/>
  <c r="E5796" i="113"/>
  <c r="E5800" i="113"/>
  <c r="E5804" i="113"/>
  <c r="E5808" i="113"/>
  <c r="E5812" i="113"/>
  <c r="E5816" i="113"/>
  <c r="E5820" i="113"/>
  <c r="E5824" i="113"/>
  <c r="E5828" i="113"/>
  <c r="E5832" i="113"/>
  <c r="E5836" i="113"/>
  <c r="E5840" i="113"/>
  <c r="E5844" i="113"/>
  <c r="E5848" i="113"/>
  <c r="E5852" i="113"/>
  <c r="E5856" i="113"/>
  <c r="E5860" i="113"/>
  <c r="E5864" i="113"/>
  <c r="E5868" i="113"/>
  <c r="E5872" i="113"/>
  <c r="E5876" i="113"/>
  <c r="E5880" i="113"/>
  <c r="E5884" i="113"/>
  <c r="E5888" i="113"/>
  <c r="E5892" i="113"/>
  <c r="E5896" i="113"/>
  <c r="E5900" i="113"/>
  <c r="E5904" i="113"/>
  <c r="E5908" i="113"/>
  <c r="E5912" i="113"/>
  <c r="E5916" i="113"/>
  <c r="E5920" i="113"/>
  <c r="E5924" i="113"/>
  <c r="E5928" i="113"/>
  <c r="E5932" i="113"/>
  <c r="E5936" i="113"/>
  <c r="E5940" i="113"/>
  <c r="E5944" i="113"/>
  <c r="E5948" i="113"/>
  <c r="E5952" i="113"/>
  <c r="E5956" i="113"/>
  <c r="E5960" i="113"/>
  <c r="E5964" i="113"/>
  <c r="E5968" i="113"/>
  <c r="E5972" i="113"/>
  <c r="E5976" i="113"/>
  <c r="E5980" i="113"/>
  <c r="E5984" i="113"/>
  <c r="E5988" i="113"/>
  <c r="E5992" i="113"/>
  <c r="E5996" i="113"/>
  <c r="E6000" i="113"/>
  <c r="E6004" i="113"/>
  <c r="E6008" i="113"/>
  <c r="E6012" i="113"/>
  <c r="E6016" i="113"/>
  <c r="E6020" i="113"/>
  <c r="E6024" i="113"/>
  <c r="E6028" i="113"/>
  <c r="E6032" i="113"/>
  <c r="E6036" i="113"/>
  <c r="E6040" i="113"/>
  <c r="E6044" i="113"/>
  <c r="E6048" i="113"/>
  <c r="E1939" i="113"/>
  <c r="E2612" i="113"/>
  <c r="E2868" i="113"/>
  <c r="E3107" i="113"/>
  <c r="E3252" i="113"/>
  <c r="E3368" i="113"/>
  <c r="E3432" i="113"/>
  <c r="E3468" i="113"/>
  <c r="E3500" i="113"/>
  <c r="E3532" i="113"/>
  <c r="E3564" i="113"/>
  <c r="E3596" i="113"/>
  <c r="E3628" i="113"/>
  <c r="E3660" i="113"/>
  <c r="E3692" i="113"/>
  <c r="E3724" i="113"/>
  <c r="E3756" i="113"/>
  <c r="E3788" i="113"/>
  <c r="E3820" i="113"/>
  <c r="E3852" i="113"/>
  <c r="E3884" i="113"/>
  <c r="E3916" i="113"/>
  <c r="E3948" i="113"/>
  <c r="E3980" i="113"/>
  <c r="E4012" i="113"/>
  <c r="E4044" i="113"/>
  <c r="E4076" i="113"/>
  <c r="E4108" i="113"/>
  <c r="E4140" i="113"/>
  <c r="E4172" i="113"/>
  <c r="E4204" i="113"/>
  <c r="E4236" i="113"/>
  <c r="E4265" i="113"/>
  <c r="E4286" i="113"/>
  <c r="E4308" i="113"/>
  <c r="E4329" i="113"/>
  <c r="E4350" i="113"/>
  <c r="E4372" i="113"/>
  <c r="E4390" i="113"/>
  <c r="E4406" i="113"/>
  <c r="E4422" i="113"/>
  <c r="E4438" i="113"/>
  <c r="E4454" i="113"/>
  <c r="E4470" i="113"/>
  <c r="E4486" i="113"/>
  <c r="E4502" i="113"/>
  <c r="E4518" i="113"/>
  <c r="E4534" i="113"/>
  <c r="E4550" i="113"/>
  <c r="E4566" i="113"/>
  <c r="E4575" i="113"/>
  <c r="E4583" i="113"/>
  <c r="E4591" i="113"/>
  <c r="E4599" i="113"/>
  <c r="E4607" i="113"/>
  <c r="E4615" i="113"/>
  <c r="E4623" i="113"/>
  <c r="E4631" i="113"/>
  <c r="E4639" i="113"/>
  <c r="E4647" i="113"/>
  <c r="E4655" i="113"/>
  <c r="E4663" i="113"/>
  <c r="E4671" i="113"/>
  <c r="E4679" i="113"/>
  <c r="E4687" i="113"/>
  <c r="E4695" i="113"/>
  <c r="E4703" i="113"/>
  <c r="E4711" i="113"/>
  <c r="E4719" i="113"/>
  <c r="E4727" i="113"/>
  <c r="E4735" i="113"/>
  <c r="E4743" i="113"/>
  <c r="E4751" i="113"/>
  <c r="E4759" i="113"/>
  <c r="E4767" i="113"/>
  <c r="E4775" i="113"/>
  <c r="E4783" i="113"/>
  <c r="E4791" i="113"/>
  <c r="E4799" i="113"/>
  <c r="E4807" i="113"/>
  <c r="E4815" i="113"/>
  <c r="E4823" i="113"/>
  <c r="E4831" i="113"/>
  <c r="E4839" i="113"/>
  <c r="E4847" i="113"/>
  <c r="E4855" i="113"/>
  <c r="E4863" i="113"/>
  <c r="E4871" i="113"/>
  <c r="E4879" i="113"/>
  <c r="E4887" i="113"/>
  <c r="E4895" i="113"/>
  <c r="E4903" i="113"/>
  <c r="E4911" i="113"/>
  <c r="E4919" i="113"/>
  <c r="E4927" i="113"/>
  <c r="E4935" i="113"/>
  <c r="E4943" i="113"/>
  <c r="E4951" i="113"/>
  <c r="E4959" i="113"/>
  <c r="E4967" i="113"/>
  <c r="E4975" i="113"/>
  <c r="E4983" i="113"/>
  <c r="E4991" i="113"/>
  <c r="E4999" i="113"/>
  <c r="E5007" i="113"/>
  <c r="E5015" i="113"/>
  <c r="E5023" i="113"/>
  <c r="E5031" i="113"/>
  <c r="E5039" i="113"/>
  <c r="E5047" i="113"/>
  <c r="E5055" i="113"/>
  <c r="E5063" i="113"/>
  <c r="E5071" i="113"/>
  <c r="E5079" i="113"/>
  <c r="E5087" i="113"/>
  <c r="E5095" i="113"/>
  <c r="E5103" i="113"/>
  <c r="E5111" i="113"/>
  <c r="E5119" i="113"/>
  <c r="E5127" i="113"/>
  <c r="E5135" i="113"/>
  <c r="E5142" i="113"/>
  <c r="E5147" i="113"/>
  <c r="E5152" i="113"/>
  <c r="E5158" i="113"/>
  <c r="E5163" i="113"/>
  <c r="E5168" i="113"/>
  <c r="E5174" i="113"/>
  <c r="E5179" i="113"/>
  <c r="E5184" i="113"/>
  <c r="E5190" i="113"/>
  <c r="E5195" i="113"/>
  <c r="E5200" i="113"/>
  <c r="E5206" i="113"/>
  <c r="E5211" i="113"/>
  <c r="E5216" i="113"/>
  <c r="E5222" i="113"/>
  <c r="E5227" i="113"/>
  <c r="E5232" i="113"/>
  <c r="E5238" i="113"/>
  <c r="E5243" i="113"/>
  <c r="E5248" i="113"/>
  <c r="E5254" i="113"/>
  <c r="E5259" i="113"/>
  <c r="E5264" i="113"/>
  <c r="E5269" i="113"/>
  <c r="E5273" i="113"/>
  <c r="E5277" i="113"/>
  <c r="E5281" i="113"/>
  <c r="E5285" i="113"/>
  <c r="E5289" i="113"/>
  <c r="E5293" i="113"/>
  <c r="E5297" i="113"/>
  <c r="E5301" i="113"/>
  <c r="E5305" i="113"/>
  <c r="E5309" i="113"/>
  <c r="E5313" i="113"/>
  <c r="E5317" i="113"/>
  <c r="E5321" i="113"/>
  <c r="E5325" i="113"/>
  <c r="E5329" i="113"/>
  <c r="E5333" i="113"/>
  <c r="E5337" i="113"/>
  <c r="E5341" i="113"/>
  <c r="E5345" i="113"/>
  <c r="E5349" i="113"/>
  <c r="E5353" i="113"/>
  <c r="E5357" i="113"/>
  <c r="E5361" i="113"/>
  <c r="E5365" i="113"/>
  <c r="E5369" i="113"/>
  <c r="E5373" i="113"/>
  <c r="E5377" i="113"/>
  <c r="E5381" i="113"/>
  <c r="E5385" i="113"/>
  <c r="E5389" i="113"/>
  <c r="E5393" i="113"/>
  <c r="E5397" i="113"/>
  <c r="E5401" i="113"/>
  <c r="E5405" i="113"/>
  <c r="E5409" i="113"/>
  <c r="E5413" i="113"/>
  <c r="E5417" i="113"/>
  <c r="E5421" i="113"/>
  <c r="E5425" i="113"/>
  <c r="E5429" i="113"/>
  <c r="E5433" i="113"/>
  <c r="E5437" i="113"/>
  <c r="E5441" i="113"/>
  <c r="E5445" i="113"/>
  <c r="E5449" i="113"/>
  <c r="E5453" i="113"/>
  <c r="E5457" i="113"/>
  <c r="E5461" i="113"/>
  <c r="E5465" i="113"/>
  <c r="E5469" i="113"/>
  <c r="E5473" i="113"/>
  <c r="E5477" i="113"/>
  <c r="E5481" i="113"/>
  <c r="E5485" i="113"/>
  <c r="E5489" i="113"/>
  <c r="E5493" i="113"/>
  <c r="E5497" i="113"/>
  <c r="E5501" i="113"/>
  <c r="E5505" i="113"/>
  <c r="E5509" i="113"/>
  <c r="E5513" i="113"/>
  <c r="E5517" i="113"/>
  <c r="E5521" i="113"/>
  <c r="E5525" i="113"/>
  <c r="E5529" i="113"/>
  <c r="E5533" i="113"/>
  <c r="E5537" i="113"/>
  <c r="E5541" i="113"/>
  <c r="E5545" i="113"/>
  <c r="E5549" i="113"/>
  <c r="E5553" i="113"/>
  <c r="E5557" i="113"/>
  <c r="E5561" i="113"/>
  <c r="E5565" i="113"/>
  <c r="E5569" i="113"/>
  <c r="E5573" i="113"/>
  <c r="E5577" i="113"/>
  <c r="E5581" i="113"/>
  <c r="E5585" i="113"/>
  <c r="E5589" i="113"/>
  <c r="E5593" i="113"/>
  <c r="E5597" i="113"/>
  <c r="E5601" i="113"/>
  <c r="E5605" i="113"/>
  <c r="E5609" i="113"/>
  <c r="E5613" i="113"/>
  <c r="E5617" i="113"/>
  <c r="E5621" i="113"/>
  <c r="E5625" i="113"/>
  <c r="E5629" i="113"/>
  <c r="E5633" i="113"/>
  <c r="E5637" i="113"/>
  <c r="E5641" i="113"/>
  <c r="E5645" i="113"/>
  <c r="E5649" i="113"/>
  <c r="E5653" i="113"/>
  <c r="E5657" i="113"/>
  <c r="E5661" i="113"/>
  <c r="E5665" i="113"/>
  <c r="E5669" i="113"/>
  <c r="E5673" i="113"/>
  <c r="E5677" i="113"/>
  <c r="E5681" i="113"/>
  <c r="E5685" i="113"/>
  <c r="E5689" i="113"/>
  <c r="E5693" i="113"/>
  <c r="E5697" i="113"/>
  <c r="E5701" i="113"/>
  <c r="E5705" i="113"/>
  <c r="E5709" i="113"/>
  <c r="E5713" i="113"/>
  <c r="E5717" i="113"/>
  <c r="E5721" i="113"/>
  <c r="E5725" i="113"/>
  <c r="E5729" i="113"/>
  <c r="E5733" i="113"/>
  <c r="E5737" i="113"/>
  <c r="E5741" i="113"/>
  <c r="E5745" i="113"/>
  <c r="E5749" i="113"/>
  <c r="E5753" i="113"/>
  <c r="E5757" i="113"/>
  <c r="E5761" i="113"/>
  <c r="E5765" i="113"/>
  <c r="E5769" i="113"/>
  <c r="E5773" i="113"/>
  <c r="E5777" i="113"/>
  <c r="E5781" i="113"/>
  <c r="E5785" i="113"/>
  <c r="E5789" i="113"/>
  <c r="E5793" i="113"/>
  <c r="E5797" i="113"/>
  <c r="E5801" i="113"/>
  <c r="E5805" i="113"/>
  <c r="E5809" i="113"/>
  <c r="E5813" i="113"/>
  <c r="E5817" i="113"/>
  <c r="E5821" i="113"/>
  <c r="E5825" i="113"/>
  <c r="E5829" i="113"/>
  <c r="E5833" i="113"/>
  <c r="E5837" i="113"/>
  <c r="E5841" i="113"/>
  <c r="E5845" i="113"/>
  <c r="E5849" i="113"/>
  <c r="E5853" i="113"/>
  <c r="E5857" i="113"/>
  <c r="E5861" i="113"/>
  <c r="E5865" i="113"/>
  <c r="E5869" i="113"/>
  <c r="E5873" i="113"/>
  <c r="E5877" i="113"/>
  <c r="E5881" i="113"/>
  <c r="E5885" i="113"/>
  <c r="E5889" i="113"/>
  <c r="E5893" i="113"/>
  <c r="E5897" i="113"/>
  <c r="E5901" i="113"/>
  <c r="E5905" i="113"/>
  <c r="E5909" i="113"/>
  <c r="E5913" i="113"/>
  <c r="E5917" i="113"/>
  <c r="E5921" i="113"/>
  <c r="E5925" i="113"/>
  <c r="E5929" i="113"/>
  <c r="E5933" i="113"/>
  <c r="E5937" i="113"/>
  <c r="E5941" i="113"/>
  <c r="E5945" i="113"/>
  <c r="E5949" i="113"/>
  <c r="E5953" i="113"/>
  <c r="E5957" i="113"/>
  <c r="E5961" i="113"/>
  <c r="E5965" i="113"/>
  <c r="E5969" i="113"/>
  <c r="E5973" i="113"/>
  <c r="E5977" i="113"/>
  <c r="E5981" i="113"/>
  <c r="E5985" i="113"/>
  <c r="E5989" i="113"/>
  <c r="E5993" i="113"/>
  <c r="E5997" i="113"/>
  <c r="E6001" i="113"/>
  <c r="E6005" i="113"/>
  <c r="E6009" i="113"/>
  <c r="E6013" i="113"/>
  <c r="E6017" i="113"/>
  <c r="E6021" i="113"/>
  <c r="E6025" i="113"/>
  <c r="E6029" i="113"/>
  <c r="E6033" i="113"/>
  <c r="E6037" i="113"/>
  <c r="E6041" i="113"/>
  <c r="E6045" i="113"/>
  <c r="E6049" i="113"/>
  <c r="E6053" i="113"/>
  <c r="E6057" i="113"/>
  <c r="E6061" i="113"/>
  <c r="E6065" i="113"/>
  <c r="E6069" i="113"/>
  <c r="E6073" i="113"/>
  <c r="E6077" i="113"/>
  <c r="E6081" i="113"/>
  <c r="E6085" i="113"/>
  <c r="E6089" i="113"/>
  <c r="E6093" i="113"/>
  <c r="E6097" i="113"/>
  <c r="E6101" i="113"/>
  <c r="E6105" i="113"/>
  <c r="E6109" i="113"/>
  <c r="E6113" i="113"/>
  <c r="E6117" i="113"/>
  <c r="E6121" i="113"/>
  <c r="E6125" i="113"/>
  <c r="E6129" i="113"/>
  <c r="E6133" i="113"/>
  <c r="E6137" i="113"/>
  <c r="E6141" i="113"/>
  <c r="E6145" i="113"/>
  <c r="E6149" i="113"/>
  <c r="E6153" i="113"/>
  <c r="E6157" i="113"/>
  <c r="E6161" i="113"/>
  <c r="E6165" i="113"/>
  <c r="E6169" i="113"/>
  <c r="E6173" i="113"/>
  <c r="E6177" i="113"/>
  <c r="E6181" i="113"/>
  <c r="E6185" i="113"/>
  <c r="E6189" i="113"/>
  <c r="E6193" i="113"/>
  <c r="E6197" i="113"/>
  <c r="E6201" i="113"/>
  <c r="E6205" i="113"/>
  <c r="E6209" i="113"/>
  <c r="E6213" i="113"/>
  <c r="E6217" i="113"/>
  <c r="E6221" i="113"/>
  <c r="E6225" i="113"/>
  <c r="E6229" i="113"/>
  <c r="E6233" i="113"/>
  <c r="E6237" i="113"/>
  <c r="E6241" i="113"/>
  <c r="E6245" i="113"/>
  <c r="E6249" i="113"/>
  <c r="E6253" i="113"/>
  <c r="E6257" i="113"/>
  <c r="E6261" i="113"/>
  <c r="E6265" i="113"/>
  <c r="E6269" i="113"/>
  <c r="E6273" i="113"/>
  <c r="E6277" i="113"/>
  <c r="E6281" i="113"/>
  <c r="E6285" i="113"/>
  <c r="E6289" i="113"/>
  <c r="E6293" i="113"/>
  <c r="E6297" i="113"/>
  <c r="E6301" i="113"/>
  <c r="E6305" i="113"/>
  <c r="E6309" i="113"/>
  <c r="E6313" i="113"/>
  <c r="E6317" i="113"/>
  <c r="E6321" i="113"/>
  <c r="E6325" i="113"/>
  <c r="E6329" i="113"/>
  <c r="E6333" i="113"/>
  <c r="E6337" i="113"/>
  <c r="E6341" i="113"/>
  <c r="E6345" i="113"/>
  <c r="E6349" i="113"/>
  <c r="E6353" i="113"/>
  <c r="E6357" i="113"/>
  <c r="E6361" i="113"/>
  <c r="E6365" i="113"/>
  <c r="E6369" i="113"/>
  <c r="E6373" i="113"/>
  <c r="E6377" i="113"/>
  <c r="E6381" i="113"/>
  <c r="E6385" i="113"/>
  <c r="E6389" i="113"/>
  <c r="E6393" i="113"/>
  <c r="E6397" i="113"/>
  <c r="E6401" i="113"/>
  <c r="E6405" i="113"/>
  <c r="E6409" i="113"/>
  <c r="E6413" i="113"/>
  <c r="E6417" i="113"/>
  <c r="E6421" i="113"/>
  <c r="E6425" i="113"/>
  <c r="E6429" i="113"/>
  <c r="E6433" i="113"/>
  <c r="E6437" i="113"/>
  <c r="E6441" i="113"/>
  <c r="E6445" i="113"/>
  <c r="E6449" i="113"/>
  <c r="E6453" i="113"/>
  <c r="E6457" i="113"/>
  <c r="E6461" i="113"/>
  <c r="E6465" i="113"/>
  <c r="E6469" i="113"/>
  <c r="E6473" i="113"/>
  <c r="E6477" i="113"/>
  <c r="E6481" i="113"/>
  <c r="E6485" i="113"/>
  <c r="E6489" i="113"/>
  <c r="E6493" i="113"/>
  <c r="E6497" i="113"/>
  <c r="E6501" i="113"/>
  <c r="E6505" i="113"/>
  <c r="E6509" i="113"/>
  <c r="E6513" i="113"/>
  <c r="E6517" i="113"/>
  <c r="E6521" i="113"/>
  <c r="E6525" i="113"/>
  <c r="E6529" i="113"/>
  <c r="E6533" i="113"/>
  <c r="E6537" i="113"/>
  <c r="E6541" i="113"/>
  <c r="E6545" i="113"/>
  <c r="E6549" i="113"/>
  <c r="E6553" i="113"/>
  <c r="E6557" i="113"/>
  <c r="E6561" i="113"/>
  <c r="E6565" i="113"/>
  <c r="E6569" i="113"/>
  <c r="E6573" i="113"/>
  <c r="E6577" i="113"/>
  <c r="E6581" i="113"/>
  <c r="E6585" i="113"/>
  <c r="E6589" i="113"/>
  <c r="E6593" i="113"/>
  <c r="E6597" i="113"/>
  <c r="E6601" i="113"/>
  <c r="E6605" i="113"/>
  <c r="E6609" i="113"/>
  <c r="E6613" i="113"/>
  <c r="E6617" i="113"/>
  <c r="E6621" i="113"/>
  <c r="E6625" i="113"/>
  <c r="E6629" i="113"/>
  <c r="E6633" i="113"/>
  <c r="E6637" i="113"/>
  <c r="E6641" i="113"/>
  <c r="E6645" i="113"/>
  <c r="E6649" i="113"/>
  <c r="E6653" i="113"/>
  <c r="E6657" i="113"/>
  <c r="E6661" i="113"/>
  <c r="E6665" i="113"/>
  <c r="E6669" i="113"/>
  <c r="E6673" i="113"/>
  <c r="E6677" i="113"/>
  <c r="E6681" i="113"/>
  <c r="E6685" i="113"/>
  <c r="E6689" i="113"/>
  <c r="E6693" i="113"/>
  <c r="E6697" i="113"/>
  <c r="E6701" i="113"/>
  <c r="E6705" i="113"/>
  <c r="E6709" i="113"/>
  <c r="E6713" i="113"/>
  <c r="E6717" i="113"/>
  <c r="E6721" i="113"/>
  <c r="E6725" i="113"/>
  <c r="E6729" i="113"/>
  <c r="E6733" i="113"/>
  <c r="E6737" i="113"/>
  <c r="E6741" i="113"/>
  <c r="E6745" i="113"/>
  <c r="E2195" i="113"/>
  <c r="E2676" i="113"/>
  <c r="E2932" i="113"/>
  <c r="E3149" i="113"/>
  <c r="E3284" i="113"/>
  <c r="E3384" i="113"/>
  <c r="E3444" i="113"/>
  <c r="E3476" i="113"/>
  <c r="E3508" i="113"/>
  <c r="E3540" i="113"/>
  <c r="E3572" i="113"/>
  <c r="E3604" i="113"/>
  <c r="E3636" i="113"/>
  <c r="E3668" i="113"/>
  <c r="E3700" i="113"/>
  <c r="E3732" i="113"/>
  <c r="E3764" i="113"/>
  <c r="E3796" i="113"/>
  <c r="E3828" i="113"/>
  <c r="E3860" i="113"/>
  <c r="E3892" i="113"/>
  <c r="E3924" i="113"/>
  <c r="E3956" i="113"/>
  <c r="E3988" i="113"/>
  <c r="E4020" i="113"/>
  <c r="E4052" i="113"/>
  <c r="E4084" i="113"/>
  <c r="E4116" i="113"/>
  <c r="E4148" i="113"/>
  <c r="E4180" i="113"/>
  <c r="E4212" i="113"/>
  <c r="E4244" i="113"/>
  <c r="E4270" i="113"/>
  <c r="E4292" i="113"/>
  <c r="E4313" i="113"/>
  <c r="E4334" i="113"/>
  <c r="E4356" i="113"/>
  <c r="E4377" i="113"/>
  <c r="E4394" i="113"/>
  <c r="E4410" i="113"/>
  <c r="E4426" i="113"/>
  <c r="E4442" i="113"/>
  <c r="E4458" i="113"/>
  <c r="E4474" i="113"/>
  <c r="E4490" i="113"/>
  <c r="E4506" i="113"/>
  <c r="E4522" i="113"/>
  <c r="E4538" i="113"/>
  <c r="E4554" i="113"/>
  <c r="E4570" i="113"/>
  <c r="E4578" i="113"/>
  <c r="E4586" i="113"/>
  <c r="E4594" i="113"/>
  <c r="E4602" i="113"/>
  <c r="E4610" i="113"/>
  <c r="E4618" i="113"/>
  <c r="E4626" i="113"/>
  <c r="E4634" i="113"/>
  <c r="E4642" i="113"/>
  <c r="E4650" i="113"/>
  <c r="E4658" i="113"/>
  <c r="E4666" i="113"/>
  <c r="E4674" i="113"/>
  <c r="E4682" i="113"/>
  <c r="E4690" i="113"/>
  <c r="E4698" i="113"/>
  <c r="E4706" i="113"/>
  <c r="E4714" i="113"/>
  <c r="E4722" i="113"/>
  <c r="E4730" i="113"/>
  <c r="E4738" i="113"/>
  <c r="E4746" i="113"/>
  <c r="E4754" i="113"/>
  <c r="E4762" i="113"/>
  <c r="E4770" i="113"/>
  <c r="E4778" i="113"/>
  <c r="E4786" i="113"/>
  <c r="E4794" i="113"/>
  <c r="E4802" i="113"/>
  <c r="E4810" i="113"/>
  <c r="E4818" i="113"/>
  <c r="E4826" i="113"/>
  <c r="E4834" i="113"/>
  <c r="E4842" i="113"/>
  <c r="E4850" i="113"/>
  <c r="E4858" i="113"/>
  <c r="E4866" i="113"/>
  <c r="E4874" i="113"/>
  <c r="E4882" i="113"/>
  <c r="E4890" i="113"/>
  <c r="E4898" i="113"/>
  <c r="E4906" i="113"/>
  <c r="E4914" i="113"/>
  <c r="E4922" i="113"/>
  <c r="E4930" i="113"/>
  <c r="E4938" i="113"/>
  <c r="E4946" i="113"/>
  <c r="E4954" i="113"/>
  <c r="E4962" i="113"/>
  <c r="E4970" i="113"/>
  <c r="E4978" i="113"/>
  <c r="E4986" i="113"/>
  <c r="E4994" i="113"/>
  <c r="E5002" i="113"/>
  <c r="E5010" i="113"/>
  <c r="E5018" i="113"/>
  <c r="E5026" i="113"/>
  <c r="E5034" i="113"/>
  <c r="E5042" i="113"/>
  <c r="E5050" i="113"/>
  <c r="E5058" i="113"/>
  <c r="E5066" i="113"/>
  <c r="E5074" i="113"/>
  <c r="E5082" i="113"/>
  <c r="E5090" i="113"/>
  <c r="E5098" i="113"/>
  <c r="E5106" i="113"/>
  <c r="E5114" i="113"/>
  <c r="E5122" i="113"/>
  <c r="E5130" i="113"/>
  <c r="E5138" i="113"/>
  <c r="E5143" i="113"/>
  <c r="E5148" i="113"/>
  <c r="E5154" i="113"/>
  <c r="E5159" i="113"/>
  <c r="E5164" i="113"/>
  <c r="E5170" i="113"/>
  <c r="E5175" i="113"/>
  <c r="E5180" i="113"/>
  <c r="E5186" i="113"/>
  <c r="E5191" i="113"/>
  <c r="E5196" i="113"/>
  <c r="E5202" i="113"/>
  <c r="E5207" i="113"/>
  <c r="E5212" i="113"/>
  <c r="E5218" i="113"/>
  <c r="E5223" i="113"/>
  <c r="E5228" i="113"/>
  <c r="E5234" i="113"/>
  <c r="E5239" i="113"/>
  <c r="E5244" i="113"/>
  <c r="E5250" i="113"/>
  <c r="E5255" i="113"/>
  <c r="E5260" i="113"/>
  <c r="E5266" i="113"/>
  <c r="E5270" i="113"/>
  <c r="E5274" i="113"/>
  <c r="E5278" i="113"/>
  <c r="E5282" i="113"/>
  <c r="E5286" i="113"/>
  <c r="E5290" i="113"/>
  <c r="E5294" i="113"/>
  <c r="E5298" i="113"/>
  <c r="E5302" i="113"/>
  <c r="E5306" i="113"/>
  <c r="E5310" i="113"/>
  <c r="E5314" i="113"/>
  <c r="E5318" i="113"/>
  <c r="E5322" i="113"/>
  <c r="E5326" i="113"/>
  <c r="E5330" i="113"/>
  <c r="E5334" i="113"/>
  <c r="E5338" i="113"/>
  <c r="E5342" i="113"/>
  <c r="E5346" i="113"/>
  <c r="E5350" i="113"/>
  <c r="E5354" i="113"/>
  <c r="E5358" i="113"/>
  <c r="E5362" i="113"/>
  <c r="E5366" i="113"/>
  <c r="E5370" i="113"/>
  <c r="E5374" i="113"/>
  <c r="E5378" i="113"/>
  <c r="E5382" i="113"/>
  <c r="E5386" i="113"/>
  <c r="E5390" i="113"/>
  <c r="E5394" i="113"/>
  <c r="E5398" i="113"/>
  <c r="E5402" i="113"/>
  <c r="E5406" i="113"/>
  <c r="E5410" i="113"/>
  <c r="E5414" i="113"/>
  <c r="E5418" i="113"/>
  <c r="E5422" i="113"/>
  <c r="E5426" i="113"/>
  <c r="E5430" i="113"/>
  <c r="E5434" i="113"/>
  <c r="E5438" i="113"/>
  <c r="E5442" i="113"/>
  <c r="E5446" i="113"/>
  <c r="E5450" i="113"/>
  <c r="E5454" i="113"/>
  <c r="E5458" i="113"/>
  <c r="E5462" i="113"/>
  <c r="E5466" i="113"/>
  <c r="E5470" i="113"/>
  <c r="E5474" i="113"/>
  <c r="E5478" i="113"/>
  <c r="E5482" i="113"/>
  <c r="E5486" i="113"/>
  <c r="E5490" i="113"/>
  <c r="E5494" i="113"/>
  <c r="E5498" i="113"/>
  <c r="E5502" i="113"/>
  <c r="E5506" i="113"/>
  <c r="E5510" i="113"/>
  <c r="E5514" i="113"/>
  <c r="E5518" i="113"/>
  <c r="E5522" i="113"/>
  <c r="E5526" i="113"/>
  <c r="E5530" i="113"/>
  <c r="E5534" i="113"/>
  <c r="E5538" i="113"/>
  <c r="E5542" i="113"/>
  <c r="E5546" i="113"/>
  <c r="E5550" i="113"/>
  <c r="E5554" i="113"/>
  <c r="E5558" i="113"/>
  <c r="E5562" i="113"/>
  <c r="E5566" i="113"/>
  <c r="E5570" i="113"/>
  <c r="E5574" i="113"/>
  <c r="E5578" i="113"/>
  <c r="E5582" i="113"/>
  <c r="E5586" i="113"/>
  <c r="E5590" i="113"/>
  <c r="E5594" i="113"/>
  <c r="E5598" i="113"/>
  <c r="E5602" i="113"/>
  <c r="E5606" i="113"/>
  <c r="E5610" i="113"/>
  <c r="E5614" i="113"/>
  <c r="E5618" i="113"/>
  <c r="E5622" i="113"/>
  <c r="E5626" i="113"/>
  <c r="E5630" i="113"/>
  <c r="E5634" i="113"/>
  <c r="E5638" i="113"/>
  <c r="E5642" i="113"/>
  <c r="E5646" i="113"/>
  <c r="E5650" i="113"/>
  <c r="E5654" i="113"/>
  <c r="E5658" i="113"/>
  <c r="E5662" i="113"/>
  <c r="E5666" i="113"/>
  <c r="E5670" i="113"/>
  <c r="E5674" i="113"/>
  <c r="E5678" i="113"/>
  <c r="E5682" i="113"/>
  <c r="E5686" i="113"/>
  <c r="E5690" i="113"/>
  <c r="E5694" i="113"/>
  <c r="E5698" i="113"/>
  <c r="E5702" i="113"/>
  <c r="E5706" i="113"/>
  <c r="E5710" i="113"/>
  <c r="E5714" i="113"/>
  <c r="E5718" i="113"/>
  <c r="E5722" i="113"/>
  <c r="E5726" i="113"/>
  <c r="E5730" i="113"/>
  <c r="E5734" i="113"/>
  <c r="E5738" i="113"/>
  <c r="E5742" i="113"/>
  <c r="E5746" i="113"/>
  <c r="E5750" i="113"/>
  <c r="E5754" i="113"/>
  <c r="E5758" i="113"/>
  <c r="E5762" i="113"/>
  <c r="E5766" i="113"/>
  <c r="E5770" i="113"/>
  <c r="E5774" i="113"/>
  <c r="E5778" i="113"/>
  <c r="E5782" i="113"/>
  <c r="E5786" i="113"/>
  <c r="E5790" i="113"/>
  <c r="E5794" i="113"/>
  <c r="E5798" i="113"/>
  <c r="E5802" i="113"/>
  <c r="E5806" i="113"/>
  <c r="E5810" i="113"/>
  <c r="E5814" i="113"/>
  <c r="E5818" i="113"/>
  <c r="E5822" i="113"/>
  <c r="E5826" i="113"/>
  <c r="E5830" i="113"/>
  <c r="E5834" i="113"/>
  <c r="E5838" i="113"/>
  <c r="E5842" i="113"/>
  <c r="E5846" i="113"/>
  <c r="E5850" i="113"/>
  <c r="E5854" i="113"/>
  <c r="E5858" i="113"/>
  <c r="E5862" i="113"/>
  <c r="E5866" i="113"/>
  <c r="E5870" i="113"/>
  <c r="E5874" i="113"/>
  <c r="E5878" i="113"/>
  <c r="E5882" i="113"/>
  <c r="E5886" i="113"/>
  <c r="E5890" i="113"/>
  <c r="E5894" i="113"/>
  <c r="E5898" i="113"/>
  <c r="E5902" i="113"/>
  <c r="E5906" i="113"/>
  <c r="E5910" i="113"/>
  <c r="E5914" i="113"/>
  <c r="E5918" i="113"/>
  <c r="E5922" i="113"/>
  <c r="E5926" i="113"/>
  <c r="E5930" i="113"/>
  <c r="E5934" i="113"/>
  <c r="E5938" i="113"/>
  <c r="E5942" i="113"/>
  <c r="E5946" i="113"/>
  <c r="E5950" i="113"/>
  <c r="E5954" i="113"/>
  <c r="E5958" i="113"/>
  <c r="E5962" i="113"/>
  <c r="E5966" i="113"/>
  <c r="E5970" i="113"/>
  <c r="E5974" i="113"/>
  <c r="E5978" i="113"/>
  <c r="E5982" i="113"/>
  <c r="E5986" i="113"/>
  <c r="E5990" i="113"/>
  <c r="E5994" i="113"/>
  <c r="E5998" i="113"/>
  <c r="E6002" i="113"/>
  <c r="E6006" i="113"/>
  <c r="E6010" i="113"/>
  <c r="E6014" i="113"/>
  <c r="E6018" i="113"/>
  <c r="E6022" i="113"/>
  <c r="E6026" i="113"/>
  <c r="E6030" i="113"/>
  <c r="E6034" i="113"/>
  <c r="E6038" i="113"/>
  <c r="E6042" i="113"/>
  <c r="E6046" i="113"/>
  <c r="E6050" i="113"/>
  <c r="E6054" i="113"/>
  <c r="E6058" i="113"/>
  <c r="E6062" i="113"/>
  <c r="E6066" i="113"/>
  <c r="E6070" i="113"/>
  <c r="E6074" i="113"/>
  <c r="E6078" i="113"/>
  <c r="E6082" i="113"/>
  <c r="E6086" i="113"/>
  <c r="E6090" i="113"/>
  <c r="E6094" i="113"/>
  <c r="E6098" i="113"/>
  <c r="E6102" i="113"/>
  <c r="E6106" i="113"/>
  <c r="E6110" i="113"/>
  <c r="E6114" i="113"/>
  <c r="E6118" i="113"/>
  <c r="E6122" i="113"/>
  <c r="E6126" i="113"/>
  <c r="E6130" i="113"/>
  <c r="E6134" i="113"/>
  <c r="E6138" i="113"/>
  <c r="E6142" i="113"/>
  <c r="E6146" i="113"/>
  <c r="E6150" i="113"/>
  <c r="E6154" i="113"/>
  <c r="E6158" i="113"/>
  <c r="E6162" i="113"/>
  <c r="E6166" i="113"/>
  <c r="E6170" i="113"/>
  <c r="E6174" i="113"/>
  <c r="E6178" i="113"/>
  <c r="E6182" i="113"/>
  <c r="E6186" i="113"/>
  <c r="E6190" i="113"/>
  <c r="E6194" i="113"/>
  <c r="E6198" i="113"/>
  <c r="E6202" i="113"/>
  <c r="E6206" i="113"/>
  <c r="E6210" i="113"/>
  <c r="E6214" i="113"/>
  <c r="E6218" i="113"/>
  <c r="E6222" i="113"/>
  <c r="E6226" i="113"/>
  <c r="E6230" i="113"/>
  <c r="E6234" i="113"/>
  <c r="E6238" i="113"/>
  <c r="E6242" i="113"/>
  <c r="E6246" i="113"/>
  <c r="E6250" i="113"/>
  <c r="E6254" i="113"/>
  <c r="E6258" i="113"/>
  <c r="E6262" i="113"/>
  <c r="E6266" i="113"/>
  <c r="E6270" i="113"/>
  <c r="E6274" i="113"/>
  <c r="E6278" i="113"/>
  <c r="E6282" i="113"/>
  <c r="E6286" i="113"/>
  <c r="E6290" i="113"/>
  <c r="E6294" i="113"/>
  <c r="E6298" i="113"/>
  <c r="E6302" i="113"/>
  <c r="E6306" i="113"/>
  <c r="E6310" i="113"/>
  <c r="E6314" i="113"/>
  <c r="E6318" i="113"/>
  <c r="E6322" i="113"/>
  <c r="E6326" i="113"/>
  <c r="E6330" i="113"/>
  <c r="E6334" i="113"/>
  <c r="E6338" i="113"/>
  <c r="E6342" i="113"/>
  <c r="E6346" i="113"/>
  <c r="E6350" i="113"/>
  <c r="E6354" i="113"/>
  <c r="E6358" i="113"/>
  <c r="E6362" i="113"/>
  <c r="E6366" i="113"/>
  <c r="E6370" i="113"/>
  <c r="E6374" i="113"/>
  <c r="E6378" i="113"/>
  <c r="E6382" i="113"/>
  <c r="E6386" i="113"/>
  <c r="E6390" i="113"/>
  <c r="E6394" i="113"/>
  <c r="E6398" i="113"/>
  <c r="E6402" i="113"/>
  <c r="E6406" i="113"/>
  <c r="E6410" i="113"/>
  <c r="E6414" i="113"/>
  <c r="E6418" i="113"/>
  <c r="E6422" i="113"/>
  <c r="E6426" i="113"/>
  <c r="E6430" i="113"/>
  <c r="E6434" i="113"/>
  <c r="E6438" i="113"/>
  <c r="E6442" i="113"/>
  <c r="E6446" i="113"/>
  <c r="E6450" i="113"/>
  <c r="E6454" i="113"/>
  <c r="E6458" i="113"/>
  <c r="E6462" i="113"/>
  <c r="E6466" i="113"/>
  <c r="E6470" i="113"/>
  <c r="E6474" i="113"/>
  <c r="E6478" i="113"/>
  <c r="E6482" i="113"/>
  <c r="E6486" i="113"/>
  <c r="E6490" i="113"/>
  <c r="E6494" i="113"/>
  <c r="E6498" i="113"/>
  <c r="E6502" i="113"/>
  <c r="E6506" i="113"/>
  <c r="E6510" i="113"/>
  <c r="E6514" i="113"/>
  <c r="E6518" i="113"/>
  <c r="E6522" i="113"/>
  <c r="E6526" i="113"/>
  <c r="E6530" i="113"/>
  <c r="E6534" i="113"/>
  <c r="E6538" i="113"/>
  <c r="E6542" i="113"/>
  <c r="E6546" i="113"/>
  <c r="E6550" i="113"/>
  <c r="E6554" i="113"/>
  <c r="E6558" i="113"/>
  <c r="E6562" i="113"/>
  <c r="E6566" i="113"/>
  <c r="E6570" i="113"/>
  <c r="E6574" i="113"/>
  <c r="E6578" i="113"/>
  <c r="E6582" i="113"/>
  <c r="E6586" i="113"/>
  <c r="E6590" i="113"/>
  <c r="E6594" i="113"/>
  <c r="E6598" i="113"/>
  <c r="E6602" i="113"/>
  <c r="E6606" i="113"/>
  <c r="E6610" i="113"/>
  <c r="E6614" i="113"/>
  <c r="E6618" i="113"/>
  <c r="E6622" i="113"/>
  <c r="E6626" i="113"/>
  <c r="E6630" i="113"/>
  <c r="E6634" i="113"/>
  <c r="E6638" i="113"/>
  <c r="E6642" i="113"/>
  <c r="E6646" i="113"/>
  <c r="E6650" i="113"/>
  <c r="E6654" i="113"/>
  <c r="E6658" i="113"/>
  <c r="E6662" i="113"/>
  <c r="E6666" i="113"/>
  <c r="E6670" i="113"/>
  <c r="E6674" i="113"/>
  <c r="E6678" i="113"/>
  <c r="E6682" i="113"/>
  <c r="E6686" i="113"/>
  <c r="E6690" i="113"/>
  <c r="E6694" i="113"/>
  <c r="E6698" i="113"/>
  <c r="E6702" i="113"/>
  <c r="E6706" i="113"/>
  <c r="E6710" i="113"/>
  <c r="E6714" i="113"/>
  <c r="E6718" i="113"/>
  <c r="E6722" i="113"/>
  <c r="E6726" i="113"/>
  <c r="E6730" i="113"/>
  <c r="E6734" i="113"/>
  <c r="E6738" i="113"/>
  <c r="E6742" i="113"/>
  <c r="E6746" i="113"/>
  <c r="E6750" i="113"/>
  <c r="E6754" i="113"/>
  <c r="E6758" i="113"/>
  <c r="E6762" i="113"/>
  <c r="E6766" i="113"/>
  <c r="E6770" i="113"/>
  <c r="E6774" i="113"/>
  <c r="E6778" i="113"/>
  <c r="E6782" i="113"/>
  <c r="E6786" i="113"/>
  <c r="E6790" i="113"/>
  <c r="E6794" i="113"/>
  <c r="E6798" i="113"/>
  <c r="E6802" i="113"/>
  <c r="E6806" i="113"/>
  <c r="E6810" i="113"/>
  <c r="E6814" i="113"/>
  <c r="E6818" i="113"/>
  <c r="E6822" i="113"/>
  <c r="E6826" i="113"/>
  <c r="E6830" i="113"/>
  <c r="E6834" i="113"/>
  <c r="E6838" i="113"/>
  <c r="E6842" i="113"/>
  <c r="E6846" i="113"/>
  <c r="E6850" i="113"/>
  <c r="E6854" i="113"/>
  <c r="E6858" i="113"/>
  <c r="E6862" i="113"/>
  <c r="E6866" i="113"/>
  <c r="E6870" i="113"/>
  <c r="E6874" i="113"/>
  <c r="E6878" i="113"/>
  <c r="E6882" i="113"/>
  <c r="E6886" i="113"/>
  <c r="E6890" i="113"/>
  <c r="E6894" i="113"/>
  <c r="E6898" i="113"/>
  <c r="E6902" i="113"/>
  <c r="E6906" i="113"/>
  <c r="E2399" i="113"/>
  <c r="E3316" i="113"/>
  <c r="E3516" i="113"/>
  <c r="E3644" i="113"/>
  <c r="E3772" i="113"/>
  <c r="E3900" i="113"/>
  <c r="E4028" i="113"/>
  <c r="E4156" i="113"/>
  <c r="E4276" i="113"/>
  <c r="E4361" i="113"/>
  <c r="E4430" i="113"/>
  <c r="E4494" i="113"/>
  <c r="E4558" i="113"/>
  <c r="E4595" i="113"/>
  <c r="E4627" i="113"/>
  <c r="E4659" i="113"/>
  <c r="E4691" i="113"/>
  <c r="E4723" i="113"/>
  <c r="E4755" i="113"/>
  <c r="E4787" i="113"/>
  <c r="E4819" i="113"/>
  <c r="E4851" i="113"/>
  <c r="E4883" i="113"/>
  <c r="E4915" i="113"/>
  <c r="E4947" i="113"/>
  <c r="E4979" i="113"/>
  <c r="E5011" i="113"/>
  <c r="E5043" i="113"/>
  <c r="E5075" i="113"/>
  <c r="E5107" i="113"/>
  <c r="E5139" i="113"/>
  <c r="E5160" i="113"/>
  <c r="E5182" i="113"/>
  <c r="E5203" i="113"/>
  <c r="E5224" i="113"/>
  <c r="E5246" i="113"/>
  <c r="E5267" i="113"/>
  <c r="E5283" i="113"/>
  <c r="E5299" i="113"/>
  <c r="E5315" i="113"/>
  <c r="E5331" i="113"/>
  <c r="E5347" i="113"/>
  <c r="E5363" i="113"/>
  <c r="E5379" i="113"/>
  <c r="E5395" i="113"/>
  <c r="E5411" i="113"/>
  <c r="E5427" i="113"/>
  <c r="E5443" i="113"/>
  <c r="E5459" i="113"/>
  <c r="E5475" i="113"/>
  <c r="E5491" i="113"/>
  <c r="E5507" i="113"/>
  <c r="E5523" i="113"/>
  <c r="E5539" i="113"/>
  <c r="E5555" i="113"/>
  <c r="E5571" i="113"/>
  <c r="E5587" i="113"/>
  <c r="E5603" i="113"/>
  <c r="E5619" i="113"/>
  <c r="E5635" i="113"/>
  <c r="E5651" i="113"/>
  <c r="E5667" i="113"/>
  <c r="E5683" i="113"/>
  <c r="E5699" i="113"/>
  <c r="E5715" i="113"/>
  <c r="E5731" i="113"/>
  <c r="E5747" i="113"/>
  <c r="E5763" i="113"/>
  <c r="E5779" i="113"/>
  <c r="E5795" i="113"/>
  <c r="E5811" i="113"/>
  <c r="E5827" i="113"/>
  <c r="E5843" i="113"/>
  <c r="E5859" i="113"/>
  <c r="E5875" i="113"/>
  <c r="E5891" i="113"/>
  <c r="E5907" i="113"/>
  <c r="E5923" i="113"/>
  <c r="E5939" i="113"/>
  <c r="E5955" i="113"/>
  <c r="E5971" i="113"/>
  <c r="E5987" i="113"/>
  <c r="E6003" i="113"/>
  <c r="E6019" i="113"/>
  <c r="E6035" i="113"/>
  <c r="E6051" i="113"/>
  <c r="E6059" i="113"/>
  <c r="E6067" i="113"/>
  <c r="E6075" i="113"/>
  <c r="E6083" i="113"/>
  <c r="E6091" i="113"/>
  <c r="E6099" i="113"/>
  <c r="E6107" i="113"/>
  <c r="E6115" i="113"/>
  <c r="E6123" i="113"/>
  <c r="E6131" i="113"/>
  <c r="E6139" i="113"/>
  <c r="E6147" i="113"/>
  <c r="E6155" i="113"/>
  <c r="E6163" i="113"/>
  <c r="E6171" i="113"/>
  <c r="E6179" i="113"/>
  <c r="E6187" i="113"/>
  <c r="E6195" i="113"/>
  <c r="E6203" i="113"/>
  <c r="E6211" i="113"/>
  <c r="E6219" i="113"/>
  <c r="E6227" i="113"/>
  <c r="E6235" i="113"/>
  <c r="E6243" i="113"/>
  <c r="E6251" i="113"/>
  <c r="E6259" i="113"/>
  <c r="E6267" i="113"/>
  <c r="E6275" i="113"/>
  <c r="E6283" i="113"/>
  <c r="E6291" i="113"/>
  <c r="E6299" i="113"/>
  <c r="E6307" i="113"/>
  <c r="E6315" i="113"/>
  <c r="E6323" i="113"/>
  <c r="E6331" i="113"/>
  <c r="E6339" i="113"/>
  <c r="E6347" i="113"/>
  <c r="E6355" i="113"/>
  <c r="E6363" i="113"/>
  <c r="E6371" i="113"/>
  <c r="E6379" i="113"/>
  <c r="E6387" i="113"/>
  <c r="E6395" i="113"/>
  <c r="E6403" i="113"/>
  <c r="E6411" i="113"/>
  <c r="E6419" i="113"/>
  <c r="E6427" i="113"/>
  <c r="E6435" i="113"/>
  <c r="E6443" i="113"/>
  <c r="E6451" i="113"/>
  <c r="E6459" i="113"/>
  <c r="E6467" i="113"/>
  <c r="E6475" i="113"/>
  <c r="E6483" i="113"/>
  <c r="E6491" i="113"/>
  <c r="E6499" i="113"/>
  <c r="E6507" i="113"/>
  <c r="E6515" i="113"/>
  <c r="E6523" i="113"/>
  <c r="E6531" i="113"/>
  <c r="E6539" i="113"/>
  <c r="E6547" i="113"/>
  <c r="E6555" i="113"/>
  <c r="E6563" i="113"/>
  <c r="E6571" i="113"/>
  <c r="E6579" i="113"/>
  <c r="E6587" i="113"/>
  <c r="E6595" i="113"/>
  <c r="E6603" i="113"/>
  <c r="E6611" i="113"/>
  <c r="E6619" i="113"/>
  <c r="E6627" i="113"/>
  <c r="E6635" i="113"/>
  <c r="E6643" i="113"/>
  <c r="E6651" i="113"/>
  <c r="E6659" i="113"/>
  <c r="E6667" i="113"/>
  <c r="E6675" i="113"/>
  <c r="E6683" i="113"/>
  <c r="E6691" i="113"/>
  <c r="E6699" i="113"/>
  <c r="E6707" i="113"/>
  <c r="E6715" i="113"/>
  <c r="E6723" i="113"/>
  <c r="E6731" i="113"/>
  <c r="E6739" i="113"/>
  <c r="E6747" i="113"/>
  <c r="E6752" i="113"/>
  <c r="E6757" i="113"/>
  <c r="E6763" i="113"/>
  <c r="E6768" i="113"/>
  <c r="E6773" i="113"/>
  <c r="E6779" i="113"/>
  <c r="E6784" i="113"/>
  <c r="E6789" i="113"/>
  <c r="E6795" i="113"/>
  <c r="E6800" i="113"/>
  <c r="E6805" i="113"/>
  <c r="E6811" i="113"/>
  <c r="E6816" i="113"/>
  <c r="E6821" i="113"/>
  <c r="E6827" i="113"/>
  <c r="E6832" i="113"/>
  <c r="E6837" i="113"/>
  <c r="E6843" i="113"/>
  <c r="E6848" i="113"/>
  <c r="E6853" i="113"/>
  <c r="E6859" i="113"/>
  <c r="E6864" i="113"/>
  <c r="E6869" i="113"/>
  <c r="E6875" i="113"/>
  <c r="E6880" i="113"/>
  <c r="E6885" i="113"/>
  <c r="E6891" i="113"/>
  <c r="E6896" i="113"/>
  <c r="E6901" i="113"/>
  <c r="E6907" i="113"/>
  <c r="E6911" i="113"/>
  <c r="E6915" i="113"/>
  <c r="E6919" i="113"/>
  <c r="E6923" i="113"/>
  <c r="E6927" i="113"/>
  <c r="E6931" i="113"/>
  <c r="E6935" i="113"/>
  <c r="E6939" i="113"/>
  <c r="E6943" i="113"/>
  <c r="E6947" i="113"/>
  <c r="E6951" i="113"/>
  <c r="E6955" i="113"/>
  <c r="E6959" i="113"/>
  <c r="E6963" i="113"/>
  <c r="E6967" i="113"/>
  <c r="E6971" i="113"/>
  <c r="E6975" i="113"/>
  <c r="E6979" i="113"/>
  <c r="E6983" i="113"/>
  <c r="E6987" i="113"/>
  <c r="E6991" i="113"/>
  <c r="E6995" i="113"/>
  <c r="E6999" i="113"/>
  <c r="E7003" i="113"/>
  <c r="E7007" i="113"/>
  <c r="E7011" i="113"/>
  <c r="E7015" i="113"/>
  <c r="E7019" i="113"/>
  <c r="E7023" i="113"/>
  <c r="E7027" i="113"/>
  <c r="E7031" i="113"/>
  <c r="E7035" i="113"/>
  <c r="E7039" i="113"/>
  <c r="E7043" i="113"/>
  <c r="E7047" i="113"/>
  <c r="E7051" i="113"/>
  <c r="E7055" i="113"/>
  <c r="E7059" i="113"/>
  <c r="E7063" i="113"/>
  <c r="E7067" i="113"/>
  <c r="E7071" i="113"/>
  <c r="E7075" i="113"/>
  <c r="E7079" i="113"/>
  <c r="E7083" i="113"/>
  <c r="E7087" i="113"/>
  <c r="E7091" i="113"/>
  <c r="E7095" i="113"/>
  <c r="E7099" i="113"/>
  <c r="E7103" i="113"/>
  <c r="E7107" i="113"/>
  <c r="E7111" i="113"/>
  <c r="E7115" i="113"/>
  <c r="E7119" i="113"/>
  <c r="E7123" i="113"/>
  <c r="E7127" i="113"/>
  <c r="E7131" i="113"/>
  <c r="E7135" i="113"/>
  <c r="E7139" i="113"/>
  <c r="E7143" i="113"/>
  <c r="E7147" i="113"/>
  <c r="E7151" i="113"/>
  <c r="E7155" i="113"/>
  <c r="E7159" i="113"/>
  <c r="E7163" i="113"/>
  <c r="E7167" i="113"/>
  <c r="E7171" i="113"/>
  <c r="E7175" i="113"/>
  <c r="E7179" i="113"/>
  <c r="E7183" i="113"/>
  <c r="E7187" i="113"/>
  <c r="E7191" i="113"/>
  <c r="E7195" i="113"/>
  <c r="E7199" i="113"/>
  <c r="E7203" i="113"/>
  <c r="E7207" i="113"/>
  <c r="E7211" i="113"/>
  <c r="E7215" i="113"/>
  <c r="E7219" i="113"/>
  <c r="E7223" i="113"/>
  <c r="E7227" i="113"/>
  <c r="E7231" i="113"/>
  <c r="E7235" i="113"/>
  <c r="E7239" i="113"/>
  <c r="E7243" i="113"/>
  <c r="E7247" i="113"/>
  <c r="E7251" i="113"/>
  <c r="E7255" i="113"/>
  <c r="E7259" i="113"/>
  <c r="E7263" i="113"/>
  <c r="E7267" i="113"/>
  <c r="E7271" i="113"/>
  <c r="E7275" i="113"/>
  <c r="E7279" i="113"/>
  <c r="E7283" i="113"/>
  <c r="E7287" i="113"/>
  <c r="E7291" i="113"/>
  <c r="E7295" i="113"/>
  <c r="E7299" i="113"/>
  <c r="E7303" i="113"/>
  <c r="E7307" i="113"/>
  <c r="E7311" i="113"/>
  <c r="E7315" i="113"/>
  <c r="E7319" i="113"/>
  <c r="E7323" i="113"/>
  <c r="E7327" i="113"/>
  <c r="E7331" i="113"/>
  <c r="E7335" i="113"/>
  <c r="E7339" i="113"/>
  <c r="E7343" i="113"/>
  <c r="E7347" i="113"/>
  <c r="E7351" i="113"/>
  <c r="E7355" i="113"/>
  <c r="E7359" i="113"/>
  <c r="E7363" i="113"/>
  <c r="E7367" i="113"/>
  <c r="E7371" i="113"/>
  <c r="E7375" i="113"/>
  <c r="E7379" i="113"/>
  <c r="E7383" i="113"/>
  <c r="E7387" i="113"/>
  <c r="E7391" i="113"/>
  <c r="E7395" i="113"/>
  <c r="E7399" i="113"/>
  <c r="E7403" i="113"/>
  <c r="E7407" i="113"/>
  <c r="E7411" i="113"/>
  <c r="E7415" i="113"/>
  <c r="E7419" i="113"/>
  <c r="E7423" i="113"/>
  <c r="E7427" i="113"/>
  <c r="E7431" i="113"/>
  <c r="E7435" i="113"/>
  <c r="E7439" i="113"/>
  <c r="E7443" i="113"/>
  <c r="E7447" i="113"/>
  <c r="E7451" i="113"/>
  <c r="E7455" i="113"/>
  <c r="E7459" i="113"/>
  <c r="E7463" i="113"/>
  <c r="E7467" i="113"/>
  <c r="E7471" i="113"/>
  <c r="E7475" i="113"/>
  <c r="E7479" i="113"/>
  <c r="E7483" i="113"/>
  <c r="E7487" i="113"/>
  <c r="E7491" i="113"/>
  <c r="E7495" i="113"/>
  <c r="E7499" i="113"/>
  <c r="E7503" i="113"/>
  <c r="E7507" i="113"/>
  <c r="E7511" i="113"/>
  <c r="E7515" i="113"/>
  <c r="E7519" i="113"/>
  <c r="E7523" i="113"/>
  <c r="E7527" i="113"/>
  <c r="E7531" i="113"/>
  <c r="E7535" i="113"/>
  <c r="E7539" i="113"/>
  <c r="E7543" i="113"/>
  <c r="E7547" i="113"/>
  <c r="E7551" i="113"/>
  <c r="E7555" i="113"/>
  <c r="E7559" i="113"/>
  <c r="E7563" i="113"/>
  <c r="E7567" i="113"/>
  <c r="E7571" i="113"/>
  <c r="E7575" i="113"/>
  <c r="E7579" i="113"/>
  <c r="E7583" i="113"/>
  <c r="E7587" i="113"/>
  <c r="E7591" i="113"/>
  <c r="E7595" i="113"/>
  <c r="E7599" i="113"/>
  <c r="E7603" i="113"/>
  <c r="E7607" i="113"/>
  <c r="E7611" i="113"/>
  <c r="E7615" i="113"/>
  <c r="E7619" i="113"/>
  <c r="E7623" i="113"/>
  <c r="E7627" i="113"/>
  <c r="E7631" i="113"/>
  <c r="E7635" i="113"/>
  <c r="E7639" i="113"/>
  <c r="E7643" i="113"/>
  <c r="E7647" i="113"/>
  <c r="E7651" i="113"/>
  <c r="E7655" i="113"/>
  <c r="E7659" i="113"/>
  <c r="E7663" i="113"/>
  <c r="E7667" i="113"/>
  <c r="E7671" i="113"/>
  <c r="E7675" i="113"/>
  <c r="E7679" i="113"/>
  <c r="E7683" i="113"/>
  <c r="E7687" i="113"/>
  <c r="E7691" i="113"/>
  <c r="E7695" i="113"/>
  <c r="E7699" i="113"/>
  <c r="E7703" i="113"/>
  <c r="E7707" i="113"/>
  <c r="E7711" i="113"/>
  <c r="E7715" i="113"/>
  <c r="E7719" i="113"/>
  <c r="E7723" i="113"/>
  <c r="E7727" i="113"/>
  <c r="E7731" i="113"/>
  <c r="E7735" i="113"/>
  <c r="E7739" i="113"/>
  <c r="E7743" i="113"/>
  <c r="E7747" i="113"/>
  <c r="E7751" i="113"/>
  <c r="E7755" i="113"/>
  <c r="E7759" i="113"/>
  <c r="E7763" i="113"/>
  <c r="E7767" i="113"/>
  <c r="E7771" i="113"/>
  <c r="E7775" i="113"/>
  <c r="E7779" i="113"/>
  <c r="E7783" i="113"/>
  <c r="E7787" i="113"/>
  <c r="E7791" i="113"/>
  <c r="E7795" i="113"/>
  <c r="E7799" i="113"/>
  <c r="E7803" i="113"/>
  <c r="E7807" i="113"/>
  <c r="E7811" i="113"/>
  <c r="E7815" i="113"/>
  <c r="E7819" i="113"/>
  <c r="E7823" i="113"/>
  <c r="E7827" i="113"/>
  <c r="E7831" i="113"/>
  <c r="E7835" i="113"/>
  <c r="E7839" i="113"/>
  <c r="E7843" i="113"/>
  <c r="E7847" i="113"/>
  <c r="E7851" i="113"/>
  <c r="E7855" i="113"/>
  <c r="E7859" i="113"/>
  <c r="E7863" i="113"/>
  <c r="E7867" i="113"/>
  <c r="E7871" i="113"/>
  <c r="E7875" i="113"/>
  <c r="E7879" i="113"/>
  <c r="E7883" i="113"/>
  <c r="E7887" i="113"/>
  <c r="E7891" i="113"/>
  <c r="E7895" i="113"/>
  <c r="E7899" i="113"/>
  <c r="E7903" i="113"/>
  <c r="E7907" i="113"/>
  <c r="E7911" i="113"/>
  <c r="E7915" i="113"/>
  <c r="E7919" i="113"/>
  <c r="E7923" i="113"/>
  <c r="E7927" i="113"/>
  <c r="E7931" i="113"/>
  <c r="E7935" i="113"/>
  <c r="E7939" i="113"/>
  <c r="E7943" i="113"/>
  <c r="E7947" i="113"/>
  <c r="E7951" i="113"/>
  <c r="E7955" i="113"/>
  <c r="E7959" i="113"/>
  <c r="E7963" i="113"/>
  <c r="E7967" i="113"/>
  <c r="E7971" i="113"/>
  <c r="E7975" i="113"/>
  <c r="E7979" i="113"/>
  <c r="E7983" i="113"/>
  <c r="E7987" i="113"/>
  <c r="E7991" i="113"/>
  <c r="E7995" i="113"/>
  <c r="E7999" i="113"/>
  <c r="E8003" i="113"/>
  <c r="E8007" i="113"/>
  <c r="E8011" i="113"/>
  <c r="E8015" i="113"/>
  <c r="E8019" i="113"/>
  <c r="E8023" i="113"/>
  <c r="E8027" i="113"/>
  <c r="E8031" i="113"/>
  <c r="E8035" i="113"/>
  <c r="E8039" i="113"/>
  <c r="E8043" i="113"/>
  <c r="E8047" i="113"/>
  <c r="E8051" i="113"/>
  <c r="E8055" i="113"/>
  <c r="E8059" i="113"/>
  <c r="E8063" i="113"/>
  <c r="E8067" i="113"/>
  <c r="E8071" i="113"/>
  <c r="E8075" i="113"/>
  <c r="E8079" i="113"/>
  <c r="E8083" i="113"/>
  <c r="E8087" i="113"/>
  <c r="E8091" i="113"/>
  <c r="E8095" i="113"/>
  <c r="E8099" i="113"/>
  <c r="E8103" i="113"/>
  <c r="E8107" i="113"/>
  <c r="E8111" i="113"/>
  <c r="E8115" i="113"/>
  <c r="E8119" i="113"/>
  <c r="E8123" i="113"/>
  <c r="E8127" i="113"/>
  <c r="E8131" i="113"/>
  <c r="E8135" i="113"/>
  <c r="E8139" i="113"/>
  <c r="E8143" i="113"/>
  <c r="E8147" i="113"/>
  <c r="E8151" i="113"/>
  <c r="E8155" i="113"/>
  <c r="E8159" i="113"/>
  <c r="E8163" i="113"/>
  <c r="E8167" i="113"/>
  <c r="E8171" i="113"/>
  <c r="E8175" i="113"/>
  <c r="E8179" i="113"/>
  <c r="E8183" i="113"/>
  <c r="E8187" i="113"/>
  <c r="E8191" i="113"/>
  <c r="E8195" i="113"/>
  <c r="E8199" i="113"/>
  <c r="E8203" i="113"/>
  <c r="E8207" i="113"/>
  <c r="E8211" i="113"/>
  <c r="E8215" i="113"/>
  <c r="E8219" i="113"/>
  <c r="E8223" i="113"/>
  <c r="E8227" i="113"/>
  <c r="E8231" i="113"/>
  <c r="E8235" i="113"/>
  <c r="E8239" i="113"/>
  <c r="E8243" i="113"/>
  <c r="E8247" i="113"/>
  <c r="E8251" i="113"/>
  <c r="E8255" i="113"/>
  <c r="E8259" i="113"/>
  <c r="E8263" i="113"/>
  <c r="E8267" i="113"/>
  <c r="E8271" i="113"/>
  <c r="E8275" i="113"/>
  <c r="E8279" i="113"/>
  <c r="E8283" i="113"/>
  <c r="E8287" i="113"/>
  <c r="E8291" i="113"/>
  <c r="E8295" i="113"/>
  <c r="E8299" i="113"/>
  <c r="E8303" i="113"/>
  <c r="E8307" i="113"/>
  <c r="E8311" i="113"/>
  <c r="E8315" i="113"/>
  <c r="E8319" i="113"/>
  <c r="E8323" i="113"/>
  <c r="E8327" i="113"/>
  <c r="E8331" i="113"/>
  <c r="E8335" i="113"/>
  <c r="E8339" i="113"/>
  <c r="E8343" i="113"/>
  <c r="E8347" i="113"/>
  <c r="E8351" i="113"/>
  <c r="E8355" i="113"/>
  <c r="E8359" i="113"/>
  <c r="E8363" i="113"/>
  <c r="E8367" i="113"/>
  <c r="E8371" i="113"/>
  <c r="E8375" i="113"/>
  <c r="E8379" i="113"/>
  <c r="E8383" i="113"/>
  <c r="E8387" i="113"/>
  <c r="E8391" i="113"/>
  <c r="E8395" i="113"/>
  <c r="E8399" i="113"/>
  <c r="E8403" i="113"/>
  <c r="E8407" i="113"/>
  <c r="E8411" i="113"/>
  <c r="E8415" i="113"/>
  <c r="E8419" i="113"/>
  <c r="E8423" i="113"/>
  <c r="E8427" i="113"/>
  <c r="E8431" i="113"/>
  <c r="E8435" i="113"/>
  <c r="E8439" i="113"/>
  <c r="E8443" i="113"/>
  <c r="E8447" i="113"/>
  <c r="E8451" i="113"/>
  <c r="E8455" i="113"/>
  <c r="E8459" i="113"/>
  <c r="E8463" i="113"/>
  <c r="E8467" i="113"/>
  <c r="E8471" i="113"/>
  <c r="E8475" i="113"/>
  <c r="E8479" i="113"/>
  <c r="E8483" i="113"/>
  <c r="E8487" i="113"/>
  <c r="E8491" i="113"/>
  <c r="E8495" i="113"/>
  <c r="E8499" i="113"/>
  <c r="E8503" i="113"/>
  <c r="E8507" i="113"/>
  <c r="E8511" i="113"/>
  <c r="E8515" i="113"/>
  <c r="E8519" i="113"/>
  <c r="E8523" i="113"/>
  <c r="E8527" i="113"/>
  <c r="E8531" i="113"/>
  <c r="E8535" i="113"/>
  <c r="E8539" i="113"/>
  <c r="E8543" i="113"/>
  <c r="E8547" i="113"/>
  <c r="E8551" i="113"/>
  <c r="E8555" i="113"/>
  <c r="E8559" i="113"/>
  <c r="E8563" i="113"/>
  <c r="E8567" i="113"/>
  <c r="E8571" i="113"/>
  <c r="E8575" i="113"/>
  <c r="E8579" i="113"/>
  <c r="E8583" i="113"/>
  <c r="E8587" i="113"/>
  <c r="E8591" i="113"/>
  <c r="E8595" i="113"/>
  <c r="E8599" i="113"/>
  <c r="E8603" i="113"/>
  <c r="E8607" i="113"/>
  <c r="E8611" i="113"/>
  <c r="E8615" i="113"/>
  <c r="E8619" i="113"/>
  <c r="E8623" i="113"/>
  <c r="E8627" i="113"/>
  <c r="E8631" i="113"/>
  <c r="E8635" i="113"/>
  <c r="E8639" i="113"/>
  <c r="E8643" i="113"/>
  <c r="E8647" i="113"/>
  <c r="E8651" i="113"/>
  <c r="E8655" i="113"/>
  <c r="E8659" i="113"/>
  <c r="E8663" i="113"/>
  <c r="E8667" i="113"/>
  <c r="E8671" i="113"/>
  <c r="E8675" i="113"/>
  <c r="E8679" i="113"/>
  <c r="E8683" i="113"/>
  <c r="E8687" i="113"/>
  <c r="E8691" i="113"/>
  <c r="E8695" i="113"/>
  <c r="E8699" i="113"/>
  <c r="E8703" i="113"/>
  <c r="E8707" i="113"/>
  <c r="E8711" i="113"/>
  <c r="E8715" i="113"/>
  <c r="E8719" i="113"/>
  <c r="E8723" i="113"/>
  <c r="E8727" i="113"/>
  <c r="E8731" i="113"/>
  <c r="E8735" i="113"/>
  <c r="E8739" i="113"/>
  <c r="E8743" i="113"/>
  <c r="E8747" i="113"/>
  <c r="E8751" i="113"/>
  <c r="E8755" i="113"/>
  <c r="E8759" i="113"/>
  <c r="E8763" i="113"/>
  <c r="E8767" i="113"/>
  <c r="E8771" i="113"/>
  <c r="E8775" i="113"/>
  <c r="E8779" i="113"/>
  <c r="E8783" i="113"/>
  <c r="E8787" i="113"/>
  <c r="E8791" i="113"/>
  <c r="E8795" i="113"/>
  <c r="E8799" i="113"/>
  <c r="E8803" i="113"/>
  <c r="E8807" i="113"/>
  <c r="E8811" i="113"/>
  <c r="E8815" i="113"/>
  <c r="E8819" i="113"/>
  <c r="E8823" i="113"/>
  <c r="E2740" i="113"/>
  <c r="E3400" i="113"/>
  <c r="E3548" i="113"/>
  <c r="E3676" i="113"/>
  <c r="E3804" i="113"/>
  <c r="E3932" i="113"/>
  <c r="E4060" i="113"/>
  <c r="E4188" i="113"/>
  <c r="E4297" i="113"/>
  <c r="E4382" i="113"/>
  <c r="E4446" i="113"/>
  <c r="E4510" i="113"/>
  <c r="E4571" i="113"/>
  <c r="E4603" i="113"/>
  <c r="E4635" i="113"/>
  <c r="E4667" i="113"/>
  <c r="E4699" i="113"/>
  <c r="E4731" i="113"/>
  <c r="E4763" i="113"/>
  <c r="E4795" i="113"/>
  <c r="E4827" i="113"/>
  <c r="E4859" i="113"/>
  <c r="E4891" i="113"/>
  <c r="E4923" i="113"/>
  <c r="E4955" i="113"/>
  <c r="E4987" i="113"/>
  <c r="E5019" i="113"/>
  <c r="E5051" i="113"/>
  <c r="E5083" i="113"/>
  <c r="E5115" i="113"/>
  <c r="E5144" i="113"/>
  <c r="E5166" i="113"/>
  <c r="E5187" i="113"/>
  <c r="E5208" i="113"/>
  <c r="E5230" i="113"/>
  <c r="E5251" i="113"/>
  <c r="E5271" i="113"/>
  <c r="E5287" i="113"/>
  <c r="E5303" i="113"/>
  <c r="E5319" i="113"/>
  <c r="E5335" i="113"/>
  <c r="E5351" i="113"/>
  <c r="E5367" i="113"/>
  <c r="E5383" i="113"/>
  <c r="E5399" i="113"/>
  <c r="E5415" i="113"/>
  <c r="E5431" i="113"/>
  <c r="E5447" i="113"/>
  <c r="E5463" i="113"/>
  <c r="E5479" i="113"/>
  <c r="E5495" i="113"/>
  <c r="E5511" i="113"/>
  <c r="E5527" i="113"/>
  <c r="E5543" i="113"/>
  <c r="E5559" i="113"/>
  <c r="E5575" i="113"/>
  <c r="E5591" i="113"/>
  <c r="E5607" i="113"/>
  <c r="E5623" i="113"/>
  <c r="E5639" i="113"/>
  <c r="E5655" i="113"/>
  <c r="E5671" i="113"/>
  <c r="E5687" i="113"/>
  <c r="E5703" i="113"/>
  <c r="E5719" i="113"/>
  <c r="E5735" i="113"/>
  <c r="E5751" i="113"/>
  <c r="E5767" i="113"/>
  <c r="E5783" i="113"/>
  <c r="E5799" i="113"/>
  <c r="E5815" i="113"/>
  <c r="E5831" i="113"/>
  <c r="E5847" i="113"/>
  <c r="E5863" i="113"/>
  <c r="E5879" i="113"/>
  <c r="E5895" i="113"/>
  <c r="E5911" i="113"/>
  <c r="E5927" i="113"/>
  <c r="E5943" i="113"/>
  <c r="E5959" i="113"/>
  <c r="E5975" i="113"/>
  <c r="E5991" i="113"/>
  <c r="E6007" i="113"/>
  <c r="E6023" i="113"/>
  <c r="E6039" i="113"/>
  <c r="E6052" i="113"/>
  <c r="E6060" i="113"/>
  <c r="E6068" i="113"/>
  <c r="E6076" i="113"/>
  <c r="E6084" i="113"/>
  <c r="E6092" i="113"/>
  <c r="E6100" i="113"/>
  <c r="E6108" i="113"/>
  <c r="E6116" i="113"/>
  <c r="E6124" i="113"/>
  <c r="E6132" i="113"/>
  <c r="E6140" i="113"/>
  <c r="E6148" i="113"/>
  <c r="E6156" i="113"/>
  <c r="E6164" i="113"/>
  <c r="E6172" i="113"/>
  <c r="E6180" i="113"/>
  <c r="E6188" i="113"/>
  <c r="E6196" i="113"/>
  <c r="E6204" i="113"/>
  <c r="E6212" i="113"/>
  <c r="E6220" i="113"/>
  <c r="E6228" i="113"/>
  <c r="E6236" i="113"/>
  <c r="E6244" i="113"/>
  <c r="E6252" i="113"/>
  <c r="E6260" i="113"/>
  <c r="E6268" i="113"/>
  <c r="E6276" i="113"/>
  <c r="E6284" i="113"/>
  <c r="E6292" i="113"/>
  <c r="E6300" i="113"/>
  <c r="E6308" i="113"/>
  <c r="E6316" i="113"/>
  <c r="E6324" i="113"/>
  <c r="E6332" i="113"/>
  <c r="E6340" i="113"/>
  <c r="E6348" i="113"/>
  <c r="E6356" i="113"/>
  <c r="E6364" i="113"/>
  <c r="E6372" i="113"/>
  <c r="E6380" i="113"/>
  <c r="E6388" i="113"/>
  <c r="E6396" i="113"/>
  <c r="E6404" i="113"/>
  <c r="E6412" i="113"/>
  <c r="E6420" i="113"/>
  <c r="E6428" i="113"/>
  <c r="E6436" i="113"/>
  <c r="E6444" i="113"/>
  <c r="E6452" i="113"/>
  <c r="E6460" i="113"/>
  <c r="E6468" i="113"/>
  <c r="E6476" i="113"/>
  <c r="E6484" i="113"/>
  <c r="E6492" i="113"/>
  <c r="E6500" i="113"/>
  <c r="E6508" i="113"/>
  <c r="E6516" i="113"/>
  <c r="E6524" i="113"/>
  <c r="E6532" i="113"/>
  <c r="E6540" i="113"/>
  <c r="E6548" i="113"/>
  <c r="E6556" i="113"/>
  <c r="E6564" i="113"/>
  <c r="E6572" i="113"/>
  <c r="E6580" i="113"/>
  <c r="E6588" i="113"/>
  <c r="E6596" i="113"/>
  <c r="E6604" i="113"/>
  <c r="E6612" i="113"/>
  <c r="E6620" i="113"/>
  <c r="E6628" i="113"/>
  <c r="E6636" i="113"/>
  <c r="E6644" i="113"/>
  <c r="E6652" i="113"/>
  <c r="E6660" i="113"/>
  <c r="E6668" i="113"/>
  <c r="E6676" i="113"/>
  <c r="E6684" i="113"/>
  <c r="E6692" i="113"/>
  <c r="E6700" i="113"/>
  <c r="E6708" i="113"/>
  <c r="E6716" i="113"/>
  <c r="E6724" i="113"/>
  <c r="E6732" i="113"/>
  <c r="E6740" i="113"/>
  <c r="E6748" i="113"/>
  <c r="E6753" i="113"/>
  <c r="E6759" i="113"/>
  <c r="E6764" i="113"/>
  <c r="E6769" i="113"/>
  <c r="E6775" i="113"/>
  <c r="E6780" i="113"/>
  <c r="E6785" i="113"/>
  <c r="E6791" i="113"/>
  <c r="E6796" i="113"/>
  <c r="E6801" i="113"/>
  <c r="E6807" i="113"/>
  <c r="E6812" i="113"/>
  <c r="E6817" i="113"/>
  <c r="E6823" i="113"/>
  <c r="E6828" i="113"/>
  <c r="E6833" i="113"/>
  <c r="E6839" i="113"/>
  <c r="E6844" i="113"/>
  <c r="E6849" i="113"/>
  <c r="E6855" i="113"/>
  <c r="E6860" i="113"/>
  <c r="E6865" i="113"/>
  <c r="E6871" i="113"/>
  <c r="E6876" i="113"/>
  <c r="E6881" i="113"/>
  <c r="E6887" i="113"/>
  <c r="E6892" i="113"/>
  <c r="E6897" i="113"/>
  <c r="E6903" i="113"/>
  <c r="E6908" i="113"/>
  <c r="E6912" i="113"/>
  <c r="E6916" i="113"/>
  <c r="E6920" i="113"/>
  <c r="E6924" i="113"/>
  <c r="E6928" i="113"/>
  <c r="E6932" i="113"/>
  <c r="E6936" i="113"/>
  <c r="E6940" i="113"/>
  <c r="E6944" i="113"/>
  <c r="E6948" i="113"/>
  <c r="E6952" i="113"/>
  <c r="E6956" i="113"/>
  <c r="E6960" i="113"/>
  <c r="E6964" i="113"/>
  <c r="E6968" i="113"/>
  <c r="E6972" i="113"/>
  <c r="E6976" i="113"/>
  <c r="E6980" i="113"/>
  <c r="E6984" i="113"/>
  <c r="E6988" i="113"/>
  <c r="E6992" i="113"/>
  <c r="E6996" i="113"/>
  <c r="E7000" i="113"/>
  <c r="E7004" i="113"/>
  <c r="E7008" i="113"/>
  <c r="E7012" i="113"/>
  <c r="E7016" i="113"/>
  <c r="E7020" i="113"/>
  <c r="E7024" i="113"/>
  <c r="E7028" i="113"/>
  <c r="E7032" i="113"/>
  <c r="E7036" i="113"/>
  <c r="E7040" i="113"/>
  <c r="E7044" i="113"/>
  <c r="E7048" i="113"/>
  <c r="E7052" i="113"/>
  <c r="E7056" i="113"/>
  <c r="E7060" i="113"/>
  <c r="E7064" i="113"/>
  <c r="E7068" i="113"/>
  <c r="E7072" i="113"/>
  <c r="E7076" i="113"/>
  <c r="E7080" i="113"/>
  <c r="E7084" i="113"/>
  <c r="E7088" i="113"/>
  <c r="E7092" i="113"/>
  <c r="E7096" i="113"/>
  <c r="E7100" i="113"/>
  <c r="E7104" i="113"/>
  <c r="E7108" i="113"/>
  <c r="E7112" i="113"/>
  <c r="E7116" i="113"/>
  <c r="E7120" i="113"/>
  <c r="E7124" i="113"/>
  <c r="E7128" i="113"/>
  <c r="E7132" i="113"/>
  <c r="E7136" i="113"/>
  <c r="E7140" i="113"/>
  <c r="E7144" i="113"/>
  <c r="E7148" i="113"/>
  <c r="E7152" i="113"/>
  <c r="E7156" i="113"/>
  <c r="E7160" i="113"/>
  <c r="E7164" i="113"/>
  <c r="E7168" i="113"/>
  <c r="E7172" i="113"/>
  <c r="E7176" i="113"/>
  <c r="E7180" i="113"/>
  <c r="E7184" i="113"/>
  <c r="E7188" i="113"/>
  <c r="E7192" i="113"/>
  <c r="E7196" i="113"/>
  <c r="E7200" i="113"/>
  <c r="E7204" i="113"/>
  <c r="E7208" i="113"/>
  <c r="E7212" i="113"/>
  <c r="E7216" i="113"/>
  <c r="E7220" i="113"/>
  <c r="E7224" i="113"/>
  <c r="E7228" i="113"/>
  <c r="E7232" i="113"/>
  <c r="E7236" i="113"/>
  <c r="E7240" i="113"/>
  <c r="E7244" i="113"/>
  <c r="E7248" i="113"/>
  <c r="E7252" i="113"/>
  <c r="E7256" i="113"/>
  <c r="E7260" i="113"/>
  <c r="E7264" i="113"/>
  <c r="E7268" i="113"/>
  <c r="E7272" i="113"/>
  <c r="E7276" i="113"/>
  <c r="E7280" i="113"/>
  <c r="E7284" i="113"/>
  <c r="E7288" i="113"/>
  <c r="E7292" i="113"/>
  <c r="E7296" i="113"/>
  <c r="E7300" i="113"/>
  <c r="E7304" i="113"/>
  <c r="E7308" i="113"/>
  <c r="E7312" i="113"/>
  <c r="E7316" i="113"/>
  <c r="E7320" i="113"/>
  <c r="E7324" i="113"/>
  <c r="E7328" i="113"/>
  <c r="E7332" i="113"/>
  <c r="E7336" i="113"/>
  <c r="E7340" i="113"/>
  <c r="E7344" i="113"/>
  <c r="E7348" i="113"/>
  <c r="E7352" i="113"/>
  <c r="E7356" i="113"/>
  <c r="E7360" i="113"/>
  <c r="E7364" i="113"/>
  <c r="E7368" i="113"/>
  <c r="E7372" i="113"/>
  <c r="E7376" i="113"/>
  <c r="E7380" i="113"/>
  <c r="E7384" i="113"/>
  <c r="E7388" i="113"/>
  <c r="E7392" i="113"/>
  <c r="E7396" i="113"/>
  <c r="E7400" i="113"/>
  <c r="E7404" i="113"/>
  <c r="E7408" i="113"/>
  <c r="E7412" i="113"/>
  <c r="E7416" i="113"/>
  <c r="E7420" i="113"/>
  <c r="E7424" i="113"/>
  <c r="E7428" i="113"/>
  <c r="E7432" i="113"/>
  <c r="E7436" i="113"/>
  <c r="E7440" i="113"/>
  <c r="E7444" i="113"/>
  <c r="E7448" i="113"/>
  <c r="E7452" i="113"/>
  <c r="E7456" i="113"/>
  <c r="E7460" i="113"/>
  <c r="E7464" i="113"/>
  <c r="E7468" i="113"/>
  <c r="E7472" i="113"/>
  <c r="E7476" i="113"/>
  <c r="E7480" i="113"/>
  <c r="E7484" i="113"/>
  <c r="E7488" i="113"/>
  <c r="E7492" i="113"/>
  <c r="E7496" i="113"/>
  <c r="E7500" i="113"/>
  <c r="E7504" i="113"/>
  <c r="E7508" i="113"/>
  <c r="E7512" i="113"/>
  <c r="E7516" i="113"/>
  <c r="E7520" i="113"/>
  <c r="E7524" i="113"/>
  <c r="E7528" i="113"/>
  <c r="E7532" i="113"/>
  <c r="E7536" i="113"/>
  <c r="E7540" i="113"/>
  <c r="E7544" i="113"/>
  <c r="E7548" i="113"/>
  <c r="E7552" i="113"/>
  <c r="E7556" i="113"/>
  <c r="E7560" i="113"/>
  <c r="E7564" i="113"/>
  <c r="E7568" i="113"/>
  <c r="E7572" i="113"/>
  <c r="E7576" i="113"/>
  <c r="E7580" i="113"/>
  <c r="E7584" i="113"/>
  <c r="E7588" i="113"/>
  <c r="E7592" i="113"/>
  <c r="E7596" i="113"/>
  <c r="E7600" i="113"/>
  <c r="E7604" i="113"/>
  <c r="E7608" i="113"/>
  <c r="E7612" i="113"/>
  <c r="E7616" i="113"/>
  <c r="E7620" i="113"/>
  <c r="E7624" i="113"/>
  <c r="E7628" i="113"/>
  <c r="E7632" i="113"/>
  <c r="E7636" i="113"/>
  <c r="E7640" i="113"/>
  <c r="E7644" i="113"/>
  <c r="E7648" i="113"/>
  <c r="E7652" i="113"/>
  <c r="E7656" i="113"/>
  <c r="E7660" i="113"/>
  <c r="E7664" i="113"/>
  <c r="E7668" i="113"/>
  <c r="E7672" i="113"/>
  <c r="E7676" i="113"/>
  <c r="E7680" i="113"/>
  <c r="E7684" i="113"/>
  <c r="E7688" i="113"/>
  <c r="E7692" i="113"/>
  <c r="E7696" i="113"/>
  <c r="E7700" i="113"/>
  <c r="E7704" i="113"/>
  <c r="E7708" i="113"/>
  <c r="E7712" i="113"/>
  <c r="E7716" i="113"/>
  <c r="E7720" i="113"/>
  <c r="E7724" i="113"/>
  <c r="E7728" i="113"/>
  <c r="E7732" i="113"/>
  <c r="E7736" i="113"/>
  <c r="E7740" i="113"/>
  <c r="E7744" i="113"/>
  <c r="E7748" i="113"/>
  <c r="E7752" i="113"/>
  <c r="E7756" i="113"/>
  <c r="E7760" i="113"/>
  <c r="E7764" i="113"/>
  <c r="E7768" i="113"/>
  <c r="E7772" i="113"/>
  <c r="E7776" i="113"/>
  <c r="E7780" i="113"/>
  <c r="E7784" i="113"/>
  <c r="E7788" i="113"/>
  <c r="E7792" i="113"/>
  <c r="E7796" i="113"/>
  <c r="E7800" i="113"/>
  <c r="E7804" i="113"/>
  <c r="E7808" i="113"/>
  <c r="E7812" i="113"/>
  <c r="E7816" i="113"/>
  <c r="E7820" i="113"/>
  <c r="E7824" i="113"/>
  <c r="E7828" i="113"/>
  <c r="E7832" i="113"/>
  <c r="E7836" i="113"/>
  <c r="E7840" i="113"/>
  <c r="E7844" i="113"/>
  <c r="E7848" i="113"/>
  <c r="E7852" i="113"/>
  <c r="E7856" i="113"/>
  <c r="E7860" i="113"/>
  <c r="E7864" i="113"/>
  <c r="E7868" i="113"/>
  <c r="E7872" i="113"/>
  <c r="E7876" i="113"/>
  <c r="E7880" i="113"/>
  <c r="E7884" i="113"/>
  <c r="E7888" i="113"/>
  <c r="E7892" i="113"/>
  <c r="E7896" i="113"/>
  <c r="E7900" i="113"/>
  <c r="E7904" i="113"/>
  <c r="E7908" i="113"/>
  <c r="E7912" i="113"/>
  <c r="E7916" i="113"/>
  <c r="E7920" i="113"/>
  <c r="E7924" i="113"/>
  <c r="E7928" i="113"/>
  <c r="E7932" i="113"/>
  <c r="E7936" i="113"/>
  <c r="E7940" i="113"/>
  <c r="E7944" i="113"/>
  <c r="E7948" i="113"/>
  <c r="E7952" i="113"/>
  <c r="E7956" i="113"/>
  <c r="E7960" i="113"/>
  <c r="E7964" i="113"/>
  <c r="E7968" i="113"/>
  <c r="E7972" i="113"/>
  <c r="E7976" i="113"/>
  <c r="E7980" i="113"/>
  <c r="E7984" i="113"/>
  <c r="E7988" i="113"/>
  <c r="E7992" i="113"/>
  <c r="E7996" i="113"/>
  <c r="E8000" i="113"/>
  <c r="E8004" i="113"/>
  <c r="E8008" i="113"/>
  <c r="E8012" i="113"/>
  <c r="E8016" i="113"/>
  <c r="E8020" i="113"/>
  <c r="E8024" i="113"/>
  <c r="E8028" i="113"/>
  <c r="E8032" i="113"/>
  <c r="E8036" i="113"/>
  <c r="E8040" i="113"/>
  <c r="E8044" i="113"/>
  <c r="E8048" i="113"/>
  <c r="E8052" i="113"/>
  <c r="E8056" i="113"/>
  <c r="E8060" i="113"/>
  <c r="E8064" i="113"/>
  <c r="E8068" i="113"/>
  <c r="E8072" i="113"/>
  <c r="E8076" i="113"/>
  <c r="E8080" i="113"/>
  <c r="E8084" i="113"/>
  <c r="E8088" i="113"/>
  <c r="E8092" i="113"/>
  <c r="E8096" i="113"/>
  <c r="E8100" i="113"/>
  <c r="E8104" i="113"/>
  <c r="E8108" i="113"/>
  <c r="E8112" i="113"/>
  <c r="E8116" i="113"/>
  <c r="E8120" i="113"/>
  <c r="E8124" i="113"/>
  <c r="E8128" i="113"/>
  <c r="E8132" i="113"/>
  <c r="E8136" i="113"/>
  <c r="E8140" i="113"/>
  <c r="E8144" i="113"/>
  <c r="E8148" i="113"/>
  <c r="E8152" i="113"/>
  <c r="E8156" i="113"/>
  <c r="E8160" i="113"/>
  <c r="E8164" i="113"/>
  <c r="E8168" i="113"/>
  <c r="E8172" i="113"/>
  <c r="E8176" i="113"/>
  <c r="E8180" i="113"/>
  <c r="E8184" i="113"/>
  <c r="E8188" i="113"/>
  <c r="E8192" i="113"/>
  <c r="E8196" i="113"/>
  <c r="E8200" i="113"/>
  <c r="E8204" i="113"/>
  <c r="E8208" i="113"/>
  <c r="E8212" i="113"/>
  <c r="E8216" i="113"/>
  <c r="E8220" i="113"/>
  <c r="E8224" i="113"/>
  <c r="E8228" i="113"/>
  <c r="E8232" i="113"/>
  <c r="E8236" i="113"/>
  <c r="E8240" i="113"/>
  <c r="E8244" i="113"/>
  <c r="E8248" i="113"/>
  <c r="E8252" i="113"/>
  <c r="E8256" i="113"/>
  <c r="E8260" i="113"/>
  <c r="E8264" i="113"/>
  <c r="E8268" i="113"/>
  <c r="E8272" i="113"/>
  <c r="E8276" i="113"/>
  <c r="E8280" i="113"/>
  <c r="E8284" i="113"/>
  <c r="E8288" i="113"/>
  <c r="E8292" i="113"/>
  <c r="E8296" i="113"/>
  <c r="E8300" i="113"/>
  <c r="E8304" i="113"/>
  <c r="E8308" i="113"/>
  <c r="E8312" i="113"/>
  <c r="E8316" i="113"/>
  <c r="E8320" i="113"/>
  <c r="E8324" i="113"/>
  <c r="E8328" i="113"/>
  <c r="E8332" i="113"/>
  <c r="E8336" i="113"/>
  <c r="E8340" i="113"/>
  <c r="E8344" i="113"/>
  <c r="E8348" i="113"/>
  <c r="E8352" i="113"/>
  <c r="E8356" i="113"/>
  <c r="E8360" i="113"/>
  <c r="E8364" i="113"/>
  <c r="E8368" i="113"/>
  <c r="E8372" i="113"/>
  <c r="E8376" i="113"/>
  <c r="E8380" i="113"/>
  <c r="E8384" i="113"/>
  <c r="E8388" i="113"/>
  <c r="E8392" i="113"/>
  <c r="E8396" i="113"/>
  <c r="E8400" i="113"/>
  <c r="E8404" i="113"/>
  <c r="E8408" i="113"/>
  <c r="E8412" i="113"/>
  <c r="E8416" i="113"/>
  <c r="E8420" i="113"/>
  <c r="E8424" i="113"/>
  <c r="E8428" i="113"/>
  <c r="E8432" i="113"/>
  <c r="E8436" i="113"/>
  <c r="E8440" i="113"/>
  <c r="E8444" i="113"/>
  <c r="E8448" i="113"/>
  <c r="E8452" i="113"/>
  <c r="E8456" i="113"/>
  <c r="E8460" i="113"/>
  <c r="E8464" i="113"/>
  <c r="E8468" i="113"/>
  <c r="E8472" i="113"/>
  <c r="E8476" i="113"/>
  <c r="E8480" i="113"/>
  <c r="E8484" i="113"/>
  <c r="E8488" i="113"/>
  <c r="E8492" i="113"/>
  <c r="E8496" i="113"/>
  <c r="E8500" i="113"/>
  <c r="E8504" i="113"/>
  <c r="E8508" i="113"/>
  <c r="E8512" i="113"/>
  <c r="E8516" i="113"/>
  <c r="E8520" i="113"/>
  <c r="E8524" i="113"/>
  <c r="E8528" i="113"/>
  <c r="E8532" i="113"/>
  <c r="E8536" i="113"/>
  <c r="E8540" i="113"/>
  <c r="E8544" i="113"/>
  <c r="E8548" i="113"/>
  <c r="E8552" i="113"/>
  <c r="E8556" i="113"/>
  <c r="E8560" i="113"/>
  <c r="E8564" i="113"/>
  <c r="E8568" i="113"/>
  <c r="E8572" i="113"/>
  <c r="E8576" i="113"/>
  <c r="E8580" i="113"/>
  <c r="E8584" i="113"/>
  <c r="E8588" i="113"/>
  <c r="E8592" i="113"/>
  <c r="E8596" i="113"/>
  <c r="E8600" i="113"/>
  <c r="E8604" i="113"/>
  <c r="E8608" i="113"/>
  <c r="E8612" i="113"/>
  <c r="E8616" i="113"/>
  <c r="E8620" i="113"/>
  <c r="E8624" i="113"/>
  <c r="E8628" i="113"/>
  <c r="E8632" i="113"/>
  <c r="E8636" i="113"/>
  <c r="E8640" i="113"/>
  <c r="E8644" i="113"/>
  <c r="E8648" i="113"/>
  <c r="E8652" i="113"/>
  <c r="E8656" i="113"/>
  <c r="E8660" i="113"/>
  <c r="E8664" i="113"/>
  <c r="E8668" i="113"/>
  <c r="E8672" i="113"/>
  <c r="E8676" i="113"/>
  <c r="E8680" i="113"/>
  <c r="E8684" i="113"/>
  <c r="E8688" i="113"/>
  <c r="E8692" i="113"/>
  <c r="E8696" i="113"/>
  <c r="E8700" i="113"/>
  <c r="E8704" i="113"/>
  <c r="E8708" i="113"/>
  <c r="E8712" i="113"/>
  <c r="E8716" i="113"/>
  <c r="E8720" i="113"/>
  <c r="E8724" i="113"/>
  <c r="E8728" i="113"/>
  <c r="E8732" i="113"/>
  <c r="E8736" i="113"/>
  <c r="E8740" i="113"/>
  <c r="E8744" i="113"/>
  <c r="E8748" i="113"/>
  <c r="E8752" i="113"/>
  <c r="E8756" i="113"/>
  <c r="E8760" i="113"/>
  <c r="E8764" i="113"/>
  <c r="E8768" i="113"/>
  <c r="E8772" i="113"/>
  <c r="E8776" i="113"/>
  <c r="E8780" i="113"/>
  <c r="E8784" i="113"/>
  <c r="E8788" i="113"/>
  <c r="E8792" i="113"/>
  <c r="E8796" i="113"/>
  <c r="E8800" i="113"/>
  <c r="E8804" i="113"/>
  <c r="E8808" i="113"/>
  <c r="E8812" i="113"/>
  <c r="E8816" i="113"/>
  <c r="E2996" i="113"/>
  <c r="E3452" i="113"/>
  <c r="E3580" i="113"/>
  <c r="E3708" i="113"/>
  <c r="E3836" i="113"/>
  <c r="E3964" i="113"/>
  <c r="E4092" i="113"/>
  <c r="E4220" i="113"/>
  <c r="E4318" i="113"/>
  <c r="E4398" i="113"/>
  <c r="E4462" i="113"/>
  <c r="E4526" i="113"/>
  <c r="E4579" i="113"/>
  <c r="E4611" i="113"/>
  <c r="E4643" i="113"/>
  <c r="E4675" i="113"/>
  <c r="E4707" i="113"/>
  <c r="E4739" i="113"/>
  <c r="E4771" i="113"/>
  <c r="E4803" i="113"/>
  <c r="E4835" i="113"/>
  <c r="E4867" i="113"/>
  <c r="E4899" i="113"/>
  <c r="E4931" i="113"/>
  <c r="E4963" i="113"/>
  <c r="E4995" i="113"/>
  <c r="E5027" i="113"/>
  <c r="E5059" i="113"/>
  <c r="E5091" i="113"/>
  <c r="E5123" i="113"/>
  <c r="E5150" i="113"/>
  <c r="E5171" i="113"/>
  <c r="E5192" i="113"/>
  <c r="E5214" i="113"/>
  <c r="E5235" i="113"/>
  <c r="E5256" i="113"/>
  <c r="E5275" i="113"/>
  <c r="E5291" i="113"/>
  <c r="E5307" i="113"/>
  <c r="E5323" i="113"/>
  <c r="E5339" i="113"/>
  <c r="E5355" i="113"/>
  <c r="E5371" i="113"/>
  <c r="E5387" i="113"/>
  <c r="E5403" i="113"/>
  <c r="E5419" i="113"/>
  <c r="E5435" i="113"/>
  <c r="E5451" i="113"/>
  <c r="E5467" i="113"/>
  <c r="E5483" i="113"/>
  <c r="E5499" i="113"/>
  <c r="E5515" i="113"/>
  <c r="E5531" i="113"/>
  <c r="E5547" i="113"/>
  <c r="E5563" i="113"/>
  <c r="E5579" i="113"/>
  <c r="E5595" i="113"/>
  <c r="E5611" i="113"/>
  <c r="E5627" i="113"/>
  <c r="E5643" i="113"/>
  <c r="E5659" i="113"/>
  <c r="E5675" i="113"/>
  <c r="E5691" i="113"/>
  <c r="E5707" i="113"/>
  <c r="E5723" i="113"/>
  <c r="E5739" i="113"/>
  <c r="E5755" i="113"/>
  <c r="E5771" i="113"/>
  <c r="E5787" i="113"/>
  <c r="E5803" i="113"/>
  <c r="E5819" i="113"/>
  <c r="E5835" i="113"/>
  <c r="E5851" i="113"/>
  <c r="E5867" i="113"/>
  <c r="E5883" i="113"/>
  <c r="E5899" i="113"/>
  <c r="E5915" i="113"/>
  <c r="E5931" i="113"/>
  <c r="E5947" i="113"/>
  <c r="E5963" i="113"/>
  <c r="E5979" i="113"/>
  <c r="E5995" i="113"/>
  <c r="E6011" i="113"/>
  <c r="E6027" i="113"/>
  <c r="E6043" i="113"/>
  <c r="E6055" i="113"/>
  <c r="E6063" i="113"/>
  <c r="E6071" i="113"/>
  <c r="E6079" i="113"/>
  <c r="E6087" i="113"/>
  <c r="E6095" i="113"/>
  <c r="E6103" i="113"/>
  <c r="E6111" i="113"/>
  <c r="E6119" i="113"/>
  <c r="E6127" i="113"/>
  <c r="E6135" i="113"/>
  <c r="E6143" i="113"/>
  <c r="E6151" i="113"/>
  <c r="E6159" i="113"/>
  <c r="E6167" i="113"/>
  <c r="E6175" i="113"/>
  <c r="E6183" i="113"/>
  <c r="E6191" i="113"/>
  <c r="E6199" i="113"/>
  <c r="E6207" i="113"/>
  <c r="E6215" i="113"/>
  <c r="E6223" i="113"/>
  <c r="E6231" i="113"/>
  <c r="E6239" i="113"/>
  <c r="E6247" i="113"/>
  <c r="E6255" i="113"/>
  <c r="E6263" i="113"/>
  <c r="E6271" i="113"/>
  <c r="E6279" i="113"/>
  <c r="E6287" i="113"/>
  <c r="E6295" i="113"/>
  <c r="E6303" i="113"/>
  <c r="E6311" i="113"/>
  <c r="E6319" i="113"/>
  <c r="E6327" i="113"/>
  <c r="E6335" i="113"/>
  <c r="E6343" i="113"/>
  <c r="E6351" i="113"/>
  <c r="E6359" i="113"/>
  <c r="E6367" i="113"/>
  <c r="E6375" i="113"/>
  <c r="E6383" i="113"/>
  <c r="E6391" i="113"/>
  <c r="E6399" i="113"/>
  <c r="E6407" i="113"/>
  <c r="E6415" i="113"/>
  <c r="E6423" i="113"/>
  <c r="E6431" i="113"/>
  <c r="E6439" i="113"/>
  <c r="E6447" i="113"/>
  <c r="E6455" i="113"/>
  <c r="E6463" i="113"/>
  <c r="E6471" i="113"/>
  <c r="E6479" i="113"/>
  <c r="E6487" i="113"/>
  <c r="E6495" i="113"/>
  <c r="E6503" i="113"/>
  <c r="E6511" i="113"/>
  <c r="E6519" i="113"/>
  <c r="E6527" i="113"/>
  <c r="E6535" i="113"/>
  <c r="E6543" i="113"/>
  <c r="E6551" i="113"/>
  <c r="E6559" i="113"/>
  <c r="E6567" i="113"/>
  <c r="E6575" i="113"/>
  <c r="E6583" i="113"/>
  <c r="E6591" i="113"/>
  <c r="E6599" i="113"/>
  <c r="E6607" i="113"/>
  <c r="E6615" i="113"/>
  <c r="E6623" i="113"/>
  <c r="E6631" i="113"/>
  <c r="E6639" i="113"/>
  <c r="E6647" i="113"/>
  <c r="E6655" i="113"/>
  <c r="E6663" i="113"/>
  <c r="E6671" i="113"/>
  <c r="E6679" i="113"/>
  <c r="E6687" i="113"/>
  <c r="E6695" i="113"/>
  <c r="E6703" i="113"/>
  <c r="E6711" i="113"/>
  <c r="E6719" i="113"/>
  <c r="E6727" i="113"/>
  <c r="E6735" i="113"/>
  <c r="E6743" i="113"/>
  <c r="E6749" i="113"/>
  <c r="E6755" i="113"/>
  <c r="E6760" i="113"/>
  <c r="E6765" i="113"/>
  <c r="E6771" i="113"/>
  <c r="E6776" i="113"/>
  <c r="E6781" i="113"/>
  <c r="E6787" i="113"/>
  <c r="E6792" i="113"/>
  <c r="E6797" i="113"/>
  <c r="E6803" i="113"/>
  <c r="E6808" i="113"/>
  <c r="E6813" i="113"/>
  <c r="E6819" i="113"/>
  <c r="E6824" i="113"/>
  <c r="E6829" i="113"/>
  <c r="E6835" i="113"/>
  <c r="E6840" i="113"/>
  <c r="E6845" i="113"/>
  <c r="E6851" i="113"/>
  <c r="E6856" i="113"/>
  <c r="E6861" i="113"/>
  <c r="E6867" i="113"/>
  <c r="E6872" i="113"/>
  <c r="E6877" i="113"/>
  <c r="E6883" i="113"/>
  <c r="E6888" i="113"/>
  <c r="E6893" i="113"/>
  <c r="E6899" i="113"/>
  <c r="E6904" i="113"/>
  <c r="E6909" i="113"/>
  <c r="E6913" i="113"/>
  <c r="E6917" i="113"/>
  <c r="E6921" i="113"/>
  <c r="E6925" i="113"/>
  <c r="E6929" i="113"/>
  <c r="E6933" i="113"/>
  <c r="E6937" i="113"/>
  <c r="E6941" i="113"/>
  <c r="E6945" i="113"/>
  <c r="E6949" i="113"/>
  <c r="E6953" i="113"/>
  <c r="E6957" i="113"/>
  <c r="E6961" i="113"/>
  <c r="E6965" i="113"/>
  <c r="E6969" i="113"/>
  <c r="E6973" i="113"/>
  <c r="E6977" i="113"/>
  <c r="E6981" i="113"/>
  <c r="E6985" i="113"/>
  <c r="E6989" i="113"/>
  <c r="E6993" i="113"/>
  <c r="E6997" i="113"/>
  <c r="E7001" i="113"/>
  <c r="E7005" i="113"/>
  <c r="E7009" i="113"/>
  <c r="E7013" i="113"/>
  <c r="E7017" i="113"/>
  <c r="E7021" i="113"/>
  <c r="E7025" i="113"/>
  <c r="E7029" i="113"/>
  <c r="E7033" i="113"/>
  <c r="E7037" i="113"/>
  <c r="E7041" i="113"/>
  <c r="E7045" i="113"/>
  <c r="E7049" i="113"/>
  <c r="E7053" i="113"/>
  <c r="E7057" i="113"/>
  <c r="E7061" i="113"/>
  <c r="E7065" i="113"/>
  <c r="E7069" i="113"/>
  <c r="E7073" i="113"/>
  <c r="E7077" i="113"/>
  <c r="E7081" i="113"/>
  <c r="E7085" i="113"/>
  <c r="E7089" i="113"/>
  <c r="E7093" i="113"/>
  <c r="E7097" i="113"/>
  <c r="E7101" i="113"/>
  <c r="E7105" i="113"/>
  <c r="E7109" i="113"/>
  <c r="E7113" i="113"/>
  <c r="E7117" i="113"/>
  <c r="E7121" i="113"/>
  <c r="E7125" i="113"/>
  <c r="E7129" i="113"/>
  <c r="E7133" i="113"/>
  <c r="E7137" i="113"/>
  <c r="E7141" i="113"/>
  <c r="E7145" i="113"/>
  <c r="E7149" i="113"/>
  <c r="E7153" i="113"/>
  <c r="E7157" i="113"/>
  <c r="E7161" i="113"/>
  <c r="E7165" i="113"/>
  <c r="E7169" i="113"/>
  <c r="E7173" i="113"/>
  <c r="E7177" i="113"/>
  <c r="E7181" i="113"/>
  <c r="E7185" i="113"/>
  <c r="E7189" i="113"/>
  <c r="E7193" i="113"/>
  <c r="E7197" i="113"/>
  <c r="E7201" i="113"/>
  <c r="E7205" i="113"/>
  <c r="E7209" i="113"/>
  <c r="E7213" i="113"/>
  <c r="E7217" i="113"/>
  <c r="E7221" i="113"/>
  <c r="E7225" i="113"/>
  <c r="E7229" i="113"/>
  <c r="E7233" i="113"/>
  <c r="E7237" i="113"/>
  <c r="E7241" i="113"/>
  <c r="E7245" i="113"/>
  <c r="E7249" i="113"/>
  <c r="E7253" i="113"/>
  <c r="E7257" i="113"/>
  <c r="E7261" i="113"/>
  <c r="E7265" i="113"/>
  <c r="E7269" i="113"/>
  <c r="E7273" i="113"/>
  <c r="E7277" i="113"/>
  <c r="E7281" i="113"/>
  <c r="E7285" i="113"/>
  <c r="E7289" i="113"/>
  <c r="E7293" i="113"/>
  <c r="E7297" i="113"/>
  <c r="E7301" i="113"/>
  <c r="E7305" i="113"/>
  <c r="E7309" i="113"/>
  <c r="E7313" i="113"/>
  <c r="E7317" i="113"/>
  <c r="E7321" i="113"/>
  <c r="E7325" i="113"/>
  <c r="E7329" i="113"/>
  <c r="E7333" i="113"/>
  <c r="E7337" i="113"/>
  <c r="E7341" i="113"/>
  <c r="E7345" i="113"/>
  <c r="E7349" i="113"/>
  <c r="E7353" i="113"/>
  <c r="E7357" i="113"/>
  <c r="E7361" i="113"/>
  <c r="E7365" i="113"/>
  <c r="E7369" i="113"/>
  <c r="E7373" i="113"/>
  <c r="E7377" i="113"/>
  <c r="E7381" i="113"/>
  <c r="E7385" i="113"/>
  <c r="E7389" i="113"/>
  <c r="E7393" i="113"/>
  <c r="E7397" i="113"/>
  <c r="E7401" i="113"/>
  <c r="E7405" i="113"/>
  <c r="E7409" i="113"/>
  <c r="E7413" i="113"/>
  <c r="E7417" i="113"/>
  <c r="E7421" i="113"/>
  <c r="E7425" i="113"/>
  <c r="E7429" i="113"/>
  <c r="E7433" i="113"/>
  <c r="E7437" i="113"/>
  <c r="E7441" i="113"/>
  <c r="E7445" i="113"/>
  <c r="E7449" i="113"/>
  <c r="E7453" i="113"/>
  <c r="E7457" i="113"/>
  <c r="E7461" i="113"/>
  <c r="E7465" i="113"/>
  <c r="E7469" i="113"/>
  <c r="E7473" i="113"/>
  <c r="E7477" i="113"/>
  <c r="E7481" i="113"/>
  <c r="E7485" i="113"/>
  <c r="E7489" i="113"/>
  <c r="E7493" i="113"/>
  <c r="E7497" i="113"/>
  <c r="E7501" i="113"/>
  <c r="E7505" i="113"/>
  <c r="E7509" i="113"/>
  <c r="E7513" i="113"/>
  <c r="E7517" i="113"/>
  <c r="E7521" i="113"/>
  <c r="E7525" i="113"/>
  <c r="E7529" i="113"/>
  <c r="E7533" i="113"/>
  <c r="E7537" i="113"/>
  <c r="E7541" i="113"/>
  <c r="E7545" i="113"/>
  <c r="E7549" i="113"/>
  <c r="E7553" i="113"/>
  <c r="E7557" i="113"/>
  <c r="E7561" i="113"/>
  <c r="E7565" i="113"/>
  <c r="E7569" i="113"/>
  <c r="E7573" i="113"/>
  <c r="E7577" i="113"/>
  <c r="E7581" i="113"/>
  <c r="E7585" i="113"/>
  <c r="E7589" i="113"/>
  <c r="E7593" i="113"/>
  <c r="E7597" i="113"/>
  <c r="E7601" i="113"/>
  <c r="E7605" i="113"/>
  <c r="E7609" i="113"/>
  <c r="E7613" i="113"/>
  <c r="E7617" i="113"/>
  <c r="E7621" i="113"/>
  <c r="E7625" i="113"/>
  <c r="E7629" i="113"/>
  <c r="E7633" i="113"/>
  <c r="E7637" i="113"/>
  <c r="E7641" i="113"/>
  <c r="E7645" i="113"/>
  <c r="E7649" i="113"/>
  <c r="E7653" i="113"/>
  <c r="E7657" i="113"/>
  <c r="E7661" i="113"/>
  <c r="E7665" i="113"/>
  <c r="E7669" i="113"/>
  <c r="E7673" i="113"/>
  <c r="E7677" i="113"/>
  <c r="E7681" i="113"/>
  <c r="E7685" i="113"/>
  <c r="E7689" i="113"/>
  <c r="E7693" i="113"/>
  <c r="E7697" i="113"/>
  <c r="E7701" i="113"/>
  <c r="E7705" i="113"/>
  <c r="E7709" i="113"/>
  <c r="E7713" i="113"/>
  <c r="E7717" i="113"/>
  <c r="E7721" i="113"/>
  <c r="E7725" i="113"/>
  <c r="E7729" i="113"/>
  <c r="E7733" i="113"/>
  <c r="E7737" i="113"/>
  <c r="E7741" i="113"/>
  <c r="E7745" i="113"/>
  <c r="E7749" i="113"/>
  <c r="E7753" i="113"/>
  <c r="E7757" i="113"/>
  <c r="E7761" i="113"/>
  <c r="E7765" i="113"/>
  <c r="E7769" i="113"/>
  <c r="E7773" i="113"/>
  <c r="E7777" i="113"/>
  <c r="E7781" i="113"/>
  <c r="E7785" i="113"/>
  <c r="E7789" i="113"/>
  <c r="E7793" i="113"/>
  <c r="E7797" i="113"/>
  <c r="E7801" i="113"/>
  <c r="E7805" i="113"/>
  <c r="E7809" i="113"/>
  <c r="E7813" i="113"/>
  <c r="E7817" i="113"/>
  <c r="E7821" i="113"/>
  <c r="E7825" i="113"/>
  <c r="E7829" i="113"/>
  <c r="E7833" i="113"/>
  <c r="E7837" i="113"/>
  <c r="E7841" i="113"/>
  <c r="E7845" i="113"/>
  <c r="E7849" i="113"/>
  <c r="E7853" i="113"/>
  <c r="E7857" i="113"/>
  <c r="E7861" i="113"/>
  <c r="E7865" i="113"/>
  <c r="E7869" i="113"/>
  <c r="E7873" i="113"/>
  <c r="E7877" i="113"/>
  <c r="E7881" i="113"/>
  <c r="E7885" i="113"/>
  <c r="E7889" i="113"/>
  <c r="E7893" i="113"/>
  <c r="E7897" i="113"/>
  <c r="E7901" i="113"/>
  <c r="E7905" i="113"/>
  <c r="E7909" i="113"/>
  <c r="E7913" i="113"/>
  <c r="E7917" i="113"/>
  <c r="E7921" i="113"/>
  <c r="E7925" i="113"/>
  <c r="E7929" i="113"/>
  <c r="E7933" i="113"/>
  <c r="E7937" i="113"/>
  <c r="E7941" i="113"/>
  <c r="E7945" i="113"/>
  <c r="E7949" i="113"/>
  <c r="E7953" i="113"/>
  <c r="E7957" i="113"/>
  <c r="E7961" i="113"/>
  <c r="E7965" i="113"/>
  <c r="E7969" i="113"/>
  <c r="E7973" i="113"/>
  <c r="E7977" i="113"/>
  <c r="E7981" i="113"/>
  <c r="E7985" i="113"/>
  <c r="E7989" i="113"/>
  <c r="E7993" i="113"/>
  <c r="E7997" i="113"/>
  <c r="E8001" i="113"/>
  <c r="E8005" i="113"/>
  <c r="E8009" i="113"/>
  <c r="E8013" i="113"/>
  <c r="E8017" i="113"/>
  <c r="E8021" i="113"/>
  <c r="E8025" i="113"/>
  <c r="E8029" i="113"/>
  <c r="E8033" i="113"/>
  <c r="E8037" i="113"/>
  <c r="E8041" i="113"/>
  <c r="E8045" i="113"/>
  <c r="E8049" i="113"/>
  <c r="E8053" i="113"/>
  <c r="E8057" i="113"/>
  <c r="E8061" i="113"/>
  <c r="E8065" i="113"/>
  <c r="E8069" i="113"/>
  <c r="E8073" i="113"/>
  <c r="E8077" i="113"/>
  <c r="E8081" i="113"/>
  <c r="E8085" i="113"/>
  <c r="E8089" i="113"/>
  <c r="E8093" i="113"/>
  <c r="E8097" i="113"/>
  <c r="E8101" i="113"/>
  <c r="E8105" i="113"/>
  <c r="E8109" i="113"/>
  <c r="E8113" i="113"/>
  <c r="E8117" i="113"/>
  <c r="E8121" i="113"/>
  <c r="E8125" i="113"/>
  <c r="E8129" i="113"/>
  <c r="E8133" i="113"/>
  <c r="E8137" i="113"/>
  <c r="E8141" i="113"/>
  <c r="E8145" i="113"/>
  <c r="E8149" i="113"/>
  <c r="E8153" i="113"/>
  <c r="E8157" i="113"/>
  <c r="E8161" i="113"/>
  <c r="E8165" i="113"/>
  <c r="E8169" i="113"/>
  <c r="E8173" i="113"/>
  <c r="E8177" i="113"/>
  <c r="E8181" i="113"/>
  <c r="E8185" i="113"/>
  <c r="E8189" i="113"/>
  <c r="E8193" i="113"/>
  <c r="E8197" i="113"/>
  <c r="E8201" i="113"/>
  <c r="E8205" i="113"/>
  <c r="E8209" i="113"/>
  <c r="E8213" i="113"/>
  <c r="E8217" i="113"/>
  <c r="E8221" i="113"/>
  <c r="E8225" i="113"/>
  <c r="E8229" i="113"/>
  <c r="E8233" i="113"/>
  <c r="E8237" i="113"/>
  <c r="E8241" i="113"/>
  <c r="E8245" i="113"/>
  <c r="E8249" i="113"/>
  <c r="E8253" i="113"/>
  <c r="E8257" i="113"/>
  <c r="E8261" i="113"/>
  <c r="E8265" i="113"/>
  <c r="E8269" i="113"/>
  <c r="E8273" i="113"/>
  <c r="E8277" i="113"/>
  <c r="E8281" i="113"/>
  <c r="E8285" i="113"/>
  <c r="E8289" i="113"/>
  <c r="E8293" i="113"/>
  <c r="E8297" i="113"/>
  <c r="E8301" i="113"/>
  <c r="E8305" i="113"/>
  <c r="E8309" i="113"/>
  <c r="E8313" i="113"/>
  <c r="E8317" i="113"/>
  <c r="E8321" i="113"/>
  <c r="E8325" i="113"/>
  <c r="E8329" i="113"/>
  <c r="E8333" i="113"/>
  <c r="E8337" i="113"/>
  <c r="E8341" i="113"/>
  <c r="E8345" i="113"/>
  <c r="E8349" i="113"/>
  <c r="E8353" i="113"/>
  <c r="E8357" i="113"/>
  <c r="E8361" i="113"/>
  <c r="E8365" i="113"/>
  <c r="E8369" i="113"/>
  <c r="E8373" i="113"/>
  <c r="E8377" i="113"/>
  <c r="E8381" i="113"/>
  <c r="E8385" i="113"/>
  <c r="E8389" i="113"/>
  <c r="E8393" i="113"/>
  <c r="E8397" i="113"/>
  <c r="E8401" i="113"/>
  <c r="E8405" i="113"/>
  <c r="E8409" i="113"/>
  <c r="E8413" i="113"/>
  <c r="E8417" i="113"/>
  <c r="E8421" i="113"/>
  <c r="E8425" i="113"/>
  <c r="E8429" i="113"/>
  <c r="E8433" i="113"/>
  <c r="E8437" i="113"/>
  <c r="E8441" i="113"/>
  <c r="E8445" i="113"/>
  <c r="E8449" i="113"/>
  <c r="E8453" i="113"/>
  <c r="E8457" i="113"/>
  <c r="E8461" i="113"/>
  <c r="E8465" i="113"/>
  <c r="E8469" i="113"/>
  <c r="E8473" i="113"/>
  <c r="E8477" i="113"/>
  <c r="E8481" i="113"/>
  <c r="E8485" i="113"/>
  <c r="E8489" i="113"/>
  <c r="E8493" i="113"/>
  <c r="E8497" i="113"/>
  <c r="E8501" i="113"/>
  <c r="E8505" i="113"/>
  <c r="E8509" i="113"/>
  <c r="E8513" i="113"/>
  <c r="E8517" i="113"/>
  <c r="E8521" i="113"/>
  <c r="E8525" i="113"/>
  <c r="E8529" i="113"/>
  <c r="E8533" i="113"/>
  <c r="E8537" i="113"/>
  <c r="E8541" i="113"/>
  <c r="E8545" i="113"/>
  <c r="E8549" i="113"/>
  <c r="E8553" i="113"/>
  <c r="E8557" i="113"/>
  <c r="E8561" i="113"/>
  <c r="E8565" i="113"/>
  <c r="E8569" i="113"/>
  <c r="E8573" i="113"/>
  <c r="E8577" i="113"/>
  <c r="E8581" i="113"/>
  <c r="E8585" i="113"/>
  <c r="E8589" i="113"/>
  <c r="E8593" i="113"/>
  <c r="E8597" i="113"/>
  <c r="E8601" i="113"/>
  <c r="E8605" i="113"/>
  <c r="E8609" i="113"/>
  <c r="E8613" i="113"/>
  <c r="E8617" i="113"/>
  <c r="E8621" i="113"/>
  <c r="E8625" i="113"/>
  <c r="E8629" i="113"/>
  <c r="E8633" i="113"/>
  <c r="E8637" i="113"/>
  <c r="E8641" i="113"/>
  <c r="E8645" i="113"/>
  <c r="E8649" i="113"/>
  <c r="E8653" i="113"/>
  <c r="E8657" i="113"/>
  <c r="E8661" i="113"/>
  <c r="E8665" i="113"/>
  <c r="E8669" i="113"/>
  <c r="E8673" i="113"/>
  <c r="E8677" i="113"/>
  <c r="E8681" i="113"/>
  <c r="E8685" i="113"/>
  <c r="E8689" i="113"/>
  <c r="E8693" i="113"/>
  <c r="E8697" i="113"/>
  <c r="E8701" i="113"/>
  <c r="E8705" i="113"/>
  <c r="E8709" i="113"/>
  <c r="E8713" i="113"/>
  <c r="E8717" i="113"/>
  <c r="E8721" i="113"/>
  <c r="E8725" i="113"/>
  <c r="E8729" i="113"/>
  <c r="E8733" i="113"/>
  <c r="E8737" i="113"/>
  <c r="E8741" i="113"/>
  <c r="E8745" i="113"/>
  <c r="E8749" i="113"/>
  <c r="E8753" i="113"/>
  <c r="E8757" i="113"/>
  <c r="E8761" i="113"/>
  <c r="E8765" i="113"/>
  <c r="E8769" i="113"/>
  <c r="E8773" i="113"/>
  <c r="E8777" i="113"/>
  <c r="E8781" i="113"/>
  <c r="E8785" i="113"/>
  <c r="E8789" i="113"/>
  <c r="E8793" i="113"/>
  <c r="E8797" i="113"/>
  <c r="E8801" i="113"/>
  <c r="E8805" i="113"/>
  <c r="E8809" i="113"/>
  <c r="E8813" i="113"/>
  <c r="E8817" i="113"/>
  <c r="E8821" i="113"/>
  <c r="E8825" i="113"/>
  <c r="E3188" i="113"/>
  <c r="E3868" i="113"/>
  <c r="E4340" i="113"/>
  <c r="E4587" i="113"/>
  <c r="E4715" i="113"/>
  <c r="E4843" i="113"/>
  <c r="E4971" i="113"/>
  <c r="E5099" i="113"/>
  <c r="E5198" i="113"/>
  <c r="E5279" i="113"/>
  <c r="E5343" i="113"/>
  <c r="E5407" i="113"/>
  <c r="E5471" i="113"/>
  <c r="E5535" i="113"/>
  <c r="E5599" i="113"/>
  <c r="E5663" i="113"/>
  <c r="E5727" i="113"/>
  <c r="E5791" i="113"/>
  <c r="E5855" i="113"/>
  <c r="E5919" i="113"/>
  <c r="E5983" i="113"/>
  <c r="E6047" i="113"/>
  <c r="E6080" i="113"/>
  <c r="E6112" i="113"/>
  <c r="E6144" i="113"/>
  <c r="E6176" i="113"/>
  <c r="E6208" i="113"/>
  <c r="E6240" i="113"/>
  <c r="E6272" i="113"/>
  <c r="E6304" i="113"/>
  <c r="E6336" i="113"/>
  <c r="E6368" i="113"/>
  <c r="E6400" i="113"/>
  <c r="E6432" i="113"/>
  <c r="E6464" i="113"/>
  <c r="E6496" i="113"/>
  <c r="E6528" i="113"/>
  <c r="E6560" i="113"/>
  <c r="E6592" i="113"/>
  <c r="E6624" i="113"/>
  <c r="E6656" i="113"/>
  <c r="E6688" i="113"/>
  <c r="E6720" i="113"/>
  <c r="E6751" i="113"/>
  <c r="E6772" i="113"/>
  <c r="E6793" i="113"/>
  <c r="E6815" i="113"/>
  <c r="E6836" i="113"/>
  <c r="E6857" i="113"/>
  <c r="E6879" i="113"/>
  <c r="E6900" i="113"/>
  <c r="E6918" i="113"/>
  <c r="E6934" i="113"/>
  <c r="E6950" i="113"/>
  <c r="E6966" i="113"/>
  <c r="E6982" i="113"/>
  <c r="E6998" i="113"/>
  <c r="E7014" i="113"/>
  <c r="E7030" i="113"/>
  <c r="E7046" i="113"/>
  <c r="E7062" i="113"/>
  <c r="E7078" i="113"/>
  <c r="E7094" i="113"/>
  <c r="E7110" i="113"/>
  <c r="E7126" i="113"/>
  <c r="E7142" i="113"/>
  <c r="E7158" i="113"/>
  <c r="E7174" i="113"/>
  <c r="E7190" i="113"/>
  <c r="E7206" i="113"/>
  <c r="E7222" i="113"/>
  <c r="E7238" i="113"/>
  <c r="E7254" i="113"/>
  <c r="E7270" i="113"/>
  <c r="E7286" i="113"/>
  <c r="E7302" i="113"/>
  <c r="E7318" i="113"/>
  <c r="E7334" i="113"/>
  <c r="E7350" i="113"/>
  <c r="E7366" i="113"/>
  <c r="E7382" i="113"/>
  <c r="E7398" i="113"/>
  <c r="E7414" i="113"/>
  <c r="E7430" i="113"/>
  <c r="E7446" i="113"/>
  <c r="E7462" i="113"/>
  <c r="E7478" i="113"/>
  <c r="E7494" i="113"/>
  <c r="E7510" i="113"/>
  <c r="E7526" i="113"/>
  <c r="E7542" i="113"/>
  <c r="E7558" i="113"/>
  <c r="E7574" i="113"/>
  <c r="E7590" i="113"/>
  <c r="E7606" i="113"/>
  <c r="E7622" i="113"/>
  <c r="E7638" i="113"/>
  <c r="E7654" i="113"/>
  <c r="E7670" i="113"/>
  <c r="E7686" i="113"/>
  <c r="E7702" i="113"/>
  <c r="E7718" i="113"/>
  <c r="E7734" i="113"/>
  <c r="E7750" i="113"/>
  <c r="E7766" i="113"/>
  <c r="E7782" i="113"/>
  <c r="E7798" i="113"/>
  <c r="E7814" i="113"/>
  <c r="E7830" i="113"/>
  <c r="E7846" i="113"/>
  <c r="E7862" i="113"/>
  <c r="E7878" i="113"/>
  <c r="E7894" i="113"/>
  <c r="E7910" i="113"/>
  <c r="E7926" i="113"/>
  <c r="E7942" i="113"/>
  <c r="E7958" i="113"/>
  <c r="E7974" i="113"/>
  <c r="E7990" i="113"/>
  <c r="E8006" i="113"/>
  <c r="E8022" i="113"/>
  <c r="E8038" i="113"/>
  <c r="E8054" i="113"/>
  <c r="E8070" i="113"/>
  <c r="E8086" i="113"/>
  <c r="E8102" i="113"/>
  <c r="E8118" i="113"/>
  <c r="E8134" i="113"/>
  <c r="E8150" i="113"/>
  <c r="E8166" i="113"/>
  <c r="E8182" i="113"/>
  <c r="E8198" i="113"/>
  <c r="E8214" i="113"/>
  <c r="E8230" i="113"/>
  <c r="E8246" i="113"/>
  <c r="E8262" i="113"/>
  <c r="E8278" i="113"/>
  <c r="E8294" i="113"/>
  <c r="E8310" i="113"/>
  <c r="E8326" i="113"/>
  <c r="E8342" i="113"/>
  <c r="E8358" i="113"/>
  <c r="E8374" i="113"/>
  <c r="E8390" i="113"/>
  <c r="E8406" i="113"/>
  <c r="E8422" i="113"/>
  <c r="E8438" i="113"/>
  <c r="E8454" i="113"/>
  <c r="E8470" i="113"/>
  <c r="E8486" i="113"/>
  <c r="E8502" i="113"/>
  <c r="E8518" i="113"/>
  <c r="E8534" i="113"/>
  <c r="E8550" i="113"/>
  <c r="E8566" i="113"/>
  <c r="E8582" i="113"/>
  <c r="E8598" i="113"/>
  <c r="E8614" i="113"/>
  <c r="E8630" i="113"/>
  <c r="E8646" i="113"/>
  <c r="E8662" i="113"/>
  <c r="E8678" i="113"/>
  <c r="E8694" i="113"/>
  <c r="E8710" i="113"/>
  <c r="E8726" i="113"/>
  <c r="E8742" i="113"/>
  <c r="E8758" i="113"/>
  <c r="E8774" i="113"/>
  <c r="E8790" i="113"/>
  <c r="E8806" i="113"/>
  <c r="E8820" i="113"/>
  <c r="E8827" i="113"/>
  <c r="E8831" i="113"/>
  <c r="E8835" i="113"/>
  <c r="E8839" i="113"/>
  <c r="E8843" i="113"/>
  <c r="E8847" i="113"/>
  <c r="E8851" i="113"/>
  <c r="E8855" i="113"/>
  <c r="E8859" i="113"/>
  <c r="E8863" i="113"/>
  <c r="E8867" i="113"/>
  <c r="E8871" i="113"/>
  <c r="E8875" i="113"/>
  <c r="E8879" i="113"/>
  <c r="E8883" i="113"/>
  <c r="E8887" i="113"/>
  <c r="E8891" i="113"/>
  <c r="E8895" i="113"/>
  <c r="E8899" i="113"/>
  <c r="E8903" i="113"/>
  <c r="E8907" i="113"/>
  <c r="E8911" i="113"/>
  <c r="E8915" i="113"/>
  <c r="E8919" i="113"/>
  <c r="E8923" i="113"/>
  <c r="E8927" i="113"/>
  <c r="E8931" i="113"/>
  <c r="E8935" i="113"/>
  <c r="E8939" i="113"/>
  <c r="E8943" i="113"/>
  <c r="E8947" i="113"/>
  <c r="E8951" i="113"/>
  <c r="E8955" i="113"/>
  <c r="E8959" i="113"/>
  <c r="E8963" i="113"/>
  <c r="E8967" i="113"/>
  <c r="E8971" i="113"/>
  <c r="E8975" i="113"/>
  <c r="E8979" i="113"/>
  <c r="E8983" i="113"/>
  <c r="E8987" i="113"/>
  <c r="E8991" i="113"/>
  <c r="E8995" i="113"/>
  <c r="E8999" i="113"/>
  <c r="E9003" i="113"/>
  <c r="E9007" i="113"/>
  <c r="E9011" i="113"/>
  <c r="E9015" i="113"/>
  <c r="E9019" i="113"/>
  <c r="E9023" i="113"/>
  <c r="E9027" i="113"/>
  <c r="E9031" i="113"/>
  <c r="E9035" i="113"/>
  <c r="E9039" i="113"/>
  <c r="E9043" i="113"/>
  <c r="E9047" i="113"/>
  <c r="E9051" i="113"/>
  <c r="E9055" i="113"/>
  <c r="E9059" i="113"/>
  <c r="E9063" i="113"/>
  <c r="E9067" i="113"/>
  <c r="E9071" i="113"/>
  <c r="E9075" i="113"/>
  <c r="E9079" i="113"/>
  <c r="E9083" i="113"/>
  <c r="E9087" i="113"/>
  <c r="E9091" i="113"/>
  <c r="E9095" i="113"/>
  <c r="E9099" i="113"/>
  <c r="E9103" i="113"/>
  <c r="E9107" i="113"/>
  <c r="E9111" i="113"/>
  <c r="E9115" i="113"/>
  <c r="E9119" i="113"/>
  <c r="E9123" i="113"/>
  <c r="E9127" i="113"/>
  <c r="E9131" i="113"/>
  <c r="E9135" i="113"/>
  <c r="E9139" i="113"/>
  <c r="E9143" i="113"/>
  <c r="E9147" i="113"/>
  <c r="E9151" i="113"/>
  <c r="E9155" i="113"/>
  <c r="E9159" i="113"/>
  <c r="E9163" i="113"/>
  <c r="E9167" i="113"/>
  <c r="E9171" i="113"/>
  <c r="E9175" i="113"/>
  <c r="E9179" i="113"/>
  <c r="E9183" i="113"/>
  <c r="E9187" i="113"/>
  <c r="E9191" i="113"/>
  <c r="E9195" i="113"/>
  <c r="E9199" i="113"/>
  <c r="E9203" i="113"/>
  <c r="E9207" i="113"/>
  <c r="E9211" i="113"/>
  <c r="E9215" i="113"/>
  <c r="E9219" i="113"/>
  <c r="E9223" i="113"/>
  <c r="E9227" i="113"/>
  <c r="E9231" i="113"/>
  <c r="E9235" i="113"/>
  <c r="E9239" i="113"/>
  <c r="E9243" i="113"/>
  <c r="E9247" i="113"/>
  <c r="E9251" i="113"/>
  <c r="E9255" i="113"/>
  <c r="E9259" i="113"/>
  <c r="E9263" i="113"/>
  <c r="E9267" i="113"/>
  <c r="E9271" i="113"/>
  <c r="E9275" i="113"/>
  <c r="E9279" i="113"/>
  <c r="E9283" i="113"/>
  <c r="E9287" i="113"/>
  <c r="E9291" i="113"/>
  <c r="E9295" i="113"/>
  <c r="E9299" i="113"/>
  <c r="E9303" i="113"/>
  <c r="E9307" i="113"/>
  <c r="E9311" i="113"/>
  <c r="E9315" i="113"/>
  <c r="E9319" i="113"/>
  <c r="E9323" i="113"/>
  <c r="E9327" i="113"/>
  <c r="E9331" i="113"/>
  <c r="E9335" i="113"/>
  <c r="E9339" i="113"/>
  <c r="E9343" i="113"/>
  <c r="E9347" i="113"/>
  <c r="E9351" i="113"/>
  <c r="E9355" i="113"/>
  <c r="E9359" i="113"/>
  <c r="E9363" i="113"/>
  <c r="E9367" i="113"/>
  <c r="E9371" i="113"/>
  <c r="E9375" i="113"/>
  <c r="E9379" i="113"/>
  <c r="E9383" i="113"/>
  <c r="E9387" i="113"/>
  <c r="E9391" i="113"/>
  <c r="E9395" i="113"/>
  <c r="E9399" i="113"/>
  <c r="E9403" i="113"/>
  <c r="E9407" i="113"/>
  <c r="E9411" i="113"/>
  <c r="E9415" i="113"/>
  <c r="E9419" i="113"/>
  <c r="E9423" i="113"/>
  <c r="E9427" i="113"/>
  <c r="E9431" i="113"/>
  <c r="E9435" i="113"/>
  <c r="E9439" i="113"/>
  <c r="E9443" i="113"/>
  <c r="E9447" i="113"/>
  <c r="E9451" i="113"/>
  <c r="E9455" i="113"/>
  <c r="E9459" i="113"/>
  <c r="E9463" i="113"/>
  <c r="E9467" i="113"/>
  <c r="E9471" i="113"/>
  <c r="E9475" i="113"/>
  <c r="E9479" i="113"/>
  <c r="E9483" i="113"/>
  <c r="E9487" i="113"/>
  <c r="E9491" i="113"/>
  <c r="E9495" i="113"/>
  <c r="E9499" i="113"/>
  <c r="E9503" i="113"/>
  <c r="E9507" i="113"/>
  <c r="E9511" i="113"/>
  <c r="E9515" i="113"/>
  <c r="E9519" i="113"/>
  <c r="E9523" i="113"/>
  <c r="E9527" i="113"/>
  <c r="E9531" i="113"/>
  <c r="E9535" i="113"/>
  <c r="E9539" i="113"/>
  <c r="E9543" i="113"/>
  <c r="E9547" i="113"/>
  <c r="E9551" i="113"/>
  <c r="E9555" i="113"/>
  <c r="E9559" i="113"/>
  <c r="E9563" i="113"/>
  <c r="E9567" i="113"/>
  <c r="E9571" i="113"/>
  <c r="E9575" i="113"/>
  <c r="E9579" i="113"/>
  <c r="E9583" i="113"/>
  <c r="E9587" i="113"/>
  <c r="E9591" i="113"/>
  <c r="E9595" i="113"/>
  <c r="E9599" i="113"/>
  <c r="E9603" i="113"/>
  <c r="E9607" i="113"/>
  <c r="E9611" i="113"/>
  <c r="E9615" i="113"/>
  <c r="E9619" i="113"/>
  <c r="E9623" i="113"/>
  <c r="E9627" i="113"/>
  <c r="E9631" i="113"/>
  <c r="E9635" i="113"/>
  <c r="E9639" i="113"/>
  <c r="E9643" i="113"/>
  <c r="E9647" i="113"/>
  <c r="E9651" i="113"/>
  <c r="E9655" i="113"/>
  <c r="E9659" i="113"/>
  <c r="E9663" i="113"/>
  <c r="E9667" i="113"/>
  <c r="E9671" i="113"/>
  <c r="E9675" i="113"/>
  <c r="E9679" i="113"/>
  <c r="E9683" i="113"/>
  <c r="E9687" i="113"/>
  <c r="E9691" i="113"/>
  <c r="E9695" i="113"/>
  <c r="E9699" i="113"/>
  <c r="E9703" i="113"/>
  <c r="E9707" i="113"/>
  <c r="E9711" i="113"/>
  <c r="E9715" i="113"/>
  <c r="E9719" i="113"/>
  <c r="E9723" i="113"/>
  <c r="E9727" i="113"/>
  <c r="E9731" i="113"/>
  <c r="E9735" i="113"/>
  <c r="E9739" i="113"/>
  <c r="E9743" i="113"/>
  <c r="E9747" i="113"/>
  <c r="E9751" i="113"/>
  <c r="E9755" i="113"/>
  <c r="E9759" i="113"/>
  <c r="E9763" i="113"/>
  <c r="E9767" i="113"/>
  <c r="E9771" i="113"/>
  <c r="E9775" i="113"/>
  <c r="E9779" i="113"/>
  <c r="E9783" i="113"/>
  <c r="E9787" i="113"/>
  <c r="E9791" i="113"/>
  <c r="E9795" i="113"/>
  <c r="E9799" i="113"/>
  <c r="E9803" i="113"/>
  <c r="E9807" i="113"/>
  <c r="E9811" i="113"/>
  <c r="E9815" i="113"/>
  <c r="E9819" i="113"/>
  <c r="E9823" i="113"/>
  <c r="E9827" i="113"/>
  <c r="E9831" i="113"/>
  <c r="E9835" i="113"/>
  <c r="E9839" i="113"/>
  <c r="E9843" i="113"/>
  <c r="E9847" i="113"/>
  <c r="E9851" i="113"/>
  <c r="E9855" i="113"/>
  <c r="E9859" i="113"/>
  <c r="E9863" i="113"/>
  <c r="E9867" i="113"/>
  <c r="E9871" i="113"/>
  <c r="E9875" i="113"/>
  <c r="E9879" i="113"/>
  <c r="E9883" i="113"/>
  <c r="E9887" i="113"/>
  <c r="E9891" i="113"/>
  <c r="E9895" i="113"/>
  <c r="E9899" i="113"/>
  <c r="E9903" i="113"/>
  <c r="E9907" i="113"/>
  <c r="E9911" i="113"/>
  <c r="E9915" i="113"/>
  <c r="E9919" i="113"/>
  <c r="E9923" i="113"/>
  <c r="E9927" i="113"/>
  <c r="E9931" i="113"/>
  <c r="E9935" i="113"/>
  <c r="E9939" i="113"/>
  <c r="E9943" i="113"/>
  <c r="E9947" i="113"/>
  <c r="E9951" i="113"/>
  <c r="E9955" i="113"/>
  <c r="E9959" i="113"/>
  <c r="E9963" i="113"/>
  <c r="E9967" i="113"/>
  <c r="E9971" i="113"/>
  <c r="E9975" i="113"/>
  <c r="E9979" i="113"/>
  <c r="E9983" i="113"/>
  <c r="E9987" i="113"/>
  <c r="E9991" i="113"/>
  <c r="E9995" i="113"/>
  <c r="E9999" i="113"/>
  <c r="E10003" i="113"/>
  <c r="E10007" i="113"/>
  <c r="E10011" i="113"/>
  <c r="E10015" i="113"/>
  <c r="E10019" i="113"/>
  <c r="E10023" i="113"/>
  <c r="E10027" i="113"/>
  <c r="E10031" i="113"/>
  <c r="E10035" i="113"/>
  <c r="E10039" i="113"/>
  <c r="E10043" i="113"/>
  <c r="E10047" i="113"/>
  <c r="E10051" i="113"/>
  <c r="E10055" i="113"/>
  <c r="E10059" i="113"/>
  <c r="E10063" i="113"/>
  <c r="E10067" i="113"/>
  <c r="E10071" i="113"/>
  <c r="E10075" i="113"/>
  <c r="E10079" i="113"/>
  <c r="E10083" i="113"/>
  <c r="E10087" i="113"/>
  <c r="E10091" i="113"/>
  <c r="E10095" i="113"/>
  <c r="E10099" i="113"/>
  <c r="E10103" i="113"/>
  <c r="E10107" i="113"/>
  <c r="E10111" i="113"/>
  <c r="E10115" i="113"/>
  <c r="E10119" i="113"/>
  <c r="E10123" i="113"/>
  <c r="E10127" i="113"/>
  <c r="E10131" i="113"/>
  <c r="E10135" i="113"/>
  <c r="E10139" i="113"/>
  <c r="E10143" i="113"/>
  <c r="E10147" i="113"/>
  <c r="E10151" i="113"/>
  <c r="E10155" i="113"/>
  <c r="E10159" i="113"/>
  <c r="E10163" i="113"/>
  <c r="E10167" i="113"/>
  <c r="E10171" i="113"/>
  <c r="E10175" i="113"/>
  <c r="E10179" i="113"/>
  <c r="E10183" i="113"/>
  <c r="E10187" i="113"/>
  <c r="E10191" i="113"/>
  <c r="E10195" i="113"/>
  <c r="E10199" i="113"/>
  <c r="E10203" i="113"/>
  <c r="E10207" i="113"/>
  <c r="E10211" i="113"/>
  <c r="E10215" i="113"/>
  <c r="E10219" i="113"/>
  <c r="E10223" i="113"/>
  <c r="E10227" i="113"/>
  <c r="E10231" i="113"/>
  <c r="E10235" i="113"/>
  <c r="E10239" i="113"/>
  <c r="E10243" i="113"/>
  <c r="E10247" i="113"/>
  <c r="E10251" i="113"/>
  <c r="E10255" i="113"/>
  <c r="E10259" i="113"/>
  <c r="E10263" i="113"/>
  <c r="E10267" i="113"/>
  <c r="E10271" i="113"/>
  <c r="E10275" i="113"/>
  <c r="E10279" i="113"/>
  <c r="E10283" i="113"/>
  <c r="E10287" i="113"/>
  <c r="E10291" i="113"/>
  <c r="E10295" i="113"/>
  <c r="E10299" i="113"/>
  <c r="E10303" i="113"/>
  <c r="E10307" i="113"/>
  <c r="E10311" i="113"/>
  <c r="E10315" i="113"/>
  <c r="E10319" i="113"/>
  <c r="E10323" i="113"/>
  <c r="E10327" i="113"/>
  <c r="E10331" i="113"/>
  <c r="E10335" i="113"/>
  <c r="E10339" i="113"/>
  <c r="E10343" i="113"/>
  <c r="E10347" i="113"/>
  <c r="E10351" i="113"/>
  <c r="E10355" i="113"/>
  <c r="E10359" i="113"/>
  <c r="E10363" i="113"/>
  <c r="E10367" i="113"/>
  <c r="E10371" i="113"/>
  <c r="E10375" i="113"/>
  <c r="E10379" i="113"/>
  <c r="E10383" i="113"/>
  <c r="E10387" i="113"/>
  <c r="E10391" i="113"/>
  <c r="E10395" i="113"/>
  <c r="E10399" i="113"/>
  <c r="E10403" i="113"/>
  <c r="E10407" i="113"/>
  <c r="E10411" i="113"/>
  <c r="E10415" i="113"/>
  <c r="E10419" i="113"/>
  <c r="E10423" i="113"/>
  <c r="E10427" i="113"/>
  <c r="E10431" i="113"/>
  <c r="E10435" i="113"/>
  <c r="E10439" i="113"/>
  <c r="E10443" i="113"/>
  <c r="E10447" i="113"/>
  <c r="E10451" i="113"/>
  <c r="E10455" i="113"/>
  <c r="E10459" i="113"/>
  <c r="E10463" i="113"/>
  <c r="E10467" i="113"/>
  <c r="E10471" i="113"/>
  <c r="E10475" i="113"/>
  <c r="E10479" i="113"/>
  <c r="E10483" i="113"/>
  <c r="E10487" i="113"/>
  <c r="E10491" i="113"/>
  <c r="E10495" i="113"/>
  <c r="E10499" i="113"/>
  <c r="E10503" i="113"/>
  <c r="E10507" i="113"/>
  <c r="E10511" i="113"/>
  <c r="E10515" i="113"/>
  <c r="E10519" i="113"/>
  <c r="E10523" i="113"/>
  <c r="E10527" i="113"/>
  <c r="E10531" i="113"/>
  <c r="E10535" i="113"/>
  <c r="E10539" i="113"/>
  <c r="E10543" i="113"/>
  <c r="E10547" i="113"/>
  <c r="E10551" i="113"/>
  <c r="E10555" i="113"/>
  <c r="E10559" i="113"/>
  <c r="E10563" i="113"/>
  <c r="E10567" i="113"/>
  <c r="E10571" i="113"/>
  <c r="E10575" i="113"/>
  <c r="E10579" i="113"/>
  <c r="E10583" i="113"/>
  <c r="E10587" i="113"/>
  <c r="E10591" i="113"/>
  <c r="E10595" i="113"/>
  <c r="E10599" i="113"/>
  <c r="E10603" i="113"/>
  <c r="E10607" i="113"/>
  <c r="E10611" i="113"/>
  <c r="E10615" i="113"/>
  <c r="E10619" i="113"/>
  <c r="E10623" i="113"/>
  <c r="E10627" i="113"/>
  <c r="E10631" i="113"/>
  <c r="E10635" i="113"/>
  <c r="E10639" i="113"/>
  <c r="E10643" i="113"/>
  <c r="E10647" i="113"/>
  <c r="E10651" i="113"/>
  <c r="E10655" i="113"/>
  <c r="E10659" i="113"/>
  <c r="E10663" i="113"/>
  <c r="E10667" i="113"/>
  <c r="E10671" i="113"/>
  <c r="E10675" i="113"/>
  <c r="E10679" i="113"/>
  <c r="E10683" i="113"/>
  <c r="E10687" i="113"/>
  <c r="E10691" i="113"/>
  <c r="E10695" i="113"/>
  <c r="E10699" i="113"/>
  <c r="E10703" i="113"/>
  <c r="E10707" i="113"/>
  <c r="E10711" i="113"/>
  <c r="E10715" i="113"/>
  <c r="E10719" i="113"/>
  <c r="E10723" i="113"/>
  <c r="E10727" i="113"/>
  <c r="E10731" i="113"/>
  <c r="E10735" i="113"/>
  <c r="E10739" i="113"/>
  <c r="E10743" i="113"/>
  <c r="E10747" i="113"/>
  <c r="E10751" i="113"/>
  <c r="E10755" i="113"/>
  <c r="E10759" i="113"/>
  <c r="E10763" i="113"/>
  <c r="E10767" i="113"/>
  <c r="E10771" i="113"/>
  <c r="E10775" i="113"/>
  <c r="E10779" i="113"/>
  <c r="E10783" i="113"/>
  <c r="E10787" i="113"/>
  <c r="E10791" i="113"/>
  <c r="E10795" i="113"/>
  <c r="E10799" i="113"/>
  <c r="E10803" i="113"/>
  <c r="E10807" i="113"/>
  <c r="E10811" i="113"/>
  <c r="E10815" i="113"/>
  <c r="E10819" i="113"/>
  <c r="E10823" i="113"/>
  <c r="E10827" i="113"/>
  <c r="E10831" i="113"/>
  <c r="E10835" i="113"/>
  <c r="E10839" i="113"/>
  <c r="E10843" i="113"/>
  <c r="E10847" i="113"/>
  <c r="E10851" i="113"/>
  <c r="E10855" i="113"/>
  <c r="E10859" i="113"/>
  <c r="E10863" i="113"/>
  <c r="E10867" i="113"/>
  <c r="E10871" i="113"/>
  <c r="E3484" i="113"/>
  <c r="E3996" i="113"/>
  <c r="E4414" i="113"/>
  <c r="E4619" i="113"/>
  <c r="E4747" i="113"/>
  <c r="E4875" i="113"/>
  <c r="E5003" i="113"/>
  <c r="E5131" i="113"/>
  <c r="E5219" i="113"/>
  <c r="E5295" i="113"/>
  <c r="E5359" i="113"/>
  <c r="E5423" i="113"/>
  <c r="E5487" i="113"/>
  <c r="E5551" i="113"/>
  <c r="E5615" i="113"/>
  <c r="E5679" i="113"/>
  <c r="E5743" i="113"/>
  <c r="E5807" i="113"/>
  <c r="E5871" i="113"/>
  <c r="E5935" i="113"/>
  <c r="E5999" i="113"/>
  <c r="E6056" i="113"/>
  <c r="E6088" i="113"/>
  <c r="E6120" i="113"/>
  <c r="E6152" i="113"/>
  <c r="E6184" i="113"/>
  <c r="E6216" i="113"/>
  <c r="E6248" i="113"/>
  <c r="E6280" i="113"/>
  <c r="E6312" i="113"/>
  <c r="E6344" i="113"/>
  <c r="E6376" i="113"/>
  <c r="E6408" i="113"/>
  <c r="E6440" i="113"/>
  <c r="E6472" i="113"/>
  <c r="E6504" i="113"/>
  <c r="E6536" i="113"/>
  <c r="E6568" i="113"/>
  <c r="E6600" i="113"/>
  <c r="E6632" i="113"/>
  <c r="E6664" i="113"/>
  <c r="E6696" i="113"/>
  <c r="E6728" i="113"/>
  <c r="E6756" i="113"/>
  <c r="E6777" i="113"/>
  <c r="E6799" i="113"/>
  <c r="E6820" i="113"/>
  <c r="E6841" i="113"/>
  <c r="E6863" i="113"/>
  <c r="E6884" i="113"/>
  <c r="E6905" i="113"/>
  <c r="E6922" i="113"/>
  <c r="E6938" i="113"/>
  <c r="E6954" i="113"/>
  <c r="E6970" i="113"/>
  <c r="E6986" i="113"/>
  <c r="E7002" i="113"/>
  <c r="E7018" i="113"/>
  <c r="E7034" i="113"/>
  <c r="E7050" i="113"/>
  <c r="E7066" i="113"/>
  <c r="E7082" i="113"/>
  <c r="E7098" i="113"/>
  <c r="E7114" i="113"/>
  <c r="E7130" i="113"/>
  <c r="E7146" i="113"/>
  <c r="E7162" i="113"/>
  <c r="E7178" i="113"/>
  <c r="E7194" i="113"/>
  <c r="E7210" i="113"/>
  <c r="E7226" i="113"/>
  <c r="E7242" i="113"/>
  <c r="E7258" i="113"/>
  <c r="E7274" i="113"/>
  <c r="E7290" i="113"/>
  <c r="E7306" i="113"/>
  <c r="E7322" i="113"/>
  <c r="E7338" i="113"/>
  <c r="E7354" i="113"/>
  <c r="E7370" i="113"/>
  <c r="E7386" i="113"/>
  <c r="E7402" i="113"/>
  <c r="E7418" i="113"/>
  <c r="E7434" i="113"/>
  <c r="E7450" i="113"/>
  <c r="E7466" i="113"/>
  <c r="E7482" i="113"/>
  <c r="E7498" i="113"/>
  <c r="E7514" i="113"/>
  <c r="E7530" i="113"/>
  <c r="E7546" i="113"/>
  <c r="E7562" i="113"/>
  <c r="E7578" i="113"/>
  <c r="E7594" i="113"/>
  <c r="E7610" i="113"/>
  <c r="E7626" i="113"/>
  <c r="E7642" i="113"/>
  <c r="E7658" i="113"/>
  <c r="E7674" i="113"/>
  <c r="E7690" i="113"/>
  <c r="E7706" i="113"/>
  <c r="E7722" i="113"/>
  <c r="E7738" i="113"/>
  <c r="E7754" i="113"/>
  <c r="E7770" i="113"/>
  <c r="E7786" i="113"/>
  <c r="E7802" i="113"/>
  <c r="E7818" i="113"/>
  <c r="E7834" i="113"/>
  <c r="E7850" i="113"/>
  <c r="E7866" i="113"/>
  <c r="E7882" i="113"/>
  <c r="E7898" i="113"/>
  <c r="E7914" i="113"/>
  <c r="E7930" i="113"/>
  <c r="E7946" i="113"/>
  <c r="E7962" i="113"/>
  <c r="E7978" i="113"/>
  <c r="E7994" i="113"/>
  <c r="E8010" i="113"/>
  <c r="E8026" i="113"/>
  <c r="E8042" i="113"/>
  <c r="E8058" i="113"/>
  <c r="E8074" i="113"/>
  <c r="E8090" i="113"/>
  <c r="E8106" i="113"/>
  <c r="E8122" i="113"/>
  <c r="E8138" i="113"/>
  <c r="E8154" i="113"/>
  <c r="E8170" i="113"/>
  <c r="E8186" i="113"/>
  <c r="E8202" i="113"/>
  <c r="E8218" i="113"/>
  <c r="E8234" i="113"/>
  <c r="E8250" i="113"/>
  <c r="E8266" i="113"/>
  <c r="E8282" i="113"/>
  <c r="E8298" i="113"/>
  <c r="E8314" i="113"/>
  <c r="E8330" i="113"/>
  <c r="E8346" i="113"/>
  <c r="E8362" i="113"/>
  <c r="E8378" i="113"/>
  <c r="E8394" i="113"/>
  <c r="E8410" i="113"/>
  <c r="E8426" i="113"/>
  <c r="E8442" i="113"/>
  <c r="E8458" i="113"/>
  <c r="E8474" i="113"/>
  <c r="E8490" i="113"/>
  <c r="E8506" i="113"/>
  <c r="E8522" i="113"/>
  <c r="E8538" i="113"/>
  <c r="E8554" i="113"/>
  <c r="E8570" i="113"/>
  <c r="E8586" i="113"/>
  <c r="E8602" i="113"/>
  <c r="E8618" i="113"/>
  <c r="E8634" i="113"/>
  <c r="E8650" i="113"/>
  <c r="E8666" i="113"/>
  <c r="E8682" i="113"/>
  <c r="E8698" i="113"/>
  <c r="E8714" i="113"/>
  <c r="E8730" i="113"/>
  <c r="E8746" i="113"/>
  <c r="E8762" i="113"/>
  <c r="E8778" i="113"/>
  <c r="E8794" i="113"/>
  <c r="E8810" i="113"/>
  <c r="E8822" i="113"/>
  <c r="E8828" i="113"/>
  <c r="E8832" i="113"/>
  <c r="E8836" i="113"/>
  <c r="E8840" i="113"/>
  <c r="E8844" i="113"/>
  <c r="E8848" i="113"/>
  <c r="E8852" i="113"/>
  <c r="E8856" i="113"/>
  <c r="E8860" i="113"/>
  <c r="E8864" i="113"/>
  <c r="E8868" i="113"/>
  <c r="E8872" i="113"/>
  <c r="E8876" i="113"/>
  <c r="E8880" i="113"/>
  <c r="E8884" i="113"/>
  <c r="E8888" i="113"/>
  <c r="E8892" i="113"/>
  <c r="E8896" i="113"/>
  <c r="E8900" i="113"/>
  <c r="E8904" i="113"/>
  <c r="E8908" i="113"/>
  <c r="E8912" i="113"/>
  <c r="E8916" i="113"/>
  <c r="E8920" i="113"/>
  <c r="E8924" i="113"/>
  <c r="E8928" i="113"/>
  <c r="E8932" i="113"/>
  <c r="E8936" i="113"/>
  <c r="E8940" i="113"/>
  <c r="E8944" i="113"/>
  <c r="E8948" i="113"/>
  <c r="E8952" i="113"/>
  <c r="E8956" i="113"/>
  <c r="E8960" i="113"/>
  <c r="E8964" i="113"/>
  <c r="E8968" i="113"/>
  <c r="E8972" i="113"/>
  <c r="E8976" i="113"/>
  <c r="E8980" i="113"/>
  <c r="E8984" i="113"/>
  <c r="E8988" i="113"/>
  <c r="E8992" i="113"/>
  <c r="E8996" i="113"/>
  <c r="E9000" i="113"/>
  <c r="E9004" i="113"/>
  <c r="E9008" i="113"/>
  <c r="E9012" i="113"/>
  <c r="E9016" i="113"/>
  <c r="E9020" i="113"/>
  <c r="E9024" i="113"/>
  <c r="E9028" i="113"/>
  <c r="E9032" i="113"/>
  <c r="E9036" i="113"/>
  <c r="E9040" i="113"/>
  <c r="E9044" i="113"/>
  <c r="E9048" i="113"/>
  <c r="E9052" i="113"/>
  <c r="E9056" i="113"/>
  <c r="E9060" i="113"/>
  <c r="E9064" i="113"/>
  <c r="E9068" i="113"/>
  <c r="E9072" i="113"/>
  <c r="E9076" i="113"/>
  <c r="E9080" i="113"/>
  <c r="E9084" i="113"/>
  <c r="E9088" i="113"/>
  <c r="E9092" i="113"/>
  <c r="E9096" i="113"/>
  <c r="E9100" i="113"/>
  <c r="E9104" i="113"/>
  <c r="E9108" i="113"/>
  <c r="E9112" i="113"/>
  <c r="E9116" i="113"/>
  <c r="E9120" i="113"/>
  <c r="E9124" i="113"/>
  <c r="E9128" i="113"/>
  <c r="E9132" i="113"/>
  <c r="E9136" i="113"/>
  <c r="E9140" i="113"/>
  <c r="E9144" i="113"/>
  <c r="E9148" i="113"/>
  <c r="E9152" i="113"/>
  <c r="E9156" i="113"/>
  <c r="E9160" i="113"/>
  <c r="E9164" i="113"/>
  <c r="E9168" i="113"/>
  <c r="E9172" i="113"/>
  <c r="E9176" i="113"/>
  <c r="E9180" i="113"/>
  <c r="E9184" i="113"/>
  <c r="E9188" i="113"/>
  <c r="E9192" i="113"/>
  <c r="E9196" i="113"/>
  <c r="E9200" i="113"/>
  <c r="E9204" i="113"/>
  <c r="E9208" i="113"/>
  <c r="E9212" i="113"/>
  <c r="E9216" i="113"/>
  <c r="E9220" i="113"/>
  <c r="E9224" i="113"/>
  <c r="E9228" i="113"/>
  <c r="E9232" i="113"/>
  <c r="E9236" i="113"/>
  <c r="E9240" i="113"/>
  <c r="E9244" i="113"/>
  <c r="E9248" i="113"/>
  <c r="E9252" i="113"/>
  <c r="E9256" i="113"/>
  <c r="E9260" i="113"/>
  <c r="E9264" i="113"/>
  <c r="E9268" i="113"/>
  <c r="E9272" i="113"/>
  <c r="E9276" i="113"/>
  <c r="E9280" i="113"/>
  <c r="E9284" i="113"/>
  <c r="E9288" i="113"/>
  <c r="E9292" i="113"/>
  <c r="E9296" i="113"/>
  <c r="E9300" i="113"/>
  <c r="E9304" i="113"/>
  <c r="E9308" i="113"/>
  <c r="E9312" i="113"/>
  <c r="E9316" i="113"/>
  <c r="E9320" i="113"/>
  <c r="E9324" i="113"/>
  <c r="E9328" i="113"/>
  <c r="E9332" i="113"/>
  <c r="E9336" i="113"/>
  <c r="E9340" i="113"/>
  <c r="E9344" i="113"/>
  <c r="E9348" i="113"/>
  <c r="E9352" i="113"/>
  <c r="E9356" i="113"/>
  <c r="E9360" i="113"/>
  <c r="E9364" i="113"/>
  <c r="E9368" i="113"/>
  <c r="E9372" i="113"/>
  <c r="E9376" i="113"/>
  <c r="E9380" i="113"/>
  <c r="E9384" i="113"/>
  <c r="E9388" i="113"/>
  <c r="E9392" i="113"/>
  <c r="E9396" i="113"/>
  <c r="E9400" i="113"/>
  <c r="E9404" i="113"/>
  <c r="E9408" i="113"/>
  <c r="E9412" i="113"/>
  <c r="E9416" i="113"/>
  <c r="E9420" i="113"/>
  <c r="E9424" i="113"/>
  <c r="E9428" i="113"/>
  <c r="E9432" i="113"/>
  <c r="E9436" i="113"/>
  <c r="E9440" i="113"/>
  <c r="E9444" i="113"/>
  <c r="E9448" i="113"/>
  <c r="E9452" i="113"/>
  <c r="E9456" i="113"/>
  <c r="E9460" i="113"/>
  <c r="E9464" i="113"/>
  <c r="E9468" i="113"/>
  <c r="E9472" i="113"/>
  <c r="E9476" i="113"/>
  <c r="E9480" i="113"/>
  <c r="E9484" i="113"/>
  <c r="E9488" i="113"/>
  <c r="E9492" i="113"/>
  <c r="E9496" i="113"/>
  <c r="E9500" i="113"/>
  <c r="E9504" i="113"/>
  <c r="E9508" i="113"/>
  <c r="E9512" i="113"/>
  <c r="E9516" i="113"/>
  <c r="E9520" i="113"/>
  <c r="E9524" i="113"/>
  <c r="E9528" i="113"/>
  <c r="E9532" i="113"/>
  <c r="E9536" i="113"/>
  <c r="E9540" i="113"/>
  <c r="E9544" i="113"/>
  <c r="E9548" i="113"/>
  <c r="E9552" i="113"/>
  <c r="E9556" i="113"/>
  <c r="E9560" i="113"/>
  <c r="E9564" i="113"/>
  <c r="E9568" i="113"/>
  <c r="E9572" i="113"/>
  <c r="E9576" i="113"/>
  <c r="E9580" i="113"/>
  <c r="E9584" i="113"/>
  <c r="E9588" i="113"/>
  <c r="E9592" i="113"/>
  <c r="E9596" i="113"/>
  <c r="E9600" i="113"/>
  <c r="E9604" i="113"/>
  <c r="E9608" i="113"/>
  <c r="E9612" i="113"/>
  <c r="E9616" i="113"/>
  <c r="E9620" i="113"/>
  <c r="E9624" i="113"/>
  <c r="E9628" i="113"/>
  <c r="E9632" i="113"/>
  <c r="E9636" i="113"/>
  <c r="E9640" i="113"/>
  <c r="E9644" i="113"/>
  <c r="E9648" i="113"/>
  <c r="E9652" i="113"/>
  <c r="E9656" i="113"/>
  <c r="E9660" i="113"/>
  <c r="E9664" i="113"/>
  <c r="E9668" i="113"/>
  <c r="E9672" i="113"/>
  <c r="E9676" i="113"/>
  <c r="E9680" i="113"/>
  <c r="E9684" i="113"/>
  <c r="E9688" i="113"/>
  <c r="E9692" i="113"/>
  <c r="E9696" i="113"/>
  <c r="E9700" i="113"/>
  <c r="E9704" i="113"/>
  <c r="E9708" i="113"/>
  <c r="E9712" i="113"/>
  <c r="E9716" i="113"/>
  <c r="E9720" i="113"/>
  <c r="E9724" i="113"/>
  <c r="E9728" i="113"/>
  <c r="E9732" i="113"/>
  <c r="E9736" i="113"/>
  <c r="E9740" i="113"/>
  <c r="E9744" i="113"/>
  <c r="E9748" i="113"/>
  <c r="E9752" i="113"/>
  <c r="E9756" i="113"/>
  <c r="E9760" i="113"/>
  <c r="E9764" i="113"/>
  <c r="E9768" i="113"/>
  <c r="E9772" i="113"/>
  <c r="E9776" i="113"/>
  <c r="E9780" i="113"/>
  <c r="E9784" i="113"/>
  <c r="E9788" i="113"/>
  <c r="E9792" i="113"/>
  <c r="E9796" i="113"/>
  <c r="E9800" i="113"/>
  <c r="E9804" i="113"/>
  <c r="E9808" i="113"/>
  <c r="E9812" i="113"/>
  <c r="E9816" i="113"/>
  <c r="E9820" i="113"/>
  <c r="E9824" i="113"/>
  <c r="E9828" i="113"/>
  <c r="E9832" i="113"/>
  <c r="E9836" i="113"/>
  <c r="E9840" i="113"/>
  <c r="E9844" i="113"/>
  <c r="E9848" i="113"/>
  <c r="E9852" i="113"/>
  <c r="E9856" i="113"/>
  <c r="E9860" i="113"/>
  <c r="E9864" i="113"/>
  <c r="E9868" i="113"/>
  <c r="E9872" i="113"/>
  <c r="E9876" i="113"/>
  <c r="E9880" i="113"/>
  <c r="E9884" i="113"/>
  <c r="E9888" i="113"/>
  <c r="E9892" i="113"/>
  <c r="E9896" i="113"/>
  <c r="E9900" i="113"/>
  <c r="E9904" i="113"/>
  <c r="E9908" i="113"/>
  <c r="E9912" i="113"/>
  <c r="E9916" i="113"/>
  <c r="E9920" i="113"/>
  <c r="E9924" i="113"/>
  <c r="E9928" i="113"/>
  <c r="E9932" i="113"/>
  <c r="E9936" i="113"/>
  <c r="E9940" i="113"/>
  <c r="E9944" i="113"/>
  <c r="E9948" i="113"/>
  <c r="E9952" i="113"/>
  <c r="E9956" i="113"/>
  <c r="E9960" i="113"/>
  <c r="E9964" i="113"/>
  <c r="E9968" i="113"/>
  <c r="E9972" i="113"/>
  <c r="E9976" i="113"/>
  <c r="E9980" i="113"/>
  <c r="E9984" i="113"/>
  <c r="E9988" i="113"/>
  <c r="E9992" i="113"/>
  <c r="E9996" i="113"/>
  <c r="E10000" i="113"/>
  <c r="E10004" i="113"/>
  <c r="E10008" i="113"/>
  <c r="E10012" i="113"/>
  <c r="E10016" i="113"/>
  <c r="E10020" i="113"/>
  <c r="E10024" i="113"/>
  <c r="E10028" i="113"/>
  <c r="E10032" i="113"/>
  <c r="E10036" i="113"/>
  <c r="E10040" i="113"/>
  <c r="E10044" i="113"/>
  <c r="E10048" i="113"/>
  <c r="E10052" i="113"/>
  <c r="E10056" i="113"/>
  <c r="E10060" i="113"/>
  <c r="E10064" i="113"/>
  <c r="E10068" i="113"/>
  <c r="E10072" i="113"/>
  <c r="E10076" i="113"/>
  <c r="E10080" i="113"/>
  <c r="E10084" i="113"/>
  <c r="E10088" i="113"/>
  <c r="E10092" i="113"/>
  <c r="E10096" i="113"/>
  <c r="E10100" i="113"/>
  <c r="E10104" i="113"/>
  <c r="E10108" i="113"/>
  <c r="E10112" i="113"/>
  <c r="E10116" i="113"/>
  <c r="E10120" i="113"/>
  <c r="E10124" i="113"/>
  <c r="E10128" i="113"/>
  <c r="E10132" i="113"/>
  <c r="E10136" i="113"/>
  <c r="E10140" i="113"/>
  <c r="E10144" i="113"/>
  <c r="E10148" i="113"/>
  <c r="E10152" i="113"/>
  <c r="E10156" i="113"/>
  <c r="E10160" i="113"/>
  <c r="E10164" i="113"/>
  <c r="E10168" i="113"/>
  <c r="E10172" i="113"/>
  <c r="E10176" i="113"/>
  <c r="E10180" i="113"/>
  <c r="E10184" i="113"/>
  <c r="E10188" i="113"/>
  <c r="E10192" i="113"/>
  <c r="E10196" i="113"/>
  <c r="E10200" i="113"/>
  <c r="E10204" i="113"/>
  <c r="E10208" i="113"/>
  <c r="E10212" i="113"/>
  <c r="E10216" i="113"/>
  <c r="E10220" i="113"/>
  <c r="E10224" i="113"/>
  <c r="E10228" i="113"/>
  <c r="E10232" i="113"/>
  <c r="E10236" i="113"/>
  <c r="E10240" i="113"/>
  <c r="E10244" i="113"/>
  <c r="E10248" i="113"/>
  <c r="E10252" i="113"/>
  <c r="E10256" i="113"/>
  <c r="E10260" i="113"/>
  <c r="E10264" i="113"/>
  <c r="E10268" i="113"/>
  <c r="E10272" i="113"/>
  <c r="E10276" i="113"/>
  <c r="E10280" i="113"/>
  <c r="E10284" i="113"/>
  <c r="E10288" i="113"/>
  <c r="E10292" i="113"/>
  <c r="E10296" i="113"/>
  <c r="E10300" i="113"/>
  <c r="E10304" i="113"/>
  <c r="E10308" i="113"/>
  <c r="E10312" i="113"/>
  <c r="E10316" i="113"/>
  <c r="E10320" i="113"/>
  <c r="E10324" i="113"/>
  <c r="E10328" i="113"/>
  <c r="E10332" i="113"/>
  <c r="E10336" i="113"/>
  <c r="E10340" i="113"/>
  <c r="E10344" i="113"/>
  <c r="E10348" i="113"/>
  <c r="E10352" i="113"/>
  <c r="E10356" i="113"/>
  <c r="E10360" i="113"/>
  <c r="E10364" i="113"/>
  <c r="E10368" i="113"/>
  <c r="E10372" i="113"/>
  <c r="E10376" i="113"/>
  <c r="E10380" i="113"/>
  <c r="E10384" i="113"/>
  <c r="E10388" i="113"/>
  <c r="E10392" i="113"/>
  <c r="E10396" i="113"/>
  <c r="E10400" i="113"/>
  <c r="E10404" i="113"/>
  <c r="E10408" i="113"/>
  <c r="E10412" i="113"/>
  <c r="E10416" i="113"/>
  <c r="E10420" i="113"/>
  <c r="E10424" i="113"/>
  <c r="E10428" i="113"/>
  <c r="E10432" i="113"/>
  <c r="E10436" i="113"/>
  <c r="E10440" i="113"/>
  <c r="E10444" i="113"/>
  <c r="E10448" i="113"/>
  <c r="E10452" i="113"/>
  <c r="E10456" i="113"/>
  <c r="E10460" i="113"/>
  <c r="E10464" i="113"/>
  <c r="E10468" i="113"/>
  <c r="E10472" i="113"/>
  <c r="E10476" i="113"/>
  <c r="E10480" i="113"/>
  <c r="E10484" i="113"/>
  <c r="E10488" i="113"/>
  <c r="E10492" i="113"/>
  <c r="E10496" i="113"/>
  <c r="E10500" i="113"/>
  <c r="E10504" i="113"/>
  <c r="E10508" i="113"/>
  <c r="E10512" i="113"/>
  <c r="E10516" i="113"/>
  <c r="E10520" i="113"/>
  <c r="E10524" i="113"/>
  <c r="E10528" i="113"/>
  <c r="E10532" i="113"/>
  <c r="E10536" i="113"/>
  <c r="E10540" i="113"/>
  <c r="E10544" i="113"/>
  <c r="E10548" i="113"/>
  <c r="E10552" i="113"/>
  <c r="E10556" i="113"/>
  <c r="E10560" i="113"/>
  <c r="E10564" i="113"/>
  <c r="E10568" i="113"/>
  <c r="E10572" i="113"/>
  <c r="E10576" i="113"/>
  <c r="E10580" i="113"/>
  <c r="E10584" i="113"/>
  <c r="E10588" i="113"/>
  <c r="E10592" i="113"/>
  <c r="E10596" i="113"/>
  <c r="E10600" i="113"/>
  <c r="E10604" i="113"/>
  <c r="E10608" i="113"/>
  <c r="E10612" i="113"/>
  <c r="E10616" i="113"/>
  <c r="E10620" i="113"/>
  <c r="E10624" i="113"/>
  <c r="E10628" i="113"/>
  <c r="E10632" i="113"/>
  <c r="E10636" i="113"/>
  <c r="E10640" i="113"/>
  <c r="E10644" i="113"/>
  <c r="E10648" i="113"/>
  <c r="E10652" i="113"/>
  <c r="E10656" i="113"/>
  <c r="E10660" i="113"/>
  <c r="E10664" i="113"/>
  <c r="E10668" i="113"/>
  <c r="E10672" i="113"/>
  <c r="E10676" i="113"/>
  <c r="E10680" i="113"/>
  <c r="E10684" i="113"/>
  <c r="E10688" i="113"/>
  <c r="E10692" i="113"/>
  <c r="E10696" i="113"/>
  <c r="E10700" i="113"/>
  <c r="E10704" i="113"/>
  <c r="E10708" i="113"/>
  <c r="E10712" i="113"/>
  <c r="E10716" i="113"/>
  <c r="E10720" i="113"/>
  <c r="E10724" i="113"/>
  <c r="E10728" i="113"/>
  <c r="E10732" i="113"/>
  <c r="E10736" i="113"/>
  <c r="E10740" i="113"/>
  <c r="E10744" i="113"/>
  <c r="E10748" i="113"/>
  <c r="E10752" i="113"/>
  <c r="E10756" i="113"/>
  <c r="E10760" i="113"/>
  <c r="E10764" i="113"/>
  <c r="E10768" i="113"/>
  <c r="E10772" i="113"/>
  <c r="E10776" i="113"/>
  <c r="E10780" i="113"/>
  <c r="E10784" i="113"/>
  <c r="E10788" i="113"/>
  <c r="E10792" i="113"/>
  <c r="E10796" i="113"/>
  <c r="E10800" i="113"/>
  <c r="E10804" i="113"/>
  <c r="E10808" i="113"/>
  <c r="E10812" i="113"/>
  <c r="E10816" i="113"/>
  <c r="E10820" i="113"/>
  <c r="E10824" i="113"/>
  <c r="E10828" i="113"/>
  <c r="E10832" i="113"/>
  <c r="E10836" i="113"/>
  <c r="E10840" i="113"/>
  <c r="E10844" i="113"/>
  <c r="E10848" i="113"/>
  <c r="E10852" i="113"/>
  <c r="E10856" i="113"/>
  <c r="E10860" i="113"/>
  <c r="E10864" i="113"/>
  <c r="E10868" i="113"/>
  <c r="E3612" i="113"/>
  <c r="E4124" i="113"/>
  <c r="E4478" i="113"/>
  <c r="E4651" i="113"/>
  <c r="E4779" i="113"/>
  <c r="E4907" i="113"/>
  <c r="E5035" i="113"/>
  <c r="E5155" i="113"/>
  <c r="E5240" i="113"/>
  <c r="E5311" i="113"/>
  <c r="E5375" i="113"/>
  <c r="E5439" i="113"/>
  <c r="E5503" i="113"/>
  <c r="E5567" i="113"/>
  <c r="E5631" i="113"/>
  <c r="E5695" i="113"/>
  <c r="E5759" i="113"/>
  <c r="E5823" i="113"/>
  <c r="E5887" i="113"/>
  <c r="E5951" i="113"/>
  <c r="E6015" i="113"/>
  <c r="E6064" i="113"/>
  <c r="E6096" i="113"/>
  <c r="E6128" i="113"/>
  <c r="E6160" i="113"/>
  <c r="E6192" i="113"/>
  <c r="E6224" i="113"/>
  <c r="E6256" i="113"/>
  <c r="E6288" i="113"/>
  <c r="E6320" i="113"/>
  <c r="E6352" i="113"/>
  <c r="E6384" i="113"/>
  <c r="E6416" i="113"/>
  <c r="E6448" i="113"/>
  <c r="E6480" i="113"/>
  <c r="E6512" i="113"/>
  <c r="E6544" i="113"/>
  <c r="E6576" i="113"/>
  <c r="E6608" i="113"/>
  <c r="E6640" i="113"/>
  <c r="E6672" i="113"/>
  <c r="E6704" i="113"/>
  <c r="E6736" i="113"/>
  <c r="E6761" i="113"/>
  <c r="E6783" i="113"/>
  <c r="E6804" i="113"/>
  <c r="E6825" i="113"/>
  <c r="E6847" i="113"/>
  <c r="E6868" i="113"/>
  <c r="E6889" i="113"/>
  <c r="E6910" i="113"/>
  <c r="E6926" i="113"/>
  <c r="E6942" i="113"/>
  <c r="E6958" i="113"/>
  <c r="E6974" i="113"/>
  <c r="E6990" i="113"/>
  <c r="E7006" i="113"/>
  <c r="E7022" i="113"/>
  <c r="E7038" i="113"/>
  <c r="E7054" i="113"/>
  <c r="E7070" i="113"/>
  <c r="E7086" i="113"/>
  <c r="E7102" i="113"/>
  <c r="E7118" i="113"/>
  <c r="E7134" i="113"/>
  <c r="E7150" i="113"/>
  <c r="E7166" i="113"/>
  <c r="E7182" i="113"/>
  <c r="E7198" i="113"/>
  <c r="E7214" i="113"/>
  <c r="E7230" i="113"/>
  <c r="E7246" i="113"/>
  <c r="E7262" i="113"/>
  <c r="E7278" i="113"/>
  <c r="E7294" i="113"/>
  <c r="E7310" i="113"/>
  <c r="E7326" i="113"/>
  <c r="E7342" i="113"/>
  <c r="E7358" i="113"/>
  <c r="E7374" i="113"/>
  <c r="E7390" i="113"/>
  <c r="E7406" i="113"/>
  <c r="E7422" i="113"/>
  <c r="E7438" i="113"/>
  <c r="E7454" i="113"/>
  <c r="E7470" i="113"/>
  <c r="E7486" i="113"/>
  <c r="E7502" i="113"/>
  <c r="E7518" i="113"/>
  <c r="E7534" i="113"/>
  <c r="E7550" i="113"/>
  <c r="E7566" i="113"/>
  <c r="E7582" i="113"/>
  <c r="E7598" i="113"/>
  <c r="E7614" i="113"/>
  <c r="E7630" i="113"/>
  <c r="E7646" i="113"/>
  <c r="E7662" i="113"/>
  <c r="E7678" i="113"/>
  <c r="E7694" i="113"/>
  <c r="E7710" i="113"/>
  <c r="E7726" i="113"/>
  <c r="E7742" i="113"/>
  <c r="E7758" i="113"/>
  <c r="E7774" i="113"/>
  <c r="E7790" i="113"/>
  <c r="E7806" i="113"/>
  <c r="E7822" i="113"/>
  <c r="E7838" i="113"/>
  <c r="E7854" i="113"/>
  <c r="E7870" i="113"/>
  <c r="E7886" i="113"/>
  <c r="E7902" i="113"/>
  <c r="E7918" i="113"/>
  <c r="E7934" i="113"/>
  <c r="E7950" i="113"/>
  <c r="E7966" i="113"/>
  <c r="E7982" i="113"/>
  <c r="E7998" i="113"/>
  <c r="E8014" i="113"/>
  <c r="E8030" i="113"/>
  <c r="E8046" i="113"/>
  <c r="E8062" i="113"/>
  <c r="E8078" i="113"/>
  <c r="E8094" i="113"/>
  <c r="E8110" i="113"/>
  <c r="E8126" i="113"/>
  <c r="E8142" i="113"/>
  <c r="E8158" i="113"/>
  <c r="E8174" i="113"/>
  <c r="E8190" i="113"/>
  <c r="E8206" i="113"/>
  <c r="E8222" i="113"/>
  <c r="E8238" i="113"/>
  <c r="E8254" i="113"/>
  <c r="E8270" i="113"/>
  <c r="E8286" i="113"/>
  <c r="E8302" i="113"/>
  <c r="E8318" i="113"/>
  <c r="E8334" i="113"/>
  <c r="E8350" i="113"/>
  <c r="E8366" i="113"/>
  <c r="E8382" i="113"/>
  <c r="E8398" i="113"/>
  <c r="E8414" i="113"/>
  <c r="E8430" i="113"/>
  <c r="E8446" i="113"/>
  <c r="E8462" i="113"/>
  <c r="E8478" i="113"/>
  <c r="E8494" i="113"/>
  <c r="E8510" i="113"/>
  <c r="E8526" i="113"/>
  <c r="E8542" i="113"/>
  <c r="E8558" i="113"/>
  <c r="E8574" i="113"/>
  <c r="E8590" i="113"/>
  <c r="E8606" i="113"/>
  <c r="E8622" i="113"/>
  <c r="E8638" i="113"/>
  <c r="E8654" i="113"/>
  <c r="E8670" i="113"/>
  <c r="E8686" i="113"/>
  <c r="E8702" i="113"/>
  <c r="E8718" i="113"/>
  <c r="E8734" i="113"/>
  <c r="E8750" i="113"/>
  <c r="E8766" i="113"/>
  <c r="E8782" i="113"/>
  <c r="E8798" i="113"/>
  <c r="E8814" i="113"/>
  <c r="E8824" i="113"/>
  <c r="E8829" i="113"/>
  <c r="E8833" i="113"/>
  <c r="E8837" i="113"/>
  <c r="E8841" i="113"/>
  <c r="E8845" i="113"/>
  <c r="E8849" i="113"/>
  <c r="E8853" i="113"/>
  <c r="E8857" i="113"/>
  <c r="E8861" i="113"/>
  <c r="E8865" i="113"/>
  <c r="E8869" i="113"/>
  <c r="E8873" i="113"/>
  <c r="E8877" i="113"/>
  <c r="E8881" i="113"/>
  <c r="E8885" i="113"/>
  <c r="E8889" i="113"/>
  <c r="E8893" i="113"/>
  <c r="E8897" i="113"/>
  <c r="E8901" i="113"/>
  <c r="E8905" i="113"/>
  <c r="E8909" i="113"/>
  <c r="E8913" i="113"/>
  <c r="E8917" i="113"/>
  <c r="E8921" i="113"/>
  <c r="E8925" i="113"/>
  <c r="E8929" i="113"/>
  <c r="E8933" i="113"/>
  <c r="E8937" i="113"/>
  <c r="E8941" i="113"/>
  <c r="E8945" i="113"/>
  <c r="E8949" i="113"/>
  <c r="E8953" i="113"/>
  <c r="E8957" i="113"/>
  <c r="E8961" i="113"/>
  <c r="E8965" i="113"/>
  <c r="E8969" i="113"/>
  <c r="E8973" i="113"/>
  <c r="E8977" i="113"/>
  <c r="E8981" i="113"/>
  <c r="E8985" i="113"/>
  <c r="E8989" i="113"/>
  <c r="E8993" i="113"/>
  <c r="E8997" i="113"/>
  <c r="E9001" i="113"/>
  <c r="E9005" i="113"/>
  <c r="E9009" i="113"/>
  <c r="E9013" i="113"/>
  <c r="E9017" i="113"/>
  <c r="E9021" i="113"/>
  <c r="E9025" i="113"/>
  <c r="E9029" i="113"/>
  <c r="E9033" i="113"/>
  <c r="E9037" i="113"/>
  <c r="E9041" i="113"/>
  <c r="E9045" i="113"/>
  <c r="E9049" i="113"/>
  <c r="E9053" i="113"/>
  <c r="E9057" i="113"/>
  <c r="E9061" i="113"/>
  <c r="E9065" i="113"/>
  <c r="E9069" i="113"/>
  <c r="E9073" i="113"/>
  <c r="E9077" i="113"/>
  <c r="E9081" i="113"/>
  <c r="E9085" i="113"/>
  <c r="E9089" i="113"/>
  <c r="E9093" i="113"/>
  <c r="E9097" i="113"/>
  <c r="E9101" i="113"/>
  <c r="E9105" i="113"/>
  <c r="E9109" i="113"/>
  <c r="E9113" i="113"/>
  <c r="E9117" i="113"/>
  <c r="E9121" i="113"/>
  <c r="E9125" i="113"/>
  <c r="E9129" i="113"/>
  <c r="E9133" i="113"/>
  <c r="E9137" i="113"/>
  <c r="E9141" i="113"/>
  <c r="E9145" i="113"/>
  <c r="E9149" i="113"/>
  <c r="E9153" i="113"/>
  <c r="E9157" i="113"/>
  <c r="E9161" i="113"/>
  <c r="E9165" i="113"/>
  <c r="E9169" i="113"/>
  <c r="E9173" i="113"/>
  <c r="E9177" i="113"/>
  <c r="E9181" i="113"/>
  <c r="E9185" i="113"/>
  <c r="E9189" i="113"/>
  <c r="E9193" i="113"/>
  <c r="E9197" i="113"/>
  <c r="E9201" i="113"/>
  <c r="E9205" i="113"/>
  <c r="E9209" i="113"/>
  <c r="E9213" i="113"/>
  <c r="E9217" i="113"/>
  <c r="E9221" i="113"/>
  <c r="E9225" i="113"/>
  <c r="E9229" i="113"/>
  <c r="E9233" i="113"/>
  <c r="E9237" i="113"/>
  <c r="E9241" i="113"/>
  <c r="E9245" i="113"/>
  <c r="E9249" i="113"/>
  <c r="E9253" i="113"/>
  <c r="E9257" i="113"/>
  <c r="E9261" i="113"/>
  <c r="E9265" i="113"/>
  <c r="E9269" i="113"/>
  <c r="E9273" i="113"/>
  <c r="E9277" i="113"/>
  <c r="E9281" i="113"/>
  <c r="E9285" i="113"/>
  <c r="E9289" i="113"/>
  <c r="E9293" i="113"/>
  <c r="E9297" i="113"/>
  <c r="E9301" i="113"/>
  <c r="E9305" i="113"/>
  <c r="E9309" i="113"/>
  <c r="E9313" i="113"/>
  <c r="E9317" i="113"/>
  <c r="E9321" i="113"/>
  <c r="E9325" i="113"/>
  <c r="E9329" i="113"/>
  <c r="E9333" i="113"/>
  <c r="E9337" i="113"/>
  <c r="E9341" i="113"/>
  <c r="E9345" i="113"/>
  <c r="E9349" i="113"/>
  <c r="E9353" i="113"/>
  <c r="E9357" i="113"/>
  <c r="E9361" i="113"/>
  <c r="E9365" i="113"/>
  <c r="E9369" i="113"/>
  <c r="E9373" i="113"/>
  <c r="E9377" i="113"/>
  <c r="E9381" i="113"/>
  <c r="E9385" i="113"/>
  <c r="E9389" i="113"/>
  <c r="E9393" i="113"/>
  <c r="E9397" i="113"/>
  <c r="E9401" i="113"/>
  <c r="E9405" i="113"/>
  <c r="E9409" i="113"/>
  <c r="E9413" i="113"/>
  <c r="E9417" i="113"/>
  <c r="E9421" i="113"/>
  <c r="E9425" i="113"/>
  <c r="E9429" i="113"/>
  <c r="E9433" i="113"/>
  <c r="E9437" i="113"/>
  <c r="E9441" i="113"/>
  <c r="E9445" i="113"/>
  <c r="E9449" i="113"/>
  <c r="E9453" i="113"/>
  <c r="E9457" i="113"/>
  <c r="E9461" i="113"/>
  <c r="E9465" i="113"/>
  <c r="E9469" i="113"/>
  <c r="E9473" i="113"/>
  <c r="E9477" i="113"/>
  <c r="E9481" i="113"/>
  <c r="E9485" i="113"/>
  <c r="E9489" i="113"/>
  <c r="E9493" i="113"/>
  <c r="E9497" i="113"/>
  <c r="E9501" i="113"/>
  <c r="E9505" i="113"/>
  <c r="E9509" i="113"/>
  <c r="E9513" i="113"/>
  <c r="E9517" i="113"/>
  <c r="E9521" i="113"/>
  <c r="E9525" i="113"/>
  <c r="E9529" i="113"/>
  <c r="E9533" i="113"/>
  <c r="E9537" i="113"/>
  <c r="E9541" i="113"/>
  <c r="E9545" i="113"/>
  <c r="E9549" i="113"/>
  <c r="E9553" i="113"/>
  <c r="E9557" i="113"/>
  <c r="E9561" i="113"/>
  <c r="E9565" i="113"/>
  <c r="E9569" i="113"/>
  <c r="E9573" i="113"/>
  <c r="E9577" i="113"/>
  <c r="E9581" i="113"/>
  <c r="E9585" i="113"/>
  <c r="E9589" i="113"/>
  <c r="E9593" i="113"/>
  <c r="E9597" i="113"/>
  <c r="E9601" i="113"/>
  <c r="E9605" i="113"/>
  <c r="E9609" i="113"/>
  <c r="E9613" i="113"/>
  <c r="E9617" i="113"/>
  <c r="E9621" i="113"/>
  <c r="E9625" i="113"/>
  <c r="E9629" i="113"/>
  <c r="E9633" i="113"/>
  <c r="E9637" i="113"/>
  <c r="E9641" i="113"/>
  <c r="E9645" i="113"/>
  <c r="E9649" i="113"/>
  <c r="E9653" i="113"/>
  <c r="E9657" i="113"/>
  <c r="E9661" i="113"/>
  <c r="E9665" i="113"/>
  <c r="E9669" i="113"/>
  <c r="E9673" i="113"/>
  <c r="E9677" i="113"/>
  <c r="E9681" i="113"/>
  <c r="E9685" i="113"/>
  <c r="E9689" i="113"/>
  <c r="E9693" i="113"/>
  <c r="E9697" i="113"/>
  <c r="E9701" i="113"/>
  <c r="E9705" i="113"/>
  <c r="E9709" i="113"/>
  <c r="E9713" i="113"/>
  <c r="E9717" i="113"/>
  <c r="E9721" i="113"/>
  <c r="E9725" i="113"/>
  <c r="E9729" i="113"/>
  <c r="E9733" i="113"/>
  <c r="E9737" i="113"/>
  <c r="E9741" i="113"/>
  <c r="E9745" i="113"/>
  <c r="E9749" i="113"/>
  <c r="E9753" i="113"/>
  <c r="E9757" i="113"/>
  <c r="E9761" i="113"/>
  <c r="E9765" i="113"/>
  <c r="E9769" i="113"/>
  <c r="E9773" i="113"/>
  <c r="E9777" i="113"/>
  <c r="E9781" i="113"/>
  <c r="E9785" i="113"/>
  <c r="E9789" i="113"/>
  <c r="E9793" i="113"/>
  <c r="E9797" i="113"/>
  <c r="E9801" i="113"/>
  <c r="E9805" i="113"/>
  <c r="E9809" i="113"/>
  <c r="E9813" i="113"/>
  <c r="E9817" i="113"/>
  <c r="E9821" i="113"/>
  <c r="E9825" i="113"/>
  <c r="E9829" i="113"/>
  <c r="E9833" i="113"/>
  <c r="E9837" i="113"/>
  <c r="E9841" i="113"/>
  <c r="E9845" i="113"/>
  <c r="E9849" i="113"/>
  <c r="E9853" i="113"/>
  <c r="E9857" i="113"/>
  <c r="E9861" i="113"/>
  <c r="E9865" i="113"/>
  <c r="E9869" i="113"/>
  <c r="E9873" i="113"/>
  <c r="E9877" i="113"/>
  <c r="E9881" i="113"/>
  <c r="E9885" i="113"/>
  <c r="E9889" i="113"/>
  <c r="E9893" i="113"/>
  <c r="E9897" i="113"/>
  <c r="E9901" i="113"/>
  <c r="E9905" i="113"/>
  <c r="E9909" i="113"/>
  <c r="E9913" i="113"/>
  <c r="E9917" i="113"/>
  <c r="E9921" i="113"/>
  <c r="E9925" i="113"/>
  <c r="E9929" i="113"/>
  <c r="E9933" i="113"/>
  <c r="E9937" i="113"/>
  <c r="E9941" i="113"/>
  <c r="E9945" i="113"/>
  <c r="E9949" i="113"/>
  <c r="E9953" i="113"/>
  <c r="E9957" i="113"/>
  <c r="E9961" i="113"/>
  <c r="E9965" i="113"/>
  <c r="E9969" i="113"/>
  <c r="E9973" i="113"/>
  <c r="E9977" i="113"/>
  <c r="E9981" i="113"/>
  <c r="E9985" i="113"/>
  <c r="E9989" i="113"/>
  <c r="E9993" i="113"/>
  <c r="E9997" i="113"/>
  <c r="E10001" i="113"/>
  <c r="E10005" i="113"/>
  <c r="E10009" i="113"/>
  <c r="E10013" i="113"/>
  <c r="E10017" i="113"/>
  <c r="E10021" i="113"/>
  <c r="E10025" i="113"/>
  <c r="E10029" i="113"/>
  <c r="E10033" i="113"/>
  <c r="E10037" i="113"/>
  <c r="E10041" i="113"/>
  <c r="E10045" i="113"/>
  <c r="E10049" i="113"/>
  <c r="E10053" i="113"/>
  <c r="E10057" i="113"/>
  <c r="E10061" i="113"/>
  <c r="E10065" i="113"/>
  <c r="E10069" i="113"/>
  <c r="E10073" i="113"/>
  <c r="E10077" i="113"/>
  <c r="E10081" i="113"/>
  <c r="E10085" i="113"/>
  <c r="E10089" i="113"/>
  <c r="E10093" i="113"/>
  <c r="E10097" i="113"/>
  <c r="E10101" i="113"/>
  <c r="E10105" i="113"/>
  <c r="E10109" i="113"/>
  <c r="E10113" i="113"/>
  <c r="E10117" i="113"/>
  <c r="E10121" i="113"/>
  <c r="E10125" i="113"/>
  <c r="E10129" i="113"/>
  <c r="E10133" i="113"/>
  <c r="E10137" i="113"/>
  <c r="E10141" i="113"/>
  <c r="E10145" i="113"/>
  <c r="E10149" i="113"/>
  <c r="E10153" i="113"/>
  <c r="E10157" i="113"/>
  <c r="E10161" i="113"/>
  <c r="E10165" i="113"/>
  <c r="E10169" i="113"/>
  <c r="E10173" i="113"/>
  <c r="E10177" i="113"/>
  <c r="E10181" i="113"/>
  <c r="E10185" i="113"/>
  <c r="E10189" i="113"/>
  <c r="E10193" i="113"/>
  <c r="E10197" i="113"/>
  <c r="E10201" i="113"/>
  <c r="E10205" i="113"/>
  <c r="E10209" i="113"/>
  <c r="E10213" i="113"/>
  <c r="E10217" i="113"/>
  <c r="E10221" i="113"/>
  <c r="E10225" i="113"/>
  <c r="E10229" i="113"/>
  <c r="E10233" i="113"/>
  <c r="E10237" i="113"/>
  <c r="E10241" i="113"/>
  <c r="E10245" i="113"/>
  <c r="E10249" i="113"/>
  <c r="E10253" i="113"/>
  <c r="E10257" i="113"/>
  <c r="E10261" i="113"/>
  <c r="E10265" i="113"/>
  <c r="E10269" i="113"/>
  <c r="E10273" i="113"/>
  <c r="E10277" i="113"/>
  <c r="E10281" i="113"/>
  <c r="E10285" i="113"/>
  <c r="E10289" i="113"/>
  <c r="E10293" i="113"/>
  <c r="E10297" i="113"/>
  <c r="E10301" i="113"/>
  <c r="E10305" i="113"/>
  <c r="E10309" i="113"/>
  <c r="E10313" i="113"/>
  <c r="E10317" i="113"/>
  <c r="E10321" i="113"/>
  <c r="E10325" i="113"/>
  <c r="E10329" i="113"/>
  <c r="E10333" i="113"/>
  <c r="E10337" i="113"/>
  <c r="E10341" i="113"/>
  <c r="E10345" i="113"/>
  <c r="E10349" i="113"/>
  <c r="E10353" i="113"/>
  <c r="E10357" i="113"/>
  <c r="E10361" i="113"/>
  <c r="E10365" i="113"/>
  <c r="E10369" i="113"/>
  <c r="E10373" i="113"/>
  <c r="E10377" i="113"/>
  <c r="E10381" i="113"/>
  <c r="E10385" i="113"/>
  <c r="E10389" i="113"/>
  <c r="E10393" i="113"/>
  <c r="E10397" i="113"/>
  <c r="E10401" i="113"/>
  <c r="E10405" i="113"/>
  <c r="E10409" i="113"/>
  <c r="E10413" i="113"/>
  <c r="E10417" i="113"/>
  <c r="E10421" i="113"/>
  <c r="E10425" i="113"/>
  <c r="E10429" i="113"/>
  <c r="E10433" i="113"/>
  <c r="E10437" i="113"/>
  <c r="E10441" i="113"/>
  <c r="E10445" i="113"/>
  <c r="E10449" i="113"/>
  <c r="E10453" i="113"/>
  <c r="E10457" i="113"/>
  <c r="E10461" i="113"/>
  <c r="E10465" i="113"/>
  <c r="E10469" i="113"/>
  <c r="E10473" i="113"/>
  <c r="E10477" i="113"/>
  <c r="E10481" i="113"/>
  <c r="E10485" i="113"/>
  <c r="E10489" i="113"/>
  <c r="E10493" i="113"/>
  <c r="E10497" i="113"/>
  <c r="E10501" i="113"/>
  <c r="E10505" i="113"/>
  <c r="E10509" i="113"/>
  <c r="E10513" i="113"/>
  <c r="E10517" i="113"/>
  <c r="E10521" i="113"/>
  <c r="E10525" i="113"/>
  <c r="E10529" i="113"/>
  <c r="E10533" i="113"/>
  <c r="E10537" i="113"/>
  <c r="E10541" i="113"/>
  <c r="E10545" i="113"/>
  <c r="E10549" i="113"/>
  <c r="E10553" i="113"/>
  <c r="E10557" i="113"/>
  <c r="E10561" i="113"/>
  <c r="E10565" i="113"/>
  <c r="E10569" i="113"/>
  <c r="E10573" i="113"/>
  <c r="E10577" i="113"/>
  <c r="E10581" i="113"/>
  <c r="E10585" i="113"/>
  <c r="E10589" i="113"/>
  <c r="E10593" i="113"/>
  <c r="E10597" i="113"/>
  <c r="E10601" i="113"/>
  <c r="E10605" i="113"/>
  <c r="E10609" i="113"/>
  <c r="E10613" i="113"/>
  <c r="E10617" i="113"/>
  <c r="E10621" i="113"/>
  <c r="E10625" i="113"/>
  <c r="E10629" i="113"/>
  <c r="E10633" i="113"/>
  <c r="E10637" i="113"/>
  <c r="E10641" i="113"/>
  <c r="E10645" i="113"/>
  <c r="E10649" i="113"/>
  <c r="E10653" i="113"/>
  <c r="E10657" i="113"/>
  <c r="E10661" i="113"/>
  <c r="E10665" i="113"/>
  <c r="E10669" i="113"/>
  <c r="E10673" i="113"/>
  <c r="E10677" i="113"/>
  <c r="E10681" i="113"/>
  <c r="E10685" i="113"/>
  <c r="E10689" i="113"/>
  <c r="E10693" i="113"/>
  <c r="E10697" i="113"/>
  <c r="E10701" i="113"/>
  <c r="E10705" i="113"/>
  <c r="E10709" i="113"/>
  <c r="E10713" i="113"/>
  <c r="E10717" i="113"/>
  <c r="E10721" i="113"/>
  <c r="E10725" i="113"/>
  <c r="E10729" i="113"/>
  <c r="E10733" i="113"/>
  <c r="E10737" i="113"/>
  <c r="E10741" i="113"/>
  <c r="E10745" i="113"/>
  <c r="E10749" i="113"/>
  <c r="E10753" i="113"/>
  <c r="E10757" i="113"/>
  <c r="E10761" i="113"/>
  <c r="E10765" i="113"/>
  <c r="E10769" i="113"/>
  <c r="E10773" i="113"/>
  <c r="E10777" i="113"/>
  <c r="E10781" i="113"/>
  <c r="E10785" i="113"/>
  <c r="E10789" i="113"/>
  <c r="E10793" i="113"/>
  <c r="E10797" i="113"/>
  <c r="E10801" i="113"/>
  <c r="E10805" i="113"/>
  <c r="E10809" i="113"/>
  <c r="E10813" i="113"/>
  <c r="E10817" i="113"/>
  <c r="E10821" i="113"/>
  <c r="E10825" i="113"/>
  <c r="E10829" i="113"/>
  <c r="E10833" i="113"/>
  <c r="E10837" i="113"/>
  <c r="E10841" i="113"/>
  <c r="E10845" i="113"/>
  <c r="E10849" i="113"/>
  <c r="E10853" i="113"/>
  <c r="E10857" i="113"/>
  <c r="E10861" i="113"/>
  <c r="E10865" i="113"/>
  <c r="E10869" i="113"/>
  <c r="E3740" i="113"/>
  <c r="E4811" i="113"/>
  <c r="E5262" i="113"/>
  <c r="E5519" i="113"/>
  <c r="E5775" i="113"/>
  <c r="E6031" i="113"/>
  <c r="E6168" i="113"/>
  <c r="E6296" i="113"/>
  <c r="E6424" i="113"/>
  <c r="E6552" i="113"/>
  <c r="E6680" i="113"/>
  <c r="E6788" i="113"/>
  <c r="E6873" i="113"/>
  <c r="E6946" i="113"/>
  <c r="E7010" i="113"/>
  <c r="E7074" i="113"/>
  <c r="E7138" i="113"/>
  <c r="E7202" i="113"/>
  <c r="E7266" i="113"/>
  <c r="E7330" i="113"/>
  <c r="E7394" i="113"/>
  <c r="E7458" i="113"/>
  <c r="E7522" i="113"/>
  <c r="E7586" i="113"/>
  <c r="E7650" i="113"/>
  <c r="E7714" i="113"/>
  <c r="E7778" i="113"/>
  <c r="E7842" i="113"/>
  <c r="E7906" i="113"/>
  <c r="E7970" i="113"/>
  <c r="E8034" i="113"/>
  <c r="E8098" i="113"/>
  <c r="E8162" i="113"/>
  <c r="E8226" i="113"/>
  <c r="E8290" i="113"/>
  <c r="E8354" i="113"/>
  <c r="E8418" i="113"/>
  <c r="E8482" i="113"/>
  <c r="E8546" i="113"/>
  <c r="E8610" i="113"/>
  <c r="E8674" i="113"/>
  <c r="E8738" i="113"/>
  <c r="E8802" i="113"/>
  <c r="E8834" i="113"/>
  <c r="E8850" i="113"/>
  <c r="E8866" i="113"/>
  <c r="E8882" i="113"/>
  <c r="E8898" i="113"/>
  <c r="E8914" i="113"/>
  <c r="E8930" i="113"/>
  <c r="E8946" i="113"/>
  <c r="E8962" i="113"/>
  <c r="E8978" i="113"/>
  <c r="E8994" i="113"/>
  <c r="E9010" i="113"/>
  <c r="E9026" i="113"/>
  <c r="E9042" i="113"/>
  <c r="E9058" i="113"/>
  <c r="E9074" i="113"/>
  <c r="E9090" i="113"/>
  <c r="E9106" i="113"/>
  <c r="E9122" i="113"/>
  <c r="E9138" i="113"/>
  <c r="E9154" i="113"/>
  <c r="E9170" i="113"/>
  <c r="E9186" i="113"/>
  <c r="E9202" i="113"/>
  <c r="E9218" i="113"/>
  <c r="E9234" i="113"/>
  <c r="E9250" i="113"/>
  <c r="E9266" i="113"/>
  <c r="E9282" i="113"/>
  <c r="E9298" i="113"/>
  <c r="E9314" i="113"/>
  <c r="E9330" i="113"/>
  <c r="E9346" i="113"/>
  <c r="E9362" i="113"/>
  <c r="E9378" i="113"/>
  <c r="E9394" i="113"/>
  <c r="E9410" i="113"/>
  <c r="E9426" i="113"/>
  <c r="E9442" i="113"/>
  <c r="E9458" i="113"/>
  <c r="E9474" i="113"/>
  <c r="E9490" i="113"/>
  <c r="E9506" i="113"/>
  <c r="E9522" i="113"/>
  <c r="E9538" i="113"/>
  <c r="E9554" i="113"/>
  <c r="E9570" i="113"/>
  <c r="E9586" i="113"/>
  <c r="E9602" i="113"/>
  <c r="E9618" i="113"/>
  <c r="E9634" i="113"/>
  <c r="E9650" i="113"/>
  <c r="E9666" i="113"/>
  <c r="E9682" i="113"/>
  <c r="E9698" i="113"/>
  <c r="E9714" i="113"/>
  <c r="E9730" i="113"/>
  <c r="E9746" i="113"/>
  <c r="E9762" i="113"/>
  <c r="E9778" i="113"/>
  <c r="E9794" i="113"/>
  <c r="E9810" i="113"/>
  <c r="E9826" i="113"/>
  <c r="E9842" i="113"/>
  <c r="E9858" i="113"/>
  <c r="E9874" i="113"/>
  <c r="E9890" i="113"/>
  <c r="E9906" i="113"/>
  <c r="E9922" i="113"/>
  <c r="E9938" i="113"/>
  <c r="E9954" i="113"/>
  <c r="E9970" i="113"/>
  <c r="E9986" i="113"/>
  <c r="E10002" i="113"/>
  <c r="E10018" i="113"/>
  <c r="E10034" i="113"/>
  <c r="E10050" i="113"/>
  <c r="E10066" i="113"/>
  <c r="E10082" i="113"/>
  <c r="E10098" i="113"/>
  <c r="E10114" i="113"/>
  <c r="E10130" i="113"/>
  <c r="E10146" i="113"/>
  <c r="E10162" i="113"/>
  <c r="E10178" i="113"/>
  <c r="E10194" i="113"/>
  <c r="E10210" i="113"/>
  <c r="E10226" i="113"/>
  <c r="E10242" i="113"/>
  <c r="E10258" i="113"/>
  <c r="E10274" i="113"/>
  <c r="E10290" i="113"/>
  <c r="E10306" i="113"/>
  <c r="E10322" i="113"/>
  <c r="E10338" i="113"/>
  <c r="E10354" i="113"/>
  <c r="E10370" i="113"/>
  <c r="E10386" i="113"/>
  <c r="E10402" i="113"/>
  <c r="E10418" i="113"/>
  <c r="E10434" i="113"/>
  <c r="E10450" i="113"/>
  <c r="E10466" i="113"/>
  <c r="E10482" i="113"/>
  <c r="E10498" i="113"/>
  <c r="E10514" i="113"/>
  <c r="E10530" i="113"/>
  <c r="E10546" i="113"/>
  <c r="E10562" i="113"/>
  <c r="E10578" i="113"/>
  <c r="E10594" i="113"/>
  <c r="E10610" i="113"/>
  <c r="E10626" i="113"/>
  <c r="E10642" i="113"/>
  <c r="E10658" i="113"/>
  <c r="E10674" i="113"/>
  <c r="E10690" i="113"/>
  <c r="E10706" i="113"/>
  <c r="E10722" i="113"/>
  <c r="E10738" i="113"/>
  <c r="E10754" i="113"/>
  <c r="E10770" i="113"/>
  <c r="E10786" i="113"/>
  <c r="E10802" i="113"/>
  <c r="E10818" i="113"/>
  <c r="E10834" i="113"/>
  <c r="E10850" i="113"/>
  <c r="E10866" i="113"/>
  <c r="E10874" i="113"/>
  <c r="E10878" i="113"/>
  <c r="E10882" i="113"/>
  <c r="E10886" i="113"/>
  <c r="E10890" i="113"/>
  <c r="E10894" i="113"/>
  <c r="E10898" i="113"/>
  <c r="E10902" i="113"/>
  <c r="E10906" i="113"/>
  <c r="E10910" i="113"/>
  <c r="E10914" i="113"/>
  <c r="E10918" i="113"/>
  <c r="E10922" i="113"/>
  <c r="E10926" i="113"/>
  <c r="E10930" i="113"/>
  <c r="E10934" i="113"/>
  <c r="E10938" i="113"/>
  <c r="E10942" i="113"/>
  <c r="E10946" i="113"/>
  <c r="E10950" i="113"/>
  <c r="E10954" i="113"/>
  <c r="E10958" i="113"/>
  <c r="E10962" i="113"/>
  <c r="E10966" i="113"/>
  <c r="E10970" i="113"/>
  <c r="E10974" i="113"/>
  <c r="E10978" i="113"/>
  <c r="E10982" i="113"/>
  <c r="E10986" i="113"/>
  <c r="E10990" i="113"/>
  <c r="E10994" i="113"/>
  <c r="E10998" i="113"/>
  <c r="E11002" i="113"/>
  <c r="E11006" i="113"/>
  <c r="E11010" i="113"/>
  <c r="E11014" i="113"/>
  <c r="E11018" i="113"/>
  <c r="E11022" i="113"/>
  <c r="E11026" i="113"/>
  <c r="E11030" i="113"/>
  <c r="E11034" i="113"/>
  <c r="E11038" i="113"/>
  <c r="E11042" i="113"/>
  <c r="E11046" i="113"/>
  <c r="E11050" i="113"/>
  <c r="E11054" i="113"/>
  <c r="E11058" i="113"/>
  <c r="E11062" i="113"/>
  <c r="E11066" i="113"/>
  <c r="E11070" i="113"/>
  <c r="E11074" i="113"/>
  <c r="E11078" i="113"/>
  <c r="E11082" i="113"/>
  <c r="E11086" i="113"/>
  <c r="E11090" i="113"/>
  <c r="E11094" i="113"/>
  <c r="E11098" i="113"/>
  <c r="E11102" i="113"/>
  <c r="E11106" i="113"/>
  <c r="E11110" i="113"/>
  <c r="E11114" i="113"/>
  <c r="E11118" i="113"/>
  <c r="E11122" i="113"/>
  <c r="E11126" i="113"/>
  <c r="E11130" i="113"/>
  <c r="E11134" i="113"/>
  <c r="E11138" i="113"/>
  <c r="E11142" i="113"/>
  <c r="E11146" i="113"/>
  <c r="E11150" i="113"/>
  <c r="E11154" i="113"/>
  <c r="E11158" i="113"/>
  <c r="E11162" i="113"/>
  <c r="E11166" i="113"/>
  <c r="E11170" i="113"/>
  <c r="E11174" i="113"/>
  <c r="E11178" i="113"/>
  <c r="E11182" i="113"/>
  <c r="E11186" i="113"/>
  <c r="E11190" i="113"/>
  <c r="E11194" i="113"/>
  <c r="E11198" i="113"/>
  <c r="E11202" i="113"/>
  <c r="E11206" i="113"/>
  <c r="E11210" i="113"/>
  <c r="E11214" i="113"/>
  <c r="E11218" i="113"/>
  <c r="E11222" i="113"/>
  <c r="E11226" i="113"/>
  <c r="E11230" i="113"/>
  <c r="E11234" i="113"/>
  <c r="E11238" i="113"/>
  <c r="E11242" i="113"/>
  <c r="E11246" i="113"/>
  <c r="E11250" i="113"/>
  <c r="E11254" i="113"/>
  <c r="E11258" i="113"/>
  <c r="E11262" i="113"/>
  <c r="E11266" i="113"/>
  <c r="E11270" i="113"/>
  <c r="E11274" i="113"/>
  <c r="E11278" i="113"/>
  <c r="E11282" i="113"/>
  <c r="E11286" i="113"/>
  <c r="E11290" i="113"/>
  <c r="E11294" i="113"/>
  <c r="E11298" i="113"/>
  <c r="E11302" i="113"/>
  <c r="E11306" i="113"/>
  <c r="E11310" i="113"/>
  <c r="E11314" i="113"/>
  <c r="E11318" i="113"/>
  <c r="E11322" i="113"/>
  <c r="E11326" i="113"/>
  <c r="E11330" i="113"/>
  <c r="E11334" i="113"/>
  <c r="E11338" i="113"/>
  <c r="E11342" i="113"/>
  <c r="E11346" i="113"/>
  <c r="E11350" i="113"/>
  <c r="E11354" i="113"/>
  <c r="E11358" i="113"/>
  <c r="E11362" i="113"/>
  <c r="E11366" i="113"/>
  <c r="E11370" i="113"/>
  <c r="E11374" i="113"/>
  <c r="E11378" i="113"/>
  <c r="E11382" i="113"/>
  <c r="E11386" i="113"/>
  <c r="E11390" i="113"/>
  <c r="E11394" i="113"/>
  <c r="E11398" i="113"/>
  <c r="E11402" i="113"/>
  <c r="E11406" i="113"/>
  <c r="E11410" i="113"/>
  <c r="E11414" i="113"/>
  <c r="E11418" i="113"/>
  <c r="E11422" i="113"/>
  <c r="E11426" i="113"/>
  <c r="E11430" i="113"/>
  <c r="E11434" i="113"/>
  <c r="E11438" i="113"/>
  <c r="E11442" i="113"/>
  <c r="E11446" i="113"/>
  <c r="E11450" i="113"/>
  <c r="E11454" i="113"/>
  <c r="E11458" i="113"/>
  <c r="E11462" i="113"/>
  <c r="E11466" i="113"/>
  <c r="E11470" i="113"/>
  <c r="E11474" i="113"/>
  <c r="E11478" i="113"/>
  <c r="E11482" i="113"/>
  <c r="E11486" i="113"/>
  <c r="E11490" i="113"/>
  <c r="E11494" i="113"/>
  <c r="E11498" i="113"/>
  <c r="E11502" i="113"/>
  <c r="E11506" i="113"/>
  <c r="E11510" i="113"/>
  <c r="E11514" i="113"/>
  <c r="E11518" i="113"/>
  <c r="E11522" i="113"/>
  <c r="E11526" i="113"/>
  <c r="E11530" i="113"/>
  <c r="E11534" i="113"/>
  <c r="E11538" i="113"/>
  <c r="E11542" i="113"/>
  <c r="E11546" i="113"/>
  <c r="E4252" i="113"/>
  <c r="E4939" i="113"/>
  <c r="E5327" i="113"/>
  <c r="E5583" i="113"/>
  <c r="E5839" i="113"/>
  <c r="E6072" i="113"/>
  <c r="E6200" i="113"/>
  <c r="E6328" i="113"/>
  <c r="E6456" i="113"/>
  <c r="E6584" i="113"/>
  <c r="E6712" i="113"/>
  <c r="E6809" i="113"/>
  <c r="E6895" i="113"/>
  <c r="E6962" i="113"/>
  <c r="E7026" i="113"/>
  <c r="E7090" i="113"/>
  <c r="E7154" i="113"/>
  <c r="E7218" i="113"/>
  <c r="E7282" i="113"/>
  <c r="E7346" i="113"/>
  <c r="E7410" i="113"/>
  <c r="E7474" i="113"/>
  <c r="E7538" i="113"/>
  <c r="E7602" i="113"/>
  <c r="E7666" i="113"/>
  <c r="E7730" i="113"/>
  <c r="E7794" i="113"/>
  <c r="E7858" i="113"/>
  <c r="E7922" i="113"/>
  <c r="E7986" i="113"/>
  <c r="E8050" i="113"/>
  <c r="E8114" i="113"/>
  <c r="E8178" i="113"/>
  <c r="E8242" i="113"/>
  <c r="E8306" i="113"/>
  <c r="E8370" i="113"/>
  <c r="E8434" i="113"/>
  <c r="E8498" i="113"/>
  <c r="E8562" i="113"/>
  <c r="E8626" i="113"/>
  <c r="E8690" i="113"/>
  <c r="E8754" i="113"/>
  <c r="E8818" i="113"/>
  <c r="E8838" i="113"/>
  <c r="E8854" i="113"/>
  <c r="E8870" i="113"/>
  <c r="E8886" i="113"/>
  <c r="E8902" i="113"/>
  <c r="E8918" i="113"/>
  <c r="E8934" i="113"/>
  <c r="E8950" i="113"/>
  <c r="E8966" i="113"/>
  <c r="E8982" i="113"/>
  <c r="E8998" i="113"/>
  <c r="E9014" i="113"/>
  <c r="E9030" i="113"/>
  <c r="E9046" i="113"/>
  <c r="E9062" i="113"/>
  <c r="E9078" i="113"/>
  <c r="E9094" i="113"/>
  <c r="E9110" i="113"/>
  <c r="E9126" i="113"/>
  <c r="E9142" i="113"/>
  <c r="E9158" i="113"/>
  <c r="E9174" i="113"/>
  <c r="E9190" i="113"/>
  <c r="E9206" i="113"/>
  <c r="E9222" i="113"/>
  <c r="E9238" i="113"/>
  <c r="E9254" i="113"/>
  <c r="E9270" i="113"/>
  <c r="E9286" i="113"/>
  <c r="E9302" i="113"/>
  <c r="E9318" i="113"/>
  <c r="E9334" i="113"/>
  <c r="E9350" i="113"/>
  <c r="E9366" i="113"/>
  <c r="E9382" i="113"/>
  <c r="E9398" i="113"/>
  <c r="E9414" i="113"/>
  <c r="E9430" i="113"/>
  <c r="E9446" i="113"/>
  <c r="E9462" i="113"/>
  <c r="E9478" i="113"/>
  <c r="E9494" i="113"/>
  <c r="E9510" i="113"/>
  <c r="E9526" i="113"/>
  <c r="E9542" i="113"/>
  <c r="E9558" i="113"/>
  <c r="E9574" i="113"/>
  <c r="E9590" i="113"/>
  <c r="E9606" i="113"/>
  <c r="E9622" i="113"/>
  <c r="E9638" i="113"/>
  <c r="E9654" i="113"/>
  <c r="E9670" i="113"/>
  <c r="E9686" i="113"/>
  <c r="E9702" i="113"/>
  <c r="E9718" i="113"/>
  <c r="E9734" i="113"/>
  <c r="E9750" i="113"/>
  <c r="E9766" i="113"/>
  <c r="E9782" i="113"/>
  <c r="E9798" i="113"/>
  <c r="E9814" i="113"/>
  <c r="E9830" i="113"/>
  <c r="E9846" i="113"/>
  <c r="E9862" i="113"/>
  <c r="E9878" i="113"/>
  <c r="E9894" i="113"/>
  <c r="E9910" i="113"/>
  <c r="E9926" i="113"/>
  <c r="E9942" i="113"/>
  <c r="E9958" i="113"/>
  <c r="E9974" i="113"/>
  <c r="E9990" i="113"/>
  <c r="E10006" i="113"/>
  <c r="E10022" i="113"/>
  <c r="E10038" i="113"/>
  <c r="E10054" i="113"/>
  <c r="E10070" i="113"/>
  <c r="E10086" i="113"/>
  <c r="E10102" i="113"/>
  <c r="E10118" i="113"/>
  <c r="E10134" i="113"/>
  <c r="E10150" i="113"/>
  <c r="E10166" i="113"/>
  <c r="E10182" i="113"/>
  <c r="E10198" i="113"/>
  <c r="E10214" i="113"/>
  <c r="E10230" i="113"/>
  <c r="E10246" i="113"/>
  <c r="E10262" i="113"/>
  <c r="E10278" i="113"/>
  <c r="E10294" i="113"/>
  <c r="E10310" i="113"/>
  <c r="E10326" i="113"/>
  <c r="E10342" i="113"/>
  <c r="E10358" i="113"/>
  <c r="E10374" i="113"/>
  <c r="E10390" i="113"/>
  <c r="E10406" i="113"/>
  <c r="E10422" i="113"/>
  <c r="E10438" i="113"/>
  <c r="E10454" i="113"/>
  <c r="E10470" i="113"/>
  <c r="E10486" i="113"/>
  <c r="E10502" i="113"/>
  <c r="E10518" i="113"/>
  <c r="E10534" i="113"/>
  <c r="E10550" i="113"/>
  <c r="E10566" i="113"/>
  <c r="E10582" i="113"/>
  <c r="E10598" i="113"/>
  <c r="E10614" i="113"/>
  <c r="E10630" i="113"/>
  <c r="E10646" i="113"/>
  <c r="E10662" i="113"/>
  <c r="E10678" i="113"/>
  <c r="E10694" i="113"/>
  <c r="E10710" i="113"/>
  <c r="E10726" i="113"/>
  <c r="E10742" i="113"/>
  <c r="E10758" i="113"/>
  <c r="E10774" i="113"/>
  <c r="E10790" i="113"/>
  <c r="E10806" i="113"/>
  <c r="E10822" i="113"/>
  <c r="E10838" i="113"/>
  <c r="E10854" i="113"/>
  <c r="E10870" i="113"/>
  <c r="E10875" i="113"/>
  <c r="E10879" i="113"/>
  <c r="E10883" i="113"/>
  <c r="E10887" i="113"/>
  <c r="E10891" i="113"/>
  <c r="E10895" i="113"/>
  <c r="E10899" i="113"/>
  <c r="E10903" i="113"/>
  <c r="E10907" i="113"/>
  <c r="E10911" i="113"/>
  <c r="E10915" i="113"/>
  <c r="E10919" i="113"/>
  <c r="E10923" i="113"/>
  <c r="E10927" i="113"/>
  <c r="E10931" i="113"/>
  <c r="E10935" i="113"/>
  <c r="E10939" i="113"/>
  <c r="E10943" i="113"/>
  <c r="E10947" i="113"/>
  <c r="E10951" i="113"/>
  <c r="E10955" i="113"/>
  <c r="E10959" i="113"/>
  <c r="E10963" i="113"/>
  <c r="E10967" i="113"/>
  <c r="E10971" i="113"/>
  <c r="E10975" i="113"/>
  <c r="E10979" i="113"/>
  <c r="E10983" i="113"/>
  <c r="E10987" i="113"/>
  <c r="E10991" i="113"/>
  <c r="E10995" i="113"/>
  <c r="E10999" i="113"/>
  <c r="E11003" i="113"/>
  <c r="E11007" i="113"/>
  <c r="E11011" i="113"/>
  <c r="E11015" i="113"/>
  <c r="E11019" i="113"/>
  <c r="E11023" i="113"/>
  <c r="E11027" i="113"/>
  <c r="E11031" i="113"/>
  <c r="E11035" i="113"/>
  <c r="E11039" i="113"/>
  <c r="E11043" i="113"/>
  <c r="E11047" i="113"/>
  <c r="E11051" i="113"/>
  <c r="E11055" i="113"/>
  <c r="E11059" i="113"/>
  <c r="E11063" i="113"/>
  <c r="E11067" i="113"/>
  <c r="E11071" i="113"/>
  <c r="E11075" i="113"/>
  <c r="E11079" i="113"/>
  <c r="E11083" i="113"/>
  <c r="E11087" i="113"/>
  <c r="E11091" i="113"/>
  <c r="E11095" i="113"/>
  <c r="E11099" i="113"/>
  <c r="E11103" i="113"/>
  <c r="E11107" i="113"/>
  <c r="E11111" i="113"/>
  <c r="E11115" i="113"/>
  <c r="E11119" i="113"/>
  <c r="E11123" i="113"/>
  <c r="E11127" i="113"/>
  <c r="E11131" i="113"/>
  <c r="E11135" i="113"/>
  <c r="E11139" i="113"/>
  <c r="E11143" i="113"/>
  <c r="E11147" i="113"/>
  <c r="E11151" i="113"/>
  <c r="E11155" i="113"/>
  <c r="E11159" i="113"/>
  <c r="E11163" i="113"/>
  <c r="E11167" i="113"/>
  <c r="E11171" i="113"/>
  <c r="E11175" i="113"/>
  <c r="E11179" i="113"/>
  <c r="E11183" i="113"/>
  <c r="E11187" i="113"/>
  <c r="E11191" i="113"/>
  <c r="E11195" i="113"/>
  <c r="E11199" i="113"/>
  <c r="E11203" i="113"/>
  <c r="E11207" i="113"/>
  <c r="E11211" i="113"/>
  <c r="E11215" i="113"/>
  <c r="E11219" i="113"/>
  <c r="E11223" i="113"/>
  <c r="E11227" i="113"/>
  <c r="E11231" i="113"/>
  <c r="E11235" i="113"/>
  <c r="E11239" i="113"/>
  <c r="E11243" i="113"/>
  <c r="E11247" i="113"/>
  <c r="E11251" i="113"/>
  <c r="E11255" i="113"/>
  <c r="E11259" i="113"/>
  <c r="E11263" i="113"/>
  <c r="E11267" i="113"/>
  <c r="E11271" i="113"/>
  <c r="E11275" i="113"/>
  <c r="E11279" i="113"/>
  <c r="E11283" i="113"/>
  <c r="E11287" i="113"/>
  <c r="E11291" i="113"/>
  <c r="E11295" i="113"/>
  <c r="E11299" i="113"/>
  <c r="E11303" i="113"/>
  <c r="E11307" i="113"/>
  <c r="E11311" i="113"/>
  <c r="E11315" i="113"/>
  <c r="E11319" i="113"/>
  <c r="E11323" i="113"/>
  <c r="E11327" i="113"/>
  <c r="E11331" i="113"/>
  <c r="E11335" i="113"/>
  <c r="E11339" i="113"/>
  <c r="E11343" i="113"/>
  <c r="E11347" i="113"/>
  <c r="E11351" i="113"/>
  <c r="E11355" i="113"/>
  <c r="E11359" i="113"/>
  <c r="E11363" i="113"/>
  <c r="E11367" i="113"/>
  <c r="E11371" i="113"/>
  <c r="E11375" i="113"/>
  <c r="E11379" i="113"/>
  <c r="E11383" i="113"/>
  <c r="E11387" i="113"/>
  <c r="E11391" i="113"/>
  <c r="E11395" i="113"/>
  <c r="E11399" i="113"/>
  <c r="E11403" i="113"/>
  <c r="E11407" i="113"/>
  <c r="E11411" i="113"/>
  <c r="E11415" i="113"/>
  <c r="E11419" i="113"/>
  <c r="E11423" i="113"/>
  <c r="E11427" i="113"/>
  <c r="E11431" i="113"/>
  <c r="E11435" i="113"/>
  <c r="E11439" i="113"/>
  <c r="E11443" i="113"/>
  <c r="E11447" i="113"/>
  <c r="E11451" i="113"/>
  <c r="E11455" i="113"/>
  <c r="E11459" i="113"/>
  <c r="E11463" i="113"/>
  <c r="E11467" i="113"/>
  <c r="E11471" i="113"/>
  <c r="E11475" i="113"/>
  <c r="E11479" i="113"/>
  <c r="E11483" i="113"/>
  <c r="E11487" i="113"/>
  <c r="E11491" i="113"/>
  <c r="E11495" i="113"/>
  <c r="E11499" i="113"/>
  <c r="E11503" i="113"/>
  <c r="E11507" i="113"/>
  <c r="E11511" i="113"/>
  <c r="E11515" i="113"/>
  <c r="E11519" i="113"/>
  <c r="E11523" i="113"/>
  <c r="E11527" i="113"/>
  <c r="E11531" i="113"/>
  <c r="E11535" i="113"/>
  <c r="E11539" i="113"/>
  <c r="E11543" i="113"/>
  <c r="E11547" i="113"/>
  <c r="E4683" i="113"/>
  <c r="E5176" i="113"/>
  <c r="E5455" i="113"/>
  <c r="E5711" i="113"/>
  <c r="E5967" i="113"/>
  <c r="E6136" i="113"/>
  <c r="E6264" i="113"/>
  <c r="E6392" i="113"/>
  <c r="E6520" i="113"/>
  <c r="E6648" i="113"/>
  <c r="E6767" i="113"/>
  <c r="E6852" i="113"/>
  <c r="E6930" i="113"/>
  <c r="E6994" i="113"/>
  <c r="E7058" i="113"/>
  <c r="E7122" i="113"/>
  <c r="E7186" i="113"/>
  <c r="E7250" i="113"/>
  <c r="E7314" i="113"/>
  <c r="E7378" i="113"/>
  <c r="E7442" i="113"/>
  <c r="E7506" i="113"/>
  <c r="E7570" i="113"/>
  <c r="E7634" i="113"/>
  <c r="E7698" i="113"/>
  <c r="E7762" i="113"/>
  <c r="E7826" i="113"/>
  <c r="E7890" i="113"/>
  <c r="E7954" i="113"/>
  <c r="E8018" i="113"/>
  <c r="E8082" i="113"/>
  <c r="E8146" i="113"/>
  <c r="E8210" i="113"/>
  <c r="E8274" i="113"/>
  <c r="E8338" i="113"/>
  <c r="E8402" i="113"/>
  <c r="E8466" i="113"/>
  <c r="E8530" i="113"/>
  <c r="E8594" i="113"/>
  <c r="E8658" i="113"/>
  <c r="E8722" i="113"/>
  <c r="E8786" i="113"/>
  <c r="E8830" i="113"/>
  <c r="E8846" i="113"/>
  <c r="E8862" i="113"/>
  <c r="E8878" i="113"/>
  <c r="E8894" i="113"/>
  <c r="E8910" i="113"/>
  <c r="E8926" i="113"/>
  <c r="E8942" i="113"/>
  <c r="E8958" i="113"/>
  <c r="E8974" i="113"/>
  <c r="E8990" i="113"/>
  <c r="E9006" i="113"/>
  <c r="E9022" i="113"/>
  <c r="E9038" i="113"/>
  <c r="E9054" i="113"/>
  <c r="E9070" i="113"/>
  <c r="E9086" i="113"/>
  <c r="E9102" i="113"/>
  <c r="E9118" i="113"/>
  <c r="E9134" i="113"/>
  <c r="E9150" i="113"/>
  <c r="E9166" i="113"/>
  <c r="E9182" i="113"/>
  <c r="E9198" i="113"/>
  <c r="E9214" i="113"/>
  <c r="E9230" i="113"/>
  <c r="E9246" i="113"/>
  <c r="E9262" i="113"/>
  <c r="E9278" i="113"/>
  <c r="E9294" i="113"/>
  <c r="E9310" i="113"/>
  <c r="E9326" i="113"/>
  <c r="E9342" i="113"/>
  <c r="E9358" i="113"/>
  <c r="E9374" i="113"/>
  <c r="E9390" i="113"/>
  <c r="E9406" i="113"/>
  <c r="E9422" i="113"/>
  <c r="E9438" i="113"/>
  <c r="E9454" i="113"/>
  <c r="E9470" i="113"/>
  <c r="E9486" i="113"/>
  <c r="E9502" i="113"/>
  <c r="E9518" i="113"/>
  <c r="E9534" i="113"/>
  <c r="E9550" i="113"/>
  <c r="E9566" i="113"/>
  <c r="E9582" i="113"/>
  <c r="E9598" i="113"/>
  <c r="E9614" i="113"/>
  <c r="E9630" i="113"/>
  <c r="E9646" i="113"/>
  <c r="E9662" i="113"/>
  <c r="E9678" i="113"/>
  <c r="E9694" i="113"/>
  <c r="E9710" i="113"/>
  <c r="E9726" i="113"/>
  <c r="E9742" i="113"/>
  <c r="E9758" i="113"/>
  <c r="E9774" i="113"/>
  <c r="E9790" i="113"/>
  <c r="E9806" i="113"/>
  <c r="E9822" i="113"/>
  <c r="E9838" i="113"/>
  <c r="E9854" i="113"/>
  <c r="E9870" i="113"/>
  <c r="E9886" i="113"/>
  <c r="E9902" i="113"/>
  <c r="E9918" i="113"/>
  <c r="E9934" i="113"/>
  <c r="E9950" i="113"/>
  <c r="E9966" i="113"/>
  <c r="E9982" i="113"/>
  <c r="E9998" i="113"/>
  <c r="E10014" i="113"/>
  <c r="E10030" i="113"/>
  <c r="E10046" i="113"/>
  <c r="E10062" i="113"/>
  <c r="E10078" i="113"/>
  <c r="E10094" i="113"/>
  <c r="E10110" i="113"/>
  <c r="E10126" i="113"/>
  <c r="E10142" i="113"/>
  <c r="E10158" i="113"/>
  <c r="E10174" i="113"/>
  <c r="E10190" i="113"/>
  <c r="E10206" i="113"/>
  <c r="E10222" i="113"/>
  <c r="E10238" i="113"/>
  <c r="E10254" i="113"/>
  <c r="E10270" i="113"/>
  <c r="E10286" i="113"/>
  <c r="E10302" i="113"/>
  <c r="E10318" i="113"/>
  <c r="E10334" i="113"/>
  <c r="E10350" i="113"/>
  <c r="E10366" i="113"/>
  <c r="E10382" i="113"/>
  <c r="E10398" i="113"/>
  <c r="E10414" i="113"/>
  <c r="E10430" i="113"/>
  <c r="E10446" i="113"/>
  <c r="E10462" i="113"/>
  <c r="E10478" i="113"/>
  <c r="E10494" i="113"/>
  <c r="E10510" i="113"/>
  <c r="E10526" i="113"/>
  <c r="E10542" i="113"/>
  <c r="E10558" i="113"/>
  <c r="E10574" i="113"/>
  <c r="E10590" i="113"/>
  <c r="E10606" i="113"/>
  <c r="E10622" i="113"/>
  <c r="E10638" i="113"/>
  <c r="E10654" i="113"/>
  <c r="E10670" i="113"/>
  <c r="E10686" i="113"/>
  <c r="E10702" i="113"/>
  <c r="E10718" i="113"/>
  <c r="E10734" i="113"/>
  <c r="E10750" i="113"/>
  <c r="E10766" i="113"/>
  <c r="E10782" i="113"/>
  <c r="E10798" i="113"/>
  <c r="E10814" i="113"/>
  <c r="E10830" i="113"/>
  <c r="E10846" i="113"/>
  <c r="E10862" i="113"/>
  <c r="E10873" i="113"/>
  <c r="E10877" i="113"/>
  <c r="E10881" i="113"/>
  <c r="E10885" i="113"/>
  <c r="E10889" i="113"/>
  <c r="E10893" i="113"/>
  <c r="E10897" i="113"/>
  <c r="E10901" i="113"/>
  <c r="E10905" i="113"/>
  <c r="E10909" i="113"/>
  <c r="E10913" i="113"/>
  <c r="E10917" i="113"/>
  <c r="E10921" i="113"/>
  <c r="E10925" i="113"/>
  <c r="E10929" i="113"/>
  <c r="E10933" i="113"/>
  <c r="E10937" i="113"/>
  <c r="E10941" i="113"/>
  <c r="E10945" i="113"/>
  <c r="E10949" i="113"/>
  <c r="E10953" i="113"/>
  <c r="E10957" i="113"/>
  <c r="E10961" i="113"/>
  <c r="E10965" i="113"/>
  <c r="E10969" i="113"/>
  <c r="E10973" i="113"/>
  <c r="E10977" i="113"/>
  <c r="E10981" i="113"/>
  <c r="E10985" i="113"/>
  <c r="E10989" i="113"/>
  <c r="E10993" i="113"/>
  <c r="E10997" i="113"/>
  <c r="E11001" i="113"/>
  <c r="E11005" i="113"/>
  <c r="E11009" i="113"/>
  <c r="E11013" i="113"/>
  <c r="E11017" i="113"/>
  <c r="E11021" i="113"/>
  <c r="E11025" i="113"/>
  <c r="E11029" i="113"/>
  <c r="E11033" i="113"/>
  <c r="E11037" i="113"/>
  <c r="E11041" i="113"/>
  <c r="E11045" i="113"/>
  <c r="E11049" i="113"/>
  <c r="E11053" i="113"/>
  <c r="E11057" i="113"/>
  <c r="E11061" i="113"/>
  <c r="E11065" i="113"/>
  <c r="E11069" i="113"/>
  <c r="E11073" i="113"/>
  <c r="E11077" i="113"/>
  <c r="E11081" i="113"/>
  <c r="E11085" i="113"/>
  <c r="E11089" i="113"/>
  <c r="E11093" i="113"/>
  <c r="E11097" i="113"/>
  <c r="E11101" i="113"/>
  <c r="E11105" i="113"/>
  <c r="E11109" i="113"/>
  <c r="E11113" i="113"/>
  <c r="E11117" i="113"/>
  <c r="E11121" i="113"/>
  <c r="E11125" i="113"/>
  <c r="E11129" i="113"/>
  <c r="E11133" i="113"/>
  <c r="E11137" i="113"/>
  <c r="E11141" i="113"/>
  <c r="E11145" i="113"/>
  <c r="E11149" i="113"/>
  <c r="E11153" i="113"/>
  <c r="E11157" i="113"/>
  <c r="E11161" i="113"/>
  <c r="E11165" i="113"/>
  <c r="E11169" i="113"/>
  <c r="E11173" i="113"/>
  <c r="E11177" i="113"/>
  <c r="E11181" i="113"/>
  <c r="E11185" i="113"/>
  <c r="E11189" i="113"/>
  <c r="E11193" i="113"/>
  <c r="E11197" i="113"/>
  <c r="E11201" i="113"/>
  <c r="E11205" i="113"/>
  <c r="E11209" i="113"/>
  <c r="E11213" i="113"/>
  <c r="E11217" i="113"/>
  <c r="E11221" i="113"/>
  <c r="E11225" i="113"/>
  <c r="E11229" i="113"/>
  <c r="E11233" i="113"/>
  <c r="E11237" i="113"/>
  <c r="E11241" i="113"/>
  <c r="E11245" i="113"/>
  <c r="E11249" i="113"/>
  <c r="E11253" i="113"/>
  <c r="E11257" i="113"/>
  <c r="E11261" i="113"/>
  <c r="E11265" i="113"/>
  <c r="E11269" i="113"/>
  <c r="E11273" i="113"/>
  <c r="E11277" i="113"/>
  <c r="E11281" i="113"/>
  <c r="E11285" i="113"/>
  <c r="E11289" i="113"/>
  <c r="E11293" i="113"/>
  <c r="E11297" i="113"/>
  <c r="E11301" i="113"/>
  <c r="E11305" i="113"/>
  <c r="E11309" i="113"/>
  <c r="E11313" i="113"/>
  <c r="E11317" i="113"/>
  <c r="E11321" i="113"/>
  <c r="E11325" i="113"/>
  <c r="E11329" i="113"/>
  <c r="E11333" i="113"/>
  <c r="E11337" i="113"/>
  <c r="E11341" i="113"/>
  <c r="E11345" i="113"/>
  <c r="E11349" i="113"/>
  <c r="E11353" i="113"/>
  <c r="E11357" i="113"/>
  <c r="E11361" i="113"/>
  <c r="E11365" i="113"/>
  <c r="E11369" i="113"/>
  <c r="E11373" i="113"/>
  <c r="E11377" i="113"/>
  <c r="E11381" i="113"/>
  <c r="E11385" i="113"/>
  <c r="E11389" i="113"/>
  <c r="E11393" i="113"/>
  <c r="E11397" i="113"/>
  <c r="E11401" i="113"/>
  <c r="E11405" i="113"/>
  <c r="E11409" i="113"/>
  <c r="E11413" i="113"/>
  <c r="E11417" i="113"/>
  <c r="E11421" i="113"/>
  <c r="E11425" i="113"/>
  <c r="E11429" i="113"/>
  <c r="E11433" i="113"/>
  <c r="E11437" i="113"/>
  <c r="E11441" i="113"/>
  <c r="E11445" i="113"/>
  <c r="E11449" i="113"/>
  <c r="E11453" i="113"/>
  <c r="E11457" i="113"/>
  <c r="E11461" i="113"/>
  <c r="E11465" i="113"/>
  <c r="E11469" i="113"/>
  <c r="E11473" i="113"/>
  <c r="E11477" i="113"/>
  <c r="E11481" i="113"/>
  <c r="E11485" i="113"/>
  <c r="E11489" i="113"/>
  <c r="E11493" i="113"/>
  <c r="E11497" i="113"/>
  <c r="E11501" i="113"/>
  <c r="E11505" i="113"/>
  <c r="E11509" i="113"/>
  <c r="E11513" i="113"/>
  <c r="E11517" i="113"/>
  <c r="E11521" i="113"/>
  <c r="E11525" i="113"/>
  <c r="E11529" i="113"/>
  <c r="E11533" i="113"/>
  <c r="E11537" i="113"/>
  <c r="E11541" i="113"/>
  <c r="E11545" i="113"/>
  <c r="E11549" i="113"/>
  <c r="E11553" i="113"/>
  <c r="E4542" i="113"/>
  <c r="E5903" i="113"/>
  <c r="E6488" i="113"/>
  <c r="E6914" i="113"/>
  <c r="E7170" i="113"/>
  <c r="E7426" i="113"/>
  <c r="E7682" i="113"/>
  <c r="E7938" i="113"/>
  <c r="E8194" i="113"/>
  <c r="E8450" i="113"/>
  <c r="E8706" i="113"/>
  <c r="E8858" i="113"/>
  <c r="E8922" i="113"/>
  <c r="E8986" i="113"/>
  <c r="E9050" i="113"/>
  <c r="E9114" i="113"/>
  <c r="E9178" i="113"/>
  <c r="E9242" i="113"/>
  <c r="E9306" i="113"/>
  <c r="E9370" i="113"/>
  <c r="E9434" i="113"/>
  <c r="E9498" i="113"/>
  <c r="E9562" i="113"/>
  <c r="E9626" i="113"/>
  <c r="E9690" i="113"/>
  <c r="E9754" i="113"/>
  <c r="E9818" i="113"/>
  <c r="E9882" i="113"/>
  <c r="E9946" i="113"/>
  <c r="E10010" i="113"/>
  <c r="E10074" i="113"/>
  <c r="E10138" i="113"/>
  <c r="E10202" i="113"/>
  <c r="E10266" i="113"/>
  <c r="E10330" i="113"/>
  <c r="E10394" i="113"/>
  <c r="E10458" i="113"/>
  <c r="E10522" i="113"/>
  <c r="E10586" i="113"/>
  <c r="E10650" i="113"/>
  <c r="E10714" i="113"/>
  <c r="E10778" i="113"/>
  <c r="E10842" i="113"/>
  <c r="E10880" i="113"/>
  <c r="E10896" i="113"/>
  <c r="E10912" i="113"/>
  <c r="E10928" i="113"/>
  <c r="E10944" i="113"/>
  <c r="E10960" i="113"/>
  <c r="E10976" i="113"/>
  <c r="E10992" i="113"/>
  <c r="E11008" i="113"/>
  <c r="E11024" i="113"/>
  <c r="E11040" i="113"/>
  <c r="E11056" i="113"/>
  <c r="E11072" i="113"/>
  <c r="E11088" i="113"/>
  <c r="E11104" i="113"/>
  <c r="E11120" i="113"/>
  <c r="E11136" i="113"/>
  <c r="E11152" i="113"/>
  <c r="E11168" i="113"/>
  <c r="E11184" i="113"/>
  <c r="E11200" i="113"/>
  <c r="E11216" i="113"/>
  <c r="E11232" i="113"/>
  <c r="E11248" i="113"/>
  <c r="E11264" i="113"/>
  <c r="E11280" i="113"/>
  <c r="E11296" i="113"/>
  <c r="E11312" i="113"/>
  <c r="E11328" i="113"/>
  <c r="E11344" i="113"/>
  <c r="E11360" i="113"/>
  <c r="E11376" i="113"/>
  <c r="E11392" i="113"/>
  <c r="E11408" i="113"/>
  <c r="E11424" i="113"/>
  <c r="E11440" i="113"/>
  <c r="E11456" i="113"/>
  <c r="E11472" i="113"/>
  <c r="E11488" i="113"/>
  <c r="E11504" i="113"/>
  <c r="E11520" i="113"/>
  <c r="E11536" i="113"/>
  <c r="E11550" i="113"/>
  <c r="E11555" i="113"/>
  <c r="E11559" i="113"/>
  <c r="E11563" i="113"/>
  <c r="E11567" i="113"/>
  <c r="E11571" i="113"/>
  <c r="E11575" i="113"/>
  <c r="E11579" i="113"/>
  <c r="E11583" i="113"/>
  <c r="E11587" i="113"/>
  <c r="E11591" i="113"/>
  <c r="E11595" i="113"/>
  <c r="E11599" i="113"/>
  <c r="E11603" i="113"/>
  <c r="E11607" i="113"/>
  <c r="E11611" i="113"/>
  <c r="E11615" i="113"/>
  <c r="E11619" i="113"/>
  <c r="E11623" i="113"/>
  <c r="E11627" i="113"/>
  <c r="E11631" i="113"/>
  <c r="E11635" i="113"/>
  <c r="E11639" i="113"/>
  <c r="E11643" i="113"/>
  <c r="E11647" i="113"/>
  <c r="E11651" i="113"/>
  <c r="E11655" i="113"/>
  <c r="E11659" i="113"/>
  <c r="E11663" i="113"/>
  <c r="E11667" i="113"/>
  <c r="E11671" i="113"/>
  <c r="E11675" i="113"/>
  <c r="E11679" i="113"/>
  <c r="E11683" i="113"/>
  <c r="E11687" i="113"/>
  <c r="E11691" i="113"/>
  <c r="E11695" i="113"/>
  <c r="E11699" i="113"/>
  <c r="E11703" i="113"/>
  <c r="E11707" i="113"/>
  <c r="E11711" i="113"/>
  <c r="E11715" i="113"/>
  <c r="E11719" i="113"/>
  <c r="E11723" i="113"/>
  <c r="E11727" i="113"/>
  <c r="E11731" i="113"/>
  <c r="E11735" i="113"/>
  <c r="E11739" i="113"/>
  <c r="E11743" i="113"/>
  <c r="E11747" i="113"/>
  <c r="E11751" i="113"/>
  <c r="E11755" i="113"/>
  <c r="E11759" i="113"/>
  <c r="E11763" i="113"/>
  <c r="E11767" i="113"/>
  <c r="E11771" i="113"/>
  <c r="E11775" i="113"/>
  <c r="E11779" i="113"/>
  <c r="E11783" i="113"/>
  <c r="E11787" i="113"/>
  <c r="E11791" i="113"/>
  <c r="E11795" i="113"/>
  <c r="E11799" i="113"/>
  <c r="E11803" i="113"/>
  <c r="E11807" i="113"/>
  <c r="E11811" i="113"/>
  <c r="E11815" i="113"/>
  <c r="E11819" i="113"/>
  <c r="E11823" i="113"/>
  <c r="E11827" i="113"/>
  <c r="E11831" i="113"/>
  <c r="E11835" i="113"/>
  <c r="E11839" i="113"/>
  <c r="E11843" i="113"/>
  <c r="E11847" i="113"/>
  <c r="E11851" i="113"/>
  <c r="E11855" i="113"/>
  <c r="E11859" i="113"/>
  <c r="E11863" i="113"/>
  <c r="E11867" i="113"/>
  <c r="E11871" i="113"/>
  <c r="E11875" i="113"/>
  <c r="E11879" i="113"/>
  <c r="E11883" i="113"/>
  <c r="E11887" i="113"/>
  <c r="E11891" i="113"/>
  <c r="E11895" i="113"/>
  <c r="E11899" i="113"/>
  <c r="E11903" i="113"/>
  <c r="E11907" i="113"/>
  <c r="E11911" i="113"/>
  <c r="E11915" i="113"/>
  <c r="E11919" i="113"/>
  <c r="E11923" i="113"/>
  <c r="E11927" i="113"/>
  <c r="E11931" i="113"/>
  <c r="E11935" i="113"/>
  <c r="E11939" i="113"/>
  <c r="E11943" i="113"/>
  <c r="E11947" i="113"/>
  <c r="E11951" i="113"/>
  <c r="E11955" i="113"/>
  <c r="E11959" i="113"/>
  <c r="E11963" i="113"/>
  <c r="E11967" i="113"/>
  <c r="E11971" i="113"/>
  <c r="E11975" i="113"/>
  <c r="E11979" i="113"/>
  <c r="E11983" i="113"/>
  <c r="E11987" i="113"/>
  <c r="E11991" i="113"/>
  <c r="E11995" i="113"/>
  <c r="E11999" i="113"/>
  <c r="E12003" i="113"/>
  <c r="E12007" i="113"/>
  <c r="E12011" i="113"/>
  <c r="E12015" i="113"/>
  <c r="E12019" i="113"/>
  <c r="E12023" i="113"/>
  <c r="E12027" i="113"/>
  <c r="E12031" i="113"/>
  <c r="E12035" i="113"/>
  <c r="E12039" i="113"/>
  <c r="E12043" i="113"/>
  <c r="E12047" i="113"/>
  <c r="E12051" i="113"/>
  <c r="E12055" i="113"/>
  <c r="E12059" i="113"/>
  <c r="E12063" i="113"/>
  <c r="E12067" i="113"/>
  <c r="E12071" i="113"/>
  <c r="E12075" i="113"/>
  <c r="E12079" i="113"/>
  <c r="E12083" i="113"/>
  <c r="E12087" i="113"/>
  <c r="E12091" i="113"/>
  <c r="E12095" i="113"/>
  <c r="E12099" i="113"/>
  <c r="E12103" i="113"/>
  <c r="E12107" i="113"/>
  <c r="E12111" i="113"/>
  <c r="E12115" i="113"/>
  <c r="E12119" i="113"/>
  <c r="E12123" i="113"/>
  <c r="E12127" i="113"/>
  <c r="E12131" i="113"/>
  <c r="E12135" i="113"/>
  <c r="E12139" i="113"/>
  <c r="E12143" i="113"/>
  <c r="E12147" i="113"/>
  <c r="E12151" i="113"/>
  <c r="E12155" i="113"/>
  <c r="E12159" i="113"/>
  <c r="E12163" i="113"/>
  <c r="E12167" i="113"/>
  <c r="E12171" i="113"/>
  <c r="E12175" i="113"/>
  <c r="E12179" i="113"/>
  <c r="E12183" i="113"/>
  <c r="E12187" i="113"/>
  <c r="E12191" i="113"/>
  <c r="E12195" i="113"/>
  <c r="E12199" i="113"/>
  <c r="E12203" i="113"/>
  <c r="E12207" i="113"/>
  <c r="E12211" i="113"/>
  <c r="E12215" i="113"/>
  <c r="E12219" i="113"/>
  <c r="E12223" i="113"/>
  <c r="E12227" i="113"/>
  <c r="E12231" i="113"/>
  <c r="E12235" i="113"/>
  <c r="E12239" i="113"/>
  <c r="E12243" i="113"/>
  <c r="E12247" i="113"/>
  <c r="E12251" i="113"/>
  <c r="E12255" i="113"/>
  <c r="E12259" i="113"/>
  <c r="E12263" i="113"/>
  <c r="E12267" i="113"/>
  <c r="E12271" i="113"/>
  <c r="E12275" i="113"/>
  <c r="E12279" i="113"/>
  <c r="E12283" i="113"/>
  <c r="E12287" i="113"/>
  <c r="E12291" i="113"/>
  <c r="E12295" i="113"/>
  <c r="E12299" i="113"/>
  <c r="E12303" i="113"/>
  <c r="E12307" i="113"/>
  <c r="E12311" i="113"/>
  <c r="E12315" i="113"/>
  <c r="E12319" i="113"/>
  <c r="E12323" i="113"/>
  <c r="E12327" i="113"/>
  <c r="E12331" i="113"/>
  <c r="E12335" i="113"/>
  <c r="E12339" i="113"/>
  <c r="E12343" i="113"/>
  <c r="E12347" i="113"/>
  <c r="E12351" i="113"/>
  <c r="E12355" i="113"/>
  <c r="E12359" i="113"/>
  <c r="E12363" i="113"/>
  <c r="E12367" i="113"/>
  <c r="E12371" i="113"/>
  <c r="E12375" i="113"/>
  <c r="E12379" i="113"/>
  <c r="E12383" i="113"/>
  <c r="E12387" i="113"/>
  <c r="E12391" i="113"/>
  <c r="E12395" i="113"/>
  <c r="E12399" i="113"/>
  <c r="E12403" i="113"/>
  <c r="E12407" i="113"/>
  <c r="E12411" i="113"/>
  <c r="E12415" i="113"/>
  <c r="E12419" i="113"/>
  <c r="E12423" i="113"/>
  <c r="E12427" i="113"/>
  <c r="E12431" i="113"/>
  <c r="E12435" i="113"/>
  <c r="E12439" i="113"/>
  <c r="E12443" i="113"/>
  <c r="E12447" i="113"/>
  <c r="E12451" i="113"/>
  <c r="E12455" i="113"/>
  <c r="E12459" i="113"/>
  <c r="E12463" i="113"/>
  <c r="E12467" i="113"/>
  <c r="E12471" i="113"/>
  <c r="E12475" i="113"/>
  <c r="E12479" i="113"/>
  <c r="E12483" i="113"/>
  <c r="E12487" i="113"/>
  <c r="E12491" i="113"/>
  <c r="E12495" i="113"/>
  <c r="E12499" i="113"/>
  <c r="E12503" i="113"/>
  <c r="E12507" i="113"/>
  <c r="E12511" i="113"/>
  <c r="E12515" i="113"/>
  <c r="E12519" i="113"/>
  <c r="E12523" i="113"/>
  <c r="E12527" i="113"/>
  <c r="E12531" i="113"/>
  <c r="E12535" i="113"/>
  <c r="E12539" i="113"/>
  <c r="E12543" i="113"/>
  <c r="E12547" i="113"/>
  <c r="E12551" i="113"/>
  <c r="E12555" i="113"/>
  <c r="E12559" i="113"/>
  <c r="E12563" i="113"/>
  <c r="E12567" i="113"/>
  <c r="E12571" i="113"/>
  <c r="E12575" i="113"/>
  <c r="E12579" i="113"/>
  <c r="E12583" i="113"/>
  <c r="E12587" i="113"/>
  <c r="E12591" i="113"/>
  <c r="E12595" i="113"/>
  <c r="E12599" i="113"/>
  <c r="E12603" i="113"/>
  <c r="E12607" i="113"/>
  <c r="E12611" i="113"/>
  <c r="E12615" i="113"/>
  <c r="E12619" i="113"/>
  <c r="E12623" i="113"/>
  <c r="E12627" i="113"/>
  <c r="E12631" i="113"/>
  <c r="E12635" i="113"/>
  <c r="E12639" i="113"/>
  <c r="E12643" i="113"/>
  <c r="E12647" i="113"/>
  <c r="E12651" i="113"/>
  <c r="E12655" i="113"/>
  <c r="E12659" i="113"/>
  <c r="E12663" i="113"/>
  <c r="E12667" i="113"/>
  <c r="E12671" i="113"/>
  <c r="E12675" i="113"/>
  <c r="E12679" i="113"/>
  <c r="E12683" i="113"/>
  <c r="E12687" i="113"/>
  <c r="E12691" i="113"/>
  <c r="E12695" i="113"/>
  <c r="E12699" i="113"/>
  <c r="E12703" i="113"/>
  <c r="E12707" i="113"/>
  <c r="E12711" i="113"/>
  <c r="E12715" i="113"/>
  <c r="E12719" i="113"/>
  <c r="E12723" i="113"/>
  <c r="E12727" i="113"/>
  <c r="E12731" i="113"/>
  <c r="E12735" i="113"/>
  <c r="E12739" i="113"/>
  <c r="E12743" i="113"/>
  <c r="E12747" i="113"/>
  <c r="E12751" i="113"/>
  <c r="E12755" i="113"/>
  <c r="E12759" i="113"/>
  <c r="E12763" i="113"/>
  <c r="E12767" i="113"/>
  <c r="E12771" i="113"/>
  <c r="E12775" i="113"/>
  <c r="E12779" i="113"/>
  <c r="E12783" i="113"/>
  <c r="E12787" i="113"/>
  <c r="E12791" i="113"/>
  <c r="E12795" i="113"/>
  <c r="E12799" i="113"/>
  <c r="E12803" i="113"/>
  <c r="E12807" i="113"/>
  <c r="E12811" i="113"/>
  <c r="E12815" i="113"/>
  <c r="E12819" i="113"/>
  <c r="E12823" i="113"/>
  <c r="E12827" i="113"/>
  <c r="E12831" i="113"/>
  <c r="E12835" i="113"/>
  <c r="E12839" i="113"/>
  <c r="E12843" i="113"/>
  <c r="E12847" i="113"/>
  <c r="E12812" i="113"/>
  <c r="E12820" i="113"/>
  <c r="E12828" i="113"/>
  <c r="E12836" i="113"/>
  <c r="E12840" i="113"/>
  <c r="E12848" i="113"/>
  <c r="E6360" i="113"/>
  <c r="E10250" i="113"/>
  <c r="E10634" i="113"/>
  <c r="E10826" i="113"/>
  <c r="E10908" i="113"/>
  <c r="E10940" i="113"/>
  <c r="E10988" i="113"/>
  <c r="E11036" i="113"/>
  <c r="E11084" i="113"/>
  <c r="E11132" i="113"/>
  <c r="E11180" i="113"/>
  <c r="E11228" i="113"/>
  <c r="E11276" i="113"/>
  <c r="E11308" i="113"/>
  <c r="E11356" i="113"/>
  <c r="E11404" i="113"/>
  <c r="E11452" i="113"/>
  <c r="E11500" i="113"/>
  <c r="E11548" i="113"/>
  <c r="E11562" i="113"/>
  <c r="E11574" i="113"/>
  <c r="E11586" i="113"/>
  <c r="E11598" i="113"/>
  <c r="E11610" i="113"/>
  <c r="E11622" i="113"/>
  <c r="E11634" i="113"/>
  <c r="E11646" i="113"/>
  <c r="E11658" i="113"/>
  <c r="E11670" i="113"/>
  <c r="E11678" i="113"/>
  <c r="E11686" i="113"/>
  <c r="E11698" i="113"/>
  <c r="E11710" i="113"/>
  <c r="E11722" i="113"/>
  <c r="E11730" i="113"/>
  <c r="E11742" i="113"/>
  <c r="E11754" i="113"/>
  <c r="E11766" i="113"/>
  <c r="E11778" i="113"/>
  <c r="E11790" i="113"/>
  <c r="E11802" i="113"/>
  <c r="E11810" i="113"/>
  <c r="E11822" i="113"/>
  <c r="E11834" i="113"/>
  <c r="E11846" i="113"/>
  <c r="E11858" i="113"/>
  <c r="E11870" i="113"/>
  <c r="E11878" i="113"/>
  <c r="E11890" i="113"/>
  <c r="E11902" i="113"/>
  <c r="E11914" i="113"/>
  <c r="E11926" i="113"/>
  <c r="E11934" i="113"/>
  <c r="E11946" i="113"/>
  <c r="E11958" i="113"/>
  <c r="E11970" i="113"/>
  <c r="E11982" i="113"/>
  <c r="E11990" i="113"/>
  <c r="E12002" i="113"/>
  <c r="E12014" i="113"/>
  <c r="E12022" i="113"/>
  <c r="E12030" i="113"/>
  <c r="E12038" i="113"/>
  <c r="E12046" i="113"/>
  <c r="E12054" i="113"/>
  <c r="E12102" i="113"/>
  <c r="E12114" i="113"/>
  <c r="E12122" i="113"/>
  <c r="E12130" i="113"/>
  <c r="E12138" i="113"/>
  <c r="E12146" i="113"/>
  <c r="E12154" i="113"/>
  <c r="E12162" i="113"/>
  <c r="E12170" i="113"/>
  <c r="E12178" i="113"/>
  <c r="E12186" i="113"/>
  <c r="E12194" i="113"/>
  <c r="E12202" i="113"/>
  <c r="E12210" i="113"/>
  <c r="E12218" i="113"/>
  <c r="E12226" i="113"/>
  <c r="E12234" i="113"/>
  <c r="E12242" i="113"/>
  <c r="E12250" i="113"/>
  <c r="E12258" i="113"/>
  <c r="E12266" i="113"/>
  <c r="E12274" i="113"/>
  <c r="E12282" i="113"/>
  <c r="E12290" i="113"/>
  <c r="E12298" i="113"/>
  <c r="E12306" i="113"/>
  <c r="E12314" i="113"/>
  <c r="E12322" i="113"/>
  <c r="E12330" i="113"/>
  <c r="E12338" i="113"/>
  <c r="E12346" i="113"/>
  <c r="E12354" i="113"/>
  <c r="E12362" i="113"/>
  <c r="E12370" i="113"/>
  <c r="E12378" i="113"/>
  <c r="E12386" i="113"/>
  <c r="E12394" i="113"/>
  <c r="E12402" i="113"/>
  <c r="E12410" i="113"/>
  <c r="E12418" i="113"/>
  <c r="E12426" i="113"/>
  <c r="E12434" i="113"/>
  <c r="E12442" i="113"/>
  <c r="E12450" i="113"/>
  <c r="E12458" i="113"/>
  <c r="E12466" i="113"/>
  <c r="E12474" i="113"/>
  <c r="E12482" i="113"/>
  <c r="E12490" i="113"/>
  <c r="E12498" i="113"/>
  <c r="E12506" i="113"/>
  <c r="E12514" i="113"/>
  <c r="E12526" i="113"/>
  <c r="E12534" i="113"/>
  <c r="E12542" i="113"/>
  <c r="E12550" i="113"/>
  <c r="E12558" i="113"/>
  <c r="E12566" i="113"/>
  <c r="E12574" i="113"/>
  <c r="E12582" i="113"/>
  <c r="E12590" i="113"/>
  <c r="E12598" i="113"/>
  <c r="E12606" i="113"/>
  <c r="E12614" i="113"/>
  <c r="E12626" i="113"/>
  <c r="E12634" i="113"/>
  <c r="E12646" i="113"/>
  <c r="E12658" i="113"/>
  <c r="E12670" i="113"/>
  <c r="E12682" i="113"/>
  <c r="E12694" i="113"/>
  <c r="E12710" i="113"/>
  <c r="E12726" i="113"/>
  <c r="E12734" i="113"/>
  <c r="E12746" i="113"/>
  <c r="E12758" i="113"/>
  <c r="E12770" i="113"/>
  <c r="E12782" i="113"/>
  <c r="E12794" i="113"/>
  <c r="E12806" i="113"/>
  <c r="E12818" i="113"/>
  <c r="E12830" i="113"/>
  <c r="E12838" i="113"/>
  <c r="E12850" i="113"/>
  <c r="E5067" i="113"/>
  <c r="E6104" i="113"/>
  <c r="E6616" i="113"/>
  <c r="E6978" i="113"/>
  <c r="E7234" i="113"/>
  <c r="E7490" i="113"/>
  <c r="E7746" i="113"/>
  <c r="E8002" i="113"/>
  <c r="E8258" i="113"/>
  <c r="E8514" i="113"/>
  <c r="E8770" i="113"/>
  <c r="E8874" i="113"/>
  <c r="E8938" i="113"/>
  <c r="E9002" i="113"/>
  <c r="E9066" i="113"/>
  <c r="E9130" i="113"/>
  <c r="E9194" i="113"/>
  <c r="E9258" i="113"/>
  <c r="E9322" i="113"/>
  <c r="E9386" i="113"/>
  <c r="E9450" i="113"/>
  <c r="E9514" i="113"/>
  <c r="E9578" i="113"/>
  <c r="E9642" i="113"/>
  <c r="E9706" i="113"/>
  <c r="E9770" i="113"/>
  <c r="E9834" i="113"/>
  <c r="E9898" i="113"/>
  <c r="E9962" i="113"/>
  <c r="E10026" i="113"/>
  <c r="E10090" i="113"/>
  <c r="E10154" i="113"/>
  <c r="E10218" i="113"/>
  <c r="E10282" i="113"/>
  <c r="E10346" i="113"/>
  <c r="E10410" i="113"/>
  <c r="E10474" i="113"/>
  <c r="E10538" i="113"/>
  <c r="E10602" i="113"/>
  <c r="E10666" i="113"/>
  <c r="E10730" i="113"/>
  <c r="E10794" i="113"/>
  <c r="E10858" i="113"/>
  <c r="E10884" i="113"/>
  <c r="E10900" i="113"/>
  <c r="E10916" i="113"/>
  <c r="E10932" i="113"/>
  <c r="E10948" i="113"/>
  <c r="E10964" i="113"/>
  <c r="E10980" i="113"/>
  <c r="E10996" i="113"/>
  <c r="E11012" i="113"/>
  <c r="E11028" i="113"/>
  <c r="E11044" i="113"/>
  <c r="E11060" i="113"/>
  <c r="E11076" i="113"/>
  <c r="E11092" i="113"/>
  <c r="E11108" i="113"/>
  <c r="E11124" i="113"/>
  <c r="E11140" i="113"/>
  <c r="E11156" i="113"/>
  <c r="E11172" i="113"/>
  <c r="E11188" i="113"/>
  <c r="E11204" i="113"/>
  <c r="E11220" i="113"/>
  <c r="E11236" i="113"/>
  <c r="E11252" i="113"/>
  <c r="E11268" i="113"/>
  <c r="E11284" i="113"/>
  <c r="E11300" i="113"/>
  <c r="E11316" i="113"/>
  <c r="E11332" i="113"/>
  <c r="E11348" i="113"/>
  <c r="E11364" i="113"/>
  <c r="E11380" i="113"/>
  <c r="E11396" i="113"/>
  <c r="E11412" i="113"/>
  <c r="E11428" i="113"/>
  <c r="E11444" i="113"/>
  <c r="E11460" i="113"/>
  <c r="E11476" i="113"/>
  <c r="E11492" i="113"/>
  <c r="E11508" i="113"/>
  <c r="E11524" i="113"/>
  <c r="E11540" i="113"/>
  <c r="E11551" i="113"/>
  <c r="E11556" i="113"/>
  <c r="E11560" i="113"/>
  <c r="E11564" i="113"/>
  <c r="E11568" i="113"/>
  <c r="E11572" i="113"/>
  <c r="E11576" i="113"/>
  <c r="E11580" i="113"/>
  <c r="E11584" i="113"/>
  <c r="E11588" i="113"/>
  <c r="E11592" i="113"/>
  <c r="E11596" i="113"/>
  <c r="E11600" i="113"/>
  <c r="E11604" i="113"/>
  <c r="E11608" i="113"/>
  <c r="E11612" i="113"/>
  <c r="E11616" i="113"/>
  <c r="E11620" i="113"/>
  <c r="E11624" i="113"/>
  <c r="E11628" i="113"/>
  <c r="E11632" i="113"/>
  <c r="E11636" i="113"/>
  <c r="E11640" i="113"/>
  <c r="E11644" i="113"/>
  <c r="E11648" i="113"/>
  <c r="E11652" i="113"/>
  <c r="E11656" i="113"/>
  <c r="E11660" i="113"/>
  <c r="E11664" i="113"/>
  <c r="E11668" i="113"/>
  <c r="E11672" i="113"/>
  <c r="E11676" i="113"/>
  <c r="E11680" i="113"/>
  <c r="E11684" i="113"/>
  <c r="E11688" i="113"/>
  <c r="E11692" i="113"/>
  <c r="E11696" i="113"/>
  <c r="E11700" i="113"/>
  <c r="E11704" i="113"/>
  <c r="E11708" i="113"/>
  <c r="E11712" i="113"/>
  <c r="E11716" i="113"/>
  <c r="E11720" i="113"/>
  <c r="E11724" i="113"/>
  <c r="E11728" i="113"/>
  <c r="E11732" i="113"/>
  <c r="E11736" i="113"/>
  <c r="E11740" i="113"/>
  <c r="E11744" i="113"/>
  <c r="E11748" i="113"/>
  <c r="E11752" i="113"/>
  <c r="E11756" i="113"/>
  <c r="E11760" i="113"/>
  <c r="E11764" i="113"/>
  <c r="E11768" i="113"/>
  <c r="E11772" i="113"/>
  <c r="E11776" i="113"/>
  <c r="E11780" i="113"/>
  <c r="E11784" i="113"/>
  <c r="E11788" i="113"/>
  <c r="E11792" i="113"/>
  <c r="E11796" i="113"/>
  <c r="E11800" i="113"/>
  <c r="E11804" i="113"/>
  <c r="E11808" i="113"/>
  <c r="E11812" i="113"/>
  <c r="E11816" i="113"/>
  <c r="E11820" i="113"/>
  <c r="E11824" i="113"/>
  <c r="E11828" i="113"/>
  <c r="E11832" i="113"/>
  <c r="E11836" i="113"/>
  <c r="E11840" i="113"/>
  <c r="E11844" i="113"/>
  <c r="E11848" i="113"/>
  <c r="E11852" i="113"/>
  <c r="E11856" i="113"/>
  <c r="E11860" i="113"/>
  <c r="E11864" i="113"/>
  <c r="E11868" i="113"/>
  <c r="E11872" i="113"/>
  <c r="E11876" i="113"/>
  <c r="E11880" i="113"/>
  <c r="E11884" i="113"/>
  <c r="E11888" i="113"/>
  <c r="E11892" i="113"/>
  <c r="E11896" i="113"/>
  <c r="E11900" i="113"/>
  <c r="E11904" i="113"/>
  <c r="E11908" i="113"/>
  <c r="E11912" i="113"/>
  <c r="E11916" i="113"/>
  <c r="E11920" i="113"/>
  <c r="E11924" i="113"/>
  <c r="E11928" i="113"/>
  <c r="E11932" i="113"/>
  <c r="E11936" i="113"/>
  <c r="E11940" i="113"/>
  <c r="E11944" i="113"/>
  <c r="E11948" i="113"/>
  <c r="E11952" i="113"/>
  <c r="E11956" i="113"/>
  <c r="E11960" i="113"/>
  <c r="E11964" i="113"/>
  <c r="E11968" i="113"/>
  <c r="E11972" i="113"/>
  <c r="E11976" i="113"/>
  <c r="E11980" i="113"/>
  <c r="E11984" i="113"/>
  <c r="E11988" i="113"/>
  <c r="E11992" i="113"/>
  <c r="E11996" i="113"/>
  <c r="E12000" i="113"/>
  <c r="E12004" i="113"/>
  <c r="E12008" i="113"/>
  <c r="E12012" i="113"/>
  <c r="E12016" i="113"/>
  <c r="E12020" i="113"/>
  <c r="E12024" i="113"/>
  <c r="E12028" i="113"/>
  <c r="E12032" i="113"/>
  <c r="E12036" i="113"/>
  <c r="E12040" i="113"/>
  <c r="E12044" i="113"/>
  <c r="E12048" i="113"/>
  <c r="E12052" i="113"/>
  <c r="E12056" i="113"/>
  <c r="E12060" i="113"/>
  <c r="E12064" i="113"/>
  <c r="E12068" i="113"/>
  <c r="E12072" i="113"/>
  <c r="E12076" i="113"/>
  <c r="E12080" i="113"/>
  <c r="E12084" i="113"/>
  <c r="E12088" i="113"/>
  <c r="E12092" i="113"/>
  <c r="E12096" i="113"/>
  <c r="E12100" i="113"/>
  <c r="E12104" i="113"/>
  <c r="E12108" i="113"/>
  <c r="E12112" i="113"/>
  <c r="E12116" i="113"/>
  <c r="E12120" i="113"/>
  <c r="E12124" i="113"/>
  <c r="E12128" i="113"/>
  <c r="E12132" i="113"/>
  <c r="E12136" i="113"/>
  <c r="E12140" i="113"/>
  <c r="E12144" i="113"/>
  <c r="E12148" i="113"/>
  <c r="E12152" i="113"/>
  <c r="E12156" i="113"/>
  <c r="E12160" i="113"/>
  <c r="E12164" i="113"/>
  <c r="E12168" i="113"/>
  <c r="E12172" i="113"/>
  <c r="E12176" i="113"/>
  <c r="E12180" i="113"/>
  <c r="E12184" i="113"/>
  <c r="E12188" i="113"/>
  <c r="E12192" i="113"/>
  <c r="E12196" i="113"/>
  <c r="E12200" i="113"/>
  <c r="E12204" i="113"/>
  <c r="E12208" i="113"/>
  <c r="E12212" i="113"/>
  <c r="E12216" i="113"/>
  <c r="E12220" i="113"/>
  <c r="E12224" i="113"/>
  <c r="E12228" i="113"/>
  <c r="E12232" i="113"/>
  <c r="E12236" i="113"/>
  <c r="E12240" i="113"/>
  <c r="E12244" i="113"/>
  <c r="E12248" i="113"/>
  <c r="E12252" i="113"/>
  <c r="E12256" i="113"/>
  <c r="E12260" i="113"/>
  <c r="E12264" i="113"/>
  <c r="E12268" i="113"/>
  <c r="E12272" i="113"/>
  <c r="E12276" i="113"/>
  <c r="E12280" i="113"/>
  <c r="E12284" i="113"/>
  <c r="E12288" i="113"/>
  <c r="E12292" i="113"/>
  <c r="E12296" i="113"/>
  <c r="E12300" i="113"/>
  <c r="E12304" i="113"/>
  <c r="E12308" i="113"/>
  <c r="E12312" i="113"/>
  <c r="E12316" i="113"/>
  <c r="E12320" i="113"/>
  <c r="E12324" i="113"/>
  <c r="E12328" i="113"/>
  <c r="E12332" i="113"/>
  <c r="E12336" i="113"/>
  <c r="E12340" i="113"/>
  <c r="E12344" i="113"/>
  <c r="E12348" i="113"/>
  <c r="E12352" i="113"/>
  <c r="E12356" i="113"/>
  <c r="E12360" i="113"/>
  <c r="E12364" i="113"/>
  <c r="E12368" i="113"/>
  <c r="E12372" i="113"/>
  <c r="E12376" i="113"/>
  <c r="E12380" i="113"/>
  <c r="E12384" i="113"/>
  <c r="E12388" i="113"/>
  <c r="E12392" i="113"/>
  <c r="E12396" i="113"/>
  <c r="E12400" i="113"/>
  <c r="E12404" i="113"/>
  <c r="E12408" i="113"/>
  <c r="E12412" i="113"/>
  <c r="E12416" i="113"/>
  <c r="E12420" i="113"/>
  <c r="E12424" i="113"/>
  <c r="E12428" i="113"/>
  <c r="E12432" i="113"/>
  <c r="E12436" i="113"/>
  <c r="E12440" i="113"/>
  <c r="E12444" i="113"/>
  <c r="E12448" i="113"/>
  <c r="E12452" i="113"/>
  <c r="E12456" i="113"/>
  <c r="E12460" i="113"/>
  <c r="E12464" i="113"/>
  <c r="E12468" i="113"/>
  <c r="E12472" i="113"/>
  <c r="E12476" i="113"/>
  <c r="E12480" i="113"/>
  <c r="E12484" i="113"/>
  <c r="E12488" i="113"/>
  <c r="E12492" i="113"/>
  <c r="E12496" i="113"/>
  <c r="E12500" i="113"/>
  <c r="E12504" i="113"/>
  <c r="E12508" i="113"/>
  <c r="E12512" i="113"/>
  <c r="E12516" i="113"/>
  <c r="E12520" i="113"/>
  <c r="E12524" i="113"/>
  <c r="E12528" i="113"/>
  <c r="E12532" i="113"/>
  <c r="E12536" i="113"/>
  <c r="E12540" i="113"/>
  <c r="E12544" i="113"/>
  <c r="E12548" i="113"/>
  <c r="E12552" i="113"/>
  <c r="E12556" i="113"/>
  <c r="E12560" i="113"/>
  <c r="E12564" i="113"/>
  <c r="E12568" i="113"/>
  <c r="E12572" i="113"/>
  <c r="E12576" i="113"/>
  <c r="E12580" i="113"/>
  <c r="E12584" i="113"/>
  <c r="E12588" i="113"/>
  <c r="E12592" i="113"/>
  <c r="E12596" i="113"/>
  <c r="E12600" i="113"/>
  <c r="E12604" i="113"/>
  <c r="E12608" i="113"/>
  <c r="E12612" i="113"/>
  <c r="E12616" i="113"/>
  <c r="E12620" i="113"/>
  <c r="E12624" i="113"/>
  <c r="E12628" i="113"/>
  <c r="E12632" i="113"/>
  <c r="E12636" i="113"/>
  <c r="E12640" i="113"/>
  <c r="E12644" i="113"/>
  <c r="E12648" i="113"/>
  <c r="E12652" i="113"/>
  <c r="E12656" i="113"/>
  <c r="E12660" i="113"/>
  <c r="E12664" i="113"/>
  <c r="E12668" i="113"/>
  <c r="E12672" i="113"/>
  <c r="E12676" i="113"/>
  <c r="E12680" i="113"/>
  <c r="E12684" i="113"/>
  <c r="E12688" i="113"/>
  <c r="E12692" i="113"/>
  <c r="E12696" i="113"/>
  <c r="E12700" i="113"/>
  <c r="E12704" i="113"/>
  <c r="E12708" i="113"/>
  <c r="E12712" i="113"/>
  <c r="E12716" i="113"/>
  <c r="E12720" i="113"/>
  <c r="E12724" i="113"/>
  <c r="E12728" i="113"/>
  <c r="E12732" i="113"/>
  <c r="E12736" i="113"/>
  <c r="E12740" i="113"/>
  <c r="E12744" i="113"/>
  <c r="E12748" i="113"/>
  <c r="E12752" i="113"/>
  <c r="E12756" i="113"/>
  <c r="E12760" i="113"/>
  <c r="E12764" i="113"/>
  <c r="E12768" i="113"/>
  <c r="E12772" i="113"/>
  <c r="E12776" i="113"/>
  <c r="E12780" i="113"/>
  <c r="E12784" i="113"/>
  <c r="E12788" i="113"/>
  <c r="E12792" i="113"/>
  <c r="E12796" i="113"/>
  <c r="E12800" i="113"/>
  <c r="E12804" i="113"/>
  <c r="E12808" i="113"/>
  <c r="E12816" i="113"/>
  <c r="E12824" i="113"/>
  <c r="E12832" i="113"/>
  <c r="E12844" i="113"/>
  <c r="E6831" i="113"/>
  <c r="E10186" i="113"/>
  <c r="E10506" i="113"/>
  <c r="E10698" i="113"/>
  <c r="E10876" i="113"/>
  <c r="E10924" i="113"/>
  <c r="E10972" i="113"/>
  <c r="E11004" i="113"/>
  <c r="E11052" i="113"/>
  <c r="E11100" i="113"/>
  <c r="E11148" i="113"/>
  <c r="E11196" i="113"/>
  <c r="E11244" i="113"/>
  <c r="E11292" i="113"/>
  <c r="E11340" i="113"/>
  <c r="E11388" i="113"/>
  <c r="E11436" i="113"/>
  <c r="E11484" i="113"/>
  <c r="E11532" i="113"/>
  <c r="E11558" i="113"/>
  <c r="E11570" i="113"/>
  <c r="E11582" i="113"/>
  <c r="E11594" i="113"/>
  <c r="E11606" i="113"/>
  <c r="E11614" i="113"/>
  <c r="E11626" i="113"/>
  <c r="E11638" i="113"/>
  <c r="E11650" i="113"/>
  <c r="E11666" i="113"/>
  <c r="E11682" i="113"/>
  <c r="E11694" i="113"/>
  <c r="E11702" i="113"/>
  <c r="E11718" i="113"/>
  <c r="E11734" i="113"/>
  <c r="E11746" i="113"/>
  <c r="E11758" i="113"/>
  <c r="E11770" i="113"/>
  <c r="E11782" i="113"/>
  <c r="E11794" i="113"/>
  <c r="E11806" i="113"/>
  <c r="E11814" i="113"/>
  <c r="E11826" i="113"/>
  <c r="E11842" i="113"/>
  <c r="E11854" i="113"/>
  <c r="E11866" i="113"/>
  <c r="E11882" i="113"/>
  <c r="E11898" i="113"/>
  <c r="E11910" i="113"/>
  <c r="E11918" i="113"/>
  <c r="E11930" i="113"/>
  <c r="E11942" i="113"/>
  <c r="E11954" i="113"/>
  <c r="E11962" i="113"/>
  <c r="E11974" i="113"/>
  <c r="E11986" i="113"/>
  <c r="E11994" i="113"/>
  <c r="E12006" i="113"/>
  <c r="E12522" i="113"/>
  <c r="E12618" i="113"/>
  <c r="E12642" i="113"/>
  <c r="E12654" i="113"/>
  <c r="E12666" i="113"/>
  <c r="E12678" i="113"/>
  <c r="E12690" i="113"/>
  <c r="E12702" i="113"/>
  <c r="E12714" i="113"/>
  <c r="E12718" i="113"/>
  <c r="E12730" i="113"/>
  <c r="E12742" i="113"/>
  <c r="E12754" i="113"/>
  <c r="E12766" i="113"/>
  <c r="E12778" i="113"/>
  <c r="E12790" i="113"/>
  <c r="E12802" i="113"/>
  <c r="E12814" i="113"/>
  <c r="E12822" i="113"/>
  <c r="E12842" i="113"/>
  <c r="E5391" i="113"/>
  <c r="E6232" i="113"/>
  <c r="E6744" i="113"/>
  <c r="E7042" i="113"/>
  <c r="E7298" i="113"/>
  <c r="E7554" i="113"/>
  <c r="E7810" i="113"/>
  <c r="E8066" i="113"/>
  <c r="E8322" i="113"/>
  <c r="E8578" i="113"/>
  <c r="E8826" i="113"/>
  <c r="E8890" i="113"/>
  <c r="E8954" i="113"/>
  <c r="E9018" i="113"/>
  <c r="E9082" i="113"/>
  <c r="E9146" i="113"/>
  <c r="E9210" i="113"/>
  <c r="E9274" i="113"/>
  <c r="E9338" i="113"/>
  <c r="E9402" i="113"/>
  <c r="E9466" i="113"/>
  <c r="E9530" i="113"/>
  <c r="E9594" i="113"/>
  <c r="E9658" i="113"/>
  <c r="E9722" i="113"/>
  <c r="E9786" i="113"/>
  <c r="E9850" i="113"/>
  <c r="E9914" i="113"/>
  <c r="E9978" i="113"/>
  <c r="E10042" i="113"/>
  <c r="E10106" i="113"/>
  <c r="E10170" i="113"/>
  <c r="E10234" i="113"/>
  <c r="E10298" i="113"/>
  <c r="E10362" i="113"/>
  <c r="E10426" i="113"/>
  <c r="E10490" i="113"/>
  <c r="E10554" i="113"/>
  <c r="E10618" i="113"/>
  <c r="E10682" i="113"/>
  <c r="E10746" i="113"/>
  <c r="E10810" i="113"/>
  <c r="E10872" i="113"/>
  <c r="E10888" i="113"/>
  <c r="E10904" i="113"/>
  <c r="E10920" i="113"/>
  <c r="E10936" i="113"/>
  <c r="E10952" i="113"/>
  <c r="E10968" i="113"/>
  <c r="E10984" i="113"/>
  <c r="E11000" i="113"/>
  <c r="E11016" i="113"/>
  <c r="E11032" i="113"/>
  <c r="E11048" i="113"/>
  <c r="E11064" i="113"/>
  <c r="E11080" i="113"/>
  <c r="E11096" i="113"/>
  <c r="E11112" i="113"/>
  <c r="E11128" i="113"/>
  <c r="E11144" i="113"/>
  <c r="E11160" i="113"/>
  <c r="E11176" i="113"/>
  <c r="E11192" i="113"/>
  <c r="E11208" i="113"/>
  <c r="E11224" i="113"/>
  <c r="E11240" i="113"/>
  <c r="E11256" i="113"/>
  <c r="E11272" i="113"/>
  <c r="E11288" i="113"/>
  <c r="E11304" i="113"/>
  <c r="E11320" i="113"/>
  <c r="E11336" i="113"/>
  <c r="E11352" i="113"/>
  <c r="E11368" i="113"/>
  <c r="E11384" i="113"/>
  <c r="E11400" i="113"/>
  <c r="E11416" i="113"/>
  <c r="E11432" i="113"/>
  <c r="E11448" i="113"/>
  <c r="E11464" i="113"/>
  <c r="E11480" i="113"/>
  <c r="E11496" i="113"/>
  <c r="E11512" i="113"/>
  <c r="E11528" i="113"/>
  <c r="E11544" i="113"/>
  <c r="E11552" i="113"/>
  <c r="E11557" i="113"/>
  <c r="E11561" i="113"/>
  <c r="E11565" i="113"/>
  <c r="E11569" i="113"/>
  <c r="E11573" i="113"/>
  <c r="E11577" i="113"/>
  <c r="E11581" i="113"/>
  <c r="E11585" i="113"/>
  <c r="E11589" i="113"/>
  <c r="E11593" i="113"/>
  <c r="E11597" i="113"/>
  <c r="E11601" i="113"/>
  <c r="E11605" i="113"/>
  <c r="E11609" i="113"/>
  <c r="E11613" i="113"/>
  <c r="E11617" i="113"/>
  <c r="E11621" i="113"/>
  <c r="E11625" i="113"/>
  <c r="E11629" i="113"/>
  <c r="E11633" i="113"/>
  <c r="E11637" i="113"/>
  <c r="E11641" i="113"/>
  <c r="E11645" i="113"/>
  <c r="E11649" i="113"/>
  <c r="E11653" i="113"/>
  <c r="E11657" i="113"/>
  <c r="E11661" i="113"/>
  <c r="E11665" i="113"/>
  <c r="E11669" i="113"/>
  <c r="E11673" i="113"/>
  <c r="E11677" i="113"/>
  <c r="E11681" i="113"/>
  <c r="E11685" i="113"/>
  <c r="E11689" i="113"/>
  <c r="E11693" i="113"/>
  <c r="E11697" i="113"/>
  <c r="E11701" i="113"/>
  <c r="E11705" i="113"/>
  <c r="E11709" i="113"/>
  <c r="E11713" i="113"/>
  <c r="E11717" i="113"/>
  <c r="E11721" i="113"/>
  <c r="E11725" i="113"/>
  <c r="E11729" i="113"/>
  <c r="E11733" i="113"/>
  <c r="E11737" i="113"/>
  <c r="E11741" i="113"/>
  <c r="E11745" i="113"/>
  <c r="E11749" i="113"/>
  <c r="E11753" i="113"/>
  <c r="E11757" i="113"/>
  <c r="E11761" i="113"/>
  <c r="E11765" i="113"/>
  <c r="E11769" i="113"/>
  <c r="E11773" i="113"/>
  <c r="E11777" i="113"/>
  <c r="E11781" i="113"/>
  <c r="E11785" i="113"/>
  <c r="E11789" i="113"/>
  <c r="E11793" i="113"/>
  <c r="E11797" i="113"/>
  <c r="E11801" i="113"/>
  <c r="E11805" i="113"/>
  <c r="E11809" i="113"/>
  <c r="E11813" i="113"/>
  <c r="E11817" i="113"/>
  <c r="E11821" i="113"/>
  <c r="E11825" i="113"/>
  <c r="E11829" i="113"/>
  <c r="E11833" i="113"/>
  <c r="E11837" i="113"/>
  <c r="E11841" i="113"/>
  <c r="E11845" i="113"/>
  <c r="E11849" i="113"/>
  <c r="E11853" i="113"/>
  <c r="E11857" i="113"/>
  <c r="E11861" i="113"/>
  <c r="E11865" i="113"/>
  <c r="E11869" i="113"/>
  <c r="E11873" i="113"/>
  <c r="E11877" i="113"/>
  <c r="E11881" i="113"/>
  <c r="E11885" i="113"/>
  <c r="E11889" i="113"/>
  <c r="E11893" i="113"/>
  <c r="E11897" i="113"/>
  <c r="E11901" i="113"/>
  <c r="E11905" i="113"/>
  <c r="E11909" i="113"/>
  <c r="E11913" i="113"/>
  <c r="E11917" i="113"/>
  <c r="E11921" i="113"/>
  <c r="E11925" i="113"/>
  <c r="E11929" i="113"/>
  <c r="E11933" i="113"/>
  <c r="E11937" i="113"/>
  <c r="E11941" i="113"/>
  <c r="E11945" i="113"/>
  <c r="E11949" i="113"/>
  <c r="E11953" i="113"/>
  <c r="E11957" i="113"/>
  <c r="E11961" i="113"/>
  <c r="E11965" i="113"/>
  <c r="E11969" i="113"/>
  <c r="E11973" i="113"/>
  <c r="E11977" i="113"/>
  <c r="E11981" i="113"/>
  <c r="E11985" i="113"/>
  <c r="E11989" i="113"/>
  <c r="E11993" i="113"/>
  <c r="E11997" i="113"/>
  <c r="E12001" i="113"/>
  <c r="E12005" i="113"/>
  <c r="E12009" i="113"/>
  <c r="E12013" i="113"/>
  <c r="E12017" i="113"/>
  <c r="E12021" i="113"/>
  <c r="E12025" i="113"/>
  <c r="E12029" i="113"/>
  <c r="E12033" i="113"/>
  <c r="E12037" i="113"/>
  <c r="E12041" i="113"/>
  <c r="E12045" i="113"/>
  <c r="E12049" i="113"/>
  <c r="E12053" i="113"/>
  <c r="E12057" i="113"/>
  <c r="E12061" i="113"/>
  <c r="E12065" i="113"/>
  <c r="E12069" i="113"/>
  <c r="E12073" i="113"/>
  <c r="E12077" i="113"/>
  <c r="E12081" i="113"/>
  <c r="E12085" i="113"/>
  <c r="E12089" i="113"/>
  <c r="E12093" i="113"/>
  <c r="E12097" i="113"/>
  <c r="E12101" i="113"/>
  <c r="E12105" i="113"/>
  <c r="E12109" i="113"/>
  <c r="E12113" i="113"/>
  <c r="E12117" i="113"/>
  <c r="E12121" i="113"/>
  <c r="E12125" i="113"/>
  <c r="E12129" i="113"/>
  <c r="E12133" i="113"/>
  <c r="E12137" i="113"/>
  <c r="E12141" i="113"/>
  <c r="E12145" i="113"/>
  <c r="E12149" i="113"/>
  <c r="E12153" i="113"/>
  <c r="E12157" i="113"/>
  <c r="E12161" i="113"/>
  <c r="E12165" i="113"/>
  <c r="E12169" i="113"/>
  <c r="E12173" i="113"/>
  <c r="E12177" i="113"/>
  <c r="E12181" i="113"/>
  <c r="E12185" i="113"/>
  <c r="E12189" i="113"/>
  <c r="E12193" i="113"/>
  <c r="E12197" i="113"/>
  <c r="E12201" i="113"/>
  <c r="E12205" i="113"/>
  <c r="E12209" i="113"/>
  <c r="E12213" i="113"/>
  <c r="E12217" i="113"/>
  <c r="E12221" i="113"/>
  <c r="E12225" i="113"/>
  <c r="E12229" i="113"/>
  <c r="E12233" i="113"/>
  <c r="E12237" i="113"/>
  <c r="E12241" i="113"/>
  <c r="E12245" i="113"/>
  <c r="E12249" i="113"/>
  <c r="E12253" i="113"/>
  <c r="E12257" i="113"/>
  <c r="E12261" i="113"/>
  <c r="E12265" i="113"/>
  <c r="E12269" i="113"/>
  <c r="E12273" i="113"/>
  <c r="E12277" i="113"/>
  <c r="E12281" i="113"/>
  <c r="E12285" i="113"/>
  <c r="E12289" i="113"/>
  <c r="E12293" i="113"/>
  <c r="E12297" i="113"/>
  <c r="E12301" i="113"/>
  <c r="E12305" i="113"/>
  <c r="E12309" i="113"/>
  <c r="E12313" i="113"/>
  <c r="E12317" i="113"/>
  <c r="E12321" i="113"/>
  <c r="E12325" i="113"/>
  <c r="E12329" i="113"/>
  <c r="E12333" i="113"/>
  <c r="E12337" i="113"/>
  <c r="E12341" i="113"/>
  <c r="E12345" i="113"/>
  <c r="E12349" i="113"/>
  <c r="E12353" i="113"/>
  <c r="E12357" i="113"/>
  <c r="E12361" i="113"/>
  <c r="E12365" i="113"/>
  <c r="E12369" i="113"/>
  <c r="E12373" i="113"/>
  <c r="E12377" i="113"/>
  <c r="E12381" i="113"/>
  <c r="E12385" i="113"/>
  <c r="E12389" i="113"/>
  <c r="E12393" i="113"/>
  <c r="E12397" i="113"/>
  <c r="E12401" i="113"/>
  <c r="E12405" i="113"/>
  <c r="E12409" i="113"/>
  <c r="E12413" i="113"/>
  <c r="E12417" i="113"/>
  <c r="E12421" i="113"/>
  <c r="E12425" i="113"/>
  <c r="E12429" i="113"/>
  <c r="E12433" i="113"/>
  <c r="E12437" i="113"/>
  <c r="E12441" i="113"/>
  <c r="E12445" i="113"/>
  <c r="E12449" i="113"/>
  <c r="E12453" i="113"/>
  <c r="E12457" i="113"/>
  <c r="E12461" i="113"/>
  <c r="E12465" i="113"/>
  <c r="E12469" i="113"/>
  <c r="E12473" i="113"/>
  <c r="E12477" i="113"/>
  <c r="E12481" i="113"/>
  <c r="E12485" i="113"/>
  <c r="E12489" i="113"/>
  <c r="E12493" i="113"/>
  <c r="E12497" i="113"/>
  <c r="E12501" i="113"/>
  <c r="E12505" i="113"/>
  <c r="E12509" i="113"/>
  <c r="E12513" i="113"/>
  <c r="E12517" i="113"/>
  <c r="E12521" i="113"/>
  <c r="E12525" i="113"/>
  <c r="E12529" i="113"/>
  <c r="E12533" i="113"/>
  <c r="E12537" i="113"/>
  <c r="E12541" i="113"/>
  <c r="E12545" i="113"/>
  <c r="E12549" i="113"/>
  <c r="E12553" i="113"/>
  <c r="E12557" i="113"/>
  <c r="E12561" i="113"/>
  <c r="E12565" i="113"/>
  <c r="E12569" i="113"/>
  <c r="E12573" i="113"/>
  <c r="E12577" i="113"/>
  <c r="E12581" i="113"/>
  <c r="E12585" i="113"/>
  <c r="E12589" i="113"/>
  <c r="E12593" i="113"/>
  <c r="E12597" i="113"/>
  <c r="E12601" i="113"/>
  <c r="E12605" i="113"/>
  <c r="E12609" i="113"/>
  <c r="E12613" i="113"/>
  <c r="E12617" i="113"/>
  <c r="E12621" i="113"/>
  <c r="E12625" i="113"/>
  <c r="E12629" i="113"/>
  <c r="E12633" i="113"/>
  <c r="E12637" i="113"/>
  <c r="E12641" i="113"/>
  <c r="E12645" i="113"/>
  <c r="E12649" i="113"/>
  <c r="E12653" i="113"/>
  <c r="E12657" i="113"/>
  <c r="E12661" i="113"/>
  <c r="E12665" i="113"/>
  <c r="E12669" i="113"/>
  <c r="E12673" i="113"/>
  <c r="E12677" i="113"/>
  <c r="E12681" i="113"/>
  <c r="E12685" i="113"/>
  <c r="E12689" i="113"/>
  <c r="E12693" i="113"/>
  <c r="E12697" i="113"/>
  <c r="E12701" i="113"/>
  <c r="E12705" i="113"/>
  <c r="E12709" i="113"/>
  <c r="E12713" i="113"/>
  <c r="E12717" i="113"/>
  <c r="E12721" i="113"/>
  <c r="E12725" i="113"/>
  <c r="E12729" i="113"/>
  <c r="E12733" i="113"/>
  <c r="E12737" i="113"/>
  <c r="E12741" i="113"/>
  <c r="E12745" i="113"/>
  <c r="E12749" i="113"/>
  <c r="E12753" i="113"/>
  <c r="E12757" i="113"/>
  <c r="E12761" i="113"/>
  <c r="E12765" i="113"/>
  <c r="E12769" i="113"/>
  <c r="E12773" i="113"/>
  <c r="E12777" i="113"/>
  <c r="E12781" i="113"/>
  <c r="E12785" i="113"/>
  <c r="E12789" i="113"/>
  <c r="E12793" i="113"/>
  <c r="E12797" i="113"/>
  <c r="E12801" i="113"/>
  <c r="E12805" i="113"/>
  <c r="E12809" i="113"/>
  <c r="E12813" i="113"/>
  <c r="E12817" i="113"/>
  <c r="E12821" i="113"/>
  <c r="E12825" i="113"/>
  <c r="E12829" i="113"/>
  <c r="E12833" i="113"/>
  <c r="E12837" i="113"/>
  <c r="E12841" i="113"/>
  <c r="E12845" i="113"/>
  <c r="E12849" i="113"/>
  <c r="E5647" i="113"/>
  <c r="E7106" i="113"/>
  <c r="E7362" i="113"/>
  <c r="E7618" i="113"/>
  <c r="E7874" i="113"/>
  <c r="E8130" i="113"/>
  <c r="E8386" i="113"/>
  <c r="E8642" i="113"/>
  <c r="E8842" i="113"/>
  <c r="E8906" i="113"/>
  <c r="E8970" i="113"/>
  <c r="E9034" i="113"/>
  <c r="E9098" i="113"/>
  <c r="E9162" i="113"/>
  <c r="E9226" i="113"/>
  <c r="E9290" i="113"/>
  <c r="E9354" i="113"/>
  <c r="E9418" i="113"/>
  <c r="E9482" i="113"/>
  <c r="E9546" i="113"/>
  <c r="E9610" i="113"/>
  <c r="E9674" i="113"/>
  <c r="E9738" i="113"/>
  <c r="E9802" i="113"/>
  <c r="E9866" i="113"/>
  <c r="E9930" i="113"/>
  <c r="E9994" i="113"/>
  <c r="E10058" i="113"/>
  <c r="E10122" i="113"/>
  <c r="E10314" i="113"/>
  <c r="E10378" i="113"/>
  <c r="E10442" i="113"/>
  <c r="E10570" i="113"/>
  <c r="E10762" i="113"/>
  <c r="E10892" i="113"/>
  <c r="E10956" i="113"/>
  <c r="E11020" i="113"/>
  <c r="E11068" i="113"/>
  <c r="E11116" i="113"/>
  <c r="E11164" i="113"/>
  <c r="E11212" i="113"/>
  <c r="E11260" i="113"/>
  <c r="E11324" i="113"/>
  <c r="E11372" i="113"/>
  <c r="E11420" i="113"/>
  <c r="E11468" i="113"/>
  <c r="E11516" i="113"/>
  <c r="E11554" i="113"/>
  <c r="E11566" i="113"/>
  <c r="E11578" i="113"/>
  <c r="E11590" i="113"/>
  <c r="E11602" i="113"/>
  <c r="E11618" i="113"/>
  <c r="E11630" i="113"/>
  <c r="E11642" i="113"/>
  <c r="E11654" i="113"/>
  <c r="E11662" i="113"/>
  <c r="E11674" i="113"/>
  <c r="E11690" i="113"/>
  <c r="E11706" i="113"/>
  <c r="E11714" i="113"/>
  <c r="E11726" i="113"/>
  <c r="E11738" i="113"/>
  <c r="E11750" i="113"/>
  <c r="E11762" i="113"/>
  <c r="E11774" i="113"/>
  <c r="E11786" i="113"/>
  <c r="E11798" i="113"/>
  <c r="E11818" i="113"/>
  <c r="E11830" i="113"/>
  <c r="E11838" i="113"/>
  <c r="E11850" i="113"/>
  <c r="E11862" i="113"/>
  <c r="E11874" i="113"/>
  <c r="E11886" i="113"/>
  <c r="E11894" i="113"/>
  <c r="E11906" i="113"/>
  <c r="E11922" i="113"/>
  <c r="E11938" i="113"/>
  <c r="E11950" i="113"/>
  <c r="E11966" i="113"/>
  <c r="E11978" i="113"/>
  <c r="E11998" i="113"/>
  <c r="E12010" i="113"/>
  <c r="E12018" i="113"/>
  <c r="E12026" i="113"/>
  <c r="E12034" i="113"/>
  <c r="E12042" i="113"/>
  <c r="E12050" i="113"/>
  <c r="E12058" i="113"/>
  <c r="E12062" i="113"/>
  <c r="E12066" i="113"/>
  <c r="E12070" i="113"/>
  <c r="E12074" i="113"/>
  <c r="E12078" i="113"/>
  <c r="E12082" i="113"/>
  <c r="E12086" i="113"/>
  <c r="E12090" i="113"/>
  <c r="E12094" i="113"/>
  <c r="E12098" i="113"/>
  <c r="E12106" i="113"/>
  <c r="E12110" i="113"/>
  <c r="E12118" i="113"/>
  <c r="E12126" i="113"/>
  <c r="E12134" i="113"/>
  <c r="E12142" i="113"/>
  <c r="E12150" i="113"/>
  <c r="E12158" i="113"/>
  <c r="E12166" i="113"/>
  <c r="E12174" i="113"/>
  <c r="E12182" i="113"/>
  <c r="E12190" i="113"/>
  <c r="E12198" i="113"/>
  <c r="E12206" i="113"/>
  <c r="E12214" i="113"/>
  <c r="E12222" i="113"/>
  <c r="E12230" i="113"/>
  <c r="E12238" i="113"/>
  <c r="E12246" i="113"/>
  <c r="E12254" i="113"/>
  <c r="E12262" i="113"/>
  <c r="E12270" i="113"/>
  <c r="E12278" i="113"/>
  <c r="E12286" i="113"/>
  <c r="E12294" i="113"/>
  <c r="E12302" i="113"/>
  <c r="E12310" i="113"/>
  <c r="E12318" i="113"/>
  <c r="E12326" i="113"/>
  <c r="E12334" i="113"/>
  <c r="E12342" i="113"/>
  <c r="E12350" i="113"/>
  <c r="E12358" i="113"/>
  <c r="E12366" i="113"/>
  <c r="E12374" i="113"/>
  <c r="E12382" i="113"/>
  <c r="E12390" i="113"/>
  <c r="E12398" i="113"/>
  <c r="E12406" i="113"/>
  <c r="E12414" i="113"/>
  <c r="E12422" i="113"/>
  <c r="E12430" i="113"/>
  <c r="E12438" i="113"/>
  <c r="E12446" i="113"/>
  <c r="E12454" i="113"/>
  <c r="E12462" i="113"/>
  <c r="E12470" i="113"/>
  <c r="E12478" i="113"/>
  <c r="E12486" i="113"/>
  <c r="E12494" i="113"/>
  <c r="E12502" i="113"/>
  <c r="E12510" i="113"/>
  <c r="E12518" i="113"/>
  <c r="E12530" i="113"/>
  <c r="E12538" i="113"/>
  <c r="E12546" i="113"/>
  <c r="E12554" i="113"/>
  <c r="E12562" i="113"/>
  <c r="E12570" i="113"/>
  <c r="E12578" i="113"/>
  <c r="E12586" i="113"/>
  <c r="E12594" i="113"/>
  <c r="E12602" i="113"/>
  <c r="E12610" i="113"/>
  <c r="E12622" i="113"/>
  <c r="E12630" i="113"/>
  <c r="E12638" i="113"/>
  <c r="E12650" i="113"/>
  <c r="E12662" i="113"/>
  <c r="E12674" i="113"/>
  <c r="E12686" i="113"/>
  <c r="E12698" i="113"/>
  <c r="E12706" i="113"/>
  <c r="E12722" i="113"/>
  <c r="E12738" i="113"/>
  <c r="E12750" i="113"/>
  <c r="E12762" i="113"/>
  <c r="E12774" i="113"/>
  <c r="E12786" i="113"/>
  <c r="E12798" i="113"/>
  <c r="E12810" i="113"/>
  <c r="E12826" i="113"/>
  <c r="E12834" i="113"/>
  <c r="E12846" i="113"/>
  <c r="E2" i="113"/>
  <c r="C7" i="1"/>
  <c r="J16" i="1" s="1"/>
  <c r="G1" i="77"/>
  <c r="F1" i="77"/>
  <c r="E1" i="77"/>
  <c r="R1" i="77" l="1"/>
  <c r="P1" i="77" l="1"/>
  <c r="O1" i="77"/>
  <c r="C1" i="77" l="1"/>
  <c r="D1" i="77"/>
  <c r="Q1" i="77" l="1"/>
  <c r="B1" i="77" l="1"/>
  <c r="A1" i="77" l="1"/>
  <c r="C8" i="1" l="1"/>
  <c r="B2" i="1" l="1"/>
</calcChain>
</file>

<file path=xl/comments1.xml><?xml version="1.0" encoding="utf-8"?>
<comments xmlns="http://schemas.openxmlformats.org/spreadsheetml/2006/main">
  <authors>
    <author>Marco Mascherpa</author>
    <author>ronaldwong</author>
  </authors>
  <commentList>
    <comment ref="E9" authorId="0" shapeId="0">
      <text>
        <r>
          <rPr>
            <b/>
            <sz val="9"/>
            <color indexed="81"/>
            <rFont val="Tahoma"/>
            <family val="2"/>
          </rPr>
          <t>Marco Mascherpa:</t>
        </r>
        <r>
          <rPr>
            <sz val="9"/>
            <color indexed="81"/>
            <rFont val="Tahoma"/>
            <family val="2"/>
          </rPr>
          <t xml:space="preserve">
Identifier for the job, will show up in the messages</t>
        </r>
      </text>
    </comment>
    <comment ref="F9" authorId="0" shapeId="0">
      <text>
        <r>
          <rPr>
            <b/>
            <sz val="9"/>
            <color indexed="81"/>
            <rFont val="Tahoma"/>
            <family val="2"/>
          </rPr>
          <t>Marco Mascherpa:</t>
        </r>
        <r>
          <rPr>
            <sz val="9"/>
            <color indexed="81"/>
            <rFont val="Tahoma"/>
            <family val="2"/>
          </rPr>
          <t xml:space="preserve">
Source of data, possible values are:
- Name of a DB source (included in list above)
- Full path of csv or xls file (use [YYYY], [MM], [DD] to expand business date)
</t>
        </r>
      </text>
    </comment>
    <comment ref="G9" authorId="0" shapeId="0">
      <text>
        <r>
          <rPr>
            <b/>
            <sz val="9"/>
            <color indexed="81"/>
            <rFont val="Tahoma"/>
            <family val="2"/>
          </rPr>
          <t>Marco Mascherpa:</t>
        </r>
        <r>
          <rPr>
            <sz val="9"/>
            <color indexed="81"/>
            <rFont val="Tahoma"/>
            <family val="2"/>
          </rPr>
          <t xml:space="preserve">
Optional details of the data source, it can be
- SQL query (REQUIRED for DB, optional for CSV sources)
- Sheet name (for XLS sources) and range e.g. sheet1!A1
      - can use [END] to take the last row of accompanying column e.g. Sheet1B1:H[END], will take the last row of column H</t>
        </r>
      </text>
    </comment>
    <comment ref="H9" authorId="0" shapeId="0">
      <text>
        <r>
          <rPr>
            <b/>
            <sz val="9"/>
            <color indexed="81"/>
            <rFont val="Tahoma"/>
            <family val="2"/>
          </rPr>
          <t>Marco Mascherpa:</t>
        </r>
        <r>
          <rPr>
            <sz val="9"/>
            <color indexed="81"/>
            <rFont val="Tahoma"/>
            <family val="2"/>
          </rPr>
          <t xml:space="preserve">
Destination on the local workbook for the data sourced. It can be
- A range (for CSV, DB sources)
- A sheet (for all sources)
the destination area is CLEARED of all data beforehand
</t>
        </r>
      </text>
    </comment>
    <comment ref="I9" authorId="0" shapeId="0">
      <text>
        <r>
          <rPr>
            <b/>
            <sz val="9"/>
            <color indexed="81"/>
            <rFont val="Tahoma"/>
            <family val="2"/>
          </rPr>
          <t>Marco Mascherpa:</t>
        </r>
        <r>
          <rPr>
            <sz val="9"/>
            <color indexed="81"/>
            <rFont val="Tahoma"/>
            <family val="2"/>
          </rPr>
          <t xml:space="preserve">
Flag to include column headers in the dataset that is pulled. Defaults to Yes, set to "No" to disable
Applies to CSV and DB sources.
</t>
        </r>
      </text>
    </comment>
    <comment ref="J9" authorId="0" shapeId="0">
      <text>
        <r>
          <rPr>
            <b/>
            <sz val="9"/>
            <color indexed="81"/>
            <rFont val="Tahoma"/>
            <family val="2"/>
          </rPr>
          <t>Marco Mascherpa:</t>
        </r>
        <r>
          <rPr>
            <sz val="9"/>
            <color indexed="81"/>
            <rFont val="Tahoma"/>
            <family val="2"/>
          </rPr>
          <t xml:space="preserve">
Alternate date to use to expand detail and filenames, to be used as override for current business date</t>
        </r>
      </text>
    </comment>
    <comment ref="K9" authorId="0" shapeId="0">
      <text>
        <r>
          <rPr>
            <b/>
            <sz val="9"/>
            <color indexed="81"/>
            <rFont val="Tahoma"/>
            <family val="2"/>
          </rPr>
          <t>Marco Mascherpa:</t>
        </r>
        <r>
          <rPr>
            <sz val="9"/>
            <color indexed="81"/>
            <rFont val="Tahoma"/>
            <family val="2"/>
          </rPr>
          <t xml:space="preserve">
On/Off switch. Defaults to off unless "Yes" is specified</t>
        </r>
      </text>
    </comment>
    <comment ref="L9" authorId="1" shapeId="0">
      <text>
        <r>
          <rPr>
            <b/>
            <sz val="9"/>
            <color indexed="81"/>
            <rFont val="Tahoma"/>
            <family val="2"/>
          </rPr>
          <t>ronaldwong:</t>
        </r>
        <r>
          <rPr>
            <sz val="9"/>
            <color indexed="81"/>
            <rFont val="Tahoma"/>
            <family val="2"/>
          </rPr>
          <t xml:space="preserve">
Separate replacesment items with a tilda(~). Each replacement include 
1. text to search for, 
2. range of table to replace with, 
3. any text wrapping between each value of the text, 
4. seperator between values. Each item is seperated by a pipe (|)
e.g. [ID]|C1|'|,~[ID]|C12|'|,</t>
        </r>
      </text>
    </comment>
    <comment ref="C10" authorId="0" shapeId="0">
      <text>
        <r>
          <rPr>
            <b/>
            <sz val="10"/>
            <color indexed="81"/>
            <rFont val="Tahoma"/>
            <family val="2"/>
          </rPr>
          <t>Marco Mascherpa:</t>
        </r>
        <r>
          <rPr>
            <sz val="10"/>
            <color indexed="81"/>
            <rFont val="Tahoma"/>
            <family val="2"/>
          </rPr>
          <t xml:space="preserve">
Separate multiple recipients using commas
</t>
        </r>
      </text>
    </comment>
    <comment ref="J28" authorId="0" shapeId="0">
      <text>
        <r>
          <rPr>
            <b/>
            <sz val="9"/>
            <color indexed="81"/>
            <rFont val="Tahoma"/>
            <family val="2"/>
          </rPr>
          <t>Marco Mascherpa:</t>
        </r>
        <r>
          <rPr>
            <sz val="9"/>
            <color indexed="81"/>
            <rFont val="Tahoma"/>
            <family val="2"/>
          </rPr>
          <t xml:space="preserve">
On/Off switch. Defaults to off unless "Yes" is specified</t>
        </r>
      </text>
    </comment>
    <comment ref="I32" authorId="0" shapeId="0">
      <text>
        <r>
          <rPr>
            <b/>
            <sz val="9"/>
            <color indexed="81"/>
            <rFont val="Tahoma"/>
            <family val="2"/>
          </rPr>
          <t>Marco Mascherpa:</t>
        </r>
        <r>
          <rPr>
            <sz val="9"/>
            <color indexed="81"/>
            <rFont val="Tahoma"/>
            <family val="2"/>
          </rPr>
          <t xml:space="preserve">
On/Off switch. Defaults to off unless "Yes" is specified</t>
        </r>
      </text>
    </comment>
    <comment ref="J32" authorId="1" shapeId="0">
      <text>
        <r>
          <rPr>
            <b/>
            <sz val="9"/>
            <color indexed="81"/>
            <rFont val="Tahoma"/>
            <family val="2"/>
          </rPr>
          <t>ronaldwong:</t>
        </r>
        <r>
          <rPr>
            <sz val="9"/>
            <color indexed="81"/>
            <rFont val="Tahoma"/>
            <family val="2"/>
          </rPr>
          <t xml:space="preserve">
Repeat row labels for pivot tables. Enter column name of the table you wish to fill.
To select multiple columns, separate column name by a comma ","</t>
        </r>
      </text>
    </comment>
    <comment ref="K32" authorId="1" shapeId="0">
      <text>
        <r>
          <rPr>
            <b/>
            <sz val="9"/>
            <color indexed="81"/>
            <rFont val="Tahoma"/>
            <family val="2"/>
          </rPr>
          <t>ronaldwong:</t>
        </r>
        <r>
          <rPr>
            <sz val="9"/>
            <color indexed="81"/>
            <rFont val="Tahoma"/>
            <family val="2"/>
          </rPr>
          <t xml:space="preserve">
Option to delete rows in the table where pivot table is output. If required, put "Yes"</t>
        </r>
      </text>
    </comment>
    <comment ref="I36" authorId="1" shapeId="0">
      <text>
        <r>
          <rPr>
            <b/>
            <sz val="9"/>
            <color indexed="81"/>
            <rFont val="Arial"/>
            <family val="2"/>
          </rPr>
          <t>ronaldwong:</t>
        </r>
        <r>
          <rPr>
            <sz val="9"/>
            <color indexed="81"/>
            <rFont val="Arial"/>
            <family val="2"/>
          </rPr>
          <t xml:space="preserve">
Wrap links in curly brackets ({{). Links take 2 fields, path of link and the text to be displayed seperated by a pipe (|). E.g. {{www.google.ca|click here}}
Any workbook ranges can be wrapped by square brackets ([[). Workbook sheet and range name are in Excel format. E.g. [[Report!B1:END]]. "END" would specifiy the last cell (most bottom right)
</t>
        </r>
      </text>
    </comment>
    <comment ref="K36" authorId="0" shapeId="0">
      <text>
        <r>
          <rPr>
            <b/>
            <sz val="9"/>
            <color indexed="81"/>
            <rFont val="Tahoma"/>
            <family val="2"/>
          </rPr>
          <t>Marco Mascherpa:</t>
        </r>
        <r>
          <rPr>
            <sz val="9"/>
            <color indexed="81"/>
            <rFont val="Tahoma"/>
            <family val="2"/>
          </rPr>
          <t xml:space="preserve">
On/Off switch. Defaults to off unless "Yes" is specified</t>
        </r>
      </text>
    </comment>
    <comment ref="H41" authorId="1" shapeId="0">
      <text>
        <r>
          <rPr>
            <b/>
            <sz val="9"/>
            <color indexed="81"/>
            <rFont val="Tahoma"/>
            <family val="2"/>
          </rPr>
          <t xml:space="preserve">ronaldwong
</t>
        </r>
        <r>
          <rPr>
            <sz val="9"/>
            <color indexed="81"/>
            <rFont val="Tahoma"/>
            <family val="2"/>
          </rPr>
          <t>Tab names to export (seperated by "," NO SPACES)
Note:
1. If blank, assume output whole workbook (except csv &amp; pdf)
2. If ouptut csv format, must only specify ONE tab only
3. For pdf, you MUIST specify the tab to output</t>
        </r>
      </text>
    </comment>
    <comment ref="J41" authorId="0" shapeId="0">
      <text>
        <r>
          <rPr>
            <b/>
            <sz val="9"/>
            <color indexed="81"/>
            <rFont val="Tahoma"/>
            <family val="2"/>
          </rPr>
          <t>Marco Mascherpa:</t>
        </r>
        <r>
          <rPr>
            <sz val="9"/>
            <color indexed="81"/>
            <rFont val="Tahoma"/>
            <family val="2"/>
          </rPr>
          <t xml:space="preserve">
On/Off switch. Defaults to off unless "Yes" is specified</t>
        </r>
      </text>
    </comment>
    <comment ref="K41" authorId="1" shapeId="0">
      <text>
        <r>
          <rPr>
            <b/>
            <sz val="9"/>
            <color indexed="81"/>
            <rFont val="Tahoma"/>
            <family val="2"/>
          </rPr>
          <t>ronaldwong:</t>
        </r>
        <r>
          <rPr>
            <sz val="9"/>
            <color indexed="81"/>
            <rFont val="Tahoma"/>
            <family val="2"/>
          </rPr>
          <t xml:space="preserve">
Specify range to print report out separated by a comma. 
To specify the spreadsheet to print the "last used range" replace the cell address with an "END" e.g. B1:END</t>
        </r>
      </text>
    </comment>
    <comment ref="L41" authorId="1" shapeId="0">
      <text>
        <r>
          <rPr>
            <b/>
            <sz val="9"/>
            <color indexed="81"/>
            <rFont val="Tahoma"/>
            <family val="2"/>
          </rPr>
          <t>ronaldwong:</t>
        </r>
        <r>
          <rPr>
            <sz val="9"/>
            <color indexed="81"/>
            <rFont val="Tahoma"/>
            <family val="2"/>
          </rPr>
          <t xml:space="preserve">
Specify the orientation of the printout. 2 options: Landscape or Portrait.
Different tabs are seperated by a comma</t>
        </r>
      </text>
    </comment>
    <comment ref="M41" authorId="1" shapeId="0">
      <text>
        <r>
          <rPr>
            <b/>
            <sz val="9"/>
            <color indexed="81"/>
            <rFont val="Tahoma"/>
            <family val="2"/>
          </rPr>
          <t>ronaldwong:</t>
        </r>
        <r>
          <rPr>
            <sz val="9"/>
            <color indexed="81"/>
            <rFont val="Tahoma"/>
            <family val="2"/>
          </rPr>
          <t xml:space="preserve">
Specify the page fit when printing out. Format is Horizontal|Vertical.
Different tabs are separated by a comma</t>
        </r>
      </text>
    </comment>
    <comment ref="H50" authorId="1" shapeId="0">
      <text>
        <r>
          <rPr>
            <b/>
            <sz val="9"/>
            <color indexed="81"/>
            <rFont val="Tahoma"/>
            <family val="2"/>
          </rPr>
          <t>ronaldwong:</t>
        </r>
        <r>
          <rPr>
            <sz val="9"/>
            <color indexed="81"/>
            <rFont val="Tahoma"/>
            <family val="2"/>
          </rPr>
          <t xml:space="preserve">
Enter header name: will prepend "Custom-" tag to identify a custom formula.
If you do not wish to add a header, just simply leave it blank.
NOTE: If you do not put a header name, the macro will not know to delete formula columns</t>
        </r>
      </text>
    </comment>
    <comment ref="K50" authorId="1" shapeId="0">
      <text>
        <r>
          <rPr>
            <b/>
            <sz val="9"/>
            <color indexed="81"/>
            <rFont val="Tahoma"/>
            <family val="2"/>
          </rPr>
          <t>ronaldwong:</t>
        </r>
        <r>
          <rPr>
            <sz val="9"/>
            <color indexed="81"/>
            <rFont val="Tahoma"/>
            <family val="2"/>
          </rPr>
          <t xml:space="preserve">
The table header name where you want to insert your formula on.
If empty, the formula will  be inserted to the right of the table with a "Custom-" prefix
</t>
        </r>
      </text>
    </comment>
  </commentList>
</comments>
</file>

<file path=xl/sharedStrings.xml><?xml version="1.0" encoding="utf-8"?>
<sst xmlns="http://schemas.openxmlformats.org/spreadsheetml/2006/main" count="398" uniqueCount="317">
  <si>
    <t>Business Date</t>
  </si>
  <si>
    <t>Yes</t>
  </si>
  <si>
    <t>Source</t>
  </si>
  <si>
    <t>Setting</t>
  </si>
  <si>
    <t>Value</t>
  </si>
  <si>
    <t>LogFile Path</t>
  </si>
  <si>
    <t>LogFile Email Recipients</t>
  </si>
  <si>
    <t>DB Sources</t>
  </si>
  <si>
    <t>Name</t>
  </si>
  <si>
    <t>Hostname</t>
  </si>
  <si>
    <t>Servicename</t>
  </si>
  <si>
    <t>Username</t>
  </si>
  <si>
    <t>Password</t>
  </si>
  <si>
    <t>Settings</t>
  </si>
  <si>
    <t>Trending</t>
  </si>
  <si>
    <t>Trend Name</t>
  </si>
  <si>
    <t>Current Values Range</t>
  </si>
  <si>
    <t>Historical Range</t>
  </si>
  <si>
    <t>Enabled</t>
  </si>
  <si>
    <t>Headers</t>
  </si>
  <si>
    <t>Messages</t>
  </si>
  <si>
    <t>Alt Date</t>
  </si>
  <si>
    <t>Destination</t>
  </si>
  <si>
    <t>Data Sources</t>
  </si>
  <si>
    <t>Source Detail</t>
  </si>
  <si>
    <t>Formulas</t>
  </si>
  <si>
    <t>Formula</t>
  </si>
  <si>
    <t>Sheetname</t>
  </si>
  <si>
    <t xml:space="preserve"> </t>
  </si>
  <si>
    <t>trendtable</t>
  </si>
  <si>
    <t>trend</t>
  </si>
  <si>
    <t>Fiscal Year</t>
  </si>
  <si>
    <t>Report Sheetname</t>
  </si>
  <si>
    <t>Report Range</t>
  </si>
  <si>
    <t>Type</t>
  </si>
  <si>
    <t>Cell Linkage</t>
  </si>
  <si>
    <t>Target Sheetname</t>
  </si>
  <si>
    <t>Target Table/Range Name</t>
  </si>
  <si>
    <t>DVA Filepath</t>
  </si>
  <si>
    <t>Replacement</t>
  </si>
  <si>
    <t>Header Name</t>
  </si>
  <si>
    <t>Table Name</t>
  </si>
  <si>
    <t>Filepath</t>
  </si>
  <si>
    <t>Output Name</t>
  </si>
  <si>
    <t>Settings to output (for Python Script)</t>
  </si>
  <si>
    <t>Output Path</t>
  </si>
  <si>
    <t>Tab name</t>
  </si>
  <si>
    <t>Create Folder?</t>
  </si>
  <si>
    <t>Filename</t>
  </si>
  <si>
    <t>Export Files</t>
  </si>
  <si>
    <t>PDF Print Area</t>
  </si>
  <si>
    <t>PDF Orientation</t>
  </si>
  <si>
    <t>PDF Fit (Horizontal|Vertical)</t>
  </si>
  <si>
    <t>Prev Date</t>
  </si>
  <si>
    <t>N/A</t>
  </si>
  <si>
    <t>Email Report Settings</t>
  </si>
  <si>
    <t>To</t>
  </si>
  <si>
    <t>Cc</t>
  </si>
  <si>
    <t>Subject</t>
  </si>
  <si>
    <t>Body</t>
  </si>
  <si>
    <t>Attachment Path</t>
  </si>
  <si>
    <t>Main Report</t>
  </si>
  <si>
    <t>Pivot Table Settings</t>
  </si>
  <si>
    <t>Pivot Table Name</t>
  </si>
  <si>
    <t>Sheet</t>
  </si>
  <si>
    <t>Field Name</t>
  </si>
  <si>
    <t>Filter Criteria</t>
  </si>
  <si>
    <t>Filter In/Out</t>
  </si>
  <si>
    <t>Reset Pivot Filters</t>
  </si>
  <si>
    <t>Save Workbook Copy</t>
  </si>
  <si>
    <t>Export pdf</t>
  </si>
  <si>
    <t>Pivot Table to Report</t>
  </si>
  <si>
    <t>Report Table Name</t>
  </si>
  <si>
    <t>Pivot Sheet</t>
  </si>
  <si>
    <t>Null Message</t>
  </si>
  <si>
    <t>Fill Empty Row Labels</t>
  </si>
  <si>
    <t>PivotCalcs</t>
  </si>
  <si>
    <t>Nothing to Report</t>
  </si>
  <si>
    <t>Data or Report</t>
  </si>
  <si>
    <t>Formula On (Header)</t>
  </si>
  <si>
    <t>Data</t>
  </si>
  <si>
    <t>Delete Columns</t>
  </si>
  <si>
    <t>=""</t>
  </si>
  <si>
    <t>Report</t>
  </si>
  <si>
    <t>S:\IR-Eng\PROD\dataex\output\[YYYY]\[MM]\[DD]\[YYYY][MM][DD]-Abacus-positions.csv</t>
  </si>
  <si>
    <t>Column1</t>
  </si>
  <si>
    <t>LongTop5Pivot</t>
  </si>
  <si>
    <t>In</t>
  </si>
  <si>
    <t>Delete Rows</t>
  </si>
  <si>
    <t>LongTable</t>
  </si>
  <si>
    <t>Report 1</t>
  </si>
  <si>
    <t>Date</t>
  </si>
  <si>
    <t>Comments</t>
  </si>
  <si>
    <t>Report 1,Report 2</t>
  </si>
  <si>
    <t>A1:END,A1:END</t>
  </si>
  <si>
    <t>Landscape,Landscape</t>
  </si>
  <si>
    <t>1|1,1|1</t>
  </si>
  <si>
    <t>Gu, Julian; Choi, David</t>
  </si>
  <si>
    <t>Wong, Ronald; Mascherpa, Marco; Lai, Kelvin</t>
  </si>
  <si>
    <t>ActiveRisk10Y_GCSF</t>
  </si>
  <si>
    <t>RM_Beta_GCSF</t>
  </si>
  <si>
    <t>RM_ActiveRisk_3Y_GCSF</t>
  </si>
  <si>
    <t>Longs_GCSF</t>
  </si>
  <si>
    <t>Shorts_GCSF</t>
  </si>
  <si>
    <t>RC 10Y F</t>
  </si>
  <si>
    <t>SD Param 3Y1D1D 1Y HL GCSF</t>
  </si>
  <si>
    <t>SD RORO Daily High GCSF</t>
  </si>
  <si>
    <t>SD RORO Daily Low GCSF</t>
  </si>
  <si>
    <t>SD RORO Daily Base GCSF</t>
  </si>
  <si>
    <t>SD RORO Weekly High GCSF</t>
  </si>
  <si>
    <t>SD RORO Weekly Low GCSF</t>
  </si>
  <si>
    <t>SD RORO Weekly Base GCSF</t>
  </si>
  <si>
    <t># Longs GCSF</t>
  </si>
  <si>
    <t># Shorts GCSF</t>
  </si>
  <si>
    <t>Var90 GCSF</t>
  </si>
  <si>
    <t>Net F</t>
  </si>
  <si>
    <t>GCS-Fundamental - [YYYY][MM][DD]</t>
  </si>
  <si>
    <t>Please see below for today's GCS-F Report:&lt;br&gt;
&lt;br&gt;
Please click {{S:\IR-Eng-Pub\GCSF\output\[YYYY]\[MM]\[DD]\GCS Fundamental Report [YYYY][MM][DD].pdf|here}} to view today's report
[[Checks E-mail!A1:END]]</t>
  </si>
  <si>
    <t>S:\IR-Eng-Pub\GCSF\output\[YYYY]\[MM]\[DD]\</t>
  </si>
  <si>
    <t>GCS Fundamental Report [YYYY][MM][DD].xlsm</t>
  </si>
  <si>
    <t>GCS Fundamental Report [YYYY][MM][DD].pdf</t>
  </si>
  <si>
    <t>Modules to Import</t>
  </si>
  <si>
    <t>Modules to Export</t>
  </si>
  <si>
    <t>InOut</t>
  </si>
  <si>
    <t>Main</t>
  </si>
  <si>
    <t>UILib</t>
  </si>
  <si>
    <t>Utils</t>
  </si>
  <si>
    <t>Import/Export Log</t>
  </si>
  <si>
    <t>Export to filepath</t>
  </si>
  <si>
    <t>Import from filepath</t>
  </si>
  <si>
    <t>Control Sheet Table Sync</t>
  </si>
  <si>
    <t>Source Sheet Path &amp; Name</t>
  </si>
  <si>
    <t>Source Sheetname</t>
  </si>
  <si>
    <t>Destination Sheetname</t>
  </si>
  <si>
    <t>S:\IR-Eng\PROD\reportingTemplate\Generic Reporting Template V1.xlsm</t>
  </si>
  <si>
    <t>Control</t>
  </si>
  <si>
    <t>Position Description</t>
  </si>
  <si>
    <t>Append</t>
  </si>
  <si>
    <t>No</t>
  </si>
  <si>
    <t>Holidays</t>
  </si>
  <si>
    <t>S:\IR-Eng\ref\cppibholidays.csv</t>
  </si>
  <si>
    <t>SELECT * FROM ?</t>
  </si>
  <si>
    <t>HolidaySettings</t>
  </si>
  <si>
    <t>15/02/2016</t>
  </si>
  <si>
    <t>25/03/2016</t>
  </si>
  <si>
    <t>23/05/2016</t>
  </si>
  <si>
    <t>26/12/2016</t>
  </si>
  <si>
    <t>27/12/2016</t>
  </si>
  <si>
    <t>20/02/2017</t>
  </si>
  <si>
    <t>14/04/2017</t>
  </si>
  <si>
    <t>22/05/2017</t>
  </si>
  <si>
    <t>30/06/2017</t>
  </si>
  <si>
    <t>25/12/2017</t>
  </si>
  <si>
    <t>26/12/2017</t>
  </si>
  <si>
    <t>19/02/2018</t>
  </si>
  <si>
    <t>30/03/2018</t>
  </si>
  <si>
    <t>21/05/2018</t>
  </si>
  <si>
    <t>25/12/2018</t>
  </si>
  <si>
    <t>26/12/2018</t>
  </si>
  <si>
    <t>18/02/2019</t>
  </si>
  <si>
    <t>19/04/2019</t>
  </si>
  <si>
    <t>20/05/2019</t>
  </si>
  <si>
    <t>14/10/2019</t>
  </si>
  <si>
    <t>25/12/2019</t>
  </si>
  <si>
    <t>26/12/2019</t>
  </si>
  <si>
    <t>17/02/2020</t>
  </si>
  <si>
    <t>18/05/2020</t>
  </si>
  <si>
    <t>25/12/2020</t>
  </si>
  <si>
    <t>28/12/2020</t>
  </si>
  <si>
    <t>15/02/2021</t>
  </si>
  <si>
    <t>24/05/2021</t>
  </si>
  <si>
    <t>24/12/2021</t>
  </si>
  <si>
    <t>28/12/2021</t>
  </si>
  <si>
    <t>31/12/2021</t>
  </si>
  <si>
    <t>21/02/2022</t>
  </si>
  <si>
    <t>15/04/2022</t>
  </si>
  <si>
    <t>23/05/2022</t>
  </si>
  <si>
    <t>26/12/2022</t>
  </si>
  <si>
    <t>27/12/2022</t>
  </si>
  <si>
    <t>20/02/2023</t>
  </si>
  <si>
    <t>22/05/2023</t>
  </si>
  <si>
    <t>30/06/2023</t>
  </si>
  <si>
    <t>25/12/2023</t>
  </si>
  <si>
    <t>26/12/2023</t>
  </si>
  <si>
    <t>19/02/2024</t>
  </si>
  <si>
    <t>29/03/2024</t>
  </si>
  <si>
    <t>20/05/2024</t>
  </si>
  <si>
    <t>14/10/2024</t>
  </si>
  <si>
    <t>25/12/2024</t>
  </si>
  <si>
    <t>26/12/2024</t>
  </si>
  <si>
    <t>17/02/2025</t>
  </si>
  <si>
    <t>18/04/2025</t>
  </si>
  <si>
    <t>19/05/2025</t>
  </si>
  <si>
    <t>13/10/2025</t>
  </si>
  <si>
    <t>25/12/2025</t>
  </si>
  <si>
    <t>26/12/2025</t>
  </si>
  <si>
    <t>16/02/2026</t>
  </si>
  <si>
    <t>18/05/2026</t>
  </si>
  <si>
    <t>25/12/2026</t>
  </si>
  <si>
    <t>28/12/2026</t>
  </si>
  <si>
    <t>15/02/2027</t>
  </si>
  <si>
    <t>26/03/2027</t>
  </si>
  <si>
    <t>24/05/2027</t>
  </si>
  <si>
    <t>24/12/2027</t>
  </si>
  <si>
    <t>28/12/2027</t>
  </si>
  <si>
    <t>31/12/2027</t>
  </si>
  <si>
    <t>21/02/2028</t>
  </si>
  <si>
    <t>14/04/2028</t>
  </si>
  <si>
    <t>22/05/2028</t>
  </si>
  <si>
    <t>30/06/2028</t>
  </si>
  <si>
    <t>25/12/2028</t>
  </si>
  <si>
    <t>26/12/2028</t>
  </si>
  <si>
    <t>19/02/2029</t>
  </si>
  <si>
    <t>30/03/2029</t>
  </si>
  <si>
    <t>21/05/2029</t>
  </si>
  <si>
    <t>25/12/2029</t>
  </si>
  <si>
    <t>26/12/2029</t>
  </si>
  <si>
    <t>18/02/2030</t>
  </si>
  <si>
    <t>19/04/2030</t>
  </si>
  <si>
    <t>20/05/2030</t>
  </si>
  <si>
    <t>14/10/2030</t>
  </si>
  <si>
    <t>25/12/2030</t>
  </si>
  <si>
    <t>26/12/2030</t>
  </si>
  <si>
    <t>S:\IR-Eng\PROD\reportingTemplate\Modules\</t>
  </si>
  <si>
    <t>Tracking</t>
  </si>
  <si>
    <t>Send/Display</t>
  </si>
  <si>
    <t>27 Nov 09:59:08 0.00 Module InOut' found_x000D_
27 Nov 09:59:08 0.22 Module InOut' exported successfully_x000D_
27 Nov 09:59:08 0.23 Module Main' found_x000D_
27 Nov 09:59:08 0.50 Module Main' exported successfully_x000D_
27 Nov 09:59:08 0.50 Module UILib' found_x000D_
27 Nov 09:59:09 0.70 Module UILib' exported successfully_x000D_
27 Nov 09:59:09 0.70 Module Utils' found_x000D_
27 Nov 09:59:09 0.90 Module Utils' exported successfully</t>
  </si>
  <si>
    <t>PV</t>
  </si>
  <si>
    <t>PV - custom fields</t>
  </si>
  <si>
    <t>PV - custom SQL</t>
  </si>
  <si>
    <t>BLTN 0 07/01/21</t>
  </si>
  <si>
    <t>FXNDF_USD/BRL</t>
  </si>
  <si>
    <t>BNTNF 10 01/01/27</t>
  </si>
  <si>
    <t>FIXEMBOND USD</t>
  </si>
  <si>
    <t>BNTNF 10 01/01/23</t>
  </si>
  <si>
    <t>BNTNF 10 01/01/25</t>
  </si>
  <si>
    <t>COLTES 7 06/30/32</t>
  </si>
  <si>
    <t>COLTES 7 1/2 08/26/26</t>
  </si>
  <si>
    <t>COLTES 7 05/04/22</t>
  </si>
  <si>
    <t>IGB 8.2 02/15/22</t>
  </si>
  <si>
    <t>IGB 7.73 12/19/34</t>
  </si>
  <si>
    <t>IGB 8.83 12/12/41</t>
  </si>
  <si>
    <t>IGB 8.79 11/08/21</t>
  </si>
  <si>
    <t>IGB 6.79 05/15/27</t>
  </si>
  <si>
    <t>IGB 8.15 11/24/26</t>
  </si>
  <si>
    <t>MBONO 6 1/2 06/10/21</t>
  </si>
  <si>
    <t>MBONO 7 3/4 11/23/34</t>
  </si>
  <si>
    <t>MBONO 8 12/07/23</t>
  </si>
  <si>
    <t>FXFWD_USD/TRY</t>
  </si>
  <si>
    <t>MGS 4.232 06/30/31</t>
  </si>
  <si>
    <t>MGS 3.58 09/28/18</t>
  </si>
  <si>
    <t>MGS 4.181 07/15/24</t>
  </si>
  <si>
    <t>MGS 3.492 03/31/20</t>
  </si>
  <si>
    <t>MGS 5.734 07/30/19</t>
  </si>
  <si>
    <t>POLGB 0 04/25/19</t>
  </si>
  <si>
    <t>POLGB 2 1/2 07/25/27</t>
  </si>
  <si>
    <t>POLGB 2 1/4 04/25/22</t>
  </si>
  <si>
    <t>THAIGB 1 7/8 06/17/22</t>
  </si>
  <si>
    <t>THAIGB 2.55 06/26/20</t>
  </si>
  <si>
    <t>THAIGB 3.65 06/20/31</t>
  </si>
  <si>
    <t>THAIGB 3.85 12/12/25</t>
  </si>
  <si>
    <t>TURKGB 8 03/12/25</t>
  </si>
  <si>
    <t>TURKGB 11 03/02/22</t>
  </si>
  <si>
    <t>TURKGB 10.7 08/17/22</t>
  </si>
  <si>
    <t>TURKGB 11.1 05/15/19</t>
  </si>
  <si>
    <t>SAGB 8 3/4 01/31/44 #2044</t>
  </si>
  <si>
    <t>SAGB 8 1/2 01/31/37 #2037</t>
  </si>
  <si>
    <t>SAGB 8 1/4 03/31/32 #2032</t>
  </si>
  <si>
    <t>SAGB 6 3/4 03/31/21 #R208</t>
  </si>
  <si>
    <t>SAGB 10 1/2 12/21/26 #R186</t>
  </si>
  <si>
    <t>CGB 3.59 08/03/27</t>
  </si>
  <si>
    <t>CGB 2.7 11/03/26</t>
  </si>
  <si>
    <t>CGB 2.74 08/04/26</t>
  </si>
  <si>
    <t>CGB 3.77 03/08/25</t>
  </si>
  <si>
    <t>CGB 3.2 03/16/24</t>
  </si>
  <si>
    <t>FXSPT_USD/CNH</t>
  </si>
  <si>
    <t>CGB 3.46 07/27/20</t>
  </si>
  <si>
    <t>CGB 3.47 07/13/22</t>
  </si>
  <si>
    <t>CGB 3.17 04/19/23</t>
  </si>
  <si>
    <t>FXNDF_USD/IDR</t>
  </si>
  <si>
    <t>INDOGB 8 3/8 09/15/26</t>
  </si>
  <si>
    <t>INDOGB 9 03/15/29</t>
  </si>
  <si>
    <t>INDOGB 7 05/15/22</t>
  </si>
  <si>
    <t>INDOGB 8 3/8 03/15/34</t>
  </si>
  <si>
    <t>INDOGB 7 1/2 08/15/32</t>
  </si>
  <si>
    <t>Investment Strategy</t>
  </si>
  <si>
    <t>EM Bond Portfolio</t>
  </si>
  <si>
    <t>SELECT [custom] FROM ? WHERE [Investment Strategy]='EM Bond Portfolio'</t>
  </si>
  <si>
    <t>Custom Fields</t>
  </si>
  <si>
    <t>Field Names</t>
  </si>
  <si>
    <t>[custom]|customField[Field Names]||,</t>
  </si>
  <si>
    <t>[Business Date]</t>
  </si>
  <si>
    <t>[Investment Strategy]</t>
  </si>
  <si>
    <t>[Present Value Base Cur]</t>
  </si>
  <si>
    <t>Custom Strategies</t>
  </si>
  <si>
    <t>[custom]|customStrategy[Field Names]|'|,</t>
  </si>
  <si>
    <t>SELECT [Business Date], [Investment Strategy], [Position Description], [Notional Value Base Cur] FROM ? WHERE [Investment Strategy] IN ([custom])</t>
  </si>
  <si>
    <t>CLG</t>
  </si>
  <si>
    <t>PV Append</t>
  </si>
  <si>
    <t>Row Labels</t>
  </si>
  <si>
    <t>Grand Total</t>
  </si>
  <si>
    <t>displaypivot</t>
  </si>
  <si>
    <t>(All)</t>
  </si>
  <si>
    <t>PnL</t>
  </si>
  <si>
    <t>S:\IR-Eng\PROD\dataex\output\[YYYY]\[MM]\[DD]\[YYYY][MM][DD]-Abacus-PNL.csv</t>
  </si>
  <si>
    <t>TRANSFORM MAX(analytic_value) SELECT dim_date FROM ? WHERE ([node_name] IN ([ID]) AND [PORTFOLIO_TYPE] = 'IP') GROUP BY dim_date PIVOT node_name</t>
  </si>
  <si>
    <t>[ID]|customStrategy[Field Names]|'|,</t>
  </si>
  <si>
    <t>dim_date</t>
  </si>
  <si>
    <t>Our Report</t>
  </si>
  <si>
    <t>DiffNotional</t>
  </si>
  <si>
    <t>Custom-DiffNotional</t>
  </si>
  <si>
    <t>Sum of Custom-DiffNotional</t>
  </si>
  <si>
    <t>SELECT [Business Date], [Investment Strategy], [Position Description], [Notional Value Local Cur], [Product Type] FROM ? WHERE [Investment Strategy]='EM Bond Portfolio'</t>
  </si>
  <si>
    <t>=IF([@[Business Date]]=Control!$C$6, [@[Notional Value Local Cur]], -[@[Notional Value Local Cur]])</t>
  </si>
  <si>
    <t>Notional Value Local Cur</t>
  </si>
  <si>
    <t>12 Jun 13:30:50 0.00 Processing query 'PV - custom SQL'.._x000D_
12 Jun 13:30:51 1.01 Data 'PV - custom SQL' successfully imported_x000D_
12 Jun 13:30:51 1.01 Processing query 'PV Append'.._x000D_
12 Jun 13:30:52 2.18 Data 'PV Append' successfully imported_x000D_
12 Jun 13:30:52 2.33 Formulas Populated for 'PV-DiffNotional'</t>
  </si>
  <si>
    <t>SELECT [Business Date], [Investment Strategy], [Position Description], [Notional Value Local Cur], [Product Type] FROM ? WHERE [Investment Strategy] IN ([custom])</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</si>
</sst>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0.00_);_(* \(#,##0.00\);_(* &quot;-&quot;??_);_(@_)"/>
    <numFmt numFmtId="165" formatCode="dd\ mmmm\ yyyy"/>
    <numFmt numFmtId="166" formatCode="_(* #,##0_);_(* \(#,##0\);_(* &quot;-&quot;??_);_(@_)"/>
    <numFmt numFmtId="167" formatCode="_(&quot;$&quot;* #,##0_);_(&quot;$&quot;* \(#,##0\);_(&quot;$&quot;* &quot;-&quot;??_);_(@_)"/>
    <numFmt numFmtId="168" formatCode="m/d/yyyy"/>
    <numFmt numFmtId="169" formatCode="0.0%"/>
    <numFmt numFmtId="170" formatCode="_-* #,##0_-;\-* #,##0_-;_-* &quot;-&quot;??_-;_-@_-"/>
    <numFmt numFmtId="171" formatCode="#,,&quot;M&quot;"/>
    <numFmt numFmtId="172" formatCode="#,###,,&quot;M&quot;;\-#,###,,&quot;M&quot;;0&quot;M&quot;"/>
    <numFmt numFmtId="173" formatCode="#,##0.00_ ;\-#,##0.00\ "/>
  </numFmts>
  <fonts count="19" x14ac:knownFonts="1">
    <font>
      <sz val="11"/>
      <color theme="1"/>
      <name val="Calibri"/>
      <family val="2"/>
      <scheme val="minor"/>
    </font>
    <font>
      <b/>
      <sz val="15"/>
      <color theme="3"/>
      <name val="Calibri"/>
      <family val="2"/>
      <scheme val="minor"/>
    </font>
    <font>
      <sz val="9"/>
      <color theme="1"/>
      <name val="Calibri"/>
      <family val="2"/>
      <scheme val="minor"/>
    </font>
    <font>
      <b/>
      <sz val="10"/>
      <color indexed="81"/>
      <name val="Tahoma"/>
      <family val="2"/>
    </font>
    <font>
      <sz val="10"/>
      <color indexed="81"/>
      <name val="Tahoma"/>
      <family val="2"/>
    </font>
    <font>
      <b/>
      <sz val="14"/>
      <color theme="4"/>
      <name val="Calibri"/>
      <family val="2"/>
      <scheme val="minor"/>
    </font>
    <font>
      <sz val="9"/>
      <color indexed="81"/>
      <name val="Tahoma"/>
      <family val="2"/>
    </font>
    <font>
      <b/>
      <sz val="9"/>
      <color indexed="81"/>
      <name val="Tahoma"/>
      <family val="2"/>
    </font>
    <font>
      <b/>
      <sz val="11"/>
      <color theme="0"/>
      <name val="Calibri"/>
      <family val="2"/>
      <scheme val="minor"/>
    </font>
    <font>
      <b/>
      <sz val="11"/>
      <color theme="1"/>
      <name val="Calibri"/>
      <family val="2"/>
      <scheme val="minor"/>
    </font>
    <font>
      <sz val="11"/>
      <name val="Calibri"/>
      <family val="2"/>
      <scheme val="minor"/>
    </font>
    <font>
      <b/>
      <sz val="9"/>
      <color indexed="81"/>
      <name val="Arial"/>
      <family val="2"/>
    </font>
    <font>
      <sz val="9"/>
      <color indexed="81"/>
      <name val="Arial"/>
      <family val="2"/>
    </font>
    <font>
      <sz val="11"/>
      <color theme="1"/>
      <name val="Calibri"/>
      <family val="2"/>
      <scheme val="minor"/>
    </font>
    <font>
      <sz val="11"/>
      <color theme="0"/>
      <name val="Calibri"/>
      <family val="2"/>
      <scheme val="minor"/>
    </font>
    <font>
      <sz val="10"/>
      <color rgb="FF000000"/>
      <name val="Arial"/>
      <family val="2"/>
    </font>
    <font>
      <b/>
      <sz val="14"/>
      <color theme="3" tint="-0.249977111117893"/>
      <name val="Calibri"/>
      <family val="2"/>
      <scheme val="minor"/>
    </font>
    <font>
      <sz val="11"/>
      <color rgb="FF000000"/>
      <name val="Calibri"/>
      <family val="2"/>
    </font>
    <font>
      <sz val="8"/>
      <color rgb="FF000000"/>
      <name val="Tahoma"/>
      <family val="2"/>
    </font>
  </fonts>
  <fills count="5">
    <fill>
      <patternFill patternType="none"/>
    </fill>
    <fill>
      <patternFill patternType="gray125"/>
    </fill>
    <fill>
      <patternFill patternType="darkGray">
        <fgColor theme="4"/>
      </patternFill>
    </fill>
    <fill>
      <patternFill patternType="solid">
        <fgColor theme="4"/>
        <bgColor theme="4"/>
      </patternFill>
    </fill>
    <fill>
      <patternFill patternType="solid">
        <fgColor rgb="FFB3A369"/>
        <bgColor indexed="64"/>
      </patternFill>
    </fill>
  </fills>
  <borders count="10">
    <border>
      <left/>
      <right/>
      <top/>
      <bottom/>
      <diagonal/>
    </border>
    <border>
      <left/>
      <right/>
      <top/>
      <bottom style="thick">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medium">
        <color theme="4"/>
      </left>
      <right style="medium">
        <color theme="4"/>
      </right>
      <top style="medium">
        <color theme="4"/>
      </top>
      <bottom style="medium">
        <color theme="4"/>
      </bottom>
      <diagonal/>
    </border>
    <border>
      <left/>
      <right/>
      <top style="thin">
        <color theme="4"/>
      </top>
      <bottom/>
      <diagonal/>
    </border>
  </borders>
  <cellStyleXfs count="4">
    <xf numFmtId="0" fontId="0" fillId="0" borderId="0"/>
    <xf numFmtId="164" fontId="13" fillId="0" borderId="0" applyFont="0" applyFill="0" applyBorder="0" applyAlignment="0" applyProtection="0"/>
    <xf numFmtId="0" fontId="1" fillId="0" borderId="1" applyNumberFormat="0" applyFill="0" applyAlignment="0" applyProtection="0"/>
    <xf numFmtId="164" fontId="13" fillId="0" borderId="0" applyFont="0" applyFill="0" applyBorder="0" applyAlignment="0" applyProtection="0"/>
  </cellStyleXfs>
  <cellXfs count="72">
    <xf numFmtId="0" fontId="0" fillId="0" borderId="0" xfId="0"/>
    <xf numFmtId="0" fontId="1" fillId="0" borderId="1" xfId="0" applyFont="1" applyBorder="1"/>
    <xf numFmtId="14" fontId="0" fillId="0" borderId="0" xfId="0" applyNumberFormat="1" applyAlignment="1">
      <alignment horizontal="right"/>
    </xf>
    <xf numFmtId="0" fontId="0" fillId="0" borderId="0" xfId="0" applyBorder="1"/>
    <xf numFmtId="0" fontId="0" fillId="0" borderId="0" xfId="0" applyBorder="1" applyAlignment="1">
      <alignment wrapText="1"/>
    </xf>
    <xf numFmtId="165" fontId="0" fillId="0" borderId="0" xfId="0" applyNumberFormat="1" applyAlignment="1">
      <alignment horizontal="right"/>
    </xf>
    <xf numFmtId="0" fontId="0" fillId="2" borderId="0" xfId="0" applyFill="1"/>
    <xf numFmtId="165" fontId="5" fillId="0" borderId="8" xfId="0" applyNumberFormat="1" applyFont="1" applyBorder="1" applyAlignment="1">
      <alignment horizontal="center" vertical="center"/>
    </xf>
    <xf numFmtId="0" fontId="0" fillId="0" borderId="0" xfId="0" applyAlignment="1">
      <alignment horizontal="left"/>
    </xf>
    <xf numFmtId="0" fontId="0" fillId="0" borderId="0" xfId="0" quotePrefix="1" applyBorder="1"/>
    <xf numFmtId="0" fontId="10" fillId="0" borderId="0" xfId="0" applyFont="1"/>
    <xf numFmtId="0" fontId="10" fillId="0" borderId="0" xfId="0" applyFont="1" applyBorder="1"/>
    <xf numFmtId="14" fontId="0" fillId="0" borderId="0" xfId="0" applyNumberFormat="1" applyBorder="1" applyAlignment="1">
      <alignment horizontal="left"/>
    </xf>
    <xf numFmtId="0" fontId="0" fillId="0" borderId="9" xfId="0" applyFont="1" applyBorder="1"/>
    <xf numFmtId="0" fontId="0" fillId="0" borderId="9" xfId="0" applyBorder="1"/>
    <xf numFmtId="167" fontId="0" fillId="0" borderId="0" xfId="0" applyNumberFormat="1" applyFont="1"/>
    <xf numFmtId="0" fontId="0" fillId="0" borderId="0" xfId="0" applyAlignment="1">
      <alignment horizontal="right"/>
    </xf>
    <xf numFmtId="0" fontId="0" fillId="0" borderId="0" xfId="0" applyFont="1" applyBorder="1"/>
    <xf numFmtId="0" fontId="0" fillId="0" borderId="0" xfId="0" applyFill="1" applyBorder="1"/>
    <xf numFmtId="0" fontId="8" fillId="3" borderId="4" xfId="0" applyFont="1" applyFill="1" applyBorder="1"/>
    <xf numFmtId="14" fontId="0" fillId="0" borderId="0" xfId="0" applyNumberFormat="1"/>
    <xf numFmtId="0" fontId="8" fillId="3" borderId="0" xfId="0" applyFont="1" applyFill="1" applyBorder="1"/>
    <xf numFmtId="0" fontId="8" fillId="3" borderId="0" xfId="0" applyFont="1" applyFill="1"/>
    <xf numFmtId="165" fontId="0" fillId="0" borderId="9" xfId="0" applyNumberFormat="1" applyFont="1" applyBorder="1" applyAlignment="1">
      <alignment horizontal="left"/>
    </xf>
    <xf numFmtId="165" fontId="0" fillId="0" borderId="9" xfId="0" applyNumberFormat="1" applyBorder="1" applyAlignment="1">
      <alignment horizontal="left"/>
    </xf>
    <xf numFmtId="165" fontId="0" fillId="0" borderId="0" xfId="0" applyNumberFormat="1" applyFont="1" applyBorder="1" applyAlignment="1">
      <alignment horizontal="left"/>
    </xf>
    <xf numFmtId="165" fontId="0" fillId="0" borderId="0" xfId="0" applyNumberFormat="1" applyBorder="1" applyAlignment="1">
      <alignment horizontal="left"/>
    </xf>
    <xf numFmtId="165" fontId="0" fillId="0" borderId="0" xfId="0" applyNumberFormat="1" applyFill="1" applyBorder="1" applyAlignment="1">
      <alignment horizontal="left" wrapText="1"/>
    </xf>
    <xf numFmtId="0" fontId="8" fillId="3" borderId="9" xfId="0" applyFont="1" applyFill="1" applyBorder="1"/>
    <xf numFmtId="0" fontId="0" fillId="0" borderId="0" xfId="0" applyFont="1" applyFill="1" applyBorder="1"/>
    <xf numFmtId="0" fontId="0" fillId="0" borderId="0" xfId="0" applyBorder="1" applyAlignment="1"/>
    <xf numFmtId="165" fontId="0" fillId="0" borderId="9" xfId="0" applyNumberFormat="1" applyFill="1" applyBorder="1" applyAlignment="1">
      <alignment horizontal="left"/>
    </xf>
    <xf numFmtId="165" fontId="0" fillId="0" borderId="9" xfId="0" applyNumberFormat="1" applyFill="1" applyBorder="1" applyAlignment="1">
      <alignment horizontal="left" wrapText="1"/>
    </xf>
    <xf numFmtId="166" fontId="0" fillId="0" borderId="0" xfId="0" applyNumberFormat="1" applyFont="1"/>
    <xf numFmtId="0" fontId="0" fillId="0" borderId="9" xfId="0" applyFill="1" applyBorder="1" applyAlignment="1">
      <alignment wrapText="1"/>
    </xf>
    <xf numFmtId="168" fontId="0" fillId="0" borderId="9" xfId="0" applyNumberFormat="1" applyFont="1" applyBorder="1"/>
    <xf numFmtId="0" fontId="0" fillId="0" borderId="0" xfId="0"/>
    <xf numFmtId="166" fontId="0" fillId="0" borderId="0" xfId="0" applyNumberFormat="1"/>
    <xf numFmtId="170" fontId="0" fillId="0" borderId="0" xfId="0" applyNumberFormat="1" applyFont="1"/>
    <xf numFmtId="0" fontId="0" fillId="0" borderId="2" xfId="0" applyBorder="1"/>
    <xf numFmtId="0" fontId="0" fillId="0" borderId="0" xfId="0" applyFill="1" applyBorder="1" applyAlignment="1">
      <alignment wrapText="1"/>
    </xf>
    <xf numFmtId="169" fontId="0" fillId="0" borderId="0" xfId="0" applyNumberFormat="1" applyFont="1" applyAlignment="1">
      <alignment horizontal="center"/>
    </xf>
    <xf numFmtId="0" fontId="0" fillId="0" borderId="9" xfId="0" applyNumberFormat="1" applyBorder="1"/>
    <xf numFmtId="171" fontId="0" fillId="0" borderId="0" xfId="0" applyNumberFormat="1" applyFont="1" applyAlignment="1">
      <alignment horizontal="center"/>
    </xf>
    <xf numFmtId="172" fontId="0" fillId="0" borderId="0" xfId="0" applyNumberFormat="1" applyAlignment="1">
      <alignment horizontal="center"/>
    </xf>
    <xf numFmtId="164" fontId="14" fillId="0" borderId="0" xfId="0" applyNumberFormat="1" applyFont="1" applyAlignment="1">
      <alignment horizontal="center" vertical="center"/>
    </xf>
    <xf numFmtId="173" fontId="0" fillId="0" borderId="0" xfId="0" applyNumberFormat="1" applyFont="1" applyAlignment="1">
      <alignment horizontal="center"/>
    </xf>
    <xf numFmtId="164" fontId="0" fillId="0" borderId="0" xfId="0" applyNumberFormat="1" applyFont="1"/>
    <xf numFmtId="0" fontId="0" fillId="0" borderId="9" xfId="0" quotePrefix="1" applyBorder="1"/>
    <xf numFmtId="10" fontId="0" fillId="0" borderId="0" xfId="0" applyNumberFormat="1" applyFont="1"/>
    <xf numFmtId="0" fontId="9" fillId="0" borderId="0" xfId="0" applyFont="1"/>
    <xf numFmtId="166" fontId="0" fillId="0" borderId="0" xfId="0" applyNumberFormat="1" applyFont="1"/>
    <xf numFmtId="168" fontId="0" fillId="0" borderId="0" xfId="0" applyNumberFormat="1"/>
    <xf numFmtId="164" fontId="0" fillId="0" borderId="0" xfId="1" applyFont="1"/>
    <xf numFmtId="0" fontId="1" fillId="0" borderId="0" xfId="2" applyBorder="1"/>
    <xf numFmtId="0" fontId="16" fillId="0" borderId="0" xfId="0" applyFont="1"/>
    <xf numFmtId="166" fontId="0" fillId="0" borderId="0" xfId="1" applyNumberFormat="1" applyFont="1"/>
    <xf numFmtId="14" fontId="0" fillId="0" borderId="0" xfId="0" applyNumberFormat="1" applyBorder="1"/>
    <xf numFmtId="0" fontId="0" fillId="0" borderId="0" xfId="0" applyAlignment="1"/>
    <xf numFmtId="0" fontId="0" fillId="0" borderId="0" xfId="0" applyFont="1"/>
    <xf numFmtId="0" fontId="2" fillId="0" borderId="2" xfId="0" applyFont="1" applyBorder="1" applyAlignment="1">
      <alignment horizontal="left" vertical="top" wrapText="1"/>
    </xf>
    <xf numFmtId="0" fontId="2" fillId="0" borderId="3" xfId="0" applyFont="1" applyBorder="1" applyAlignment="1">
      <alignment horizontal="left" vertical="top"/>
    </xf>
    <xf numFmtId="0" fontId="2" fillId="0" borderId="4" xfId="0" applyFont="1" applyBorder="1" applyAlignment="1">
      <alignment horizontal="left" vertical="top"/>
    </xf>
    <xf numFmtId="0" fontId="2" fillId="0" borderId="5" xfId="0" applyFont="1" applyBorder="1" applyAlignment="1">
      <alignment horizontal="left" vertical="top"/>
    </xf>
    <xf numFmtId="0" fontId="2" fillId="0" borderId="6" xfId="0" applyFont="1" applyBorder="1" applyAlignment="1">
      <alignment horizontal="left" vertical="top"/>
    </xf>
    <xf numFmtId="0" fontId="2" fillId="0" borderId="7" xfId="0" applyFont="1" applyBorder="1" applyAlignment="1">
      <alignment horizontal="left" vertical="top"/>
    </xf>
    <xf numFmtId="0" fontId="0" fillId="0" borderId="0" xfId="0" applyAlignment="1">
      <alignment horizontal="left" vertical="top" wrapText="1"/>
    </xf>
    <xf numFmtId="0" fontId="0" fillId="0" borderId="0" xfId="0" pivotButton="1"/>
    <xf numFmtId="0" fontId="0" fillId="0" borderId="0" xfId="0" applyNumberFormat="1"/>
    <xf numFmtId="14" fontId="0" fillId="0" borderId="0" xfId="0" applyNumberFormat="1" applyAlignment="1">
      <alignment horizontal="left"/>
    </xf>
    <xf numFmtId="0" fontId="0" fillId="0" borderId="9" xfId="0" applyBorder="1" applyAlignment="1">
      <alignment wrapText="1"/>
    </xf>
    <xf numFmtId="0" fontId="8" fillId="4" borderId="0" xfId="0" applyFont="1" applyFill="1" applyAlignment="1">
      <alignment horizontal="center"/>
    </xf>
  </cellXfs>
  <cellStyles count="4">
    <cellStyle name="Comma" xfId="1" builtinId="3"/>
    <cellStyle name="Comma 10" xfId="3"/>
    <cellStyle name="Heading 1" xfId="2" builtinId="16"/>
    <cellStyle name="Normal" xfId="0" builtinId="0"/>
  </cellStyles>
  <dxfs count="60">
    <dxf>
      <font>
        <b val="0"/>
        <i val="0"/>
        <strike val="0"/>
        <condense val="0"/>
        <extend val="0"/>
        <outline val="0"/>
        <shadow val="0"/>
        <u val="none"/>
        <vertAlign val="baseline"/>
        <sz val="11"/>
        <color theme="1"/>
        <name val="Calibri"/>
        <scheme val="minor"/>
      </font>
      <numFmt numFmtId="166" formatCode="_(* #,##0_);_(* \(#,##0\);_(* &quot;-&quot;??_);_(@_)"/>
    </dxf>
    <dxf>
      <font>
        <b val="0"/>
        <i val="0"/>
        <strike val="0"/>
        <condense val="0"/>
        <extend val="0"/>
        <outline val="0"/>
        <shadow val="0"/>
        <u val="none"/>
        <vertAlign val="baseline"/>
        <sz val="11"/>
        <color theme="1"/>
        <name val="Calibri"/>
        <scheme val="minor"/>
      </font>
      <numFmt numFmtId="168" formatCode="m/d/yyyy"/>
      <border diagonalUp="0" diagonalDown="0">
        <left/>
        <right/>
        <top style="thin">
          <color theme="4"/>
        </top>
        <bottom/>
      </border>
    </dxf>
    <dxf>
      <font>
        <b val="0"/>
        <i val="0"/>
        <strike val="0"/>
        <condense val="0"/>
        <extend val="0"/>
        <outline val="0"/>
        <shadow val="0"/>
        <u val="none"/>
        <vertAlign val="baseline"/>
        <sz val="11"/>
        <color theme="1"/>
        <name val="Calibri"/>
        <scheme val="minor"/>
      </font>
      <numFmt numFmtId="166" formatCode="_(* #,##0_);_(* \(#,##0\);_(* &quot;-&quot;??_);_(@_)"/>
    </dxf>
    <dxf>
      <font>
        <b val="0"/>
        <i val="0"/>
        <strike val="0"/>
        <condense val="0"/>
        <extend val="0"/>
        <outline val="0"/>
        <shadow val="0"/>
        <u val="none"/>
        <vertAlign val="baseline"/>
        <sz val="11"/>
        <color theme="1"/>
        <name val="Calibri"/>
        <scheme val="minor"/>
      </font>
      <numFmt numFmtId="166" formatCode="_(* #,##0_);_(* \(#,##0\);_(* &quot;-&quot;??_);_(@_)"/>
    </dxf>
    <dxf>
      <font>
        <b val="0"/>
        <i val="0"/>
        <strike val="0"/>
        <condense val="0"/>
        <extend val="0"/>
        <outline val="0"/>
        <shadow val="0"/>
        <u val="none"/>
        <vertAlign val="baseline"/>
        <sz val="11"/>
        <color theme="1"/>
        <name val="Calibri"/>
        <scheme val="minor"/>
      </font>
      <numFmt numFmtId="166" formatCode="_(* #,##0_);_(* \(#,##0\);_(* &quot;-&quot;??_);_(@_)"/>
    </dxf>
    <dxf>
      <border outline="0">
        <top style="thick">
          <color theme="4"/>
        </top>
      </border>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numFmt numFmtId="166" formatCode="_(* #,##0_);_(* \(#,##0\);_(* &quot;-&quot;??_);_(@_)"/>
    </dxf>
    <dxf>
      <font>
        <b val="0"/>
        <i val="0"/>
        <strike val="0"/>
        <condense val="0"/>
        <extend val="0"/>
        <outline val="0"/>
        <shadow val="0"/>
        <u val="none"/>
        <vertAlign val="baseline"/>
        <sz val="11"/>
        <color theme="1"/>
        <name val="Calibri"/>
        <scheme val="minor"/>
      </font>
      <numFmt numFmtId="14" formatCode="0.00%"/>
    </dxf>
    <dxf>
      <numFmt numFmtId="170" formatCode="_-* #,##0_-;\-* #,##0_-;_-* &quot;-&quot;??_-;_-@_-"/>
    </dxf>
    <dxf>
      <numFmt numFmtId="168" formatCode="m/d/yyyy"/>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dxf>
    <dxf>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0"/>
        <name val="Calibri"/>
        <scheme val="minor"/>
      </font>
      <fill>
        <patternFill patternType="solid">
          <fgColor theme="4"/>
          <bgColor theme="4"/>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dxf>
    <dxf>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0"/>
        <name val="Calibri"/>
        <scheme val="minor"/>
      </font>
      <fill>
        <patternFill patternType="solid">
          <fgColor theme="4"/>
          <bgColor theme="4"/>
        </patternFill>
      </fill>
    </dxf>
    <dxf>
      <alignment vertical="bottom" textRotation="0" wrapText="0" justifyLastLine="0" shrinkToFit="0" readingOrder="0"/>
    </dxf>
    <dxf>
      <alignment vertical="bottom" textRotation="0" wrapText="0" justifyLastLine="0" shrinkToFit="0" readingOrder="0"/>
    </dxf>
    <dxf>
      <alignment vertical="bottom" textRotation="0" wrapText="0" justifyLastLine="0" shrinkToFit="0" readingOrder="0"/>
    </dxf>
    <dxf>
      <font>
        <b val="0"/>
        <i val="0"/>
        <strike val="0"/>
        <condense val="0"/>
        <extend val="0"/>
        <outline val="0"/>
        <shadow val="0"/>
        <u val="none"/>
        <vertAlign val="baseline"/>
        <sz val="11"/>
        <color theme="1"/>
        <name val="Calibri"/>
        <scheme val="minor"/>
      </font>
      <numFmt numFmtId="165" formatCode="dd\ mmmm\ yyyy"/>
      <fill>
        <patternFill patternType="none">
          <fgColor indexed="64"/>
          <bgColor indexed="65"/>
        </patternFill>
      </fill>
      <alignment horizontal="left"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5" formatCode="dd\ mmmm\ yyyy"/>
      <alignment horizontal="left" vertical="bottom" textRotation="0" wrapText="0" relativeIndent="0" justifyLastLine="0" shrinkToFit="0" readingOrder="0"/>
    </dxf>
    <dxf>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5" formatCode="dd\ mmmm\ yyyy"/>
      <alignment horizontal="left" vertical="bottom" textRotation="0" wrapText="0" relativeIndent="0" justifyLastLine="0" shrinkToFit="0" readingOrder="0"/>
      <border diagonalUp="0" diagonalDown="0">
        <left/>
        <right/>
        <top style="thin">
          <color theme="4"/>
        </top>
        <bottom/>
      </border>
    </dxf>
    <dxf>
      <alignment vertical="bottom" textRotation="0" wrapText="0" justifyLastLine="0" shrinkToFit="0" readingOrder="0"/>
    </dxf>
    <dxf>
      <border outline="0">
        <top style="thin">
          <color theme="4"/>
        </top>
      </border>
    </dxf>
    <dxf>
      <alignment vertical="bottom" textRotation="0" wrapText="0"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dxf>
    <dxf>
      <fill>
        <patternFill patternType="none">
          <fgColor indexed="64"/>
          <bgColor indexed="65"/>
        </patternFill>
      </fill>
    </dxf>
    <dxf>
      <alignment horizontal="general" vertical="bottom" textRotation="0" wrapText="1" relativeIndent="0" justifyLastLine="0" shrinkToFit="0" readingOrder="0"/>
    </dxf>
    <dxf>
      <alignment horizontal="general" vertical="bottom" textRotation="0" wrapText="1" relativeIndent="0" justifyLastLine="0" shrinkToFit="0" readingOrder="0"/>
    </dxf>
    <dxf>
      <fill>
        <patternFill patternType="darkGray">
          <fgColor theme="4"/>
          <bgColor indexed="65"/>
        </patternFill>
      </fill>
    </dxf>
    <dxf>
      <fill>
        <patternFill patternType="darkGray">
          <fgColor theme="4"/>
          <bgColor indexed="65"/>
        </patternFill>
      </fill>
    </dxf>
    <dxf>
      <alignment horizontal="right" vertical="bottom" textRotation="0" indent="0" justifyLastLine="0" shrinkToFit="0" readingOrder="0"/>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op>
        <bottom/>
        <vertical/>
        <horizontal/>
      </border>
    </dxf>
    <dxf>
      <border diagonalUp="0" diagonalDown="0">
        <left/>
        <right/>
        <top style="thin">
          <color theme="4"/>
        </top>
        <bottom/>
        <vertical/>
        <horizontal/>
      </border>
    </dxf>
    <dxf>
      <alignment horizontal="general" vertical="bottom" textRotation="0" wrapText="1" relative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alibri"/>
        <scheme val="minor"/>
      </font>
    </dxf>
  </dxfs>
  <tableStyles count="0" defaultTableStyle="TableStyleMedium9" defaultPivotStyle="PivotStyleLight16"/>
  <colors>
    <mruColors>
      <color rgb="FFB3A369"/>
      <color rgb="FFCC0000"/>
      <color rgb="FFFFFF99"/>
      <color rgb="FFFF330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28575</xdr:colOff>
          <xdr:row>6</xdr:row>
          <xdr:rowOff>114300</xdr:rowOff>
        </xdr:from>
        <xdr:to>
          <xdr:col>7</xdr:col>
          <xdr:colOff>571500</xdr:colOff>
          <xdr:row>7</xdr:row>
          <xdr:rowOff>152400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11</xdr:row>
          <xdr:rowOff>38100</xdr:rowOff>
        </xdr:from>
        <xdr:to>
          <xdr:col>3</xdr:col>
          <xdr:colOff>762000</xdr:colOff>
          <xdr:row>12</xdr:row>
          <xdr:rowOff>85725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Run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13</xdr:row>
          <xdr:rowOff>19050</xdr:rowOff>
        </xdr:from>
        <xdr:to>
          <xdr:col>3</xdr:col>
          <xdr:colOff>809625</xdr:colOff>
          <xdr:row>19</xdr:row>
          <xdr:rowOff>123825</xdr:rowOff>
        </xdr:to>
        <xdr:grpSp>
          <xdr:nvGrpSpPr>
            <xdr:cNvPr id="1035" name="Group 11"/>
            <xdr:cNvGrpSpPr>
              <a:grpSpLocks/>
            </xdr:cNvGrpSpPr>
          </xdr:nvGrpSpPr>
          <xdr:grpSpPr bwMode="auto">
            <a:xfrm>
              <a:off x="4236384" y="2596403"/>
              <a:ext cx="685800" cy="1247775"/>
              <a:chOff x="444" y="237"/>
              <a:chExt cx="72" cy="131"/>
            </a:xfrm>
          </xdr:grpSpPr>
          <xdr:sp macro="" textlink="">
            <xdr:nvSpPr>
              <xdr:cNvPr id="1025" name="Button 1" hidden="1">
                <a:extLst>
                  <a:ext uri="{63B3BB69-23CF-44E3-9099-C40C66FF867C}">
                    <a14:compatExt spid="_x0000_s1025"/>
                  </a:ext>
                </a:extLst>
              </xdr:cNvPr>
              <xdr:cNvSpPr/>
            </xdr:nvSpPr>
            <xdr:spPr bwMode="auto">
              <a:xfrm>
                <a:off x="451" y="251"/>
                <a:ext cx="57" cy="25"/>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Queries</a:t>
                </a:r>
              </a:p>
            </xdr:txBody>
          </xdr:sp>
          <xdr:sp macro="" textlink="">
            <xdr:nvSpPr>
              <xdr:cNvPr id="1028" name="Button 4" hidden="1">
                <a:extLst>
                  <a:ext uri="{63B3BB69-23CF-44E3-9099-C40C66FF867C}">
                    <a14:compatExt spid="_x0000_s1028"/>
                  </a:ext>
                </a:extLst>
              </xdr:cNvPr>
              <xdr:cNvSpPr/>
            </xdr:nvSpPr>
            <xdr:spPr bwMode="auto">
              <a:xfrm>
                <a:off x="451" y="293"/>
                <a:ext cx="57" cy="25"/>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Pivots</a:t>
                </a:r>
              </a:p>
            </xdr:txBody>
          </xdr:sp>
          <xdr:sp macro="" textlink="">
            <xdr:nvSpPr>
              <xdr:cNvPr id="1029" name="Button 5" hidden="1">
                <a:extLst>
                  <a:ext uri="{63B3BB69-23CF-44E3-9099-C40C66FF867C}">
                    <a14:compatExt spid="_x0000_s1029"/>
                  </a:ext>
                </a:extLst>
              </xdr:cNvPr>
              <xdr:cNvSpPr/>
            </xdr:nvSpPr>
            <xdr:spPr bwMode="auto">
              <a:xfrm>
                <a:off x="451" y="335"/>
                <a:ext cx="57" cy="25"/>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Trends</a:t>
                </a:r>
              </a:p>
            </xdr:txBody>
          </xdr:sp>
          <xdr:sp macro="" textlink="">
            <xdr:nvSpPr>
              <xdr:cNvPr id="1032" name="Group Box 8" hidden="1">
                <a:extLst>
                  <a:ext uri="{63B3BB69-23CF-44E3-9099-C40C66FF867C}">
                    <a14:compatExt spid="_x0000_s1032"/>
                  </a:ext>
                </a:extLst>
              </xdr:cNvPr>
              <xdr:cNvSpPr/>
            </xdr:nvSpPr>
            <xdr:spPr bwMode="auto">
              <a:xfrm>
                <a:off x="444" y="237"/>
                <a:ext cx="72" cy="131"/>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CA" sz="800" b="0" i="0" u="none" strike="noStrike" baseline="0">
                    <a:solidFill>
                      <a:srgbClr val="000000"/>
                    </a:solidFill>
                    <a:latin typeface="Tahoma"/>
                    <a:ea typeface="Tahoma"/>
                    <a:cs typeface="Tahoma"/>
                  </a:rPr>
                  <a:t>Actions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171450</xdr:colOff>
          <xdr:row>20</xdr:row>
          <xdr:rowOff>85725</xdr:rowOff>
        </xdr:from>
        <xdr:to>
          <xdr:col>3</xdr:col>
          <xdr:colOff>771525</xdr:colOff>
          <xdr:row>22</xdr:row>
          <xdr:rowOff>133350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23</xdr:row>
          <xdr:rowOff>104775</xdr:rowOff>
        </xdr:from>
        <xdr:to>
          <xdr:col>3</xdr:col>
          <xdr:colOff>781050</xdr:colOff>
          <xdr:row>26</xdr:row>
          <xdr:rowOff>38100</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rPr>
                <a:t>Output Reports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28575</xdr:rowOff>
        </xdr:from>
        <xdr:to>
          <xdr:col>9</xdr:col>
          <xdr:colOff>476250</xdr:colOff>
          <xdr:row>1</xdr:row>
          <xdr:rowOff>142875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Export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2</xdr:row>
          <xdr:rowOff>152400</xdr:rowOff>
        </xdr:from>
        <xdr:to>
          <xdr:col>9</xdr:col>
          <xdr:colOff>485775</xdr:colOff>
          <xdr:row>4</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Import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xdr:colOff>
          <xdr:row>5</xdr:row>
          <xdr:rowOff>76200</xdr:rowOff>
        </xdr:from>
        <xdr:to>
          <xdr:col>9</xdr:col>
          <xdr:colOff>495300</xdr:colOff>
          <xdr:row>7</xdr:row>
          <xdr:rowOff>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Hide DEV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85725</xdr:colOff>
          <xdr:row>7</xdr:row>
          <xdr:rowOff>171450</xdr:rowOff>
        </xdr:from>
        <xdr:to>
          <xdr:col>9</xdr:col>
          <xdr:colOff>504825</xdr:colOff>
          <xdr:row>9</xdr:row>
          <xdr:rowOff>104775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Sync Sheet Tables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ong, Ronald" refreshedDate="43263.562697569447" createdVersion="5" refreshedVersion="5" minRefreshableVersion="3" recordCount="106">
  <cacheSource type="worksheet">
    <worksheetSource name="PV"/>
  </cacheSource>
  <cacheFields count="6">
    <cacheField name="Business Date" numFmtId="14">
      <sharedItems containsSemiMixedTypes="0" containsNonDate="0" containsDate="1" containsString="0" minDate="2018-06-07T00:00:00" maxDate="2018-06-12T00:00:00" count="2">
        <d v="2018-06-11T00:00:00"/>
        <d v="2018-06-07T00:00:00" u="1"/>
      </sharedItems>
    </cacheField>
    <cacheField name="Investment Strategy" numFmtId="166">
      <sharedItems count="2">
        <s v="EM Bond Portfolio"/>
        <s v="CLG" u="1"/>
      </sharedItems>
    </cacheField>
    <cacheField name="Position Description" numFmtId="166">
      <sharedItems count="55">
        <s v="BLTN 0 07/01/21"/>
        <s v="FXNDF_USD/BRL"/>
        <s v="BNTNF 10 01/01/27"/>
        <s v="FIXEMBOND USD"/>
        <s v="BNTNF 10 01/01/23"/>
        <s v="BNTNF 10 01/01/25"/>
        <s v="COLTES 7 06/30/32"/>
        <s v="COLTES 7 1/2 08/26/26"/>
        <s v="COLTES 7 05/04/22"/>
        <s v="IGB 8.2 02/15/22"/>
        <s v="IGB 7.73 12/19/34"/>
        <s v="IGB 8.83 12/12/41"/>
        <s v="IGB 8.79 11/08/21"/>
        <s v="IGB 6.79 05/15/27"/>
        <s v="IGB 8.15 11/24/26"/>
        <s v="MBONO 6 1/2 06/10/21"/>
        <s v="MBONO 7 3/4 11/23/34"/>
        <s v="MBONO 8 12/07/23"/>
        <s v="FXFWD_USD/TRY"/>
        <s v="MGS 4.232 06/30/31"/>
        <s v="MGS 3.58 09/28/18"/>
        <s v="MGS 4.181 07/15/24"/>
        <s v="MGS 3.492 03/31/20"/>
        <s v="MGS 5.734 07/30/19"/>
        <s v="POLGB 0 04/25/19"/>
        <s v="POLGB 2 1/2 07/25/27"/>
        <s v="POLGB 2 1/4 04/25/22"/>
        <s v="THAIGB 1 7/8 06/17/22"/>
        <s v="THAIGB 2.55 06/26/20"/>
        <s v="THAIGB 3.65 06/20/31"/>
        <s v="THAIGB 3.85 12/12/25"/>
        <s v="TURKGB 8 03/12/25"/>
        <s v="TURKGB 11 03/02/22"/>
        <s v="TURKGB 10.7 08/17/22"/>
        <s v="TURKGB 11.1 05/15/19"/>
        <s v="SAGB 8 3/4 01/31/44 #2044"/>
        <s v="SAGB 8 1/2 01/31/37 #2037"/>
        <s v="SAGB 8 1/4 03/31/32 #2032"/>
        <s v="SAGB 6 3/4 03/31/21 #R208"/>
        <s v="SAGB 10 1/2 12/21/26 #R186"/>
        <s v="CGB 3.59 08/03/27"/>
        <s v="CGB 2.7 11/03/26"/>
        <s v="CGB 2.74 08/04/26"/>
        <s v="CGB 3.77 03/08/25"/>
        <s v="CGB 3.2 03/16/24"/>
        <s v="FXSPT_USD/CNH"/>
        <s v="CGB 3.46 07/27/20"/>
        <s v="CGB 3.47 07/13/22"/>
        <s v="CGB 3.17 04/19/23"/>
        <s v="FXNDF_USD/IDR"/>
        <s v="INDOGB 8 3/8 09/15/26"/>
        <s v="INDOGB 9 03/15/29"/>
        <s v="INDOGB 7 05/15/22"/>
        <s v="INDOGB 8 3/8 03/15/34"/>
        <s v="INDOGB 7 1/2 08/15/32"/>
      </sharedItems>
    </cacheField>
    <cacheField name="Notional Value Local Cur" numFmtId="166">
      <sharedItems containsSemiMixedTypes="0" containsString="0" containsNumber="1" minValue="-25000000038.200001" maxValue="295000000000"/>
    </cacheField>
    <cacheField name="Product Type" numFmtId="166">
      <sharedItems/>
    </cacheField>
    <cacheField name="Custom-DiffNotional" numFmtId="166">
      <sharedItems containsSemiMixedTypes="0" containsString="0" containsNumber="1" minValue="-25000000038.200001" maxValue="2950000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6">
  <r>
    <x v="0"/>
    <x v="0"/>
    <x v="0"/>
    <n v="219300000"/>
    <s v="Government Marketable Bond"/>
    <n v="219300000"/>
  </r>
  <r>
    <x v="0"/>
    <x v="0"/>
    <x v="1"/>
    <n v="-23330497.07"/>
    <s v="FX Non Deliverable Forward"/>
    <n v="-23330497.07"/>
  </r>
  <r>
    <x v="0"/>
    <x v="0"/>
    <x v="2"/>
    <n v="40000000"/>
    <s v="Government Marketable Bond"/>
    <n v="40000000"/>
  </r>
  <r>
    <x v="0"/>
    <x v="0"/>
    <x v="3"/>
    <n v="23208950.710000001"/>
    <s v="FIXED EM BOND LOAN"/>
    <n v="23208950.710000001"/>
  </r>
  <r>
    <x v="0"/>
    <x v="0"/>
    <x v="1"/>
    <n v="84999999.980000004"/>
    <s v="FX Non Deliverable Forward"/>
    <n v="84999999.980000004"/>
  </r>
  <r>
    <x v="0"/>
    <x v="0"/>
    <x v="4"/>
    <n v="17490000"/>
    <s v="Government Marketable Bond"/>
    <n v="17490000"/>
  </r>
  <r>
    <x v="0"/>
    <x v="0"/>
    <x v="5"/>
    <n v="18000000"/>
    <s v="Government Marketable Bond"/>
    <n v="18000000"/>
  </r>
  <r>
    <x v="0"/>
    <x v="0"/>
    <x v="6"/>
    <n v="10000000000"/>
    <s v="Government Marketable Bond"/>
    <n v="10000000000"/>
  </r>
  <r>
    <x v="0"/>
    <x v="0"/>
    <x v="7"/>
    <n v="15000000000"/>
    <s v="Government Marketable Bond"/>
    <n v="15000000000"/>
  </r>
  <r>
    <x v="0"/>
    <x v="0"/>
    <x v="8"/>
    <n v="35000000000"/>
    <s v="Government Marketable Bond"/>
    <n v="35000000000"/>
  </r>
  <r>
    <x v="0"/>
    <x v="0"/>
    <x v="9"/>
    <n v="1900000000"/>
    <s v="Government Marketable Bond"/>
    <n v="1900000000"/>
  </r>
  <r>
    <x v="0"/>
    <x v="0"/>
    <x v="10"/>
    <n v="3300000000"/>
    <s v="Government Marketable Bond"/>
    <n v="3300000000"/>
  </r>
  <r>
    <x v="0"/>
    <x v="0"/>
    <x v="11"/>
    <n v="1175000000"/>
    <s v="Government Marketable Bond"/>
    <n v="1175000000"/>
  </r>
  <r>
    <x v="0"/>
    <x v="0"/>
    <x v="12"/>
    <n v="1650000000"/>
    <s v="Government Marketable Bond"/>
    <n v="1650000000"/>
  </r>
  <r>
    <x v="0"/>
    <x v="0"/>
    <x v="13"/>
    <n v="1900000000"/>
    <s v="Government Marketable Bond"/>
    <n v="1900000000"/>
  </r>
  <r>
    <x v="0"/>
    <x v="0"/>
    <x v="14"/>
    <n v="5000000000"/>
    <s v="Government Marketable Bond"/>
    <n v="5000000000"/>
  </r>
  <r>
    <x v="0"/>
    <x v="0"/>
    <x v="15"/>
    <n v="400000000"/>
    <s v="Government Marketable Bond"/>
    <n v="400000000"/>
  </r>
  <r>
    <x v="0"/>
    <x v="0"/>
    <x v="16"/>
    <n v="330000000"/>
    <s v="Government Marketable Bond"/>
    <n v="330000000"/>
  </r>
  <r>
    <x v="0"/>
    <x v="0"/>
    <x v="17"/>
    <n v="220000000"/>
    <s v="Government Marketable Bond"/>
    <n v="220000000"/>
  </r>
  <r>
    <x v="0"/>
    <x v="0"/>
    <x v="18"/>
    <n v="6717721.3499999996"/>
    <s v="FX Forward"/>
    <n v="6717721.3499999996"/>
  </r>
  <r>
    <x v="0"/>
    <x v="0"/>
    <x v="18"/>
    <n v="30000000"/>
    <s v="FX Forward"/>
    <n v="30000000"/>
  </r>
  <r>
    <x v="0"/>
    <x v="0"/>
    <x v="18"/>
    <n v="-6721121.1900000004"/>
    <s v="FX Forward"/>
    <n v="-6721121.1900000004"/>
  </r>
  <r>
    <x v="0"/>
    <x v="0"/>
    <x v="3"/>
    <n v="23962017.359999999"/>
    <s v="FIXED EM BOND LOAN"/>
    <n v="23962017.359999999"/>
  </r>
  <r>
    <x v="0"/>
    <x v="0"/>
    <x v="1"/>
    <n v="23330497.07"/>
    <s v="FX Non Deliverable Forward"/>
    <n v="23330497.07"/>
  </r>
  <r>
    <x v="0"/>
    <x v="0"/>
    <x v="1"/>
    <n v="-84999999.980000004"/>
    <s v="FX Non Deliverable Forward"/>
    <n v="-84999999.980000004"/>
  </r>
  <r>
    <x v="0"/>
    <x v="0"/>
    <x v="1"/>
    <n v="-24104585.539999999"/>
    <s v="FX Non Deliverable Forward"/>
    <n v="-24104585.539999999"/>
  </r>
  <r>
    <x v="0"/>
    <x v="0"/>
    <x v="18"/>
    <n v="-30000000"/>
    <s v="FX Forward"/>
    <n v="-30000000"/>
  </r>
  <r>
    <x v="0"/>
    <x v="0"/>
    <x v="1"/>
    <n v="84999999.989999905"/>
    <s v="FX Non Deliverable Forward"/>
    <n v="84999999.989999905"/>
  </r>
  <r>
    <x v="0"/>
    <x v="0"/>
    <x v="3"/>
    <n v="-23208950.710000001"/>
    <s v="FIXED EM BOND LOAN"/>
    <n v="-23208950.710000001"/>
  </r>
  <r>
    <x v="0"/>
    <x v="0"/>
    <x v="19"/>
    <n v="7000000"/>
    <s v="Government Marketable Bond"/>
    <n v="7000000"/>
  </r>
  <r>
    <x v="0"/>
    <x v="0"/>
    <x v="20"/>
    <n v="15000000"/>
    <s v="Government Marketable Bond"/>
    <n v="15000000"/>
  </r>
  <r>
    <x v="0"/>
    <x v="0"/>
    <x v="21"/>
    <n v="24000000"/>
    <s v="Government Marketable Bond"/>
    <n v="24000000"/>
  </r>
  <r>
    <x v="0"/>
    <x v="0"/>
    <x v="22"/>
    <n v="18000000"/>
    <s v="Government Marketable Bond"/>
    <n v="18000000"/>
  </r>
  <r>
    <x v="0"/>
    <x v="0"/>
    <x v="23"/>
    <n v="10000000"/>
    <s v="Government Marketable Bond"/>
    <n v="10000000"/>
  </r>
  <r>
    <x v="0"/>
    <x v="0"/>
    <x v="24"/>
    <n v="40000000"/>
    <s v="Government Marketable Bond"/>
    <n v="40000000"/>
  </r>
  <r>
    <x v="0"/>
    <x v="0"/>
    <x v="25"/>
    <n v="45000000"/>
    <s v="Government Marketable Bond"/>
    <n v="45000000"/>
  </r>
  <r>
    <x v="0"/>
    <x v="0"/>
    <x v="26"/>
    <n v="55000000"/>
    <s v="Government Marketable Bond"/>
    <n v="55000000"/>
  </r>
  <r>
    <x v="0"/>
    <x v="0"/>
    <x v="27"/>
    <n v="225000000"/>
    <s v="Government Marketable Bond"/>
    <n v="225000000"/>
  </r>
  <r>
    <x v="0"/>
    <x v="0"/>
    <x v="28"/>
    <n v="225000000"/>
    <s v="Government Marketable Bond"/>
    <n v="225000000"/>
  </r>
  <r>
    <x v="0"/>
    <x v="0"/>
    <x v="29"/>
    <n v="45000000"/>
    <s v="Government Marketable Bond"/>
    <n v="45000000"/>
  </r>
  <r>
    <x v="0"/>
    <x v="0"/>
    <x v="30"/>
    <n v="235000000"/>
    <s v="Government Marketable Bond"/>
    <n v="235000000"/>
  </r>
  <r>
    <x v="0"/>
    <x v="0"/>
    <x v="18"/>
    <n v="-17711128.829999998"/>
    <s v="FX Forward"/>
    <n v="-17711128.829999998"/>
  </r>
  <r>
    <x v="0"/>
    <x v="0"/>
    <x v="18"/>
    <n v="79999999.989999905"/>
    <s v="FX Forward"/>
    <n v="79999999.989999905"/>
  </r>
  <r>
    <x v="0"/>
    <x v="0"/>
    <x v="18"/>
    <n v="40000000"/>
    <s v="FX Forward"/>
    <n v="40000000"/>
  </r>
  <r>
    <x v="0"/>
    <x v="0"/>
    <x v="18"/>
    <n v="-180574560"/>
    <s v="FX Forward"/>
    <n v="-180574560"/>
  </r>
  <r>
    <x v="0"/>
    <x v="0"/>
    <x v="18"/>
    <n v="-180614400"/>
    <s v="FX Forward"/>
    <n v="-180614400"/>
  </r>
  <r>
    <x v="0"/>
    <x v="0"/>
    <x v="18"/>
    <n v="40000000"/>
    <s v="FX Forward"/>
    <n v="40000000"/>
  </r>
  <r>
    <x v="0"/>
    <x v="0"/>
    <x v="18"/>
    <n v="17257684.850000001"/>
    <s v="FX Forward"/>
    <n v="17257684.850000001"/>
  </r>
  <r>
    <x v="0"/>
    <x v="0"/>
    <x v="31"/>
    <n v="50000000"/>
    <s v="Government Marketable Bond"/>
    <n v="50000000"/>
  </r>
  <r>
    <x v="0"/>
    <x v="0"/>
    <x v="3"/>
    <n v="6677745.7699999996"/>
    <s v="FIXED EM BOND LOAN"/>
    <n v="6677745.7699999996"/>
  </r>
  <r>
    <x v="0"/>
    <x v="0"/>
    <x v="3"/>
    <n v="10605606.66"/>
    <s v="FIXED EM BOND LOAN"/>
    <n v="10605606.66"/>
  </r>
  <r>
    <x v="0"/>
    <x v="0"/>
    <x v="18"/>
    <n v="-80000000.010000005"/>
    <s v="FX Forward"/>
    <n v="-80000000.010000005"/>
  </r>
  <r>
    <x v="0"/>
    <x v="0"/>
    <x v="18"/>
    <n v="-40000000"/>
    <s v="FX Forward"/>
    <n v="-40000000"/>
  </r>
  <r>
    <x v="0"/>
    <x v="0"/>
    <x v="18"/>
    <n v="-40000000"/>
    <s v="FX Forward"/>
    <n v="-40000000"/>
  </r>
  <r>
    <x v="0"/>
    <x v="0"/>
    <x v="18"/>
    <n v="185281800"/>
    <s v="FX Forward"/>
    <n v="185281800"/>
  </r>
  <r>
    <x v="0"/>
    <x v="0"/>
    <x v="18"/>
    <n v="185312800"/>
    <s v="FX Forward"/>
    <n v="185312800"/>
  </r>
  <r>
    <x v="0"/>
    <x v="0"/>
    <x v="32"/>
    <n v="80000000"/>
    <s v="Government Marketable Bond"/>
    <n v="80000000"/>
  </r>
  <r>
    <x v="0"/>
    <x v="0"/>
    <x v="3"/>
    <n v="10496134.68"/>
    <s v="FIXED EM BOND LOAN"/>
    <n v="10496134.68"/>
  </r>
  <r>
    <x v="0"/>
    <x v="0"/>
    <x v="18"/>
    <n v="-10663936.699999999"/>
    <s v="FX Forward"/>
    <n v="-10663936.699999999"/>
  </r>
  <r>
    <x v="0"/>
    <x v="0"/>
    <x v="18"/>
    <n v="-10553198.67"/>
    <s v="FX Forward"/>
    <n v="-10553198.67"/>
  </r>
  <r>
    <x v="0"/>
    <x v="0"/>
    <x v="18"/>
    <n v="-115935950"/>
    <s v="FX Forward"/>
    <n v="-115935950"/>
  </r>
  <r>
    <x v="0"/>
    <x v="0"/>
    <x v="18"/>
    <n v="-30000000"/>
    <s v="FX Forward"/>
    <n v="-30000000"/>
  </r>
  <r>
    <x v="0"/>
    <x v="0"/>
    <x v="18"/>
    <n v="-25000000"/>
    <s v="FX Forward"/>
    <n v="-25000000"/>
  </r>
  <r>
    <x v="0"/>
    <x v="0"/>
    <x v="18"/>
    <n v="30000000"/>
    <s v="FX Forward"/>
    <n v="30000000"/>
  </r>
  <r>
    <x v="0"/>
    <x v="0"/>
    <x v="18"/>
    <n v="-115930150"/>
    <s v="FX Forward"/>
    <n v="-115930150"/>
  </r>
  <r>
    <x v="0"/>
    <x v="0"/>
    <x v="18"/>
    <n v="135588120"/>
    <s v="FX Forward"/>
    <n v="135588120"/>
  </r>
  <r>
    <x v="0"/>
    <x v="0"/>
    <x v="18"/>
    <n v="-6717721.3499999996"/>
    <s v="FX Forward"/>
    <n v="-6717721.3499999996"/>
  </r>
  <r>
    <x v="0"/>
    <x v="0"/>
    <x v="33"/>
    <n v="10000000"/>
    <s v="Government Marketable Bond"/>
    <n v="10000000"/>
  </r>
  <r>
    <x v="0"/>
    <x v="0"/>
    <x v="34"/>
    <n v="20000000"/>
    <s v="Government Marketable Bond"/>
    <n v="20000000"/>
  </r>
  <r>
    <x v="0"/>
    <x v="0"/>
    <x v="18"/>
    <n v="-139148580"/>
    <s v="FX Forward"/>
    <n v="-139148580"/>
  </r>
  <r>
    <x v="0"/>
    <x v="0"/>
    <x v="18"/>
    <n v="112969700"/>
    <s v="FX Forward"/>
    <n v="112969700"/>
  </r>
  <r>
    <x v="0"/>
    <x v="0"/>
    <x v="18"/>
    <n v="112963100"/>
    <s v="FX Forward"/>
    <n v="112963100"/>
  </r>
  <r>
    <x v="0"/>
    <x v="0"/>
    <x v="18"/>
    <n v="25000000"/>
    <s v="FX Forward"/>
    <n v="25000000"/>
  </r>
  <r>
    <x v="0"/>
    <x v="0"/>
    <x v="18"/>
    <n v="25000000"/>
    <s v="FX Forward"/>
    <n v="25000000"/>
  </r>
  <r>
    <x v="0"/>
    <x v="0"/>
    <x v="18"/>
    <n v="-25000000"/>
    <s v="FX Forward"/>
    <n v="-25000000"/>
  </r>
  <r>
    <x v="0"/>
    <x v="0"/>
    <x v="18"/>
    <n v="30000000"/>
    <s v="FX Forward"/>
    <n v="30000000"/>
  </r>
  <r>
    <x v="0"/>
    <x v="0"/>
    <x v="18"/>
    <n v="50000000.009999998"/>
    <s v="FX Forward"/>
    <n v="50000000.009999998"/>
  </r>
  <r>
    <x v="0"/>
    <x v="0"/>
    <x v="18"/>
    <n v="49999999.979999997"/>
    <s v="FX Forward"/>
    <n v="49999999.979999997"/>
  </r>
  <r>
    <x v="0"/>
    <x v="0"/>
    <x v="35"/>
    <n v="115000000"/>
    <s v="Government Marketable Bond"/>
    <n v="115000000"/>
  </r>
  <r>
    <x v="0"/>
    <x v="0"/>
    <x v="36"/>
    <n v="60000000"/>
    <s v="Government Marketable Bond"/>
    <n v="60000000"/>
  </r>
  <r>
    <x v="0"/>
    <x v="0"/>
    <x v="37"/>
    <n v="200000000"/>
    <s v="Government Marketable Bond"/>
    <n v="200000000"/>
  </r>
  <r>
    <x v="0"/>
    <x v="0"/>
    <x v="38"/>
    <n v="45000000"/>
    <s v="Government Marketable Bond"/>
    <n v="45000000"/>
  </r>
  <r>
    <x v="0"/>
    <x v="0"/>
    <x v="39"/>
    <n v="102000000"/>
    <s v="Government Marketable Bond"/>
    <n v="102000000"/>
  </r>
  <r>
    <x v="0"/>
    <x v="0"/>
    <x v="40"/>
    <n v="260000000"/>
    <s v="Government Marketable Bond"/>
    <n v="260000000"/>
  </r>
  <r>
    <x v="0"/>
    <x v="0"/>
    <x v="41"/>
    <n v="80000000"/>
    <s v="Government Marketable Bond"/>
    <n v="80000000"/>
  </r>
  <r>
    <x v="0"/>
    <x v="0"/>
    <x v="42"/>
    <n v="40000000"/>
    <s v="Government Marketable Bond"/>
    <n v="40000000"/>
  </r>
  <r>
    <x v="0"/>
    <x v="0"/>
    <x v="43"/>
    <n v="200000000"/>
    <s v="Government Marketable Bond"/>
    <n v="200000000"/>
  </r>
  <r>
    <x v="0"/>
    <x v="0"/>
    <x v="44"/>
    <n v="350000000"/>
    <s v="Government Marketable Bond"/>
    <n v="350000000"/>
  </r>
  <r>
    <x v="0"/>
    <x v="0"/>
    <x v="45"/>
    <n v="96000000.019999996"/>
    <s v="FX Spot"/>
    <n v="96000000.019999996"/>
  </r>
  <r>
    <x v="0"/>
    <x v="0"/>
    <x v="45"/>
    <n v="224000000.03"/>
    <s v="FX Spot"/>
    <n v="224000000.03"/>
  </r>
  <r>
    <x v="0"/>
    <x v="0"/>
    <x v="46"/>
    <n v="520000000"/>
    <s v="Government Marketable Bond"/>
    <n v="520000000"/>
  </r>
  <r>
    <x v="0"/>
    <x v="0"/>
    <x v="45"/>
    <n v="-15018773.470000001"/>
    <s v="FX Spot"/>
    <n v="-15018773.470000001"/>
  </r>
  <r>
    <x v="0"/>
    <x v="0"/>
    <x v="45"/>
    <n v="-35043804.759999998"/>
    <s v="FX Spot"/>
    <n v="-35043804.759999998"/>
  </r>
  <r>
    <x v="0"/>
    <x v="0"/>
    <x v="47"/>
    <n v="450000000"/>
    <s v="Government Marketable Bond"/>
    <n v="450000000"/>
  </r>
  <r>
    <x v="0"/>
    <x v="0"/>
    <x v="48"/>
    <n v="400000000"/>
    <s v="Government Marketable Bond"/>
    <n v="400000000"/>
  </r>
  <r>
    <x v="0"/>
    <x v="0"/>
    <x v="49"/>
    <n v="-25000000038.200001"/>
    <s v="FX Non Deliverable Forward"/>
    <n v="-25000000038.200001"/>
  </r>
  <r>
    <x v="0"/>
    <x v="0"/>
    <x v="50"/>
    <n v="255000000000"/>
    <s v="Government Marketable Bond"/>
    <n v="255000000000"/>
  </r>
  <r>
    <x v="0"/>
    <x v="0"/>
    <x v="49"/>
    <n v="1781895.94"/>
    <s v="FX Non Deliverable Forward"/>
    <n v="1781895.94"/>
  </r>
  <r>
    <x v="0"/>
    <x v="0"/>
    <x v="51"/>
    <n v="150000000000"/>
    <s v="Government Marketable Bond"/>
    <n v="150000000000"/>
  </r>
  <r>
    <x v="0"/>
    <x v="0"/>
    <x v="3"/>
    <n v="1772298.26"/>
    <s v="FIXED EM BOND LOAN"/>
    <n v="1772298.26"/>
  </r>
  <r>
    <x v="0"/>
    <x v="0"/>
    <x v="52"/>
    <n v="295000000000"/>
    <s v="Government Marketable Bond"/>
    <n v="295000000000"/>
  </r>
  <r>
    <x v="0"/>
    <x v="0"/>
    <x v="49"/>
    <n v="100000000058.10001"/>
    <s v="FX Non Deliverable Forward"/>
    <n v="100000000058.10001"/>
  </r>
  <r>
    <x v="0"/>
    <x v="0"/>
    <x v="49"/>
    <n v="-6942034.0199999996"/>
    <s v="FX Non Deliverable Forward"/>
    <n v="-6942034.0199999996"/>
  </r>
  <r>
    <x v="0"/>
    <x v="0"/>
    <x v="3"/>
    <n v="6898279.7599999998"/>
    <s v="FIXED EM BOND LOAN"/>
    <n v="6898279.7599999998"/>
  </r>
  <r>
    <x v="0"/>
    <x v="0"/>
    <x v="53"/>
    <n v="185000000000"/>
    <s v="Government Marketable Bond"/>
    <n v="185000000000"/>
  </r>
  <r>
    <x v="0"/>
    <x v="0"/>
    <x v="54"/>
    <n v="145000000000"/>
    <s v="Government Marketable Bond"/>
    <n v="145000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1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F3:G59" firstHeaderRow="1" firstDataRow="1" firstDataCol="1" rowPageCount="1" colPageCount="1"/>
  <pivotFields count="6">
    <pivotField numFmtId="14" showAll="0"/>
    <pivotField axis="axisPage" showAll="0">
      <items count="3">
        <item m="1" x="1"/>
        <item x="0"/>
        <item t="default"/>
      </items>
    </pivotField>
    <pivotField axis="axisRow" showAll="0">
      <items count="56">
        <item x="0"/>
        <item x="4"/>
        <item x="5"/>
        <item x="2"/>
        <item x="41"/>
        <item x="42"/>
        <item x="48"/>
        <item x="44"/>
        <item x="46"/>
        <item x="47"/>
        <item x="40"/>
        <item x="43"/>
        <item x="8"/>
        <item x="6"/>
        <item x="7"/>
        <item x="3"/>
        <item x="18"/>
        <item x="1"/>
        <item x="49"/>
        <item x="45"/>
        <item x="13"/>
        <item x="10"/>
        <item x="14"/>
        <item x="9"/>
        <item x="12"/>
        <item x="11"/>
        <item x="52"/>
        <item x="54"/>
        <item x="53"/>
        <item x="50"/>
        <item x="51"/>
        <item x="15"/>
        <item x="16"/>
        <item x="17"/>
        <item x="22"/>
        <item x="20"/>
        <item x="21"/>
        <item x="19"/>
        <item x="23"/>
        <item x="24"/>
        <item x="25"/>
        <item x="26"/>
        <item x="39"/>
        <item x="38"/>
        <item x="36"/>
        <item x="37"/>
        <item x="35"/>
        <item x="27"/>
        <item x="28"/>
        <item x="29"/>
        <item x="30"/>
        <item x="33"/>
        <item x="32"/>
        <item x="34"/>
        <item x="31"/>
        <item t="default"/>
      </items>
    </pivotField>
    <pivotField numFmtId="166" showAll="0" defaultSubtotal="0"/>
    <pivotField showAll="0" defaultSubtotal="0"/>
    <pivotField dataField="1" numFmtId="166" showAll="0" defaultSubtotal="0"/>
  </pivotFields>
  <rowFields count="1">
    <field x="2"/>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Items count="1">
    <i/>
  </colItems>
  <pageFields count="1">
    <pageField fld="1" hier="-1"/>
  </pageFields>
  <dataFields count="1">
    <dataField name="Sum of Custom-DiffNotional"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displaypivot" cacheId="1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A5" firstHeaderRow="1" firstDataRow="1" firstDataCol="1" rowPageCount="1" colPageCount="1"/>
  <pivotFields count="6">
    <pivotField axis="axisRow" numFmtId="14" showAll="0">
      <items count="3">
        <item m="1" x="1"/>
        <item x="0"/>
        <item t="default"/>
      </items>
    </pivotField>
    <pivotField axis="axisPage" showAll="0">
      <items count="3">
        <item h="1" m="1" x="1"/>
        <item x="0"/>
        <item t="default"/>
      </items>
    </pivotField>
    <pivotField showAll="0"/>
    <pivotField numFmtId="166" showAll="0" defaultSubtotal="0"/>
    <pivotField showAll="0" defaultSubtotal="0"/>
    <pivotField numFmtId="166" showAll="0" defaultSubtotal="0"/>
  </pivotFields>
  <rowFields count="1">
    <field x="0"/>
  </rowFields>
  <rowItems count="2">
    <i>
      <x v="1"/>
    </i>
    <i t="grand">
      <x/>
    </i>
  </rowItems>
  <colItems count="1">
    <i/>
  </colItems>
  <pageFields count="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 name="DataSources" displayName="DataSources" ref="E9:M16" totalsRowShown="0" dataDxfId="59">
  <tableColumns count="9">
    <tableColumn id="1" name="Name"/>
    <tableColumn id="2" name="Source" dataDxfId="58" dataCellStyle="Normal"/>
    <tableColumn id="3" name="Source Detail" dataDxfId="57"/>
    <tableColumn id="5" name="Destination" dataDxfId="56"/>
    <tableColumn id="4" name="Headers" dataDxfId="55"/>
    <tableColumn id="7" name="Alt Date" dataDxfId="1"/>
    <tableColumn id="6" name="Enabled" dataDxfId="54"/>
    <tableColumn id="8" name="Replacement"/>
    <tableColumn id="9" name="Append" dataDxfId="53"/>
  </tableColumns>
  <tableStyleInfo name="TableStyleLight9" showFirstColumn="0" showLastColumn="0" showRowStripes="1" showColumnStripes="0"/>
</table>
</file>

<file path=xl/tables/table2.xml><?xml version="1.0" encoding="utf-8"?>
<table xmlns="http://schemas.openxmlformats.org/spreadsheetml/2006/main" id="3" name="Settings" displayName="Settings" ref="B5:C11" totalsRowShown="0">
  <tableColumns count="2">
    <tableColumn id="1" name="Setting"/>
    <tableColumn id="2" name="Value" dataDxfId="52"/>
  </tableColumns>
  <tableStyleInfo name="TableStyleLight9" showFirstColumn="0" showLastColumn="0" showRowStripes="1" showColumnStripes="0"/>
</table>
</file>

<file path=xl/tables/table3.xml><?xml version="1.0" encoding="utf-8"?>
<table xmlns="http://schemas.openxmlformats.org/spreadsheetml/2006/main" id="1" name="DBSources" displayName="DBSources" ref="E5:I6" totalsRowShown="0">
  <tableColumns count="5">
    <tableColumn id="1" name="Name"/>
    <tableColumn id="2" name="Hostname"/>
    <tableColumn id="3" name="Servicename"/>
    <tableColumn id="4" name="Username" dataDxfId="51"/>
    <tableColumn id="5" name="Password" dataDxfId="50"/>
  </tableColumns>
  <tableStyleInfo name="TableStyleLight9" showFirstColumn="0" showLastColumn="0" showRowStripes="1" showColumnStripes="0"/>
</table>
</file>

<file path=xl/tables/table4.xml><?xml version="1.0" encoding="utf-8"?>
<table xmlns="http://schemas.openxmlformats.org/spreadsheetml/2006/main" id="4" name="Trends" displayName="Trends" ref="E46:H47" totalsRowShown="0">
  <tableColumns count="4">
    <tableColumn id="1" name="Trend Name"/>
    <tableColumn id="2" name="Current Values Range"/>
    <tableColumn id="3" name="Historical Range"/>
    <tableColumn id="4" name="Enabled"/>
  </tableColumns>
  <tableStyleInfo name="TableStyleLight9" showFirstColumn="0" showLastColumn="0" showRowStripes="1" showColumnStripes="0"/>
</table>
</file>

<file path=xl/tables/table5.xml><?xml version="1.0" encoding="utf-8"?>
<table xmlns="http://schemas.openxmlformats.org/spreadsheetml/2006/main" id="6" name="Formula1" displayName="Formula1" ref="E50:L52" totalsRowShown="0">
  <tableColumns count="8">
    <tableColumn id="1" name="Sheetname"/>
    <tableColumn id="2" name="Table Name" dataDxfId="49"/>
    <tableColumn id="3" name="Formula"/>
    <tableColumn id="4" name="Header Name"/>
    <tableColumn id="5" name="Enabled"/>
    <tableColumn id="6" name="Data or Report"/>
    <tableColumn id="7" name="Formula On (Header)"/>
    <tableColumn id="8" name="Delete Columns"/>
  </tableColumns>
  <tableStyleInfo name="TableStyleLight9" showFirstColumn="0" showLastColumn="0" showRowStripes="1" showColumnStripes="0"/>
</table>
</file>

<file path=xl/tables/table6.xml><?xml version="1.0" encoding="utf-8"?>
<table xmlns="http://schemas.openxmlformats.org/spreadsheetml/2006/main" id="14" name="Pivotsetting" displayName="Pivotsetting" ref="E56:I57" totalsRowShown="0">
  <autoFilter ref="E56:I57"/>
  <tableColumns count="5">
    <tableColumn id="1" name="Report Sheetname"/>
    <tableColumn id="2" name="Report Range"/>
    <tableColumn id="3" name="Target Sheetname"/>
    <tableColumn id="4" name="Target Table/Range Name"/>
    <tableColumn id="5" name="Type" dataDxfId="48"/>
  </tableColumns>
  <tableStyleInfo name="TableStyleLight9" showFirstColumn="0" showLastColumn="0" showRowStripes="1" showColumnStripes="0"/>
</table>
</file>

<file path=xl/tables/table7.xml><?xml version="1.0" encoding="utf-8"?>
<table xmlns="http://schemas.openxmlformats.org/spreadsheetml/2006/main" id="7" name="outputconfigtable" displayName="outputconfigtable" ref="J46:L47" totalsRowShown="0">
  <autoFilter ref="J46:L47"/>
  <tableColumns count="3">
    <tableColumn id="1" name="Table Name"/>
    <tableColumn id="2" name="Output Name"/>
    <tableColumn id="3" name="Filepath"/>
  </tableColumns>
  <tableStyleInfo name="TableStyleLight9" showFirstColumn="0" showLastColumn="0" showRowStripes="1" showColumnStripes="0"/>
</table>
</file>

<file path=xl/tables/table8.xml><?xml version="1.0" encoding="utf-8"?>
<table xmlns="http://schemas.openxmlformats.org/spreadsheetml/2006/main" id="12" name="outputtable" displayName="outputtable" ref="E41:N43" totalsRowShown="0">
  <tableColumns count="10">
    <tableColumn id="1" name="Name"/>
    <tableColumn id="2" name="Output Path"/>
    <tableColumn id="3" name="Filename"/>
    <tableColumn id="4" name="Tab name"/>
    <tableColumn id="5" name="Create Folder?" dataDxfId="47"/>
    <tableColumn id="6" name="Enabled"/>
    <tableColumn id="7" name="PDF Print Area"/>
    <tableColumn id="8" name="PDF Orientation"/>
    <tableColumn id="9" name="PDF Fit (Horizontal|Vertical)"/>
    <tableColumn id="10" name="Tracking"/>
  </tableColumns>
  <tableStyleInfo name="TableStyleLight9" showFirstColumn="0" showLastColumn="0" showRowStripes="1" showColumnStripes="0"/>
</table>
</file>

<file path=xl/tables/table9.xml><?xml version="1.0" encoding="utf-8"?>
<table xmlns="http://schemas.openxmlformats.org/spreadsheetml/2006/main" id="24" name="emailtable" displayName="emailtable" ref="E36:L37" totalsRowShown="0" headerRowDxfId="46" dataDxfId="45" tableBorderDxfId="44">
  <autoFilter ref="E36:L37"/>
  <tableColumns count="8">
    <tableColumn id="1" name="Name" dataDxfId="43"/>
    <tableColumn id="2" name="To" dataDxfId="42"/>
    <tableColumn id="3" name="Cc" dataDxfId="41"/>
    <tableColumn id="4" name="Subject" dataDxfId="40"/>
    <tableColumn id="5" name="Body" dataDxfId="39"/>
    <tableColumn id="6" name="Attachment Path" dataDxfId="38"/>
    <tableColumn id="7" name="Enabled" dataDxfId="37"/>
    <tableColumn id="8" name="Send/Display" dataDxfId="36"/>
  </tableColumns>
  <tableStyleInfo name="TableStyleLight9" showFirstColumn="0" showLastColumn="0" showRowStripes="1" showColumnStripes="0"/>
</table>
</file>

<file path=xl/tables/table10.xml><?xml version="1.0" encoding="utf-8"?>
<table xmlns="http://schemas.openxmlformats.org/spreadsheetml/2006/main" id="25" name="pivotsettings" displayName="pivotsettings" ref="E28:K29" totalsRowShown="0" headerRowDxfId="35" dataDxfId="34">
  <autoFilter ref="E28:K29"/>
  <tableColumns count="7">
    <tableColumn id="1" name="Pivot Table Name"/>
    <tableColumn id="2" name="Sheet" dataDxfId="33"/>
    <tableColumn id="3" name="Field Name"/>
    <tableColumn id="4" name="Filter Criteria" dataDxfId="32"/>
    <tableColumn id="5" name="Filter In/Out" dataDxfId="31"/>
    <tableColumn id="6" name="Enabled" dataDxfId="30"/>
    <tableColumn id="7" name="Reset Pivot Filters" dataDxfId="29"/>
  </tableColumns>
  <tableStyleInfo name="TableStyleLight9" showFirstColumn="0" showLastColumn="0" showRowStripes="1" showColumnStripes="0"/>
</table>
</file>

<file path=xl/tables/table11.xml><?xml version="1.0" encoding="utf-8"?>
<table xmlns="http://schemas.openxmlformats.org/spreadsheetml/2006/main" id="22" name="pivotReportSettings" displayName="pivotReportSettings" ref="E32:K33" totalsRowShown="0" headerRowDxfId="28" dataDxfId="27">
  <autoFilter ref="E32:K33"/>
  <tableColumns count="7">
    <tableColumn id="1" name="Report Table Name"/>
    <tableColumn id="2" name="Pivot Sheet" dataDxfId="26"/>
    <tableColumn id="3" name="Pivot Table Name"/>
    <tableColumn id="4" name="Null Message" dataDxfId="25"/>
    <tableColumn id="5" name="Enabled" dataDxfId="24"/>
    <tableColumn id="6" name="Fill Empty Row Labels" dataDxfId="23"/>
    <tableColumn id="7" name="Delete Rows" dataDxfId="22"/>
  </tableColumns>
  <tableStyleInfo name="TableStyleLight9" showFirstColumn="0" showLastColumn="0" showRowStripes="1" showColumnStripes="0"/>
</table>
</file>

<file path=xl/tables/table12.xml><?xml version="1.0" encoding="utf-8"?>
<table xmlns="http://schemas.openxmlformats.org/spreadsheetml/2006/main" id="16" name="HolidaySettings" displayName="HolidaySettings" ref="A2:A166" totalsRowShown="0">
  <autoFilter ref="A2:A166"/>
  <tableColumns count="1">
    <tableColumn id="1" name="Holidays"/>
  </tableColumns>
  <tableStyleInfo name="TableStyleLight9" showFirstColumn="0" showLastColumn="0" showRowStripes="1" showColumnStripes="0"/>
</table>
</file>

<file path=xl/tables/table13.xml><?xml version="1.0" encoding="utf-8"?>
<table xmlns="http://schemas.openxmlformats.org/spreadsheetml/2006/main" id="15" name="customField" displayName="customField" ref="C2:C5" totalsRowShown="0">
  <autoFilter ref="C2:C5"/>
  <tableColumns count="1">
    <tableColumn id="1" name="Field Names"/>
  </tableColumns>
  <tableStyleInfo name="TableStyleMedium9" showFirstColumn="0" showLastColumn="0" showRowStripes="1" showColumnStripes="0"/>
</table>
</file>

<file path=xl/tables/table14.xml><?xml version="1.0" encoding="utf-8"?>
<table xmlns="http://schemas.openxmlformats.org/spreadsheetml/2006/main" id="18" name="customStrategy" displayName="customStrategy" ref="E2:E4" totalsRowShown="0">
  <autoFilter ref="E2:E4"/>
  <tableColumns count="1">
    <tableColumn id="1" name="Field Names"/>
  </tableColumns>
  <tableStyleInfo name="TableStyleMedium9" showFirstColumn="0" showLastColumn="0" showRowStripes="1" showColumnStripes="0"/>
</table>
</file>

<file path=xl/tables/table15.xml><?xml version="1.0" encoding="utf-8"?>
<table xmlns="http://schemas.openxmlformats.org/spreadsheetml/2006/main" id="8" name="trendtable" displayName="trendtable" ref="A3:S4" totalsRowShown="0">
  <autoFilter ref="A3:S4"/>
  <sortState ref="A4:AV752">
    <sortCondition ref="A3:A752"/>
  </sortState>
  <tableColumns count="19">
    <tableColumn id="1" name="Date" dataDxfId="21"/>
    <tableColumn id="2" name="ActiveRisk10Y_GCSF" dataDxfId="20"/>
    <tableColumn id="51" name="RM_Beta_GCSF"/>
    <tableColumn id="52" name="RM_ActiveRisk_3Y_GCSF" dataDxfId="19"/>
    <tableColumn id="3" name="Longs_GCSF" dataDxfId="18"/>
    <tableColumn id="4" name="Shorts_GCSF" dataDxfId="17"/>
    <tableColumn id="5" name="RC 10Y F"/>
    <tableColumn id="6" name="SD Param 3Y1D1D 1Y HL GCSF" dataCellStyle="Comma"/>
    <tableColumn id="7" name="SD RORO Daily High GCSF" dataDxfId="16"/>
    <tableColumn id="8" name="SD RORO Daily Low GCSF" dataDxfId="15"/>
    <tableColumn id="9" name="SD RORO Daily Base GCSF" dataDxfId="14"/>
    <tableColumn id="10" name="SD RORO Weekly High GCSF" dataDxfId="13"/>
    <tableColumn id="11" name="SD RORO Weekly Low GCSF" dataDxfId="12"/>
    <tableColumn id="12" name="SD RORO Weekly Base GCSF" dataDxfId="11"/>
    <tableColumn id="13" name="# Longs GCSF" dataDxfId="10"/>
    <tableColumn id="14" name="# Shorts GCSF" dataDxfId="9"/>
    <tableColumn id="15" name="Var90 GCSF" dataDxfId="8"/>
    <tableColumn id="16" name="Net F" dataDxfId="7"/>
    <tableColumn id="18" name="Comments" dataDxfId="6"/>
  </tableColumns>
  <tableStyleInfo name="TableStyleLight9" showFirstColumn="0" showLastColumn="0" showRowStripes="1" showColumnStripes="0"/>
</table>
</file>

<file path=xl/tables/table16.xml><?xml version="1.0" encoding="utf-8"?>
<table xmlns="http://schemas.openxmlformats.org/spreadsheetml/2006/main" id="13" name="PV" displayName="PV" ref="A1:E12850" totalsRowShown="0">
  <autoFilter ref="A1:E12850"/>
  <tableColumns count="5">
    <tableColumn id="1" name="Business Date"/>
    <tableColumn id="2" name="Investment Strategy" dataDxfId="4" dataCellStyle="Comma"/>
    <tableColumn id="3" name="Position Description" dataDxfId="3" dataCellStyle="Comma"/>
    <tableColumn id="5" name="Notional Value Local Cur" dataDxfId="2" dataCellStyle="Comma"/>
    <tableColumn id="9" name="Custom-DiffNotional" dataDxfId="0" dataCellStyle="Comma">
      <calculatedColumnFormula>IF(PV[[#This Row],[Business Date]]=Control!$C$6, PV[[#This Row],[Notional Value Local Cur]], -PV[[#This Row],[Notional Value Local Cur]])</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9" name="PnL" displayName="PnL" ref="A1:C2601" totalsRowShown="0">
  <autoFilter ref="A1:C2601"/>
  <tableColumns count="3">
    <tableColumn id="1" name="dim_date"/>
    <tableColumn id="2" name="CLG"/>
    <tableColumn id="3" name="EM Bond Portfolio"/>
  </tableColumns>
  <tableStyleInfo name="TableStyleMedium9" showFirstColumn="0" showLastColumn="0" showRowStripes="1" showColumnStripes="0"/>
</table>
</file>

<file path=xl/tables/table18.xml><?xml version="1.0" encoding="utf-8"?>
<table xmlns="http://schemas.openxmlformats.org/spreadsheetml/2006/main" id="17" name="ModuleImportTable" displayName="ModuleImportTable" ref="A1:C4" totalsRowShown="0">
  <autoFilter ref="A1:C4"/>
  <tableColumns count="3">
    <tableColumn id="1" name="Modules to Import"/>
    <tableColumn id="2" name="Import from filepath"/>
    <tableColumn id="3" name="Enabled"/>
  </tableColumns>
  <tableStyleInfo name="TableStyleLight9" showFirstColumn="0" showLastColumn="0" showRowStripes="1" showColumnStripes="0"/>
</table>
</file>

<file path=xl/tables/table19.xml><?xml version="1.0" encoding="utf-8"?>
<table xmlns="http://schemas.openxmlformats.org/spreadsheetml/2006/main" id="28" name="ModuleExportTable" displayName="ModuleExportTable" ref="E1:G5" totalsRowShown="0">
  <autoFilter ref="E1:G5"/>
  <tableColumns count="3">
    <tableColumn id="1" name="Modules to Export"/>
    <tableColumn id="2" name="Export to filepath"/>
    <tableColumn id="3" name="Enabled"/>
  </tableColumns>
  <tableStyleInfo name="TableStyleLight9" showFirstColumn="0" showLastColumn="0" showRowStripes="1" showColumnStripes="0"/>
</table>
</file>

<file path=xl/tables/table20.xml><?xml version="1.0" encoding="utf-8"?>
<table xmlns="http://schemas.openxmlformats.org/spreadsheetml/2006/main" id="5" name="ControlDEVTable" displayName="ControlDEVTable" ref="A9:D10" totalsRowShown="0" tableBorderDxfId="5">
  <autoFilter ref="A9:D10"/>
  <tableColumns count="4">
    <tableColumn id="1" name="Source Sheet Path &amp; Name"/>
    <tableColumn id="2" name="Source Sheetname"/>
    <tableColumn id="3" name="Destination Sheetname"/>
    <tableColumn id="4" name="Enabled"/>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2.xml"/><Relationship Id="rId18" Type="http://schemas.openxmlformats.org/officeDocument/2006/relationships/table" Target="../tables/table7.xml"/><Relationship Id="rId3" Type="http://schemas.openxmlformats.org/officeDocument/2006/relationships/vmlDrawing" Target="../drawings/vmlDrawing1.vml"/><Relationship Id="rId21" Type="http://schemas.openxmlformats.org/officeDocument/2006/relationships/table" Target="../tables/table10.xml"/><Relationship Id="rId7" Type="http://schemas.openxmlformats.org/officeDocument/2006/relationships/ctrlProp" Target="../ctrlProps/ctrlProp4.xml"/><Relationship Id="rId12" Type="http://schemas.openxmlformats.org/officeDocument/2006/relationships/table" Target="../tables/table1.xml"/><Relationship Id="rId17" Type="http://schemas.openxmlformats.org/officeDocument/2006/relationships/table" Target="../tables/table6.xml"/><Relationship Id="rId2" Type="http://schemas.openxmlformats.org/officeDocument/2006/relationships/drawing" Target="../drawings/drawing1.xml"/><Relationship Id="rId16" Type="http://schemas.openxmlformats.org/officeDocument/2006/relationships/table" Target="../tables/table5.xml"/><Relationship Id="rId20" Type="http://schemas.openxmlformats.org/officeDocument/2006/relationships/table" Target="../tables/table9.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4.xml"/><Relationship Id="rId23"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table" Target="../tables/table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3.xml"/><Relationship Id="rId22" Type="http://schemas.openxmlformats.org/officeDocument/2006/relationships/table" Target="../tables/table1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2.bin"/><Relationship Id="rId4" Type="http://schemas.openxmlformats.org/officeDocument/2006/relationships/table" Target="../tables/table14.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ctrlProp" Target="../ctrlProps/ctrlProp9.xml"/><Relationship Id="rId7" Type="http://schemas.openxmlformats.org/officeDocument/2006/relationships/table" Target="../tables/table1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sheetPr>
  <dimension ref="B1:P78"/>
  <sheetViews>
    <sheetView showGridLines="0" tabSelected="1" topLeftCell="B1" zoomScale="85" zoomScaleNormal="85" workbookViewId="0">
      <selection activeCell="G17" sqref="G17"/>
    </sheetView>
  </sheetViews>
  <sheetFormatPr defaultRowHeight="15" x14ac:dyDescent="0.25"/>
  <cols>
    <col min="1" max="1" width="3.140625" customWidth="1"/>
    <col min="2" max="2" width="24.42578125" customWidth="1"/>
    <col min="3" max="3" width="34.140625" customWidth="1"/>
    <col min="4" max="4" width="14" customWidth="1"/>
    <col min="5" max="5" width="18" customWidth="1"/>
    <col min="6" max="6" width="16" customWidth="1"/>
    <col min="7" max="7" width="22.42578125" customWidth="1"/>
    <col min="8" max="8" width="30.85546875" customWidth="1"/>
    <col min="9" max="10" width="22.42578125" customWidth="1"/>
    <col min="11" max="11" width="18.28515625" customWidth="1"/>
    <col min="12" max="12" width="19" customWidth="1"/>
    <col min="13" max="13" width="22.42578125" customWidth="1"/>
    <col min="14" max="14" width="9" customWidth="1"/>
  </cols>
  <sheetData>
    <row r="1" spans="2:14" ht="15.75" thickBot="1" x14ac:dyDescent="0.3"/>
    <row r="2" spans="2:14" ht="19.5" thickBot="1" x14ac:dyDescent="0.3">
      <c r="B2" s="7">
        <f ca="1">C6</f>
        <v>43262</v>
      </c>
      <c r="G2" s="36"/>
    </row>
    <row r="3" spans="2:14" ht="15" customHeight="1" x14ac:dyDescent="0.25"/>
    <row r="4" spans="2:14" ht="15" customHeight="1" thickBot="1" x14ac:dyDescent="0.35">
      <c r="B4" s="1" t="s">
        <v>13</v>
      </c>
      <c r="E4" s="1" t="s">
        <v>7</v>
      </c>
    </row>
    <row r="5" spans="2:14" ht="15" customHeight="1" thickTop="1" x14ac:dyDescent="0.25">
      <c r="B5" t="s">
        <v>3</v>
      </c>
      <c r="C5" s="8" t="s">
        <v>4</v>
      </c>
      <c r="E5" t="s">
        <v>8</v>
      </c>
      <c r="F5" t="s">
        <v>9</v>
      </c>
      <c r="G5" t="s">
        <v>10</v>
      </c>
      <c r="H5" t="s">
        <v>11</v>
      </c>
      <c r="I5" t="s">
        <v>12</v>
      </c>
    </row>
    <row r="6" spans="2:14" ht="15" customHeight="1" x14ac:dyDescent="0.25">
      <c r="B6" t="s">
        <v>0</v>
      </c>
      <c r="C6" s="5">
        <f ca="1">WORKDAY(TODAY(),-1, HolidaySettings[Holidays])</f>
        <v>43262</v>
      </c>
      <c r="E6" t="s">
        <v>54</v>
      </c>
      <c r="F6" s="11"/>
      <c r="G6" s="10"/>
      <c r="H6" s="6"/>
      <c r="I6" s="6"/>
    </row>
    <row r="7" spans="2:14" ht="15" customHeight="1" x14ac:dyDescent="0.25">
      <c r="B7" t="s">
        <v>53</v>
      </c>
      <c r="C7" s="5">
        <f ca="1">WORKDAY(C6,-1, HolidaySettings[Holidays])</f>
        <v>43258</v>
      </c>
      <c r="E7" s="3"/>
      <c r="F7" s="4"/>
      <c r="G7" s="3"/>
      <c r="H7" s="3"/>
      <c r="I7" s="3"/>
    </row>
    <row r="8" spans="2:14" ht="15" customHeight="1" thickBot="1" x14ac:dyDescent="0.35">
      <c r="B8" t="s">
        <v>31</v>
      </c>
      <c r="C8" s="5">
        <f ca="1">IF(DATE(YEAR(TODAY()), 4,1)&gt; TODAY(),DATE(YEAR(TODAY())-1, 4,1),DATE(YEAR(TODAY()), 4,1))</f>
        <v>43191</v>
      </c>
      <c r="E8" s="1" t="s">
        <v>23</v>
      </c>
    </row>
    <row r="9" spans="2:14" ht="15" customHeight="1" thickTop="1" x14ac:dyDescent="0.25">
      <c r="B9" t="s">
        <v>5</v>
      </c>
      <c r="C9" s="2"/>
      <c r="E9" t="s">
        <v>8</v>
      </c>
      <c r="F9" t="s">
        <v>2</v>
      </c>
      <c r="G9" t="s">
        <v>24</v>
      </c>
      <c r="H9" t="s">
        <v>22</v>
      </c>
      <c r="I9" t="s">
        <v>19</v>
      </c>
      <c r="J9" t="s">
        <v>21</v>
      </c>
      <c r="K9" t="s">
        <v>18</v>
      </c>
      <c r="L9" t="s">
        <v>39</v>
      </c>
      <c r="M9" s="36" t="s">
        <v>137</v>
      </c>
    </row>
    <row r="10" spans="2:14" ht="17.25" customHeight="1" x14ac:dyDescent="0.25">
      <c r="B10" t="s">
        <v>6</v>
      </c>
      <c r="C10" s="2"/>
      <c r="D10" t="s">
        <v>28</v>
      </c>
      <c r="E10" s="36" t="s">
        <v>139</v>
      </c>
      <c r="F10" s="58" t="s">
        <v>140</v>
      </c>
      <c r="G10" s="36" t="s">
        <v>141</v>
      </c>
      <c r="H10" s="36" t="s">
        <v>142</v>
      </c>
      <c r="I10" s="36" t="s">
        <v>138</v>
      </c>
      <c r="J10" s="36"/>
      <c r="K10" s="14"/>
      <c r="L10" s="36"/>
      <c r="M10" s="59"/>
    </row>
    <row r="11" spans="2:14" ht="15" customHeight="1" x14ac:dyDescent="0.25">
      <c r="B11" t="s">
        <v>38</v>
      </c>
      <c r="C11" s="2"/>
      <c r="E11" s="39" t="s">
        <v>227</v>
      </c>
      <c r="F11" s="34" t="s">
        <v>84</v>
      </c>
      <c r="G11" s="36" t="s">
        <v>141</v>
      </c>
      <c r="H11" s="14" t="s">
        <v>227</v>
      </c>
      <c r="I11" s="14" t="s">
        <v>1</v>
      </c>
      <c r="J11" s="35"/>
      <c r="K11" s="13"/>
      <c r="L11" s="3"/>
      <c r="M11" s="14"/>
    </row>
    <row r="12" spans="2:14" ht="15" customHeight="1" x14ac:dyDescent="0.25">
      <c r="B12" s="3"/>
      <c r="C12" s="12"/>
      <c r="E12" t="s">
        <v>303</v>
      </c>
      <c r="F12" s="40" t="s">
        <v>304</v>
      </c>
      <c r="G12" s="70" t="s">
        <v>305</v>
      </c>
      <c r="H12" s="13" t="s">
        <v>303</v>
      </c>
      <c r="I12" s="14" t="s">
        <v>1</v>
      </c>
      <c r="J12" s="35"/>
      <c r="K12" s="13"/>
      <c r="L12" s="3" t="s">
        <v>306</v>
      </c>
      <c r="M12" s="13"/>
    </row>
    <row r="13" spans="2:14" ht="15" customHeight="1" x14ac:dyDescent="0.25">
      <c r="B13" s="3"/>
      <c r="C13" s="12"/>
      <c r="E13" s="39" t="s">
        <v>229</v>
      </c>
      <c r="F13" s="40" t="s">
        <v>84</v>
      </c>
      <c r="G13" s="42" t="s">
        <v>312</v>
      </c>
      <c r="H13" s="13" t="s">
        <v>227</v>
      </c>
      <c r="I13" s="13" t="s">
        <v>1</v>
      </c>
      <c r="J13" s="35"/>
      <c r="K13" s="13" t="s">
        <v>1</v>
      </c>
      <c r="L13" s="3"/>
      <c r="M13" s="13"/>
    </row>
    <row r="14" spans="2:14" ht="15" customHeight="1" x14ac:dyDescent="0.25">
      <c r="B14" s="3"/>
      <c r="C14" s="12"/>
      <c r="E14" s="39" t="s">
        <v>228</v>
      </c>
      <c r="F14" s="40" t="s">
        <v>84</v>
      </c>
      <c r="G14" s="42" t="s">
        <v>287</v>
      </c>
      <c r="H14" s="13" t="s">
        <v>227</v>
      </c>
      <c r="I14" s="13" t="s">
        <v>1</v>
      </c>
      <c r="J14" s="35"/>
      <c r="K14" s="13"/>
      <c r="L14" s="3" t="s">
        <v>290</v>
      </c>
      <c r="M14" s="13"/>
      <c r="N14" s="36"/>
    </row>
    <row r="15" spans="2:14" ht="15" customHeight="1" x14ac:dyDescent="0.25">
      <c r="B15" s="3"/>
      <c r="C15" s="12"/>
      <c r="E15" s="39" t="s">
        <v>228</v>
      </c>
      <c r="F15" s="40" t="s">
        <v>84</v>
      </c>
      <c r="G15" s="42" t="s">
        <v>296</v>
      </c>
      <c r="H15" s="13" t="s">
        <v>227</v>
      </c>
      <c r="I15" s="13" t="s">
        <v>1</v>
      </c>
      <c r="J15" s="35"/>
      <c r="K15" s="13"/>
      <c r="L15" s="3" t="s">
        <v>295</v>
      </c>
      <c r="M15" s="13"/>
      <c r="N15" s="36"/>
    </row>
    <row r="16" spans="2:14" ht="15" customHeight="1" x14ac:dyDescent="0.25">
      <c r="B16" s="3"/>
      <c r="C16" s="4"/>
      <c r="E16" s="3" t="s">
        <v>298</v>
      </c>
      <c r="F16" s="34" t="s">
        <v>84</v>
      </c>
      <c r="G16" s="42" t="s">
        <v>316</v>
      </c>
      <c r="H16" s="13" t="s">
        <v>227</v>
      </c>
      <c r="I16" s="13" t="s">
        <v>138</v>
      </c>
      <c r="J16" s="35">
        <f ca="1">$C$7</f>
        <v>43258</v>
      </c>
      <c r="K16" s="13" t="s">
        <v>1</v>
      </c>
      <c r="L16" s="3" t="s">
        <v>295</v>
      </c>
      <c r="M16" s="13" t="s">
        <v>1</v>
      </c>
      <c r="N16" s="36"/>
    </row>
    <row r="17" spans="2:16" ht="15" customHeight="1" x14ac:dyDescent="0.25">
      <c r="B17" s="3"/>
      <c r="C17" s="12"/>
      <c r="E17" s="3"/>
      <c r="F17" s="40"/>
      <c r="G17" s="14"/>
      <c r="H17" s="14"/>
      <c r="I17" s="14"/>
      <c r="J17" s="35"/>
      <c r="K17" s="14"/>
      <c r="L17" s="3"/>
      <c r="M17" s="36"/>
      <c r="N17" s="36"/>
    </row>
    <row r="18" spans="2:16" ht="15" customHeight="1" x14ac:dyDescent="0.25">
      <c r="C18" s="16"/>
      <c r="E18" s="3"/>
      <c r="F18" s="40"/>
      <c r="G18" s="14"/>
      <c r="H18" s="14"/>
      <c r="I18" s="14"/>
      <c r="J18" s="35"/>
      <c r="K18" s="14"/>
      <c r="L18" s="3"/>
      <c r="M18" s="36"/>
      <c r="N18" s="36"/>
    </row>
    <row r="19" spans="2:16" ht="15" customHeight="1" x14ac:dyDescent="0.25">
      <c r="C19" s="16"/>
      <c r="E19" s="3"/>
      <c r="F19" s="40"/>
      <c r="G19" s="14"/>
      <c r="H19" s="14"/>
      <c r="I19" s="14"/>
      <c r="J19" s="35"/>
      <c r="K19" s="14"/>
      <c r="L19" s="3"/>
      <c r="M19" s="36"/>
      <c r="N19" s="36"/>
    </row>
    <row r="20" spans="2:16" ht="15" customHeight="1" x14ac:dyDescent="0.25">
      <c r="E20" s="3"/>
      <c r="F20" s="40"/>
      <c r="G20" s="14"/>
      <c r="H20" s="14"/>
      <c r="I20" s="14"/>
      <c r="J20" s="35"/>
      <c r="K20" s="14"/>
      <c r="L20" s="3"/>
      <c r="M20" s="36"/>
      <c r="N20" s="36"/>
    </row>
    <row r="21" spans="2:16" ht="15" customHeight="1" thickBot="1" x14ac:dyDescent="0.35">
      <c r="B21" s="1" t="s">
        <v>20</v>
      </c>
      <c r="E21" s="3"/>
      <c r="F21" s="40"/>
      <c r="G21" s="14"/>
      <c r="H21" s="14"/>
      <c r="I21" s="14"/>
      <c r="J21" s="35"/>
      <c r="K21" s="14"/>
      <c r="L21" s="3"/>
      <c r="M21" s="36"/>
      <c r="N21" s="36"/>
    </row>
    <row r="22" spans="2:16" ht="15" customHeight="1" thickTop="1" x14ac:dyDescent="0.25">
      <c r="B22" s="60" t="s">
        <v>315</v>
      </c>
      <c r="C22" s="61"/>
      <c r="E22" s="3"/>
      <c r="F22" s="40"/>
      <c r="G22" s="14"/>
      <c r="H22" s="14"/>
      <c r="I22" s="14"/>
      <c r="J22" s="35"/>
      <c r="K22" s="14"/>
      <c r="L22" s="3"/>
      <c r="M22" s="36"/>
      <c r="N22" s="36"/>
      <c r="P22" s="36"/>
    </row>
    <row r="23" spans="2:16" ht="15" customHeight="1" x14ac:dyDescent="0.25">
      <c r="B23" s="62"/>
      <c r="C23" s="63"/>
      <c r="E23" s="3"/>
      <c r="F23" s="40"/>
      <c r="G23" s="14"/>
      <c r="H23" s="14"/>
      <c r="I23" s="14"/>
      <c r="J23" s="35"/>
      <c r="K23" s="14"/>
      <c r="L23" s="3"/>
      <c r="M23" s="36"/>
      <c r="N23" s="36"/>
    </row>
    <row r="24" spans="2:16" ht="15" customHeight="1" x14ac:dyDescent="0.25">
      <c r="B24" s="62"/>
      <c r="C24" s="63"/>
      <c r="E24" s="3"/>
      <c r="F24" s="40"/>
      <c r="G24" s="14"/>
      <c r="H24" s="14"/>
      <c r="I24" s="14"/>
      <c r="J24" s="35"/>
      <c r="K24" s="14"/>
      <c r="L24" s="3"/>
      <c r="M24" s="36"/>
      <c r="N24" s="36"/>
    </row>
    <row r="25" spans="2:16" ht="15" customHeight="1" x14ac:dyDescent="0.25">
      <c r="B25" s="62"/>
      <c r="C25" s="63"/>
      <c r="E25" s="3"/>
      <c r="F25" s="34"/>
      <c r="G25" s="14"/>
      <c r="H25" s="48"/>
      <c r="I25" s="13"/>
      <c r="J25" s="35"/>
      <c r="K25" s="14"/>
      <c r="L25" s="3"/>
    </row>
    <row r="26" spans="2:16" ht="15" customHeight="1" x14ac:dyDescent="0.25">
      <c r="B26" s="62"/>
      <c r="C26" s="63"/>
    </row>
    <row r="27" spans="2:16" ht="15" customHeight="1" thickBot="1" x14ac:dyDescent="0.35">
      <c r="B27" s="62"/>
      <c r="C27" s="63"/>
      <c r="E27" s="1" t="s">
        <v>62</v>
      </c>
      <c r="F27" s="4"/>
      <c r="G27" s="3"/>
      <c r="H27" s="17"/>
      <c r="I27" s="17"/>
      <c r="K27" s="17"/>
    </row>
    <row r="28" spans="2:16" ht="15" customHeight="1" thickTop="1" x14ac:dyDescent="0.25">
      <c r="B28" s="62"/>
      <c r="C28" s="63"/>
      <c r="E28" s="28" t="s">
        <v>63</v>
      </c>
      <c r="F28" s="28" t="s">
        <v>64</v>
      </c>
      <c r="G28" s="28" t="s">
        <v>65</v>
      </c>
      <c r="H28" s="28" t="s">
        <v>66</v>
      </c>
      <c r="I28" s="28" t="s">
        <v>67</v>
      </c>
      <c r="J28" s="28" t="s">
        <v>18</v>
      </c>
      <c r="K28" s="21" t="s">
        <v>68</v>
      </c>
    </row>
    <row r="29" spans="2:16" ht="15" customHeight="1" x14ac:dyDescent="0.25">
      <c r="B29" s="62"/>
      <c r="C29" s="63"/>
      <c r="E29" s="36" t="s">
        <v>301</v>
      </c>
      <c r="F29" s="4" t="s">
        <v>76</v>
      </c>
      <c r="G29" s="36" t="s">
        <v>285</v>
      </c>
      <c r="H29" s="36" t="s">
        <v>286</v>
      </c>
      <c r="I29" s="18" t="s">
        <v>87</v>
      </c>
      <c r="J29" s="18" t="s">
        <v>1</v>
      </c>
      <c r="K29" s="18" t="s">
        <v>1</v>
      </c>
      <c r="M29" s="36"/>
    </row>
    <row r="30" spans="2:16" ht="15" customHeight="1" x14ac:dyDescent="0.25">
      <c r="B30" s="62"/>
      <c r="C30" s="63"/>
      <c r="E30" s="36"/>
      <c r="F30" s="4"/>
      <c r="G30" s="3"/>
      <c r="H30" s="36"/>
      <c r="I30" s="18"/>
      <c r="J30" s="18"/>
      <c r="K30" s="18"/>
      <c r="L30" s="36"/>
      <c r="M30" s="36"/>
      <c r="N30" s="36"/>
    </row>
    <row r="31" spans="2:16" ht="15" customHeight="1" thickBot="1" x14ac:dyDescent="0.35">
      <c r="B31" s="62"/>
      <c r="C31" s="63"/>
      <c r="E31" s="1" t="s">
        <v>71</v>
      </c>
      <c r="F31" s="4"/>
      <c r="G31" s="3"/>
      <c r="H31" s="3"/>
      <c r="I31" s="18"/>
      <c r="J31" s="18"/>
      <c r="K31" s="18"/>
      <c r="L31" s="36"/>
      <c r="M31" s="36"/>
      <c r="N31" s="36"/>
    </row>
    <row r="32" spans="2:16" ht="15" customHeight="1" thickTop="1" x14ac:dyDescent="0.25">
      <c r="B32" s="62"/>
      <c r="C32" s="63"/>
      <c r="E32" s="28" t="s">
        <v>72</v>
      </c>
      <c r="F32" s="28" t="s">
        <v>73</v>
      </c>
      <c r="G32" s="28" t="s">
        <v>63</v>
      </c>
      <c r="H32" s="28" t="s">
        <v>74</v>
      </c>
      <c r="I32" s="28" t="s">
        <v>18</v>
      </c>
      <c r="J32" s="21" t="s">
        <v>75</v>
      </c>
      <c r="K32" s="21" t="s">
        <v>88</v>
      </c>
      <c r="L32" s="36"/>
      <c r="M32" s="36"/>
    </row>
    <row r="33" spans="2:15" x14ac:dyDescent="0.25">
      <c r="B33" s="62"/>
      <c r="C33" s="63"/>
      <c r="E33" s="36" t="s">
        <v>89</v>
      </c>
      <c r="F33" s="4" t="s">
        <v>76</v>
      </c>
      <c r="G33" s="36" t="s">
        <v>86</v>
      </c>
      <c r="H33" s="36" t="s">
        <v>77</v>
      </c>
      <c r="I33" s="18"/>
      <c r="J33" s="18"/>
      <c r="K33" s="18"/>
      <c r="L33" s="36"/>
      <c r="M33" s="36"/>
    </row>
    <row r="34" spans="2:15" ht="15" customHeight="1" x14ac:dyDescent="0.25">
      <c r="B34" s="62"/>
      <c r="C34" s="63"/>
      <c r="E34" s="3"/>
      <c r="F34" s="4"/>
      <c r="G34" s="3"/>
      <c r="H34" s="17"/>
      <c r="I34" s="18"/>
      <c r="J34" s="29"/>
      <c r="K34" s="29"/>
      <c r="L34" s="36"/>
      <c r="M34" s="36"/>
    </row>
    <row r="35" spans="2:15" ht="15.75" customHeight="1" thickBot="1" x14ac:dyDescent="0.35">
      <c r="B35" s="62"/>
      <c r="C35" s="63"/>
      <c r="E35" s="1" t="s">
        <v>55</v>
      </c>
      <c r="F35" s="3"/>
      <c r="G35" s="3"/>
      <c r="H35" s="3"/>
      <c r="I35" s="18"/>
      <c r="J35" s="3"/>
      <c r="K35" s="3"/>
    </row>
    <row r="36" spans="2:15" ht="18.75" customHeight="1" thickTop="1" x14ac:dyDescent="0.25">
      <c r="B36" s="62"/>
      <c r="C36" s="63"/>
      <c r="E36" s="19" t="s">
        <v>8</v>
      </c>
      <c r="F36" s="19" t="s">
        <v>56</v>
      </c>
      <c r="G36" s="19" t="s">
        <v>57</v>
      </c>
      <c r="H36" s="19" t="s">
        <v>58</v>
      </c>
      <c r="I36" s="19" t="s">
        <v>59</v>
      </c>
      <c r="J36" s="19" t="s">
        <v>60</v>
      </c>
      <c r="K36" s="22" t="s">
        <v>18</v>
      </c>
      <c r="L36" s="22" t="s">
        <v>225</v>
      </c>
    </row>
    <row r="37" spans="2:15" ht="210" x14ac:dyDescent="0.25">
      <c r="B37" s="62"/>
      <c r="C37" s="63"/>
      <c r="E37" s="30" t="s">
        <v>61</v>
      </c>
      <c r="F37" s="24" t="s">
        <v>97</v>
      </c>
      <c r="G37" s="30" t="s">
        <v>98</v>
      </c>
      <c r="H37" s="24" t="s">
        <v>116</v>
      </c>
      <c r="I37" s="32" t="s">
        <v>117</v>
      </c>
      <c r="J37" s="30"/>
      <c r="K37" s="30" t="s">
        <v>1</v>
      </c>
      <c r="L37" s="58"/>
    </row>
    <row r="38" spans="2:15" x14ac:dyDescent="0.25">
      <c r="B38" s="64"/>
      <c r="C38" s="65"/>
      <c r="E38" s="30"/>
      <c r="F38" s="23"/>
      <c r="G38" s="30"/>
      <c r="H38" s="24"/>
      <c r="I38" s="31"/>
      <c r="J38" s="30"/>
      <c r="K38" s="30"/>
    </row>
    <row r="39" spans="2:15" ht="16.5" customHeight="1" x14ac:dyDescent="0.25">
      <c r="E39" s="3"/>
      <c r="F39" s="25"/>
      <c r="G39" s="3"/>
      <c r="H39" s="26"/>
      <c r="I39" s="27"/>
      <c r="J39" s="3"/>
      <c r="K39" s="3"/>
    </row>
    <row r="40" spans="2:15" ht="20.25" thickBot="1" x14ac:dyDescent="0.35">
      <c r="E40" s="1" t="s">
        <v>49</v>
      </c>
      <c r="F40" s="3"/>
      <c r="G40" s="3"/>
      <c r="H40" s="3"/>
      <c r="I40" s="3"/>
      <c r="J40" s="3"/>
      <c r="K40" s="3"/>
      <c r="L40" s="3"/>
    </row>
    <row r="41" spans="2:15" ht="15.75" thickTop="1" x14ac:dyDescent="0.25">
      <c r="E41" s="3" t="s">
        <v>8</v>
      </c>
      <c r="F41" s="3" t="s">
        <v>45</v>
      </c>
      <c r="G41" t="s">
        <v>48</v>
      </c>
      <c r="H41" s="3" t="s">
        <v>46</v>
      </c>
      <c r="I41" s="18" t="s">
        <v>47</v>
      </c>
      <c r="J41" t="s">
        <v>18</v>
      </c>
      <c r="K41" s="3" t="s">
        <v>50</v>
      </c>
      <c r="L41" s="3" t="s">
        <v>51</v>
      </c>
      <c r="M41" t="s">
        <v>52</v>
      </c>
      <c r="N41" t="s">
        <v>224</v>
      </c>
    </row>
    <row r="42" spans="2:15" x14ac:dyDescent="0.25">
      <c r="E42" s="3" t="s">
        <v>69</v>
      </c>
      <c r="F42" s="3" t="s">
        <v>118</v>
      </c>
      <c r="G42" s="3" t="s">
        <v>119</v>
      </c>
      <c r="H42" s="3"/>
      <c r="I42" s="18" t="s">
        <v>1</v>
      </c>
      <c r="J42" s="3"/>
      <c r="K42" s="3"/>
      <c r="L42" s="3"/>
      <c r="O42" s="36"/>
    </row>
    <row r="43" spans="2:15" x14ac:dyDescent="0.25">
      <c r="E43" s="3" t="s">
        <v>70</v>
      </c>
      <c r="F43" s="3" t="s">
        <v>118</v>
      </c>
      <c r="G43" s="3" t="s">
        <v>120</v>
      </c>
      <c r="H43" s="3" t="s">
        <v>93</v>
      </c>
      <c r="I43" s="18" t="s">
        <v>1</v>
      </c>
      <c r="J43" s="3"/>
      <c r="K43" s="3" t="s">
        <v>94</v>
      </c>
      <c r="L43" s="3" t="s">
        <v>95</v>
      </c>
      <c r="M43" s="3" t="s">
        <v>96</v>
      </c>
    </row>
    <row r="44" spans="2:15" x14ac:dyDescent="0.25">
      <c r="G44" s="3"/>
      <c r="H44" s="3"/>
      <c r="I44" s="3"/>
      <c r="J44" s="3"/>
    </row>
    <row r="45" spans="2:15" ht="20.25" thickBot="1" x14ac:dyDescent="0.35">
      <c r="E45" s="1" t="s">
        <v>14</v>
      </c>
      <c r="J45" s="1" t="s">
        <v>44</v>
      </c>
    </row>
    <row r="46" spans="2:15" s="36" customFormat="1" ht="15.75" thickTop="1" x14ac:dyDescent="0.25">
      <c r="E46" t="s">
        <v>15</v>
      </c>
      <c r="F46" t="s">
        <v>16</v>
      </c>
      <c r="G46" t="s">
        <v>17</v>
      </c>
      <c r="H46" t="s">
        <v>18</v>
      </c>
      <c r="I46"/>
      <c r="J46" t="s">
        <v>41</v>
      </c>
      <c r="K46" t="s">
        <v>43</v>
      </c>
      <c r="L46" t="s">
        <v>42</v>
      </c>
      <c r="M46"/>
      <c r="N46"/>
      <c r="O46"/>
    </row>
    <row r="47" spans="2:15" ht="16.5" customHeight="1" x14ac:dyDescent="0.25">
      <c r="E47" s="3" t="s">
        <v>14</v>
      </c>
      <c r="F47" s="4" t="s">
        <v>30</v>
      </c>
      <c r="G47" s="3" t="s">
        <v>29</v>
      </c>
      <c r="H47" t="s">
        <v>1</v>
      </c>
      <c r="O47" s="36"/>
    </row>
    <row r="48" spans="2:15" ht="16.5" customHeight="1" x14ac:dyDescent="0.25">
      <c r="E48" s="3"/>
      <c r="F48" s="4"/>
      <c r="G48" s="3"/>
      <c r="H48" s="36"/>
      <c r="I48" s="36"/>
    </row>
    <row r="49" spans="5:16" ht="15" customHeight="1" thickBot="1" x14ac:dyDescent="0.35">
      <c r="E49" s="1" t="s">
        <v>25</v>
      </c>
      <c r="J49" s="36"/>
    </row>
    <row r="50" spans="5:16" s="36" customFormat="1" ht="15" customHeight="1" thickTop="1" x14ac:dyDescent="0.25">
      <c r="E50" s="36" t="s">
        <v>27</v>
      </c>
      <c r="F50" s="36" t="s">
        <v>41</v>
      </c>
      <c r="G50" s="36" t="s">
        <v>26</v>
      </c>
      <c r="H50" s="36" t="s">
        <v>40</v>
      </c>
      <c r="I50" s="36" t="s">
        <v>18</v>
      </c>
      <c r="J50" s="36" t="s">
        <v>78</v>
      </c>
      <c r="K50" s="36" t="s">
        <v>79</v>
      </c>
      <c r="L50" s="36" t="s">
        <v>81</v>
      </c>
      <c r="N50"/>
      <c r="O50"/>
      <c r="P50"/>
    </row>
    <row r="51" spans="5:16" x14ac:dyDescent="0.25">
      <c r="E51" s="3" t="s">
        <v>227</v>
      </c>
      <c r="F51" s="4" t="s">
        <v>227</v>
      </c>
      <c r="G51" s="9" t="s">
        <v>313</v>
      </c>
      <c r="H51" s="3" t="s">
        <v>309</v>
      </c>
      <c r="I51" s="3" t="s">
        <v>1</v>
      </c>
      <c r="J51" s="36" t="s">
        <v>80</v>
      </c>
      <c r="K51" s="36"/>
      <c r="L51" s="36" t="s">
        <v>1</v>
      </c>
      <c r="P51" s="36"/>
    </row>
    <row r="52" spans="5:16" x14ac:dyDescent="0.25">
      <c r="E52" s="3" t="s">
        <v>90</v>
      </c>
      <c r="F52" s="4" t="s">
        <v>89</v>
      </c>
      <c r="G52" s="9" t="s">
        <v>82</v>
      </c>
      <c r="H52" s="3" t="s">
        <v>54</v>
      </c>
      <c r="I52" s="3"/>
      <c r="J52" s="3" t="s">
        <v>83</v>
      </c>
      <c r="K52" s="3" t="s">
        <v>85</v>
      </c>
      <c r="L52" s="3"/>
    </row>
    <row r="53" spans="5:16" x14ac:dyDescent="0.25">
      <c r="E53" s="3"/>
      <c r="F53" s="4"/>
      <c r="G53" s="9"/>
      <c r="H53" s="3"/>
      <c r="I53" s="3"/>
      <c r="J53" s="3"/>
      <c r="K53" s="36"/>
      <c r="L53" s="3"/>
    </row>
    <row r="54" spans="5:16" x14ac:dyDescent="0.25">
      <c r="E54" s="3"/>
      <c r="F54" s="4"/>
      <c r="G54" s="9"/>
      <c r="H54" s="3"/>
      <c r="I54" s="3"/>
      <c r="J54" s="3"/>
      <c r="K54" s="36"/>
      <c r="L54" s="3"/>
    </row>
    <row r="55" spans="5:16" ht="20.25" thickBot="1" x14ac:dyDescent="0.35">
      <c r="E55" s="1" t="s">
        <v>35</v>
      </c>
      <c r="F55" s="4"/>
      <c r="I55" s="3"/>
      <c r="N55" s="36"/>
    </row>
    <row r="56" spans="5:16" ht="15.75" thickTop="1" x14ac:dyDescent="0.25">
      <c r="E56" s="3" t="s">
        <v>32</v>
      </c>
      <c r="F56" s="4" t="s">
        <v>33</v>
      </c>
      <c r="G56" t="s">
        <v>36</v>
      </c>
      <c r="H56" t="s">
        <v>37</v>
      </c>
      <c r="I56" s="3" t="s">
        <v>34</v>
      </c>
    </row>
    <row r="57" spans="5:16" x14ac:dyDescent="0.25">
      <c r="E57" s="3"/>
      <c r="F57" s="3"/>
      <c r="G57" s="3"/>
      <c r="H57" s="3"/>
      <c r="I57" s="3"/>
    </row>
    <row r="58" spans="5:16" x14ac:dyDescent="0.25">
      <c r="E58" s="3"/>
      <c r="F58" s="3"/>
      <c r="G58" s="3"/>
      <c r="H58" s="3"/>
      <c r="I58" s="3"/>
    </row>
    <row r="59" spans="5:16" x14ac:dyDescent="0.25">
      <c r="E59" s="3"/>
      <c r="F59" s="3"/>
      <c r="G59" s="3"/>
      <c r="H59" s="3"/>
      <c r="I59" s="3"/>
    </row>
    <row r="60" spans="5:16" x14ac:dyDescent="0.25">
      <c r="E60" s="3"/>
      <c r="F60" s="3"/>
      <c r="G60" s="3"/>
      <c r="H60" s="3"/>
      <c r="I60" s="3"/>
    </row>
    <row r="61" spans="5:16" x14ac:dyDescent="0.25">
      <c r="E61" s="3"/>
      <c r="F61" s="3"/>
      <c r="G61" s="3"/>
      <c r="H61" s="3"/>
      <c r="I61" s="4"/>
    </row>
    <row r="62" spans="5:16" x14ac:dyDescent="0.25">
      <c r="E62" s="3"/>
      <c r="F62" s="3"/>
      <c r="G62" s="3"/>
      <c r="H62" s="3"/>
      <c r="I62" s="4"/>
    </row>
    <row r="63" spans="5:16" x14ac:dyDescent="0.25">
      <c r="E63" s="3"/>
      <c r="F63" s="3"/>
      <c r="G63" s="3"/>
      <c r="H63" s="3"/>
      <c r="I63" s="4"/>
    </row>
    <row r="64" spans="5:16" x14ac:dyDescent="0.25">
      <c r="E64" s="3"/>
      <c r="F64" s="3"/>
      <c r="G64" s="3"/>
      <c r="H64" s="3"/>
      <c r="I64" s="4"/>
    </row>
    <row r="65" spans="5:9" x14ac:dyDescent="0.25">
      <c r="E65" s="3"/>
      <c r="F65" s="3"/>
      <c r="G65" s="3"/>
      <c r="H65" s="3"/>
      <c r="I65" s="4"/>
    </row>
    <row r="66" spans="5:9" x14ac:dyDescent="0.25">
      <c r="E66" s="3"/>
      <c r="F66" s="3"/>
      <c r="G66" s="3"/>
      <c r="H66" s="3"/>
      <c r="I66" s="4"/>
    </row>
    <row r="67" spans="5:9" x14ac:dyDescent="0.25">
      <c r="E67" s="3"/>
      <c r="F67" s="3"/>
      <c r="G67" s="3"/>
      <c r="H67" s="3"/>
      <c r="I67" s="4"/>
    </row>
    <row r="68" spans="5:9" x14ac:dyDescent="0.25">
      <c r="E68" s="3"/>
      <c r="F68" s="3"/>
      <c r="G68" s="3"/>
      <c r="H68" s="3"/>
      <c r="I68" s="4"/>
    </row>
    <row r="69" spans="5:9" x14ac:dyDescent="0.25">
      <c r="E69" s="3"/>
      <c r="F69" s="3"/>
      <c r="G69" s="3"/>
      <c r="H69" s="3"/>
      <c r="I69" s="4"/>
    </row>
    <row r="70" spans="5:9" x14ac:dyDescent="0.25">
      <c r="E70" s="3"/>
      <c r="F70" s="3"/>
      <c r="G70" s="3"/>
      <c r="H70" s="3"/>
      <c r="I70" s="4"/>
    </row>
    <row r="71" spans="5:9" x14ac:dyDescent="0.25">
      <c r="E71" s="3"/>
      <c r="F71" s="3"/>
      <c r="G71" s="3"/>
      <c r="H71" s="3"/>
      <c r="I71" s="4"/>
    </row>
    <row r="72" spans="5:9" x14ac:dyDescent="0.25">
      <c r="E72" s="3"/>
      <c r="F72" s="3"/>
      <c r="G72" s="3"/>
      <c r="H72" s="3"/>
      <c r="I72" s="4"/>
    </row>
    <row r="73" spans="5:9" x14ac:dyDescent="0.25">
      <c r="E73" s="3"/>
      <c r="F73" s="3"/>
      <c r="G73" s="3"/>
      <c r="H73" s="3"/>
      <c r="I73" s="4"/>
    </row>
    <row r="74" spans="5:9" x14ac:dyDescent="0.25">
      <c r="E74" s="3"/>
      <c r="F74" s="3"/>
      <c r="G74" s="3"/>
      <c r="H74" s="3"/>
      <c r="I74" s="4"/>
    </row>
    <row r="75" spans="5:9" x14ac:dyDescent="0.25">
      <c r="E75" s="3"/>
      <c r="F75" s="3"/>
      <c r="G75" s="3"/>
      <c r="H75" s="3"/>
      <c r="I75" s="4"/>
    </row>
    <row r="76" spans="5:9" x14ac:dyDescent="0.25">
      <c r="E76" s="3"/>
      <c r="F76" s="3"/>
      <c r="G76" s="3"/>
      <c r="H76" s="3"/>
      <c r="I76" s="4"/>
    </row>
    <row r="77" spans="5:9" x14ac:dyDescent="0.25">
      <c r="E77" s="3"/>
      <c r="F77" s="3"/>
      <c r="G77" s="3"/>
      <c r="H77" s="3"/>
      <c r="I77" s="4"/>
    </row>
    <row r="78" spans="5:9" x14ac:dyDescent="0.25">
      <c r="E78" s="3"/>
      <c r="F78" s="3"/>
      <c r="G78" s="3"/>
      <c r="H78" s="3"/>
      <c r="I78" s="4"/>
    </row>
  </sheetData>
  <dataConsolidate/>
  <mergeCells count="1">
    <mergeCell ref="B22:C3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IChooseFile">
                <anchor moveWithCells="1">
                  <from>
                    <xdr:col>7</xdr:col>
                    <xdr:colOff>28575</xdr:colOff>
                    <xdr:row>6</xdr:row>
                    <xdr:rowOff>114300</xdr:rowOff>
                  </from>
                  <to>
                    <xdr:col>7</xdr:col>
                    <xdr:colOff>571500</xdr:colOff>
                    <xdr:row>7</xdr:row>
                    <xdr:rowOff>152400</xdr:rowOff>
                  </to>
                </anchor>
              </controlPr>
            </control>
          </mc:Choice>
        </mc:AlternateContent>
        <mc:AlternateContent xmlns:mc="http://schemas.openxmlformats.org/markup-compatibility/2006">
          <mc:Choice Requires="x14">
            <control shapeId="1030" r:id="rId5" name="Button 6">
              <controlPr defaultSize="0" print="0" autoFill="0" autoPict="0" macro="[0]!UIRunAll">
                <anchor moveWithCells="1">
                  <from>
                    <xdr:col>3</xdr:col>
                    <xdr:colOff>228600</xdr:colOff>
                    <xdr:row>11</xdr:row>
                    <xdr:rowOff>38100</xdr:rowOff>
                  </from>
                  <to>
                    <xdr:col>3</xdr:col>
                    <xdr:colOff>762000</xdr:colOff>
                    <xdr:row>12</xdr:row>
                    <xdr:rowOff>85725</xdr:rowOff>
                  </to>
                </anchor>
              </controlPr>
            </control>
          </mc:Choice>
        </mc:AlternateContent>
        <mc:AlternateContent xmlns:mc="http://schemas.openxmlformats.org/markup-compatibility/2006">
          <mc:Choice Requires="x14">
            <control shapeId="1053" r:id="rId6" name="Button 29">
              <controlPr defaultSize="0" print="0" autoFill="0" autoPict="0" macro="[0]!UIGenerate">
                <anchor moveWithCells="1" sizeWithCells="1">
                  <from>
                    <xdr:col>3</xdr:col>
                    <xdr:colOff>171450</xdr:colOff>
                    <xdr:row>20</xdr:row>
                    <xdr:rowOff>85725</xdr:rowOff>
                  </from>
                  <to>
                    <xdr:col>3</xdr:col>
                    <xdr:colOff>771525</xdr:colOff>
                    <xdr:row>22</xdr:row>
                    <xdr:rowOff>133350</xdr:rowOff>
                  </to>
                </anchor>
              </controlPr>
            </control>
          </mc:Choice>
        </mc:AlternateContent>
        <mc:AlternateContent xmlns:mc="http://schemas.openxmlformats.org/markup-compatibility/2006">
          <mc:Choice Requires="x14">
            <control shapeId="1054" r:id="rId7" name="Button 30">
              <controlPr defaultSize="0" print="0" autoFill="0" autoPict="0" macro="[0]!UIExport">
                <anchor moveWithCells="1" sizeWithCells="1">
                  <from>
                    <xdr:col>3</xdr:col>
                    <xdr:colOff>180975</xdr:colOff>
                    <xdr:row>23</xdr:row>
                    <xdr:rowOff>104775</xdr:rowOff>
                  </from>
                  <to>
                    <xdr:col>3</xdr:col>
                    <xdr:colOff>781050</xdr:colOff>
                    <xdr:row>26</xdr:row>
                    <xdr:rowOff>38100</xdr:rowOff>
                  </to>
                </anchor>
              </controlPr>
            </control>
          </mc:Choice>
        </mc:AlternateContent>
        <mc:AlternateContent xmlns:mc="http://schemas.openxmlformats.org/markup-compatibility/2006">
          <mc:Choice Requires="x14">
            <control shapeId="1025" r:id="rId8" name="Button 1">
              <controlPr defaultSize="0" print="0" autoFill="0" autoPict="0" macro="[0]!UIQueries">
                <anchor moveWithCells="1" sizeWithCells="1">
                  <from>
                    <xdr:col>3</xdr:col>
                    <xdr:colOff>190500</xdr:colOff>
                    <xdr:row>13</xdr:row>
                    <xdr:rowOff>152400</xdr:rowOff>
                  </from>
                  <to>
                    <xdr:col>3</xdr:col>
                    <xdr:colOff>733425</xdr:colOff>
                    <xdr:row>15</xdr:row>
                    <xdr:rowOff>9525</xdr:rowOff>
                  </to>
                </anchor>
              </controlPr>
            </control>
          </mc:Choice>
        </mc:AlternateContent>
        <mc:AlternateContent xmlns:mc="http://schemas.openxmlformats.org/markup-compatibility/2006">
          <mc:Choice Requires="x14">
            <control shapeId="1028" r:id="rId9" name="Button 4">
              <controlPr defaultSize="0" print="0" autoFill="0" autoPict="0" macro="[0]!UIPivots">
                <anchor moveWithCells="1" sizeWithCells="1">
                  <from>
                    <xdr:col>3</xdr:col>
                    <xdr:colOff>190500</xdr:colOff>
                    <xdr:row>15</xdr:row>
                    <xdr:rowOff>171450</xdr:rowOff>
                  </from>
                  <to>
                    <xdr:col>3</xdr:col>
                    <xdr:colOff>733425</xdr:colOff>
                    <xdr:row>17</xdr:row>
                    <xdr:rowOff>28575</xdr:rowOff>
                  </to>
                </anchor>
              </controlPr>
            </control>
          </mc:Choice>
        </mc:AlternateContent>
        <mc:AlternateContent xmlns:mc="http://schemas.openxmlformats.org/markup-compatibility/2006">
          <mc:Choice Requires="x14">
            <control shapeId="1029" r:id="rId10" name="Button 5">
              <controlPr defaultSize="0" print="0" autoFill="0" autoPict="0" macro="[0]!UITrends">
                <anchor moveWithCells="1" sizeWithCells="1">
                  <from>
                    <xdr:col>3</xdr:col>
                    <xdr:colOff>190500</xdr:colOff>
                    <xdr:row>18</xdr:row>
                    <xdr:rowOff>0</xdr:rowOff>
                  </from>
                  <to>
                    <xdr:col>3</xdr:col>
                    <xdr:colOff>733425</xdr:colOff>
                    <xdr:row>19</xdr:row>
                    <xdr:rowOff>47625</xdr:rowOff>
                  </to>
                </anchor>
              </controlPr>
            </control>
          </mc:Choice>
        </mc:AlternateContent>
        <mc:AlternateContent xmlns:mc="http://schemas.openxmlformats.org/markup-compatibility/2006">
          <mc:Choice Requires="x14">
            <control shapeId="1032" r:id="rId11" name="Group Box 8">
              <controlPr defaultSize="0" autoFill="0" autoPict="0">
                <anchor moveWithCells="1" sizeWithCells="1">
                  <from>
                    <xdr:col>3</xdr:col>
                    <xdr:colOff>123825</xdr:colOff>
                    <xdr:row>13</xdr:row>
                    <xdr:rowOff>19050</xdr:rowOff>
                  </from>
                  <to>
                    <xdr:col>3</xdr:col>
                    <xdr:colOff>809625</xdr:colOff>
                    <xdr:row>19</xdr:row>
                    <xdr:rowOff>123825</xdr:rowOff>
                  </to>
                </anchor>
              </controlPr>
            </control>
          </mc:Choice>
        </mc:AlternateContent>
      </controls>
    </mc:Choice>
  </mc:AlternateContent>
  <tableParts count="11">
    <tablePart r:id="rId12"/>
    <tablePart r:id="rId13"/>
    <tablePart r:id="rId14"/>
    <tablePart r:id="rId15"/>
    <tablePart r:id="rId16"/>
    <tablePart r:id="rId17"/>
    <tablePart r:id="rId18"/>
    <tablePart r:id="rId19"/>
    <tablePart r:id="rId20"/>
    <tablePart r:id="rId21"/>
    <tablePart r:id="rId2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166"/>
  <sheetViews>
    <sheetView zoomScale="85" zoomScaleNormal="85" workbookViewId="0">
      <selection activeCell="G1" sqref="G1"/>
    </sheetView>
  </sheetViews>
  <sheetFormatPr defaultRowHeight="15" x14ac:dyDescent="0.25"/>
  <cols>
    <col min="1" max="2" width="9.140625" style="36"/>
    <col min="3" max="3" width="39" customWidth="1"/>
    <col min="4" max="4" width="9.140625" style="36"/>
    <col min="5" max="5" width="24.140625" style="36" bestFit="1" customWidth="1"/>
    <col min="6" max="6" width="9.140625" style="36"/>
  </cols>
  <sheetData>
    <row r="1" spans="1:5" ht="18.75" x14ac:dyDescent="0.3">
      <c r="A1" s="55" t="s">
        <v>139</v>
      </c>
      <c r="C1" s="55" t="s">
        <v>288</v>
      </c>
      <c r="E1" s="55" t="s">
        <v>294</v>
      </c>
    </row>
    <row r="2" spans="1:5" x14ac:dyDescent="0.25">
      <c r="A2" s="36" t="s">
        <v>139</v>
      </c>
      <c r="C2" s="36" t="s">
        <v>289</v>
      </c>
      <c r="E2" s="36" t="s">
        <v>289</v>
      </c>
    </row>
    <row r="3" spans="1:5" x14ac:dyDescent="0.25">
      <c r="A3" s="57">
        <v>42370</v>
      </c>
      <c r="C3" t="s">
        <v>291</v>
      </c>
      <c r="E3" s="36" t="s">
        <v>297</v>
      </c>
    </row>
    <row r="4" spans="1:5" x14ac:dyDescent="0.25">
      <c r="A4" s="36" t="s">
        <v>143</v>
      </c>
      <c r="C4" t="s">
        <v>292</v>
      </c>
      <c r="E4" s="36" t="s">
        <v>286</v>
      </c>
    </row>
    <row r="5" spans="1:5" x14ac:dyDescent="0.25">
      <c r="A5" s="36" t="s">
        <v>144</v>
      </c>
      <c r="C5" t="s">
        <v>293</v>
      </c>
    </row>
    <row r="6" spans="1:5" x14ac:dyDescent="0.25">
      <c r="A6" s="36" t="s">
        <v>145</v>
      </c>
    </row>
    <row r="7" spans="1:5" x14ac:dyDescent="0.25">
      <c r="A7" s="20">
        <v>42376</v>
      </c>
    </row>
    <row r="8" spans="1:5" x14ac:dyDescent="0.25">
      <c r="A8" s="20">
        <v>42377</v>
      </c>
    </row>
    <row r="9" spans="1:5" x14ac:dyDescent="0.25">
      <c r="A9" s="20">
        <v>42499</v>
      </c>
    </row>
    <row r="10" spans="1:5" x14ac:dyDescent="0.25">
      <c r="A10" s="20">
        <v>42653</v>
      </c>
    </row>
    <row r="11" spans="1:5" x14ac:dyDescent="0.25">
      <c r="A11" s="20">
        <v>42685</v>
      </c>
    </row>
    <row r="12" spans="1:5" x14ac:dyDescent="0.25">
      <c r="A12" s="36" t="s">
        <v>146</v>
      </c>
    </row>
    <row r="13" spans="1:5" x14ac:dyDescent="0.25">
      <c r="A13" s="36" t="s">
        <v>147</v>
      </c>
    </row>
    <row r="14" spans="1:5" x14ac:dyDescent="0.25">
      <c r="A14" s="36" t="s">
        <v>148</v>
      </c>
    </row>
    <row r="15" spans="1:5" x14ac:dyDescent="0.25">
      <c r="A15" s="36" t="s">
        <v>149</v>
      </c>
    </row>
    <row r="16" spans="1:5" x14ac:dyDescent="0.25">
      <c r="A16" s="36" t="s">
        <v>150</v>
      </c>
    </row>
    <row r="17" spans="1:1" x14ac:dyDescent="0.25">
      <c r="A17" s="36" t="s">
        <v>151</v>
      </c>
    </row>
    <row r="18" spans="1:1" x14ac:dyDescent="0.25">
      <c r="A18" s="20">
        <v>42924</v>
      </c>
    </row>
    <row r="19" spans="1:1" x14ac:dyDescent="0.25">
      <c r="A19" s="20">
        <v>42834</v>
      </c>
    </row>
    <row r="20" spans="1:1" x14ac:dyDescent="0.25">
      <c r="A20" s="20">
        <v>42988</v>
      </c>
    </row>
    <row r="21" spans="1:1" x14ac:dyDescent="0.25">
      <c r="A21" s="20">
        <v>43019</v>
      </c>
    </row>
    <row r="22" spans="1:1" x14ac:dyDescent="0.25">
      <c r="A22" s="36" t="s">
        <v>152</v>
      </c>
    </row>
    <row r="23" spans="1:1" x14ac:dyDescent="0.25">
      <c r="A23" s="36" t="s">
        <v>153</v>
      </c>
    </row>
    <row r="24" spans="1:1" x14ac:dyDescent="0.25">
      <c r="A24" s="20">
        <v>43101</v>
      </c>
    </row>
    <row r="25" spans="1:1" x14ac:dyDescent="0.25">
      <c r="A25" s="36" t="s">
        <v>154</v>
      </c>
    </row>
    <row r="26" spans="1:1" x14ac:dyDescent="0.25">
      <c r="A26" s="36" t="s">
        <v>155</v>
      </c>
    </row>
    <row r="27" spans="1:1" x14ac:dyDescent="0.25">
      <c r="A27" s="36" t="s">
        <v>156</v>
      </c>
    </row>
    <row r="28" spans="1:1" x14ac:dyDescent="0.25">
      <c r="A28" s="20">
        <v>43138</v>
      </c>
    </row>
    <row r="29" spans="1:1" x14ac:dyDescent="0.25">
      <c r="A29" s="20">
        <v>43259</v>
      </c>
    </row>
    <row r="30" spans="1:1" x14ac:dyDescent="0.25">
      <c r="A30" s="20">
        <v>43168</v>
      </c>
    </row>
    <row r="31" spans="1:1" x14ac:dyDescent="0.25">
      <c r="A31" s="20">
        <v>43322</v>
      </c>
    </row>
    <row r="32" spans="1:1" x14ac:dyDescent="0.25">
      <c r="A32" s="20">
        <v>43445</v>
      </c>
    </row>
    <row r="33" spans="1:1" x14ac:dyDescent="0.25">
      <c r="A33" s="36" t="s">
        <v>157</v>
      </c>
    </row>
    <row r="34" spans="1:1" x14ac:dyDescent="0.25">
      <c r="A34" s="36" t="s">
        <v>158</v>
      </c>
    </row>
    <row r="35" spans="1:1" x14ac:dyDescent="0.25">
      <c r="A35" s="20">
        <v>43466</v>
      </c>
    </row>
    <row r="36" spans="1:1" x14ac:dyDescent="0.25">
      <c r="A36" s="36" t="s">
        <v>159</v>
      </c>
    </row>
    <row r="37" spans="1:1" x14ac:dyDescent="0.25">
      <c r="A37" s="36" t="s">
        <v>160</v>
      </c>
    </row>
    <row r="38" spans="1:1" x14ac:dyDescent="0.25">
      <c r="A38" s="36" t="s">
        <v>161</v>
      </c>
    </row>
    <row r="39" spans="1:1" x14ac:dyDescent="0.25">
      <c r="A39" s="20">
        <v>43472</v>
      </c>
    </row>
    <row r="40" spans="1:1" x14ac:dyDescent="0.25">
      <c r="A40" s="20">
        <v>43593</v>
      </c>
    </row>
    <row r="41" spans="1:1" x14ac:dyDescent="0.25">
      <c r="A41" s="20">
        <v>43505</v>
      </c>
    </row>
    <row r="42" spans="1:1" x14ac:dyDescent="0.25">
      <c r="A42" s="36" t="s">
        <v>162</v>
      </c>
    </row>
    <row r="43" spans="1:1" x14ac:dyDescent="0.25">
      <c r="A43" s="20">
        <v>43780</v>
      </c>
    </row>
    <row r="44" spans="1:1" x14ac:dyDescent="0.25">
      <c r="A44" s="36" t="s">
        <v>163</v>
      </c>
    </row>
    <row r="45" spans="1:1" x14ac:dyDescent="0.25">
      <c r="A45" s="36" t="s">
        <v>164</v>
      </c>
    </row>
    <row r="46" spans="1:1" x14ac:dyDescent="0.25">
      <c r="A46" s="20">
        <v>43831</v>
      </c>
    </row>
    <row r="47" spans="1:1" x14ac:dyDescent="0.25">
      <c r="A47" s="36" t="s">
        <v>165</v>
      </c>
    </row>
    <row r="48" spans="1:1" x14ac:dyDescent="0.25">
      <c r="A48" s="20">
        <v>44108</v>
      </c>
    </row>
    <row r="49" spans="1:1" x14ac:dyDescent="0.25">
      <c r="A49" s="36" t="s">
        <v>166</v>
      </c>
    </row>
    <row r="50" spans="1:1" x14ac:dyDescent="0.25">
      <c r="A50" s="20">
        <v>43837</v>
      </c>
    </row>
    <row r="51" spans="1:1" x14ac:dyDescent="0.25">
      <c r="A51" s="20">
        <v>43898</v>
      </c>
    </row>
    <row r="52" spans="1:1" x14ac:dyDescent="0.25">
      <c r="A52" s="20">
        <v>44021</v>
      </c>
    </row>
    <row r="53" spans="1:1" x14ac:dyDescent="0.25">
      <c r="A53" s="20">
        <v>44175</v>
      </c>
    </row>
    <row r="54" spans="1:1" x14ac:dyDescent="0.25">
      <c r="A54" s="20">
        <v>44146</v>
      </c>
    </row>
    <row r="55" spans="1:1" x14ac:dyDescent="0.25">
      <c r="A55" s="36" t="s">
        <v>167</v>
      </c>
    </row>
    <row r="56" spans="1:1" x14ac:dyDescent="0.25">
      <c r="A56" s="36" t="s">
        <v>168</v>
      </c>
    </row>
    <row r="57" spans="1:1" x14ac:dyDescent="0.25">
      <c r="A57" s="20">
        <v>44197</v>
      </c>
    </row>
    <row r="58" spans="1:1" x14ac:dyDescent="0.25">
      <c r="A58" s="36" t="s">
        <v>169</v>
      </c>
    </row>
    <row r="59" spans="1:1" x14ac:dyDescent="0.25">
      <c r="A59" s="20">
        <v>44231</v>
      </c>
    </row>
    <row r="60" spans="1:1" x14ac:dyDescent="0.25">
      <c r="A60" s="36" t="s">
        <v>170</v>
      </c>
    </row>
    <row r="61" spans="1:1" x14ac:dyDescent="0.25">
      <c r="A61" s="20">
        <v>44203</v>
      </c>
    </row>
    <row r="62" spans="1:1" x14ac:dyDescent="0.25">
      <c r="A62" s="20">
        <v>44235</v>
      </c>
    </row>
    <row r="63" spans="1:1" x14ac:dyDescent="0.25">
      <c r="A63" s="20">
        <v>44356</v>
      </c>
    </row>
    <row r="64" spans="1:1" x14ac:dyDescent="0.25">
      <c r="A64" s="20">
        <v>44510</v>
      </c>
    </row>
    <row r="65" spans="1:1" x14ac:dyDescent="0.25">
      <c r="A65" s="20">
        <v>44511</v>
      </c>
    </row>
    <row r="66" spans="1:1" x14ac:dyDescent="0.25">
      <c r="A66" s="36" t="s">
        <v>171</v>
      </c>
    </row>
    <row r="67" spans="1:1" x14ac:dyDescent="0.25">
      <c r="A67" s="36" t="s">
        <v>172</v>
      </c>
    </row>
    <row r="68" spans="1:1" x14ac:dyDescent="0.25">
      <c r="A68" s="36" t="s">
        <v>173</v>
      </c>
    </row>
    <row r="69" spans="1:1" x14ac:dyDescent="0.25">
      <c r="A69" s="36" t="s">
        <v>174</v>
      </c>
    </row>
    <row r="70" spans="1:1" x14ac:dyDescent="0.25">
      <c r="A70" s="36" t="s">
        <v>175</v>
      </c>
    </row>
    <row r="71" spans="1:1" x14ac:dyDescent="0.25">
      <c r="A71" s="36" t="s">
        <v>176</v>
      </c>
    </row>
    <row r="72" spans="1:1" x14ac:dyDescent="0.25">
      <c r="A72" s="20">
        <v>44568</v>
      </c>
    </row>
    <row r="73" spans="1:1" x14ac:dyDescent="0.25">
      <c r="A73" s="20">
        <v>44569</v>
      </c>
    </row>
    <row r="74" spans="1:1" x14ac:dyDescent="0.25">
      <c r="A74" s="20">
        <v>44690</v>
      </c>
    </row>
    <row r="75" spans="1:1" x14ac:dyDescent="0.25">
      <c r="A75" s="20">
        <v>44844</v>
      </c>
    </row>
    <row r="76" spans="1:1" x14ac:dyDescent="0.25">
      <c r="A76" s="20">
        <v>44876</v>
      </c>
    </row>
    <row r="77" spans="1:1" x14ac:dyDescent="0.25">
      <c r="A77" s="36" t="s">
        <v>177</v>
      </c>
    </row>
    <row r="78" spans="1:1" x14ac:dyDescent="0.25">
      <c r="A78" s="36" t="s">
        <v>178</v>
      </c>
    </row>
    <row r="79" spans="1:1" x14ac:dyDescent="0.25">
      <c r="A79" s="20">
        <v>44958</v>
      </c>
    </row>
    <row r="80" spans="1:1" x14ac:dyDescent="0.25">
      <c r="A80" s="36" t="s">
        <v>179</v>
      </c>
    </row>
    <row r="81" spans="1:1" x14ac:dyDescent="0.25">
      <c r="A81" s="20">
        <v>45111</v>
      </c>
    </row>
    <row r="82" spans="1:1" x14ac:dyDescent="0.25">
      <c r="A82" s="36" t="s">
        <v>180</v>
      </c>
    </row>
    <row r="83" spans="1:1" x14ac:dyDescent="0.25">
      <c r="A83" s="36" t="s">
        <v>181</v>
      </c>
    </row>
    <row r="84" spans="1:1" x14ac:dyDescent="0.25">
      <c r="A84" s="20">
        <v>45115</v>
      </c>
    </row>
    <row r="85" spans="1:1" x14ac:dyDescent="0.25">
      <c r="A85" s="20">
        <v>45025</v>
      </c>
    </row>
    <row r="86" spans="1:1" x14ac:dyDescent="0.25">
      <c r="A86" s="20">
        <v>45179</v>
      </c>
    </row>
    <row r="87" spans="1:1" x14ac:dyDescent="0.25">
      <c r="A87" s="20">
        <v>45210</v>
      </c>
    </row>
    <row r="88" spans="1:1" x14ac:dyDescent="0.25">
      <c r="A88" s="36" t="s">
        <v>182</v>
      </c>
    </row>
    <row r="89" spans="1:1" x14ac:dyDescent="0.25">
      <c r="A89" s="36" t="s">
        <v>183</v>
      </c>
    </row>
    <row r="90" spans="1:1" x14ac:dyDescent="0.25">
      <c r="A90" s="20">
        <v>45292</v>
      </c>
    </row>
    <row r="91" spans="1:1" x14ac:dyDescent="0.25">
      <c r="A91" s="36" t="s">
        <v>184</v>
      </c>
    </row>
    <row r="92" spans="1:1" x14ac:dyDescent="0.25">
      <c r="A92" s="36" t="s">
        <v>185</v>
      </c>
    </row>
    <row r="93" spans="1:1" x14ac:dyDescent="0.25">
      <c r="A93" s="36" t="s">
        <v>186</v>
      </c>
    </row>
    <row r="94" spans="1:1" x14ac:dyDescent="0.25">
      <c r="A94" s="20">
        <v>45298</v>
      </c>
    </row>
    <row r="95" spans="1:1" x14ac:dyDescent="0.25">
      <c r="A95" s="20">
        <v>45420</v>
      </c>
    </row>
    <row r="96" spans="1:1" x14ac:dyDescent="0.25">
      <c r="A96" s="20">
        <v>45331</v>
      </c>
    </row>
    <row r="97" spans="1:1" x14ac:dyDescent="0.25">
      <c r="A97" s="36" t="s">
        <v>187</v>
      </c>
    </row>
    <row r="98" spans="1:1" x14ac:dyDescent="0.25">
      <c r="A98" s="20">
        <v>45607</v>
      </c>
    </row>
    <row r="99" spans="1:1" x14ac:dyDescent="0.25">
      <c r="A99" s="36" t="s">
        <v>188</v>
      </c>
    </row>
    <row r="100" spans="1:1" x14ac:dyDescent="0.25">
      <c r="A100" s="36" t="s">
        <v>189</v>
      </c>
    </row>
    <row r="101" spans="1:1" x14ac:dyDescent="0.25">
      <c r="A101" s="20">
        <v>45658</v>
      </c>
    </row>
    <row r="102" spans="1:1" x14ac:dyDescent="0.25">
      <c r="A102" s="36" t="s">
        <v>190</v>
      </c>
    </row>
    <row r="103" spans="1:1" x14ac:dyDescent="0.25">
      <c r="A103" s="36" t="s">
        <v>191</v>
      </c>
    </row>
    <row r="104" spans="1:1" x14ac:dyDescent="0.25">
      <c r="A104" s="36" t="s">
        <v>192</v>
      </c>
    </row>
    <row r="105" spans="1:1" x14ac:dyDescent="0.25">
      <c r="A105" s="20">
        <v>45664</v>
      </c>
    </row>
    <row r="106" spans="1:1" x14ac:dyDescent="0.25">
      <c r="A106" s="20">
        <v>45755</v>
      </c>
    </row>
    <row r="107" spans="1:1" x14ac:dyDescent="0.25">
      <c r="A107" s="20">
        <v>45666</v>
      </c>
    </row>
    <row r="108" spans="1:1" x14ac:dyDescent="0.25">
      <c r="A108" s="36" t="s">
        <v>193</v>
      </c>
    </row>
    <row r="109" spans="1:1" x14ac:dyDescent="0.25">
      <c r="A109" s="20">
        <v>45972</v>
      </c>
    </row>
    <row r="110" spans="1:1" x14ac:dyDescent="0.25">
      <c r="A110" s="36" t="s">
        <v>194</v>
      </c>
    </row>
    <row r="111" spans="1:1" x14ac:dyDescent="0.25">
      <c r="A111" s="36" t="s">
        <v>195</v>
      </c>
    </row>
    <row r="112" spans="1:1" x14ac:dyDescent="0.25">
      <c r="A112" s="20">
        <v>46023</v>
      </c>
    </row>
    <row r="113" spans="1:1" x14ac:dyDescent="0.25">
      <c r="A113" s="36" t="s">
        <v>196</v>
      </c>
    </row>
    <row r="114" spans="1:1" x14ac:dyDescent="0.25">
      <c r="A114" s="20">
        <v>46085</v>
      </c>
    </row>
    <row r="115" spans="1:1" x14ac:dyDescent="0.25">
      <c r="A115" s="36" t="s">
        <v>197</v>
      </c>
    </row>
    <row r="116" spans="1:1" x14ac:dyDescent="0.25">
      <c r="A116" s="20">
        <v>46029</v>
      </c>
    </row>
    <row r="117" spans="1:1" x14ac:dyDescent="0.25">
      <c r="A117" s="20">
        <v>46089</v>
      </c>
    </row>
    <row r="118" spans="1:1" x14ac:dyDescent="0.25">
      <c r="A118" s="20">
        <v>46212</v>
      </c>
    </row>
    <row r="119" spans="1:1" x14ac:dyDescent="0.25">
      <c r="A119" s="20">
        <v>46366</v>
      </c>
    </row>
    <row r="120" spans="1:1" x14ac:dyDescent="0.25">
      <c r="A120" s="20">
        <v>46337</v>
      </c>
    </row>
    <row r="121" spans="1:1" x14ac:dyDescent="0.25">
      <c r="A121" s="36" t="s">
        <v>198</v>
      </c>
    </row>
    <row r="122" spans="1:1" x14ac:dyDescent="0.25">
      <c r="A122" s="36" t="s">
        <v>199</v>
      </c>
    </row>
    <row r="123" spans="1:1" x14ac:dyDescent="0.25">
      <c r="A123" s="20">
        <v>46388</v>
      </c>
    </row>
    <row r="124" spans="1:1" x14ac:dyDescent="0.25">
      <c r="A124" s="36" t="s">
        <v>200</v>
      </c>
    </row>
    <row r="125" spans="1:1" x14ac:dyDescent="0.25">
      <c r="A125" s="36" t="s">
        <v>201</v>
      </c>
    </row>
    <row r="126" spans="1:1" x14ac:dyDescent="0.25">
      <c r="A126" s="36" t="s">
        <v>202</v>
      </c>
    </row>
    <row r="127" spans="1:1" x14ac:dyDescent="0.25">
      <c r="A127" s="20">
        <v>46394</v>
      </c>
    </row>
    <row r="128" spans="1:1" x14ac:dyDescent="0.25">
      <c r="A128" s="20">
        <v>46426</v>
      </c>
    </row>
    <row r="129" spans="1:1" x14ac:dyDescent="0.25">
      <c r="A129" s="20">
        <v>46547</v>
      </c>
    </row>
    <row r="130" spans="1:1" x14ac:dyDescent="0.25">
      <c r="A130" s="20">
        <v>46701</v>
      </c>
    </row>
    <row r="131" spans="1:1" x14ac:dyDescent="0.25">
      <c r="A131" s="20">
        <v>46702</v>
      </c>
    </row>
    <row r="132" spans="1:1" x14ac:dyDescent="0.25">
      <c r="A132" s="36" t="s">
        <v>203</v>
      </c>
    </row>
    <row r="133" spans="1:1" x14ac:dyDescent="0.25">
      <c r="A133" s="36" t="s">
        <v>204</v>
      </c>
    </row>
    <row r="134" spans="1:1" x14ac:dyDescent="0.25">
      <c r="A134" s="36" t="s">
        <v>205</v>
      </c>
    </row>
    <row r="135" spans="1:1" x14ac:dyDescent="0.25">
      <c r="A135" s="36" t="s">
        <v>206</v>
      </c>
    </row>
    <row r="136" spans="1:1" x14ac:dyDescent="0.25">
      <c r="A136" s="36" t="s">
        <v>207</v>
      </c>
    </row>
    <row r="137" spans="1:1" x14ac:dyDescent="0.25">
      <c r="A137" s="36" t="s">
        <v>208</v>
      </c>
    </row>
    <row r="138" spans="1:1" x14ac:dyDescent="0.25">
      <c r="A138" s="36" t="s">
        <v>209</v>
      </c>
    </row>
    <row r="139" spans="1:1" x14ac:dyDescent="0.25">
      <c r="A139" s="20">
        <v>46942</v>
      </c>
    </row>
    <row r="140" spans="1:1" x14ac:dyDescent="0.25">
      <c r="A140" s="20">
        <v>46852</v>
      </c>
    </row>
    <row r="141" spans="1:1" x14ac:dyDescent="0.25">
      <c r="A141" s="20">
        <v>47006</v>
      </c>
    </row>
    <row r="142" spans="1:1" x14ac:dyDescent="0.25">
      <c r="A142" s="20">
        <v>47037</v>
      </c>
    </row>
    <row r="143" spans="1:1" x14ac:dyDescent="0.25">
      <c r="A143" s="36" t="s">
        <v>210</v>
      </c>
    </row>
    <row r="144" spans="1:1" x14ac:dyDescent="0.25">
      <c r="A144" s="36" t="s">
        <v>211</v>
      </c>
    </row>
    <row r="145" spans="1:1" x14ac:dyDescent="0.25">
      <c r="A145" s="20">
        <v>47119</v>
      </c>
    </row>
    <row r="146" spans="1:1" x14ac:dyDescent="0.25">
      <c r="A146" s="36" t="s">
        <v>212</v>
      </c>
    </row>
    <row r="147" spans="1:1" x14ac:dyDescent="0.25">
      <c r="A147" s="36" t="s">
        <v>213</v>
      </c>
    </row>
    <row r="148" spans="1:1" x14ac:dyDescent="0.25">
      <c r="A148" s="36" t="s">
        <v>214</v>
      </c>
    </row>
    <row r="149" spans="1:1" x14ac:dyDescent="0.25">
      <c r="A149" s="20">
        <v>47156</v>
      </c>
    </row>
    <row r="150" spans="1:1" x14ac:dyDescent="0.25">
      <c r="A150" s="20">
        <v>47277</v>
      </c>
    </row>
    <row r="151" spans="1:1" x14ac:dyDescent="0.25">
      <c r="A151" s="20">
        <v>47186</v>
      </c>
    </row>
    <row r="152" spans="1:1" x14ac:dyDescent="0.25">
      <c r="A152" s="20">
        <v>47340</v>
      </c>
    </row>
    <row r="153" spans="1:1" x14ac:dyDescent="0.25">
      <c r="A153" s="20">
        <v>47463</v>
      </c>
    </row>
    <row r="154" spans="1:1" x14ac:dyDescent="0.25">
      <c r="A154" s="36" t="s">
        <v>215</v>
      </c>
    </row>
    <row r="155" spans="1:1" x14ac:dyDescent="0.25">
      <c r="A155" s="36" t="s">
        <v>216</v>
      </c>
    </row>
    <row r="156" spans="1:1" x14ac:dyDescent="0.25">
      <c r="A156" s="20">
        <v>47484</v>
      </c>
    </row>
    <row r="157" spans="1:1" x14ac:dyDescent="0.25">
      <c r="A157" s="36" t="s">
        <v>217</v>
      </c>
    </row>
    <row r="158" spans="1:1" x14ac:dyDescent="0.25">
      <c r="A158" s="36" t="s">
        <v>218</v>
      </c>
    </row>
    <row r="159" spans="1:1" x14ac:dyDescent="0.25">
      <c r="A159" s="36" t="s">
        <v>219</v>
      </c>
    </row>
    <row r="160" spans="1:1" x14ac:dyDescent="0.25">
      <c r="A160" s="20">
        <v>47490</v>
      </c>
    </row>
    <row r="161" spans="1:1" x14ac:dyDescent="0.25">
      <c r="A161" s="20">
        <v>47611</v>
      </c>
    </row>
    <row r="162" spans="1:1" x14ac:dyDescent="0.25">
      <c r="A162" s="20">
        <v>47523</v>
      </c>
    </row>
    <row r="163" spans="1:1" x14ac:dyDescent="0.25">
      <c r="A163" s="36" t="s">
        <v>220</v>
      </c>
    </row>
    <row r="164" spans="1:1" x14ac:dyDescent="0.25">
      <c r="A164" s="57">
        <v>47798</v>
      </c>
    </row>
    <row r="165" spans="1:1" x14ac:dyDescent="0.25">
      <c r="A165" s="36" t="s">
        <v>221</v>
      </c>
    </row>
    <row r="166" spans="1:1" x14ac:dyDescent="0.25">
      <c r="A166" s="3" t="s">
        <v>222</v>
      </c>
    </row>
  </sheetData>
  <pageMargins left="0.7" right="0.7" top="0.75" bottom="0.75" header="0.3" footer="0.3"/>
  <pageSetup orientation="portrait"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I2"/>
  <sheetViews>
    <sheetView workbookViewId="0">
      <selection activeCell="B5" sqref="B5"/>
    </sheetView>
  </sheetViews>
  <sheetFormatPr defaultRowHeight="15" x14ac:dyDescent="0.25"/>
  <sheetData>
    <row r="2" spans="1:9" x14ac:dyDescent="0.25">
      <c r="A2" s="71" t="s">
        <v>308</v>
      </c>
      <c r="B2" s="71"/>
      <c r="C2" s="71"/>
      <c r="D2" s="71"/>
      <c r="E2" s="71"/>
      <c r="F2" s="71"/>
      <c r="G2" s="71"/>
      <c r="H2" s="71"/>
      <c r="I2" s="71"/>
    </row>
  </sheetData>
  <mergeCells count="1">
    <mergeCell ref="A2:I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BA59"/>
  <sheetViews>
    <sheetView zoomScale="70" zoomScaleNormal="70" workbookViewId="0">
      <pane xSplit="24795" topLeftCell="AC1"/>
      <selection activeCell="F11" sqref="F11"/>
      <selection pane="topRight" activeCell="AC1" sqref="AC1"/>
    </sheetView>
  </sheetViews>
  <sheetFormatPr defaultRowHeight="15" x14ac:dyDescent="0.25"/>
  <cols>
    <col min="1" max="1" width="20.140625" customWidth="1"/>
    <col min="2" max="2" width="8.140625" style="38" customWidth="1"/>
    <col min="3" max="3" width="9.140625" style="41"/>
    <col min="4" max="4" width="9.140625" style="43"/>
    <col min="6" max="6" width="27.85546875" style="36" bestFit="1" customWidth="1"/>
    <col min="7" max="7" width="33.85546875" style="41" bestFit="1" customWidth="1"/>
    <col min="9" max="9" width="9.140625" style="41"/>
    <col min="11" max="11" width="9.140625" style="36"/>
    <col min="14" max="14" width="9.140625" style="45"/>
    <col min="15" max="15" width="9.140625" style="46"/>
    <col min="16" max="17" width="9.140625" style="38"/>
    <col min="18" max="20" width="9.140625" style="44"/>
    <col min="22" max="22" width="9.140625" style="36"/>
    <col min="31" max="32" width="9.140625" style="15"/>
    <col min="35" max="35" width="9.140625" style="15"/>
    <col min="37" max="37" width="9.140625" style="44"/>
    <col min="40" max="40" width="9.140625" style="36"/>
    <col min="42" max="43" width="9.140625" style="36"/>
    <col min="48" max="49" width="9.140625" style="15"/>
    <col min="53" max="53" width="9.140625" style="44"/>
  </cols>
  <sheetData>
    <row r="1" spans="1:7" x14ac:dyDescent="0.25">
      <c r="A1" s="67" t="s">
        <v>285</v>
      </c>
      <c r="B1" s="36" t="s">
        <v>302</v>
      </c>
      <c r="C1"/>
      <c r="F1" s="67" t="s">
        <v>285</v>
      </c>
      <c r="G1" s="36" t="s">
        <v>302</v>
      </c>
    </row>
    <row r="2" spans="1:7" x14ac:dyDescent="0.25">
      <c r="B2"/>
      <c r="C2"/>
      <c r="F2"/>
      <c r="G2"/>
    </row>
    <row r="3" spans="1:7" x14ac:dyDescent="0.25">
      <c r="A3" s="67" t="s">
        <v>299</v>
      </c>
      <c r="B3"/>
      <c r="C3"/>
      <c r="F3" s="67" t="s">
        <v>299</v>
      </c>
      <c r="G3" t="s">
        <v>311</v>
      </c>
    </row>
    <row r="4" spans="1:7" x14ac:dyDescent="0.25">
      <c r="A4" s="69">
        <v>43262</v>
      </c>
      <c r="B4"/>
      <c r="C4"/>
      <c r="F4" s="8" t="s">
        <v>230</v>
      </c>
      <c r="G4" s="68">
        <v>219300000</v>
      </c>
    </row>
    <row r="5" spans="1:7" x14ac:dyDescent="0.25">
      <c r="A5" s="69" t="s">
        <v>300</v>
      </c>
      <c r="B5"/>
      <c r="C5"/>
      <c r="F5" s="8" t="s">
        <v>234</v>
      </c>
      <c r="G5" s="68">
        <v>17490000</v>
      </c>
    </row>
    <row r="6" spans="1:7" x14ac:dyDescent="0.25">
      <c r="B6"/>
      <c r="C6"/>
      <c r="F6" s="8" t="s">
        <v>235</v>
      </c>
      <c r="G6" s="68">
        <v>18000000</v>
      </c>
    </row>
    <row r="7" spans="1:7" x14ac:dyDescent="0.25">
      <c r="B7"/>
      <c r="C7"/>
      <c r="F7" s="8" t="s">
        <v>232</v>
      </c>
      <c r="G7" s="68">
        <v>40000000</v>
      </c>
    </row>
    <row r="8" spans="1:7" x14ac:dyDescent="0.25">
      <c r="B8"/>
      <c r="C8"/>
      <c r="F8" s="8" t="s">
        <v>271</v>
      </c>
      <c r="G8" s="68">
        <v>80000000</v>
      </c>
    </row>
    <row r="9" spans="1:7" x14ac:dyDescent="0.25">
      <c r="B9"/>
      <c r="C9"/>
      <c r="F9" s="8" t="s">
        <v>272</v>
      </c>
      <c r="G9" s="68">
        <v>40000000</v>
      </c>
    </row>
    <row r="10" spans="1:7" x14ac:dyDescent="0.25">
      <c r="B10"/>
      <c r="C10"/>
      <c r="F10" s="8" t="s">
        <v>278</v>
      </c>
      <c r="G10" s="68">
        <v>400000000</v>
      </c>
    </row>
    <row r="11" spans="1:7" x14ac:dyDescent="0.25">
      <c r="B11"/>
      <c r="C11"/>
      <c r="F11" s="8" t="s">
        <v>274</v>
      </c>
      <c r="G11" s="68">
        <v>350000000</v>
      </c>
    </row>
    <row r="12" spans="1:7" x14ac:dyDescent="0.25">
      <c r="B12"/>
      <c r="C12"/>
      <c r="F12" s="8" t="s">
        <v>276</v>
      </c>
      <c r="G12" s="68">
        <v>520000000</v>
      </c>
    </row>
    <row r="13" spans="1:7" x14ac:dyDescent="0.25">
      <c r="B13"/>
      <c r="C13"/>
      <c r="F13" s="8" t="s">
        <v>277</v>
      </c>
      <c r="G13" s="68">
        <v>450000000</v>
      </c>
    </row>
    <row r="14" spans="1:7" x14ac:dyDescent="0.25">
      <c r="B14"/>
      <c r="C14"/>
      <c r="F14" s="8" t="s">
        <v>270</v>
      </c>
      <c r="G14" s="68">
        <v>260000000</v>
      </c>
    </row>
    <row r="15" spans="1:7" x14ac:dyDescent="0.25">
      <c r="B15"/>
      <c r="C15"/>
      <c r="F15" s="8" t="s">
        <v>273</v>
      </c>
      <c r="G15" s="68">
        <v>200000000</v>
      </c>
    </row>
    <row r="16" spans="1:7" x14ac:dyDescent="0.25">
      <c r="B16"/>
      <c r="C16"/>
      <c r="F16" s="8" t="s">
        <v>238</v>
      </c>
      <c r="G16" s="68">
        <v>35000000000</v>
      </c>
    </row>
    <row r="17" spans="2:7" x14ac:dyDescent="0.25">
      <c r="B17"/>
      <c r="C17"/>
      <c r="F17" s="8" t="s">
        <v>236</v>
      </c>
      <c r="G17" s="68">
        <v>10000000000</v>
      </c>
    </row>
    <row r="18" spans="2:7" x14ac:dyDescent="0.25">
      <c r="B18"/>
      <c r="C18"/>
      <c r="F18" s="8" t="s">
        <v>237</v>
      </c>
      <c r="G18" s="68">
        <v>15000000000</v>
      </c>
    </row>
    <row r="19" spans="2:7" x14ac:dyDescent="0.25">
      <c r="F19" s="8" t="s">
        <v>233</v>
      </c>
      <c r="G19" s="68">
        <v>60412082.489999995</v>
      </c>
    </row>
    <row r="20" spans="2:7" x14ac:dyDescent="0.25">
      <c r="F20" s="8" t="s">
        <v>248</v>
      </c>
      <c r="G20" s="68">
        <v>101520179.42999993</v>
      </c>
    </row>
    <row r="21" spans="2:7" x14ac:dyDescent="0.25">
      <c r="F21" s="8" t="s">
        <v>231</v>
      </c>
      <c r="G21" s="68">
        <v>60895414.449999906</v>
      </c>
    </row>
    <row r="22" spans="2:7" x14ac:dyDescent="0.25">
      <c r="F22" s="8" t="s">
        <v>279</v>
      </c>
      <c r="G22" s="68">
        <v>74994839881.819992</v>
      </c>
    </row>
    <row r="23" spans="2:7" x14ac:dyDescent="0.25">
      <c r="F23" s="8" t="s">
        <v>275</v>
      </c>
      <c r="G23" s="68">
        <v>269937421.81999999</v>
      </c>
    </row>
    <row r="24" spans="2:7" x14ac:dyDescent="0.25">
      <c r="F24" s="8" t="s">
        <v>243</v>
      </c>
      <c r="G24" s="68">
        <v>1900000000</v>
      </c>
    </row>
    <row r="25" spans="2:7" x14ac:dyDescent="0.25">
      <c r="F25" s="8" t="s">
        <v>240</v>
      </c>
      <c r="G25" s="68">
        <v>3300000000</v>
      </c>
    </row>
    <row r="26" spans="2:7" x14ac:dyDescent="0.25">
      <c r="F26" s="8" t="s">
        <v>244</v>
      </c>
      <c r="G26" s="68">
        <v>5000000000</v>
      </c>
    </row>
    <row r="27" spans="2:7" x14ac:dyDescent="0.25">
      <c r="F27" s="8" t="s">
        <v>239</v>
      </c>
      <c r="G27" s="68">
        <v>1900000000</v>
      </c>
    </row>
    <row r="28" spans="2:7" x14ac:dyDescent="0.25">
      <c r="F28" s="8" t="s">
        <v>242</v>
      </c>
      <c r="G28" s="68">
        <v>1650000000</v>
      </c>
    </row>
    <row r="29" spans="2:7" x14ac:dyDescent="0.25">
      <c r="F29" s="8" t="s">
        <v>241</v>
      </c>
      <c r="G29" s="68">
        <v>1175000000</v>
      </c>
    </row>
    <row r="30" spans="2:7" x14ac:dyDescent="0.25">
      <c r="F30" s="8" t="s">
        <v>282</v>
      </c>
      <c r="G30" s="68">
        <v>295000000000</v>
      </c>
    </row>
    <row r="31" spans="2:7" x14ac:dyDescent="0.25">
      <c r="F31" s="8" t="s">
        <v>284</v>
      </c>
      <c r="G31" s="68">
        <v>145000000000</v>
      </c>
    </row>
    <row r="32" spans="2:7" x14ac:dyDescent="0.25">
      <c r="F32" s="8" t="s">
        <v>283</v>
      </c>
      <c r="G32" s="68">
        <v>185000000000</v>
      </c>
    </row>
    <row r="33" spans="6:7" x14ac:dyDescent="0.25">
      <c r="F33" s="8" t="s">
        <v>280</v>
      </c>
      <c r="G33" s="68">
        <v>255000000000</v>
      </c>
    </row>
    <row r="34" spans="6:7" x14ac:dyDescent="0.25">
      <c r="F34" s="8" t="s">
        <v>281</v>
      </c>
      <c r="G34" s="68">
        <v>150000000000</v>
      </c>
    </row>
    <row r="35" spans="6:7" x14ac:dyDescent="0.25">
      <c r="F35" s="8" t="s">
        <v>245</v>
      </c>
      <c r="G35" s="68">
        <v>400000000</v>
      </c>
    </row>
    <row r="36" spans="6:7" x14ac:dyDescent="0.25">
      <c r="F36" s="8" t="s">
        <v>246</v>
      </c>
      <c r="G36" s="68">
        <v>330000000</v>
      </c>
    </row>
    <row r="37" spans="6:7" x14ac:dyDescent="0.25">
      <c r="F37" s="8" t="s">
        <v>247</v>
      </c>
      <c r="G37" s="68">
        <v>220000000</v>
      </c>
    </row>
    <row r="38" spans="6:7" x14ac:dyDescent="0.25">
      <c r="F38" s="8" t="s">
        <v>252</v>
      </c>
      <c r="G38" s="68">
        <v>18000000</v>
      </c>
    </row>
    <row r="39" spans="6:7" x14ac:dyDescent="0.25">
      <c r="F39" s="8" t="s">
        <v>250</v>
      </c>
      <c r="G39" s="68">
        <v>15000000</v>
      </c>
    </row>
    <row r="40" spans="6:7" x14ac:dyDescent="0.25">
      <c r="F40" s="8" t="s">
        <v>251</v>
      </c>
      <c r="G40" s="68">
        <v>24000000</v>
      </c>
    </row>
    <row r="41" spans="6:7" x14ac:dyDescent="0.25">
      <c r="F41" s="8" t="s">
        <v>249</v>
      </c>
      <c r="G41" s="68">
        <v>7000000</v>
      </c>
    </row>
    <row r="42" spans="6:7" x14ac:dyDescent="0.25">
      <c r="F42" s="8" t="s">
        <v>253</v>
      </c>
      <c r="G42" s="68">
        <v>10000000</v>
      </c>
    </row>
    <row r="43" spans="6:7" x14ac:dyDescent="0.25">
      <c r="F43" s="8" t="s">
        <v>254</v>
      </c>
      <c r="G43" s="68">
        <v>40000000</v>
      </c>
    </row>
    <row r="44" spans="6:7" x14ac:dyDescent="0.25">
      <c r="F44" s="8" t="s">
        <v>255</v>
      </c>
      <c r="G44" s="68">
        <v>45000000</v>
      </c>
    </row>
    <row r="45" spans="6:7" x14ac:dyDescent="0.25">
      <c r="F45" s="8" t="s">
        <v>256</v>
      </c>
      <c r="G45" s="68">
        <v>55000000</v>
      </c>
    </row>
    <row r="46" spans="6:7" x14ac:dyDescent="0.25">
      <c r="F46" s="8" t="s">
        <v>269</v>
      </c>
      <c r="G46" s="68">
        <v>102000000</v>
      </c>
    </row>
    <row r="47" spans="6:7" x14ac:dyDescent="0.25">
      <c r="F47" s="8" t="s">
        <v>268</v>
      </c>
      <c r="G47" s="68">
        <v>45000000</v>
      </c>
    </row>
    <row r="48" spans="6:7" x14ac:dyDescent="0.25">
      <c r="F48" s="8" t="s">
        <v>266</v>
      </c>
      <c r="G48" s="68">
        <v>60000000</v>
      </c>
    </row>
    <row r="49" spans="6:7" x14ac:dyDescent="0.25">
      <c r="F49" s="8" t="s">
        <v>267</v>
      </c>
      <c r="G49" s="68">
        <v>200000000</v>
      </c>
    </row>
    <row r="50" spans="6:7" x14ac:dyDescent="0.25">
      <c r="F50" s="8" t="s">
        <v>265</v>
      </c>
      <c r="G50" s="68">
        <v>115000000</v>
      </c>
    </row>
    <row r="51" spans="6:7" x14ac:dyDescent="0.25">
      <c r="F51" s="8" t="s">
        <v>257</v>
      </c>
      <c r="G51" s="68">
        <v>225000000</v>
      </c>
    </row>
    <row r="52" spans="6:7" x14ac:dyDescent="0.25">
      <c r="F52" s="8" t="s">
        <v>258</v>
      </c>
      <c r="G52" s="68">
        <v>225000000</v>
      </c>
    </row>
    <row r="53" spans="6:7" x14ac:dyDescent="0.25">
      <c r="F53" s="8" t="s">
        <v>259</v>
      </c>
      <c r="G53" s="68">
        <v>45000000</v>
      </c>
    </row>
    <row r="54" spans="6:7" x14ac:dyDescent="0.25">
      <c r="F54" s="8" t="s">
        <v>260</v>
      </c>
      <c r="G54" s="68">
        <v>235000000</v>
      </c>
    </row>
    <row r="55" spans="6:7" x14ac:dyDescent="0.25">
      <c r="F55" s="8" t="s">
        <v>263</v>
      </c>
      <c r="G55" s="68">
        <v>10000000</v>
      </c>
    </row>
    <row r="56" spans="6:7" x14ac:dyDescent="0.25">
      <c r="F56" s="8" t="s">
        <v>262</v>
      </c>
      <c r="G56" s="68">
        <v>80000000</v>
      </c>
    </row>
    <row r="57" spans="6:7" x14ac:dyDescent="0.25">
      <c r="F57" s="8" t="s">
        <v>264</v>
      </c>
      <c r="G57" s="68">
        <v>20000000</v>
      </c>
    </row>
    <row r="58" spans="6:7" x14ac:dyDescent="0.25">
      <c r="F58" s="8" t="s">
        <v>261</v>
      </c>
      <c r="G58" s="68">
        <v>50000000</v>
      </c>
    </row>
    <row r="59" spans="6:7" x14ac:dyDescent="0.25">
      <c r="F59" s="8" t="s">
        <v>300</v>
      </c>
      <c r="G59" s="68">
        <v>1185583394980.01</v>
      </c>
    </row>
  </sheetData>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S4"/>
  <sheetViews>
    <sheetView zoomScale="85" zoomScaleNormal="85" workbookViewId="0">
      <pane xSplit="1" ySplit="3" topLeftCell="B4" activePane="bottomRight" state="frozen"/>
      <selection pane="topRight" activeCell="B1" sqref="B1"/>
      <selection pane="bottomLeft" activeCell="A4" sqref="A4"/>
      <selection pane="bottomRight" activeCell="I11" sqref="I11"/>
    </sheetView>
  </sheetViews>
  <sheetFormatPr defaultRowHeight="15" x14ac:dyDescent="0.25"/>
  <cols>
    <col min="1" max="1" width="15.7109375" style="20" bestFit="1" customWidth="1"/>
    <col min="2" max="2" width="16.42578125" style="38" bestFit="1" customWidth="1"/>
    <col min="3" max="3" width="16.140625" style="47" bestFit="1" customWidth="1"/>
    <col min="4" max="4" width="18" style="49" bestFit="1" customWidth="1"/>
    <col min="5" max="6" width="19" style="33" bestFit="1" customWidth="1"/>
    <col min="7" max="7" width="19" style="47" bestFit="1" customWidth="1"/>
    <col min="8" max="8" width="22.42578125" style="53" customWidth="1"/>
    <col min="9" max="9" width="23" style="33" bestFit="1" customWidth="1"/>
    <col min="10" max="10" width="23.85546875" style="33" bestFit="1" customWidth="1"/>
    <col min="11" max="11" width="21.85546875" style="33" bestFit="1" customWidth="1"/>
    <col min="12" max="12" width="22.85546875" style="33" bestFit="1" customWidth="1"/>
    <col min="13" max="13" width="21.42578125" style="33" bestFit="1" customWidth="1"/>
    <col min="14" max="14" width="16.28515625" style="33" bestFit="1" customWidth="1"/>
    <col min="15" max="15" width="17" style="33" bestFit="1" customWidth="1"/>
    <col min="16" max="16" width="15.7109375" style="33" bestFit="1" customWidth="1"/>
    <col min="17" max="17" width="18" style="33" bestFit="1" customWidth="1"/>
    <col min="18" max="18" width="16.28515625" style="33" bestFit="1" customWidth="1"/>
    <col min="19" max="19" width="17.85546875" style="33" bestFit="1" customWidth="1"/>
  </cols>
  <sheetData>
    <row r="1" spans="1:19" x14ac:dyDescent="0.25">
      <c r="A1" s="20">
        <f ca="1">Control!C6</f>
        <v>43262</v>
      </c>
      <c r="B1" s="38" t="e">
        <f>ActiveRisk</f>
        <v>#NAME?</v>
      </c>
      <c r="C1" s="47" t="e">
        <f>INDEX(#REF!, MATCH("GCS FUNDAMENTAL",#REF!, 0), MATCH("Beta 4",#REF!, 0))</f>
        <v>#REF!</v>
      </c>
      <c r="D1" s="49" t="e">
        <f>INDEX(#REF!, MATCH("GCS FUNDAMENTAL",#REF!, 0), MATCH("Active Risk 4 %",#REF!, 0))</f>
        <v>#REF!</v>
      </c>
      <c r="E1" s="33" t="e">
        <f>INDEX(#REF!, MATCH("GCS FUNDAMENTAL",#REF!, 0), MATCH("Longs",#REF!, 0))</f>
        <v>#REF!</v>
      </c>
      <c r="F1" s="33" t="e">
        <f>INDEX(#REF!, MATCH("GCS FUNDAMENTAL",#REF!, 0), MATCH("Shorts",#REF!, 0))</f>
        <v>#REF!</v>
      </c>
      <c r="G1" s="47" t="e">
        <f>VLOOKUP("GCS FUNDAMENTAL",#REF!, 8,FALSE)</f>
        <v>#REF!</v>
      </c>
      <c r="H1" s="53" t="e">
        <f>VLOOKUP("GCS FUNDAMENTAL",#REF!, 17,FALSE)*SQRT(260)</f>
        <v>#REF!</v>
      </c>
      <c r="I1" s="53" t="e">
        <f>VLOOKUP("GCS FUNDAMENTAL",#REF!, 11,FALSE)*SQRT(260)</f>
        <v>#REF!</v>
      </c>
      <c r="J1" s="53" t="e">
        <f>VLOOKUP("GCS FUNDAMENTAL",#REF!, 12,FALSE)*SQRT(260)</f>
        <v>#REF!</v>
      </c>
      <c r="K1" s="53" t="e">
        <f>VLOOKUP("GCS FUNDAMENTAL",#REF!, 13,FALSE)*SQRT(260)</f>
        <v>#REF!</v>
      </c>
      <c r="L1" s="53" t="e">
        <f>VLOOKUP("GCS FUNDAMENTAL",#REF!, 14,FALSE)*SQRT(52)</f>
        <v>#REF!</v>
      </c>
      <c r="M1" s="53" t="e">
        <f>VLOOKUP("GCS FUNDAMENTAL",#REF!, 15,FALSE)*SQRT(52)</f>
        <v>#REF!</v>
      </c>
      <c r="N1" s="53" t="e">
        <f>VLOOKUP("GCS FUNDAMENTAL",#REF!, 16,FALSE)*SQRT(52)</f>
        <v>#REF!</v>
      </c>
      <c r="O1" s="33" t="e">
        <f>INDEX(#REF!, MATCH("GCS FUNDAMENTAL",#REF!, 0), MATCH("Number Longs",#REF!, 0))</f>
        <v>#REF!</v>
      </c>
      <c r="P1" s="51" t="e">
        <f>INDEX(#REF!, MATCH("GCS FUNDAMENTAL",#REF!, 0), MATCH("Number Shorts",#REF!, 0))</f>
        <v>#REF!</v>
      </c>
      <c r="Q1" s="33" t="e">
        <f>VLOOKUP(LEFT(TRIM(Q$3), LEN(Q$3)-1),#REF!,7,FALSE)</f>
        <v>#REF!</v>
      </c>
      <c r="R1" s="47" t="e">
        <f>(E1+F1)/((E1-F1)/2)</f>
        <v>#REF!</v>
      </c>
    </row>
    <row r="2" spans="1:19" x14ac:dyDescent="0.25">
      <c r="O2" s="37"/>
    </row>
    <row r="3" spans="1:19" x14ac:dyDescent="0.25">
      <c r="A3" s="20" t="s">
        <v>91</v>
      </c>
      <c r="B3" s="38" t="s">
        <v>99</v>
      </c>
      <c r="C3" s="47" t="s">
        <v>100</v>
      </c>
      <c r="D3" s="49" t="s">
        <v>101</v>
      </c>
      <c r="E3" s="33" t="s">
        <v>102</v>
      </c>
      <c r="F3" s="33" t="s">
        <v>103</v>
      </c>
      <c r="G3" s="47" t="s">
        <v>104</v>
      </c>
      <c r="H3" s="53" t="s">
        <v>105</v>
      </c>
      <c r="I3" s="33" t="s">
        <v>106</v>
      </c>
      <c r="J3" s="33" t="s">
        <v>107</v>
      </c>
      <c r="K3" s="33" t="s">
        <v>108</v>
      </c>
      <c r="L3" s="33" t="s">
        <v>109</v>
      </c>
      <c r="M3" s="33" t="s">
        <v>110</v>
      </c>
      <c r="N3" s="33" t="s">
        <v>111</v>
      </c>
      <c r="O3" s="37" t="s">
        <v>112</v>
      </c>
      <c r="P3" s="37" t="s">
        <v>113</v>
      </c>
      <c r="Q3" s="37" t="s">
        <v>114</v>
      </c>
      <c r="R3" s="37" t="s">
        <v>115</v>
      </c>
      <c r="S3" s="37" t="s">
        <v>92</v>
      </c>
    </row>
    <row r="4" spans="1:19" x14ac:dyDescent="0.25">
      <c r="A4" s="52">
        <v>42720</v>
      </c>
      <c r="B4" s="38">
        <v>617403853.83625603</v>
      </c>
      <c r="C4" s="47">
        <v>-2.0031857853295174E-2</v>
      </c>
      <c r="D4" s="49">
        <v>4.3605656310196243E-2</v>
      </c>
      <c r="E4" s="51">
        <v>12306159590.440317</v>
      </c>
      <c r="F4" s="51">
        <v>-12113380632.447842</v>
      </c>
      <c r="G4" s="47">
        <v>87.701811559715821</v>
      </c>
      <c r="H4" s="53">
        <v>543381145.33424163</v>
      </c>
      <c r="I4" s="51">
        <v>972950542.72000718</v>
      </c>
      <c r="J4" s="51">
        <v>604780311.82044411</v>
      </c>
      <c r="K4" s="51">
        <v>532415039.10613662</v>
      </c>
      <c r="L4" s="51">
        <v>804308161.44047797</v>
      </c>
      <c r="M4" s="51">
        <v>532885862.6203168</v>
      </c>
      <c r="N4" s="51">
        <v>557897857.13917971</v>
      </c>
      <c r="O4" s="51">
        <v>66</v>
      </c>
      <c r="P4" s="51">
        <v>618</v>
      </c>
      <c r="Q4" s="51" t="e">
        <v>#REF!</v>
      </c>
      <c r="R4" s="51">
        <v>1.5788909720076218E-2</v>
      </c>
      <c r="S4" s="5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2850"/>
  <sheetViews>
    <sheetView zoomScale="85" zoomScaleNormal="85" workbookViewId="0">
      <selection activeCell="C18" sqref="C18"/>
    </sheetView>
  </sheetViews>
  <sheetFormatPr defaultRowHeight="15" x14ac:dyDescent="0.25"/>
  <cols>
    <col min="1" max="1" width="15.7109375" style="36" bestFit="1" customWidth="1"/>
    <col min="2" max="2" width="27.7109375" style="56" bestFit="1" customWidth="1"/>
    <col min="3" max="4" width="26.42578125" style="56" bestFit="1" customWidth="1"/>
    <col min="5" max="5" width="9.140625" style="56"/>
    <col min="6" max="16384" width="9.140625" style="36"/>
  </cols>
  <sheetData>
    <row r="1" spans="1:5" x14ac:dyDescent="0.25">
      <c r="A1" s="36" t="s">
        <v>0</v>
      </c>
      <c r="B1" s="56" t="s">
        <v>285</v>
      </c>
      <c r="C1" s="56" t="s">
        <v>136</v>
      </c>
      <c r="D1" s="56" t="s">
        <v>314</v>
      </c>
      <c r="E1" s="56" t="s">
        <v>310</v>
      </c>
    </row>
    <row r="2" spans="1:5" x14ac:dyDescent="0.25">
      <c r="A2" s="20" t="b">
        <v>0</v>
      </c>
      <c r="B2" s="56" t="b">
        <v>0</v>
      </c>
      <c r="C2" s="56" t="b">
        <v>0</v>
      </c>
      <c r="D2" s="56" t="b">
        <v>0</v>
      </c>
      <c r="E2" s="56">
        <f ca="1">IF(PV[[#This Row],[Business Date]]=Control!$C$6, PV[[#This Row],[Notional Value Local Cur]], -PV[[#This Row],[Notional Value Local Cur]])</f>
        <v>0</v>
      </c>
    </row>
    <row r="3" spans="1:5" x14ac:dyDescent="0.25">
      <c r="A3" s="20" t="b">
        <v>0</v>
      </c>
      <c r="B3" s="56" t="b">
        <v>0</v>
      </c>
      <c r="C3" s="56" t="b">
        <v>0</v>
      </c>
      <c r="D3" s="56" t="b">
        <v>0</v>
      </c>
      <c r="E3" s="56">
        <f ca="1">IF(PV[[#This Row],[Business Date]]=Control!$C$6, PV[[#This Row],[Notional Value Local Cur]], -PV[[#This Row],[Notional Value Local Cur]])</f>
        <v>0</v>
      </c>
    </row>
    <row r="4" spans="1:5" x14ac:dyDescent="0.25">
      <c r="A4" s="20" t="b">
        <v>0</v>
      </c>
      <c r="B4" s="56" t="b">
        <v>0</v>
      </c>
      <c r="C4" s="56" t="b">
        <v>0</v>
      </c>
      <c r="D4" s="56" t="b">
        <v>0</v>
      </c>
      <c r="E4" s="56">
        <f ca="1">IF(PV[[#This Row],[Business Date]]=Control!$C$6, PV[[#This Row],[Notional Value Local Cur]], -PV[[#This Row],[Notional Value Local Cur]])</f>
        <v>0</v>
      </c>
    </row>
    <row r="5" spans="1:5" x14ac:dyDescent="0.25">
      <c r="A5" s="20" t="b">
        <v>0</v>
      </c>
      <c r="B5" s="56" t="b">
        <v>0</v>
      </c>
      <c r="C5" s="56" t="b">
        <v>0</v>
      </c>
      <c r="D5" s="56" t="b">
        <v>0</v>
      </c>
      <c r="E5" s="56">
        <f ca="1">IF(PV[[#This Row],[Business Date]]=Control!$C$6, PV[[#This Row],[Notional Value Local Cur]], -PV[[#This Row],[Notional Value Local Cur]])</f>
        <v>0</v>
      </c>
    </row>
    <row r="6" spans="1:5" x14ac:dyDescent="0.25">
      <c r="A6" s="20" t="b">
        <v>0</v>
      </c>
      <c r="B6" s="56" t="b">
        <v>0</v>
      </c>
      <c r="C6" s="56" t="b">
        <v>0</v>
      </c>
      <c r="D6" s="56" t="b">
        <v>0</v>
      </c>
      <c r="E6" s="56">
        <f ca="1">IF(PV[[#This Row],[Business Date]]=Control!$C$6, PV[[#This Row],[Notional Value Local Cur]], -PV[[#This Row],[Notional Value Local Cur]])</f>
        <v>0</v>
      </c>
    </row>
    <row r="7" spans="1:5" x14ac:dyDescent="0.25">
      <c r="A7" s="20" t="b">
        <v>0</v>
      </c>
      <c r="B7" s="56" t="b">
        <v>0</v>
      </c>
      <c r="C7" s="56" t="b">
        <v>0</v>
      </c>
      <c r="D7" s="56" t="b">
        <v>0</v>
      </c>
      <c r="E7" s="56">
        <f ca="1">IF(PV[[#This Row],[Business Date]]=Control!$C$6, PV[[#This Row],[Notional Value Local Cur]], -PV[[#This Row],[Notional Value Local Cur]])</f>
        <v>0</v>
      </c>
    </row>
    <row r="8" spans="1:5" x14ac:dyDescent="0.25">
      <c r="A8" s="20" t="b">
        <v>0</v>
      </c>
      <c r="B8" s="56" t="b">
        <v>0</v>
      </c>
      <c r="C8" s="56" t="b">
        <v>0</v>
      </c>
      <c r="D8" s="56" t="b">
        <v>0</v>
      </c>
      <c r="E8" s="56">
        <f ca="1">IF(PV[[#This Row],[Business Date]]=Control!$C$6, PV[[#This Row],[Notional Value Local Cur]], -PV[[#This Row],[Notional Value Local Cur]])</f>
        <v>0</v>
      </c>
    </row>
    <row r="9" spans="1:5" x14ac:dyDescent="0.25">
      <c r="A9" s="20" t="b">
        <v>0</v>
      </c>
      <c r="B9" s="56" t="b">
        <v>0</v>
      </c>
      <c r="C9" s="56" t="b">
        <v>0</v>
      </c>
      <c r="D9" s="56" t="b">
        <v>0</v>
      </c>
      <c r="E9" s="56">
        <f ca="1">IF(PV[[#This Row],[Business Date]]=Control!$C$6, PV[[#This Row],[Notional Value Local Cur]], -PV[[#This Row],[Notional Value Local Cur]])</f>
        <v>0</v>
      </c>
    </row>
    <row r="10" spans="1:5" x14ac:dyDescent="0.25">
      <c r="A10" s="20" t="b">
        <v>0</v>
      </c>
      <c r="B10" s="56" t="b">
        <v>0</v>
      </c>
      <c r="C10" s="56" t="b">
        <v>0</v>
      </c>
      <c r="D10" s="56" t="b">
        <v>0</v>
      </c>
      <c r="E10" s="56">
        <f ca="1">IF(PV[[#This Row],[Business Date]]=Control!$C$6, PV[[#This Row],[Notional Value Local Cur]], -PV[[#This Row],[Notional Value Local Cur]])</f>
        <v>0</v>
      </c>
    </row>
    <row r="11" spans="1:5" x14ac:dyDescent="0.25">
      <c r="A11" s="20" t="b">
        <v>0</v>
      </c>
      <c r="B11" s="56" t="b">
        <v>0</v>
      </c>
      <c r="C11" s="56" t="b">
        <v>0</v>
      </c>
      <c r="D11" s="56" t="b">
        <v>0</v>
      </c>
      <c r="E11" s="56">
        <f ca="1">IF(PV[[#This Row],[Business Date]]=Control!$C$6, PV[[#This Row],[Notional Value Local Cur]], -PV[[#This Row],[Notional Value Local Cur]])</f>
        <v>0</v>
      </c>
    </row>
    <row r="12" spans="1:5" x14ac:dyDescent="0.25">
      <c r="A12" s="20" t="b">
        <v>0</v>
      </c>
      <c r="B12" s="56" t="b">
        <v>0</v>
      </c>
      <c r="C12" s="56" t="b">
        <v>0</v>
      </c>
      <c r="D12" s="56" t="b">
        <v>0</v>
      </c>
      <c r="E12" s="56">
        <f ca="1">IF(PV[[#This Row],[Business Date]]=Control!$C$6, PV[[#This Row],[Notional Value Local Cur]], -PV[[#This Row],[Notional Value Local Cur]])</f>
        <v>0</v>
      </c>
    </row>
    <row r="13" spans="1:5" x14ac:dyDescent="0.25">
      <c r="A13" s="20" t="b">
        <v>0</v>
      </c>
      <c r="B13" s="56" t="b">
        <v>0</v>
      </c>
      <c r="C13" s="56" t="b">
        <v>0</v>
      </c>
      <c r="D13" s="56" t="b">
        <v>0</v>
      </c>
      <c r="E13" s="56">
        <f ca="1">IF(PV[[#This Row],[Business Date]]=Control!$C$6, PV[[#This Row],[Notional Value Local Cur]], -PV[[#This Row],[Notional Value Local Cur]])</f>
        <v>0</v>
      </c>
    </row>
    <row r="14" spans="1:5" x14ac:dyDescent="0.25">
      <c r="A14" s="20" t="b">
        <v>0</v>
      </c>
      <c r="B14" s="56" t="b">
        <v>0</v>
      </c>
      <c r="C14" s="56" t="b">
        <v>0</v>
      </c>
      <c r="D14" s="56" t="b">
        <v>0</v>
      </c>
      <c r="E14" s="56">
        <f ca="1">IF(PV[[#This Row],[Business Date]]=Control!$C$6, PV[[#This Row],[Notional Value Local Cur]], -PV[[#This Row],[Notional Value Local Cur]])</f>
        <v>0</v>
      </c>
    </row>
    <row r="15" spans="1:5" x14ac:dyDescent="0.25">
      <c r="A15" s="20" t="b">
        <v>0</v>
      </c>
      <c r="B15" s="56" t="b">
        <v>0</v>
      </c>
      <c r="C15" s="56" t="b">
        <v>0</v>
      </c>
      <c r="D15" s="56" t="b">
        <v>0</v>
      </c>
      <c r="E15" s="56">
        <f ca="1">IF(PV[[#This Row],[Business Date]]=Control!$C$6, PV[[#This Row],[Notional Value Local Cur]], -PV[[#This Row],[Notional Value Local Cur]])</f>
        <v>0</v>
      </c>
    </row>
    <row r="16" spans="1:5" x14ac:dyDescent="0.25">
      <c r="A16" s="20" t="b">
        <v>0</v>
      </c>
      <c r="B16" s="56" t="b">
        <v>0</v>
      </c>
      <c r="C16" s="56" t="b">
        <v>0</v>
      </c>
      <c r="D16" s="56" t="b">
        <v>0</v>
      </c>
      <c r="E16" s="56">
        <f ca="1">IF(PV[[#This Row],[Business Date]]=Control!$C$6, PV[[#This Row],[Notional Value Local Cur]], -PV[[#This Row],[Notional Value Local Cur]])</f>
        <v>0</v>
      </c>
    </row>
    <row r="17" spans="1:5" x14ac:dyDescent="0.25">
      <c r="A17" s="20" t="b">
        <v>0</v>
      </c>
      <c r="B17" s="56" t="b">
        <v>0</v>
      </c>
      <c r="C17" s="56" t="b">
        <v>0</v>
      </c>
      <c r="D17" s="56" t="b">
        <v>0</v>
      </c>
      <c r="E17" s="56">
        <f ca="1">IF(PV[[#This Row],[Business Date]]=Control!$C$6, PV[[#This Row],[Notional Value Local Cur]], -PV[[#This Row],[Notional Value Local Cur]])</f>
        <v>0</v>
      </c>
    </row>
    <row r="18" spans="1:5" x14ac:dyDescent="0.25">
      <c r="A18" s="20" t="b">
        <v>0</v>
      </c>
      <c r="B18" s="56" t="b">
        <v>0</v>
      </c>
      <c r="C18" s="56" t="b">
        <v>0</v>
      </c>
      <c r="D18" s="56" t="b">
        <v>0</v>
      </c>
      <c r="E18" s="56">
        <f ca="1">IF(PV[[#This Row],[Business Date]]=Control!$C$6, PV[[#This Row],[Notional Value Local Cur]], -PV[[#This Row],[Notional Value Local Cur]])</f>
        <v>0</v>
      </c>
    </row>
    <row r="19" spans="1:5" x14ac:dyDescent="0.25">
      <c r="A19" s="20" t="b">
        <v>0</v>
      </c>
      <c r="B19" s="56" t="b">
        <v>0</v>
      </c>
      <c r="C19" s="56" t="b">
        <v>0</v>
      </c>
      <c r="D19" s="56" t="b">
        <v>0</v>
      </c>
      <c r="E19" s="56">
        <f ca="1">IF(PV[[#This Row],[Business Date]]=Control!$C$6, PV[[#This Row],[Notional Value Local Cur]], -PV[[#This Row],[Notional Value Local Cur]])</f>
        <v>0</v>
      </c>
    </row>
    <row r="20" spans="1:5" x14ac:dyDescent="0.25">
      <c r="A20" s="20" t="b">
        <v>0</v>
      </c>
      <c r="B20" s="56" t="b">
        <v>0</v>
      </c>
      <c r="C20" s="56" t="b">
        <v>0</v>
      </c>
      <c r="D20" s="56" t="b">
        <v>0</v>
      </c>
      <c r="E20" s="56">
        <f ca="1">IF(PV[[#This Row],[Business Date]]=Control!$C$6, PV[[#This Row],[Notional Value Local Cur]], -PV[[#This Row],[Notional Value Local Cur]])</f>
        <v>0</v>
      </c>
    </row>
    <row r="21" spans="1:5" x14ac:dyDescent="0.25">
      <c r="A21" s="20" t="b">
        <v>0</v>
      </c>
      <c r="B21" s="56" t="b">
        <v>0</v>
      </c>
      <c r="C21" s="56" t="b">
        <v>0</v>
      </c>
      <c r="D21" s="56" t="b">
        <v>0</v>
      </c>
      <c r="E21" s="56">
        <f ca="1">IF(PV[[#This Row],[Business Date]]=Control!$C$6, PV[[#This Row],[Notional Value Local Cur]], -PV[[#This Row],[Notional Value Local Cur]])</f>
        <v>0</v>
      </c>
    </row>
    <row r="22" spans="1:5" x14ac:dyDescent="0.25">
      <c r="A22" s="20" t="b">
        <v>0</v>
      </c>
      <c r="B22" s="56" t="b">
        <v>0</v>
      </c>
      <c r="C22" s="56" t="b">
        <v>0</v>
      </c>
      <c r="D22" s="56" t="b">
        <v>0</v>
      </c>
      <c r="E22" s="56">
        <f ca="1">IF(PV[[#This Row],[Business Date]]=Control!$C$6, PV[[#This Row],[Notional Value Local Cur]], -PV[[#This Row],[Notional Value Local Cur]])</f>
        <v>0</v>
      </c>
    </row>
    <row r="23" spans="1:5" x14ac:dyDescent="0.25">
      <c r="A23" s="20" t="b">
        <v>0</v>
      </c>
      <c r="B23" s="56" t="b">
        <v>0</v>
      </c>
      <c r="C23" s="56" t="b">
        <v>0</v>
      </c>
      <c r="D23" s="56" t="b">
        <v>0</v>
      </c>
      <c r="E23" s="56">
        <f ca="1">IF(PV[[#This Row],[Business Date]]=Control!$C$6, PV[[#This Row],[Notional Value Local Cur]], -PV[[#This Row],[Notional Value Local Cur]])</f>
        <v>0</v>
      </c>
    </row>
    <row r="24" spans="1:5" x14ac:dyDescent="0.25">
      <c r="A24" s="20" t="b">
        <v>0</v>
      </c>
      <c r="B24" s="56" t="b">
        <v>0</v>
      </c>
      <c r="C24" s="56" t="b">
        <v>0</v>
      </c>
      <c r="D24" s="56" t="b">
        <v>0</v>
      </c>
      <c r="E24" s="56">
        <f ca="1">IF(PV[[#This Row],[Business Date]]=Control!$C$6, PV[[#This Row],[Notional Value Local Cur]], -PV[[#This Row],[Notional Value Local Cur]])</f>
        <v>0</v>
      </c>
    </row>
    <row r="25" spans="1:5" x14ac:dyDescent="0.25">
      <c r="A25" s="20" t="b">
        <v>0</v>
      </c>
      <c r="B25" s="56" t="b">
        <v>0</v>
      </c>
      <c r="C25" s="56" t="b">
        <v>0</v>
      </c>
      <c r="D25" s="56" t="b">
        <v>0</v>
      </c>
      <c r="E25" s="56">
        <f ca="1">IF(PV[[#This Row],[Business Date]]=Control!$C$6, PV[[#This Row],[Notional Value Local Cur]], -PV[[#This Row],[Notional Value Local Cur]])</f>
        <v>0</v>
      </c>
    </row>
    <row r="26" spans="1:5" x14ac:dyDescent="0.25">
      <c r="A26" s="20" t="b">
        <v>0</v>
      </c>
      <c r="B26" s="56" t="b">
        <v>0</v>
      </c>
      <c r="C26" s="56" t="b">
        <v>0</v>
      </c>
      <c r="D26" s="56" t="b">
        <v>0</v>
      </c>
      <c r="E26" s="56">
        <f ca="1">IF(PV[[#This Row],[Business Date]]=Control!$C$6, PV[[#This Row],[Notional Value Local Cur]], -PV[[#This Row],[Notional Value Local Cur]])</f>
        <v>0</v>
      </c>
    </row>
    <row r="27" spans="1:5" x14ac:dyDescent="0.25">
      <c r="A27" s="20" t="b">
        <v>0</v>
      </c>
      <c r="B27" s="56" t="b">
        <v>0</v>
      </c>
      <c r="C27" s="56" t="b">
        <v>0</v>
      </c>
      <c r="D27" s="56" t="b">
        <v>0</v>
      </c>
      <c r="E27" s="56">
        <f ca="1">IF(PV[[#This Row],[Business Date]]=Control!$C$6, PV[[#This Row],[Notional Value Local Cur]], -PV[[#This Row],[Notional Value Local Cur]])</f>
        <v>0</v>
      </c>
    </row>
    <row r="28" spans="1:5" x14ac:dyDescent="0.25">
      <c r="A28" s="20" t="b">
        <v>0</v>
      </c>
      <c r="B28" s="56" t="b">
        <v>0</v>
      </c>
      <c r="C28" s="56" t="b">
        <v>0</v>
      </c>
      <c r="D28" s="56" t="b">
        <v>0</v>
      </c>
      <c r="E28" s="56">
        <f ca="1">IF(PV[[#This Row],[Business Date]]=Control!$C$6, PV[[#This Row],[Notional Value Local Cur]], -PV[[#This Row],[Notional Value Local Cur]])</f>
        <v>0</v>
      </c>
    </row>
    <row r="29" spans="1:5" x14ac:dyDescent="0.25">
      <c r="A29" s="20" t="b">
        <v>0</v>
      </c>
      <c r="B29" s="56" t="b">
        <v>0</v>
      </c>
      <c r="C29" s="56" t="b">
        <v>0</v>
      </c>
      <c r="D29" s="56" t="b">
        <v>0</v>
      </c>
      <c r="E29" s="56">
        <f ca="1">IF(PV[[#This Row],[Business Date]]=Control!$C$6, PV[[#This Row],[Notional Value Local Cur]], -PV[[#This Row],[Notional Value Local Cur]])</f>
        <v>0</v>
      </c>
    </row>
    <row r="30" spans="1:5" x14ac:dyDescent="0.25">
      <c r="A30" s="20" t="b">
        <v>0</v>
      </c>
      <c r="B30" s="56" t="b">
        <v>0</v>
      </c>
      <c r="C30" s="56" t="b">
        <v>0</v>
      </c>
      <c r="D30" s="56" t="b">
        <v>0</v>
      </c>
      <c r="E30" s="56">
        <f ca="1">IF(PV[[#This Row],[Business Date]]=Control!$C$6, PV[[#This Row],[Notional Value Local Cur]], -PV[[#This Row],[Notional Value Local Cur]])</f>
        <v>0</v>
      </c>
    </row>
    <row r="31" spans="1:5" x14ac:dyDescent="0.25">
      <c r="A31" s="20" t="b">
        <v>0</v>
      </c>
      <c r="B31" s="56" t="b">
        <v>0</v>
      </c>
      <c r="C31" s="56" t="b">
        <v>0</v>
      </c>
      <c r="D31" s="56" t="b">
        <v>0</v>
      </c>
      <c r="E31" s="56">
        <f ca="1">IF(PV[[#This Row],[Business Date]]=Control!$C$6, PV[[#This Row],[Notional Value Local Cur]], -PV[[#This Row],[Notional Value Local Cur]])</f>
        <v>0</v>
      </c>
    </row>
    <row r="32" spans="1:5" x14ac:dyDescent="0.25">
      <c r="A32" s="20" t="b">
        <v>0</v>
      </c>
      <c r="B32" s="56" t="b">
        <v>0</v>
      </c>
      <c r="C32" s="56" t="b">
        <v>0</v>
      </c>
      <c r="D32" s="56" t="b">
        <v>0</v>
      </c>
      <c r="E32" s="56">
        <f ca="1">IF(PV[[#This Row],[Business Date]]=Control!$C$6, PV[[#This Row],[Notional Value Local Cur]], -PV[[#This Row],[Notional Value Local Cur]])</f>
        <v>0</v>
      </c>
    </row>
    <row r="33" spans="1:5" x14ac:dyDescent="0.25">
      <c r="A33" s="20" t="b">
        <v>0</v>
      </c>
      <c r="B33" s="56" t="b">
        <v>0</v>
      </c>
      <c r="C33" s="56" t="b">
        <v>0</v>
      </c>
      <c r="D33" s="56" t="b">
        <v>0</v>
      </c>
      <c r="E33" s="56">
        <f ca="1">IF(PV[[#This Row],[Business Date]]=Control!$C$6, PV[[#This Row],[Notional Value Local Cur]], -PV[[#This Row],[Notional Value Local Cur]])</f>
        <v>0</v>
      </c>
    </row>
    <row r="34" spans="1:5" x14ac:dyDescent="0.25">
      <c r="A34" s="20" t="b">
        <v>0</v>
      </c>
      <c r="B34" s="56" t="b">
        <v>0</v>
      </c>
      <c r="C34" s="56" t="b">
        <v>0</v>
      </c>
      <c r="D34" s="56" t="b">
        <v>0</v>
      </c>
      <c r="E34" s="56">
        <f ca="1">IF(PV[[#This Row],[Business Date]]=Control!$C$6, PV[[#This Row],[Notional Value Local Cur]], -PV[[#This Row],[Notional Value Local Cur]])</f>
        <v>0</v>
      </c>
    </row>
    <row r="35" spans="1:5" x14ac:dyDescent="0.25">
      <c r="A35" s="20" t="b">
        <v>0</v>
      </c>
      <c r="B35" s="56" t="b">
        <v>0</v>
      </c>
      <c r="C35" s="56" t="b">
        <v>0</v>
      </c>
      <c r="D35" s="56" t="b">
        <v>0</v>
      </c>
      <c r="E35" s="56">
        <f ca="1">IF(PV[[#This Row],[Business Date]]=Control!$C$6, PV[[#This Row],[Notional Value Local Cur]], -PV[[#This Row],[Notional Value Local Cur]])</f>
        <v>0</v>
      </c>
    </row>
    <row r="36" spans="1:5" x14ac:dyDescent="0.25">
      <c r="A36" s="20" t="b">
        <v>0</v>
      </c>
      <c r="B36" s="56" t="b">
        <v>0</v>
      </c>
      <c r="C36" s="56" t="b">
        <v>0</v>
      </c>
      <c r="D36" s="56" t="b">
        <v>0</v>
      </c>
      <c r="E36" s="56">
        <f ca="1">IF(PV[[#This Row],[Business Date]]=Control!$C$6, PV[[#This Row],[Notional Value Local Cur]], -PV[[#This Row],[Notional Value Local Cur]])</f>
        <v>0</v>
      </c>
    </row>
    <row r="37" spans="1:5" x14ac:dyDescent="0.25">
      <c r="A37" s="20" t="b">
        <v>0</v>
      </c>
      <c r="B37" s="56" t="b">
        <v>0</v>
      </c>
      <c r="C37" s="56" t="b">
        <v>0</v>
      </c>
      <c r="D37" s="56" t="b">
        <v>0</v>
      </c>
      <c r="E37" s="56">
        <f ca="1">IF(PV[[#This Row],[Business Date]]=Control!$C$6, PV[[#This Row],[Notional Value Local Cur]], -PV[[#This Row],[Notional Value Local Cur]])</f>
        <v>0</v>
      </c>
    </row>
    <row r="38" spans="1:5" x14ac:dyDescent="0.25">
      <c r="A38" s="20" t="b">
        <v>0</v>
      </c>
      <c r="B38" s="56" t="b">
        <v>0</v>
      </c>
      <c r="C38" s="56" t="b">
        <v>0</v>
      </c>
      <c r="D38" s="56" t="b">
        <v>0</v>
      </c>
      <c r="E38" s="56">
        <f ca="1">IF(PV[[#This Row],[Business Date]]=Control!$C$6, PV[[#This Row],[Notional Value Local Cur]], -PV[[#This Row],[Notional Value Local Cur]])</f>
        <v>0</v>
      </c>
    </row>
    <row r="39" spans="1:5" x14ac:dyDescent="0.25">
      <c r="A39" s="20" t="b">
        <v>0</v>
      </c>
      <c r="B39" s="56" t="b">
        <v>0</v>
      </c>
      <c r="C39" s="56" t="b">
        <v>0</v>
      </c>
      <c r="D39" s="56" t="b">
        <v>0</v>
      </c>
      <c r="E39" s="56">
        <f ca="1">IF(PV[[#This Row],[Business Date]]=Control!$C$6, PV[[#This Row],[Notional Value Local Cur]], -PV[[#This Row],[Notional Value Local Cur]])</f>
        <v>0</v>
      </c>
    </row>
    <row r="40" spans="1:5" x14ac:dyDescent="0.25">
      <c r="A40" s="20" t="b">
        <v>0</v>
      </c>
      <c r="B40" s="56" t="b">
        <v>0</v>
      </c>
      <c r="C40" s="56" t="b">
        <v>0</v>
      </c>
      <c r="D40" s="56" t="b">
        <v>0</v>
      </c>
      <c r="E40" s="56">
        <f ca="1">IF(PV[[#This Row],[Business Date]]=Control!$C$6, PV[[#This Row],[Notional Value Local Cur]], -PV[[#This Row],[Notional Value Local Cur]])</f>
        <v>0</v>
      </c>
    </row>
    <row r="41" spans="1:5" x14ac:dyDescent="0.25">
      <c r="A41" s="20" t="b">
        <v>0</v>
      </c>
      <c r="B41" s="56" t="b">
        <v>0</v>
      </c>
      <c r="C41" s="56" t="b">
        <v>0</v>
      </c>
      <c r="D41" s="56" t="b">
        <v>0</v>
      </c>
      <c r="E41" s="56">
        <f ca="1">IF(PV[[#This Row],[Business Date]]=Control!$C$6, PV[[#This Row],[Notional Value Local Cur]], -PV[[#This Row],[Notional Value Local Cur]])</f>
        <v>0</v>
      </c>
    </row>
    <row r="42" spans="1:5" x14ac:dyDescent="0.25">
      <c r="A42" s="20" t="b">
        <v>0</v>
      </c>
      <c r="B42" s="56" t="b">
        <v>0</v>
      </c>
      <c r="C42" s="56" t="b">
        <v>0</v>
      </c>
      <c r="D42" s="56" t="b">
        <v>0</v>
      </c>
      <c r="E42" s="56">
        <f ca="1">IF(PV[[#This Row],[Business Date]]=Control!$C$6, PV[[#This Row],[Notional Value Local Cur]], -PV[[#This Row],[Notional Value Local Cur]])</f>
        <v>0</v>
      </c>
    </row>
    <row r="43" spans="1:5" x14ac:dyDescent="0.25">
      <c r="A43" s="20" t="b">
        <v>0</v>
      </c>
      <c r="B43" s="56" t="b">
        <v>0</v>
      </c>
      <c r="C43" s="56" t="b">
        <v>0</v>
      </c>
      <c r="D43" s="56" t="b">
        <v>0</v>
      </c>
      <c r="E43" s="56">
        <f ca="1">IF(PV[[#This Row],[Business Date]]=Control!$C$6, PV[[#This Row],[Notional Value Local Cur]], -PV[[#This Row],[Notional Value Local Cur]])</f>
        <v>0</v>
      </c>
    </row>
    <row r="44" spans="1:5" x14ac:dyDescent="0.25">
      <c r="A44" s="20" t="b">
        <v>0</v>
      </c>
      <c r="B44" s="56" t="b">
        <v>0</v>
      </c>
      <c r="C44" s="56" t="b">
        <v>0</v>
      </c>
      <c r="D44" s="56" t="b">
        <v>0</v>
      </c>
      <c r="E44" s="56">
        <f ca="1">IF(PV[[#This Row],[Business Date]]=Control!$C$6, PV[[#This Row],[Notional Value Local Cur]], -PV[[#This Row],[Notional Value Local Cur]])</f>
        <v>0</v>
      </c>
    </row>
    <row r="45" spans="1:5" x14ac:dyDescent="0.25">
      <c r="A45" s="20" t="b">
        <v>0</v>
      </c>
      <c r="B45" s="56" t="b">
        <v>0</v>
      </c>
      <c r="C45" s="56" t="b">
        <v>0</v>
      </c>
      <c r="D45" s="56" t="b">
        <v>0</v>
      </c>
      <c r="E45" s="56">
        <f ca="1">IF(PV[[#This Row],[Business Date]]=Control!$C$6, PV[[#This Row],[Notional Value Local Cur]], -PV[[#This Row],[Notional Value Local Cur]])</f>
        <v>0</v>
      </c>
    </row>
    <row r="46" spans="1:5" x14ac:dyDescent="0.25">
      <c r="A46" s="20" t="b">
        <v>0</v>
      </c>
      <c r="B46" s="56" t="b">
        <v>0</v>
      </c>
      <c r="C46" s="56" t="b">
        <v>0</v>
      </c>
      <c r="D46" s="56" t="b">
        <v>0</v>
      </c>
      <c r="E46" s="56">
        <f ca="1">IF(PV[[#This Row],[Business Date]]=Control!$C$6, PV[[#This Row],[Notional Value Local Cur]], -PV[[#This Row],[Notional Value Local Cur]])</f>
        <v>0</v>
      </c>
    </row>
    <row r="47" spans="1:5" x14ac:dyDescent="0.25">
      <c r="A47" s="20" t="b">
        <v>0</v>
      </c>
      <c r="B47" s="56" t="b">
        <v>0</v>
      </c>
      <c r="C47" s="56" t="b">
        <v>0</v>
      </c>
      <c r="D47" s="56" t="b">
        <v>0</v>
      </c>
      <c r="E47" s="56">
        <f ca="1">IF(PV[[#This Row],[Business Date]]=Control!$C$6, PV[[#This Row],[Notional Value Local Cur]], -PV[[#This Row],[Notional Value Local Cur]])</f>
        <v>0</v>
      </c>
    </row>
    <row r="48" spans="1:5" x14ac:dyDescent="0.25">
      <c r="A48" s="20" t="b">
        <v>0</v>
      </c>
      <c r="B48" s="56" t="b">
        <v>0</v>
      </c>
      <c r="C48" s="56" t="b">
        <v>0</v>
      </c>
      <c r="D48" s="56" t="b">
        <v>0</v>
      </c>
      <c r="E48" s="56">
        <f ca="1">IF(PV[[#This Row],[Business Date]]=Control!$C$6, PV[[#This Row],[Notional Value Local Cur]], -PV[[#This Row],[Notional Value Local Cur]])</f>
        <v>0</v>
      </c>
    </row>
    <row r="49" spans="1:5" x14ac:dyDescent="0.25">
      <c r="A49" s="20" t="b">
        <v>0</v>
      </c>
      <c r="B49" s="56" t="b">
        <v>0</v>
      </c>
      <c r="C49" s="56" t="b">
        <v>0</v>
      </c>
      <c r="D49" s="56" t="b">
        <v>0</v>
      </c>
      <c r="E49" s="56">
        <f ca="1">IF(PV[[#This Row],[Business Date]]=Control!$C$6, PV[[#This Row],[Notional Value Local Cur]], -PV[[#This Row],[Notional Value Local Cur]])</f>
        <v>0</v>
      </c>
    </row>
    <row r="50" spans="1:5" x14ac:dyDescent="0.25">
      <c r="A50" s="20" t="b">
        <v>0</v>
      </c>
      <c r="B50" s="56" t="b">
        <v>0</v>
      </c>
      <c r="C50" s="56" t="b">
        <v>0</v>
      </c>
      <c r="D50" s="56" t="b">
        <v>0</v>
      </c>
      <c r="E50" s="56">
        <f ca="1">IF(PV[[#This Row],[Business Date]]=Control!$C$6, PV[[#This Row],[Notional Value Local Cur]], -PV[[#This Row],[Notional Value Local Cur]])</f>
        <v>0</v>
      </c>
    </row>
    <row r="51" spans="1:5" x14ac:dyDescent="0.25">
      <c r="A51" s="20" t="b">
        <v>0</v>
      </c>
      <c r="B51" s="56" t="b">
        <v>0</v>
      </c>
      <c r="C51" s="56" t="b">
        <v>0</v>
      </c>
      <c r="D51" s="56" t="b">
        <v>0</v>
      </c>
      <c r="E51" s="56">
        <f ca="1">IF(PV[[#This Row],[Business Date]]=Control!$C$6, PV[[#This Row],[Notional Value Local Cur]], -PV[[#This Row],[Notional Value Local Cur]])</f>
        <v>0</v>
      </c>
    </row>
    <row r="52" spans="1:5" x14ac:dyDescent="0.25">
      <c r="A52" s="20" t="b">
        <v>0</v>
      </c>
      <c r="B52" s="56" t="b">
        <v>0</v>
      </c>
      <c r="C52" s="56" t="b">
        <v>0</v>
      </c>
      <c r="D52" s="56" t="b">
        <v>0</v>
      </c>
      <c r="E52" s="56">
        <f ca="1">IF(PV[[#This Row],[Business Date]]=Control!$C$6, PV[[#This Row],[Notional Value Local Cur]], -PV[[#This Row],[Notional Value Local Cur]])</f>
        <v>0</v>
      </c>
    </row>
    <row r="53" spans="1:5" x14ac:dyDescent="0.25">
      <c r="A53" s="20" t="b">
        <v>0</v>
      </c>
      <c r="B53" s="56" t="b">
        <v>0</v>
      </c>
      <c r="C53" s="56" t="b">
        <v>0</v>
      </c>
      <c r="D53" s="56" t="b">
        <v>0</v>
      </c>
      <c r="E53" s="56">
        <f ca="1">IF(PV[[#This Row],[Business Date]]=Control!$C$6, PV[[#This Row],[Notional Value Local Cur]], -PV[[#This Row],[Notional Value Local Cur]])</f>
        <v>0</v>
      </c>
    </row>
    <row r="54" spans="1:5" x14ac:dyDescent="0.25">
      <c r="A54" s="20" t="b">
        <v>0</v>
      </c>
      <c r="B54" s="56" t="b">
        <v>0</v>
      </c>
      <c r="C54" s="56" t="b">
        <v>0</v>
      </c>
      <c r="D54" s="56" t="b">
        <v>0</v>
      </c>
      <c r="E54" s="56">
        <f ca="1">IF(PV[[#This Row],[Business Date]]=Control!$C$6, PV[[#This Row],[Notional Value Local Cur]], -PV[[#This Row],[Notional Value Local Cur]])</f>
        <v>0</v>
      </c>
    </row>
    <row r="55" spans="1:5" x14ac:dyDescent="0.25">
      <c r="A55" s="20" t="b">
        <v>0</v>
      </c>
      <c r="B55" s="56" t="b">
        <v>0</v>
      </c>
      <c r="C55" s="56" t="b">
        <v>0</v>
      </c>
      <c r="D55" s="56" t="b">
        <v>0</v>
      </c>
      <c r="E55" s="56">
        <f ca="1">IF(PV[[#This Row],[Business Date]]=Control!$C$6, PV[[#This Row],[Notional Value Local Cur]], -PV[[#This Row],[Notional Value Local Cur]])</f>
        <v>0</v>
      </c>
    </row>
    <row r="56" spans="1:5" x14ac:dyDescent="0.25">
      <c r="A56" s="20" t="b">
        <v>0</v>
      </c>
      <c r="B56" s="56" t="b">
        <v>0</v>
      </c>
      <c r="C56" s="56" t="b">
        <v>0</v>
      </c>
      <c r="D56" s="56" t="b">
        <v>0</v>
      </c>
      <c r="E56" s="56">
        <f ca="1">IF(PV[[#This Row],[Business Date]]=Control!$C$6, PV[[#This Row],[Notional Value Local Cur]], -PV[[#This Row],[Notional Value Local Cur]])</f>
        <v>0</v>
      </c>
    </row>
    <row r="57" spans="1:5" x14ac:dyDescent="0.25">
      <c r="A57" s="20" t="b">
        <v>0</v>
      </c>
      <c r="B57" s="56" t="b">
        <v>0</v>
      </c>
      <c r="C57" s="56" t="b">
        <v>0</v>
      </c>
      <c r="D57" s="56" t="b">
        <v>0</v>
      </c>
      <c r="E57" s="56">
        <f ca="1">IF(PV[[#This Row],[Business Date]]=Control!$C$6, PV[[#This Row],[Notional Value Local Cur]], -PV[[#This Row],[Notional Value Local Cur]])</f>
        <v>0</v>
      </c>
    </row>
    <row r="58" spans="1:5" x14ac:dyDescent="0.25">
      <c r="A58" s="20" t="b">
        <v>0</v>
      </c>
      <c r="B58" s="56" t="b">
        <v>0</v>
      </c>
      <c r="C58" s="56" t="b">
        <v>0</v>
      </c>
      <c r="D58" s="56" t="b">
        <v>0</v>
      </c>
      <c r="E58" s="56">
        <f ca="1">IF(PV[[#This Row],[Business Date]]=Control!$C$6, PV[[#This Row],[Notional Value Local Cur]], -PV[[#This Row],[Notional Value Local Cur]])</f>
        <v>0</v>
      </c>
    </row>
    <row r="59" spans="1:5" x14ac:dyDescent="0.25">
      <c r="A59" s="20" t="b">
        <v>0</v>
      </c>
      <c r="B59" s="56" t="b">
        <v>0</v>
      </c>
      <c r="C59" s="56" t="b">
        <v>0</v>
      </c>
      <c r="D59" s="56" t="b">
        <v>0</v>
      </c>
      <c r="E59" s="56">
        <f ca="1">IF(PV[[#This Row],[Business Date]]=Control!$C$6, PV[[#This Row],[Notional Value Local Cur]], -PV[[#This Row],[Notional Value Local Cur]])</f>
        <v>0</v>
      </c>
    </row>
    <row r="60" spans="1:5" x14ac:dyDescent="0.25">
      <c r="A60" s="20" t="b">
        <v>0</v>
      </c>
      <c r="B60" s="56" t="b">
        <v>0</v>
      </c>
      <c r="C60" s="56" t="b">
        <v>0</v>
      </c>
      <c r="D60" s="56" t="b">
        <v>0</v>
      </c>
      <c r="E60" s="56">
        <f ca="1">IF(PV[[#This Row],[Business Date]]=Control!$C$6, PV[[#This Row],[Notional Value Local Cur]], -PV[[#This Row],[Notional Value Local Cur]])</f>
        <v>0</v>
      </c>
    </row>
    <row r="61" spans="1:5" x14ac:dyDescent="0.25">
      <c r="A61" s="20" t="b">
        <v>0</v>
      </c>
      <c r="B61" s="56" t="b">
        <v>0</v>
      </c>
      <c r="C61" s="56" t="b">
        <v>0</v>
      </c>
      <c r="D61" s="56" t="b">
        <v>0</v>
      </c>
      <c r="E61" s="56">
        <f ca="1">IF(PV[[#This Row],[Business Date]]=Control!$C$6, PV[[#This Row],[Notional Value Local Cur]], -PV[[#This Row],[Notional Value Local Cur]])</f>
        <v>0</v>
      </c>
    </row>
    <row r="62" spans="1:5" x14ac:dyDescent="0.25">
      <c r="A62" s="20" t="b">
        <v>0</v>
      </c>
      <c r="B62" s="56" t="b">
        <v>0</v>
      </c>
      <c r="C62" s="56" t="b">
        <v>0</v>
      </c>
      <c r="D62" s="56" t="b">
        <v>0</v>
      </c>
      <c r="E62" s="56">
        <f ca="1">IF(PV[[#This Row],[Business Date]]=Control!$C$6, PV[[#This Row],[Notional Value Local Cur]], -PV[[#This Row],[Notional Value Local Cur]])</f>
        <v>0</v>
      </c>
    </row>
    <row r="63" spans="1:5" x14ac:dyDescent="0.25">
      <c r="A63" s="20" t="b">
        <v>0</v>
      </c>
      <c r="B63" s="56" t="b">
        <v>0</v>
      </c>
      <c r="C63" s="56" t="b">
        <v>0</v>
      </c>
      <c r="D63" s="56" t="b">
        <v>0</v>
      </c>
      <c r="E63" s="56">
        <f ca="1">IF(PV[[#This Row],[Business Date]]=Control!$C$6, PV[[#This Row],[Notional Value Local Cur]], -PV[[#This Row],[Notional Value Local Cur]])</f>
        <v>0</v>
      </c>
    </row>
    <row r="64" spans="1:5" x14ac:dyDescent="0.25">
      <c r="A64" s="20" t="b">
        <v>0</v>
      </c>
      <c r="B64" s="56" t="b">
        <v>0</v>
      </c>
      <c r="C64" s="56" t="b">
        <v>0</v>
      </c>
      <c r="D64" s="56" t="b">
        <v>0</v>
      </c>
      <c r="E64" s="56">
        <f ca="1">IF(PV[[#This Row],[Business Date]]=Control!$C$6, PV[[#This Row],[Notional Value Local Cur]], -PV[[#This Row],[Notional Value Local Cur]])</f>
        <v>0</v>
      </c>
    </row>
    <row r="65" spans="1:5" x14ac:dyDescent="0.25">
      <c r="A65" s="20" t="b">
        <v>0</v>
      </c>
      <c r="B65" s="56" t="b">
        <v>0</v>
      </c>
      <c r="C65" s="56" t="b">
        <v>0</v>
      </c>
      <c r="D65" s="56" t="b">
        <v>0</v>
      </c>
      <c r="E65" s="56">
        <f ca="1">IF(PV[[#This Row],[Business Date]]=Control!$C$6, PV[[#This Row],[Notional Value Local Cur]], -PV[[#This Row],[Notional Value Local Cur]])</f>
        <v>0</v>
      </c>
    </row>
    <row r="66" spans="1:5" x14ac:dyDescent="0.25">
      <c r="A66" s="20" t="b">
        <v>0</v>
      </c>
      <c r="B66" s="56" t="b">
        <v>0</v>
      </c>
      <c r="C66" s="56" t="b">
        <v>0</v>
      </c>
      <c r="D66" s="56" t="b">
        <v>0</v>
      </c>
      <c r="E66" s="56">
        <f ca="1">IF(PV[[#This Row],[Business Date]]=Control!$C$6, PV[[#This Row],[Notional Value Local Cur]], -PV[[#This Row],[Notional Value Local Cur]])</f>
        <v>0</v>
      </c>
    </row>
    <row r="67" spans="1:5" x14ac:dyDescent="0.25">
      <c r="A67" s="20" t="b">
        <v>0</v>
      </c>
      <c r="B67" s="56" t="b">
        <v>0</v>
      </c>
      <c r="C67" s="56" t="b">
        <v>0</v>
      </c>
      <c r="D67" s="56" t="b">
        <v>0</v>
      </c>
      <c r="E67" s="56">
        <f ca="1">IF(PV[[#This Row],[Business Date]]=Control!$C$6, PV[[#This Row],[Notional Value Local Cur]], -PV[[#This Row],[Notional Value Local Cur]])</f>
        <v>0</v>
      </c>
    </row>
    <row r="68" spans="1:5" x14ac:dyDescent="0.25">
      <c r="A68" s="20" t="b">
        <v>0</v>
      </c>
      <c r="B68" s="56" t="b">
        <v>0</v>
      </c>
      <c r="C68" s="56" t="b">
        <v>0</v>
      </c>
      <c r="D68" s="56" t="b">
        <v>0</v>
      </c>
      <c r="E68" s="56">
        <f ca="1">IF(PV[[#This Row],[Business Date]]=Control!$C$6, PV[[#This Row],[Notional Value Local Cur]], -PV[[#This Row],[Notional Value Local Cur]])</f>
        <v>0</v>
      </c>
    </row>
    <row r="69" spans="1:5" x14ac:dyDescent="0.25">
      <c r="A69" s="20" t="b">
        <v>0</v>
      </c>
      <c r="B69" s="56" t="b">
        <v>0</v>
      </c>
      <c r="C69" s="56" t="b">
        <v>0</v>
      </c>
      <c r="D69" s="56" t="b">
        <v>0</v>
      </c>
      <c r="E69" s="56">
        <f ca="1">IF(PV[[#This Row],[Business Date]]=Control!$C$6, PV[[#This Row],[Notional Value Local Cur]], -PV[[#This Row],[Notional Value Local Cur]])</f>
        <v>0</v>
      </c>
    </row>
    <row r="70" spans="1:5" x14ac:dyDescent="0.25">
      <c r="A70" s="20" t="b">
        <v>0</v>
      </c>
      <c r="B70" s="56" t="b">
        <v>0</v>
      </c>
      <c r="C70" s="56" t="b">
        <v>0</v>
      </c>
      <c r="D70" s="56" t="b">
        <v>0</v>
      </c>
      <c r="E70" s="56">
        <f ca="1">IF(PV[[#This Row],[Business Date]]=Control!$C$6, PV[[#This Row],[Notional Value Local Cur]], -PV[[#This Row],[Notional Value Local Cur]])</f>
        <v>0</v>
      </c>
    </row>
    <row r="71" spans="1:5" x14ac:dyDescent="0.25">
      <c r="A71" s="20" t="b">
        <v>0</v>
      </c>
      <c r="B71" s="56" t="b">
        <v>0</v>
      </c>
      <c r="C71" s="56" t="b">
        <v>0</v>
      </c>
      <c r="D71" s="56" t="b">
        <v>0</v>
      </c>
      <c r="E71" s="56">
        <f ca="1">IF(PV[[#This Row],[Business Date]]=Control!$C$6, PV[[#This Row],[Notional Value Local Cur]], -PV[[#This Row],[Notional Value Local Cur]])</f>
        <v>0</v>
      </c>
    </row>
    <row r="72" spans="1:5" x14ac:dyDescent="0.25">
      <c r="A72" s="20" t="b">
        <v>0</v>
      </c>
      <c r="B72" s="56" t="b">
        <v>0</v>
      </c>
      <c r="C72" s="56" t="b">
        <v>0</v>
      </c>
      <c r="D72" s="56" t="b">
        <v>0</v>
      </c>
      <c r="E72" s="56">
        <f ca="1">IF(PV[[#This Row],[Business Date]]=Control!$C$6, PV[[#This Row],[Notional Value Local Cur]], -PV[[#This Row],[Notional Value Local Cur]])</f>
        <v>0</v>
      </c>
    </row>
    <row r="73" spans="1:5" x14ac:dyDescent="0.25">
      <c r="A73" s="20" t="b">
        <v>0</v>
      </c>
      <c r="B73" s="56" t="b">
        <v>0</v>
      </c>
      <c r="C73" s="56" t="b">
        <v>0</v>
      </c>
      <c r="D73" s="56" t="b">
        <v>0</v>
      </c>
      <c r="E73" s="56">
        <f ca="1">IF(PV[[#This Row],[Business Date]]=Control!$C$6, PV[[#This Row],[Notional Value Local Cur]], -PV[[#This Row],[Notional Value Local Cur]])</f>
        <v>0</v>
      </c>
    </row>
    <row r="74" spans="1:5" x14ac:dyDescent="0.25">
      <c r="A74" s="20" t="b">
        <v>0</v>
      </c>
      <c r="B74" s="56" t="b">
        <v>0</v>
      </c>
      <c r="C74" s="56" t="b">
        <v>0</v>
      </c>
      <c r="D74" s="56" t="b">
        <v>0</v>
      </c>
      <c r="E74" s="56">
        <f ca="1">IF(PV[[#This Row],[Business Date]]=Control!$C$6, PV[[#This Row],[Notional Value Local Cur]], -PV[[#This Row],[Notional Value Local Cur]])</f>
        <v>0</v>
      </c>
    </row>
    <row r="75" spans="1:5" x14ac:dyDescent="0.25">
      <c r="A75" s="20" t="b">
        <v>0</v>
      </c>
      <c r="B75" s="56" t="b">
        <v>0</v>
      </c>
      <c r="C75" s="56" t="b">
        <v>0</v>
      </c>
      <c r="D75" s="56" t="b">
        <v>0</v>
      </c>
      <c r="E75" s="56">
        <f ca="1">IF(PV[[#This Row],[Business Date]]=Control!$C$6, PV[[#This Row],[Notional Value Local Cur]], -PV[[#This Row],[Notional Value Local Cur]])</f>
        <v>0</v>
      </c>
    </row>
    <row r="76" spans="1:5" x14ac:dyDescent="0.25">
      <c r="A76" s="20" t="b">
        <v>0</v>
      </c>
      <c r="B76" s="56" t="b">
        <v>0</v>
      </c>
      <c r="C76" s="56" t="b">
        <v>0</v>
      </c>
      <c r="D76" s="56" t="b">
        <v>0</v>
      </c>
      <c r="E76" s="56">
        <f ca="1">IF(PV[[#This Row],[Business Date]]=Control!$C$6, PV[[#This Row],[Notional Value Local Cur]], -PV[[#This Row],[Notional Value Local Cur]])</f>
        <v>0</v>
      </c>
    </row>
    <row r="77" spans="1:5" x14ac:dyDescent="0.25">
      <c r="A77" s="20" t="b">
        <v>0</v>
      </c>
      <c r="B77" s="56" t="b">
        <v>0</v>
      </c>
      <c r="C77" s="56" t="b">
        <v>0</v>
      </c>
      <c r="D77" s="56" t="b">
        <v>0</v>
      </c>
      <c r="E77" s="56">
        <f ca="1">IF(PV[[#This Row],[Business Date]]=Control!$C$6, PV[[#This Row],[Notional Value Local Cur]], -PV[[#This Row],[Notional Value Local Cur]])</f>
        <v>0</v>
      </c>
    </row>
    <row r="78" spans="1:5" x14ac:dyDescent="0.25">
      <c r="A78" s="20" t="b">
        <v>0</v>
      </c>
      <c r="B78" s="56" t="b">
        <v>0</v>
      </c>
      <c r="C78" s="56" t="b">
        <v>0</v>
      </c>
      <c r="D78" s="56" t="b">
        <v>0</v>
      </c>
      <c r="E78" s="56">
        <f ca="1">IF(PV[[#This Row],[Business Date]]=Control!$C$6, PV[[#This Row],[Notional Value Local Cur]], -PV[[#This Row],[Notional Value Local Cur]])</f>
        <v>0</v>
      </c>
    </row>
    <row r="79" spans="1:5" x14ac:dyDescent="0.25">
      <c r="A79" s="20" t="b">
        <v>0</v>
      </c>
      <c r="B79" s="56" t="b">
        <v>0</v>
      </c>
      <c r="C79" s="56" t="b">
        <v>0</v>
      </c>
      <c r="D79" s="56" t="b">
        <v>0</v>
      </c>
      <c r="E79" s="56">
        <f ca="1">IF(PV[[#This Row],[Business Date]]=Control!$C$6, PV[[#This Row],[Notional Value Local Cur]], -PV[[#This Row],[Notional Value Local Cur]])</f>
        <v>0</v>
      </c>
    </row>
    <row r="80" spans="1:5" x14ac:dyDescent="0.25">
      <c r="A80" s="20" t="b">
        <v>0</v>
      </c>
      <c r="B80" s="56" t="b">
        <v>0</v>
      </c>
      <c r="C80" s="56" t="b">
        <v>0</v>
      </c>
      <c r="D80" s="56" t="b">
        <v>0</v>
      </c>
      <c r="E80" s="56">
        <f ca="1">IF(PV[[#This Row],[Business Date]]=Control!$C$6, PV[[#This Row],[Notional Value Local Cur]], -PV[[#This Row],[Notional Value Local Cur]])</f>
        <v>0</v>
      </c>
    </row>
    <row r="81" spans="1:5" x14ac:dyDescent="0.25">
      <c r="A81" s="20" t="b">
        <v>0</v>
      </c>
      <c r="B81" s="56" t="b">
        <v>0</v>
      </c>
      <c r="C81" s="56" t="b">
        <v>0</v>
      </c>
      <c r="D81" s="56" t="b">
        <v>0</v>
      </c>
      <c r="E81" s="56">
        <f ca="1">IF(PV[[#This Row],[Business Date]]=Control!$C$6, PV[[#This Row],[Notional Value Local Cur]], -PV[[#This Row],[Notional Value Local Cur]])</f>
        <v>0</v>
      </c>
    </row>
    <row r="82" spans="1:5" x14ac:dyDescent="0.25">
      <c r="A82" s="20" t="b">
        <v>0</v>
      </c>
      <c r="B82" s="56" t="b">
        <v>0</v>
      </c>
      <c r="C82" s="56" t="b">
        <v>0</v>
      </c>
      <c r="D82" s="56" t="b">
        <v>0</v>
      </c>
      <c r="E82" s="56">
        <f ca="1">IF(PV[[#This Row],[Business Date]]=Control!$C$6, PV[[#This Row],[Notional Value Local Cur]], -PV[[#This Row],[Notional Value Local Cur]])</f>
        <v>0</v>
      </c>
    </row>
    <row r="83" spans="1:5" x14ac:dyDescent="0.25">
      <c r="A83" s="20" t="b">
        <v>0</v>
      </c>
      <c r="B83" s="56" t="b">
        <v>0</v>
      </c>
      <c r="C83" s="56" t="b">
        <v>0</v>
      </c>
      <c r="D83" s="56" t="b">
        <v>0</v>
      </c>
      <c r="E83" s="56">
        <f ca="1">IF(PV[[#This Row],[Business Date]]=Control!$C$6, PV[[#This Row],[Notional Value Local Cur]], -PV[[#This Row],[Notional Value Local Cur]])</f>
        <v>0</v>
      </c>
    </row>
    <row r="84" spans="1:5" x14ac:dyDescent="0.25">
      <c r="A84" s="20" t="b">
        <v>0</v>
      </c>
      <c r="B84" s="56" t="b">
        <v>0</v>
      </c>
      <c r="C84" s="56" t="b">
        <v>0</v>
      </c>
      <c r="D84" s="56" t="b">
        <v>0</v>
      </c>
      <c r="E84" s="56">
        <f ca="1">IF(PV[[#This Row],[Business Date]]=Control!$C$6, PV[[#This Row],[Notional Value Local Cur]], -PV[[#This Row],[Notional Value Local Cur]])</f>
        <v>0</v>
      </c>
    </row>
    <row r="85" spans="1:5" x14ac:dyDescent="0.25">
      <c r="A85" s="20" t="b">
        <v>0</v>
      </c>
      <c r="B85" s="56" t="b">
        <v>0</v>
      </c>
      <c r="C85" s="56" t="b">
        <v>0</v>
      </c>
      <c r="D85" s="56" t="b">
        <v>0</v>
      </c>
      <c r="E85" s="56">
        <f ca="1">IF(PV[[#This Row],[Business Date]]=Control!$C$6, PV[[#This Row],[Notional Value Local Cur]], -PV[[#This Row],[Notional Value Local Cur]])</f>
        <v>0</v>
      </c>
    </row>
    <row r="86" spans="1:5" x14ac:dyDescent="0.25">
      <c r="A86" s="20" t="b">
        <v>0</v>
      </c>
      <c r="B86" s="56" t="b">
        <v>0</v>
      </c>
      <c r="C86" s="56" t="b">
        <v>0</v>
      </c>
      <c r="D86" s="56" t="b">
        <v>0</v>
      </c>
      <c r="E86" s="56">
        <f ca="1">IF(PV[[#This Row],[Business Date]]=Control!$C$6, PV[[#This Row],[Notional Value Local Cur]], -PV[[#This Row],[Notional Value Local Cur]])</f>
        <v>0</v>
      </c>
    </row>
    <row r="87" spans="1:5" x14ac:dyDescent="0.25">
      <c r="A87" s="20" t="b">
        <v>0</v>
      </c>
      <c r="B87" s="56" t="b">
        <v>0</v>
      </c>
      <c r="C87" s="56" t="b">
        <v>0</v>
      </c>
      <c r="D87" s="56" t="b">
        <v>0</v>
      </c>
      <c r="E87" s="56">
        <f ca="1">IF(PV[[#This Row],[Business Date]]=Control!$C$6, PV[[#This Row],[Notional Value Local Cur]], -PV[[#This Row],[Notional Value Local Cur]])</f>
        <v>0</v>
      </c>
    </row>
    <row r="88" spans="1:5" x14ac:dyDescent="0.25">
      <c r="A88" s="20" t="b">
        <v>0</v>
      </c>
      <c r="B88" s="56" t="b">
        <v>0</v>
      </c>
      <c r="C88" s="56" t="b">
        <v>0</v>
      </c>
      <c r="D88" s="56" t="b">
        <v>0</v>
      </c>
      <c r="E88" s="56">
        <f ca="1">IF(PV[[#This Row],[Business Date]]=Control!$C$6, PV[[#This Row],[Notional Value Local Cur]], -PV[[#This Row],[Notional Value Local Cur]])</f>
        <v>0</v>
      </c>
    </row>
    <row r="89" spans="1:5" x14ac:dyDescent="0.25">
      <c r="A89" s="20" t="b">
        <v>0</v>
      </c>
      <c r="B89" s="56" t="b">
        <v>0</v>
      </c>
      <c r="C89" s="56" t="b">
        <v>0</v>
      </c>
      <c r="D89" s="56" t="b">
        <v>0</v>
      </c>
      <c r="E89" s="56">
        <f ca="1">IF(PV[[#This Row],[Business Date]]=Control!$C$6, PV[[#This Row],[Notional Value Local Cur]], -PV[[#This Row],[Notional Value Local Cur]])</f>
        <v>0</v>
      </c>
    </row>
    <row r="90" spans="1:5" x14ac:dyDescent="0.25">
      <c r="A90" s="20" t="b">
        <v>0</v>
      </c>
      <c r="B90" s="56" t="b">
        <v>0</v>
      </c>
      <c r="C90" s="56" t="b">
        <v>0</v>
      </c>
      <c r="D90" s="56" t="b">
        <v>0</v>
      </c>
      <c r="E90" s="56">
        <f ca="1">IF(PV[[#This Row],[Business Date]]=Control!$C$6, PV[[#This Row],[Notional Value Local Cur]], -PV[[#This Row],[Notional Value Local Cur]])</f>
        <v>0</v>
      </c>
    </row>
    <row r="91" spans="1:5" x14ac:dyDescent="0.25">
      <c r="A91" s="20" t="b">
        <v>0</v>
      </c>
      <c r="B91" s="56" t="b">
        <v>0</v>
      </c>
      <c r="C91" s="56" t="b">
        <v>0</v>
      </c>
      <c r="D91" s="56" t="b">
        <v>0</v>
      </c>
      <c r="E91" s="56">
        <f ca="1">IF(PV[[#This Row],[Business Date]]=Control!$C$6, PV[[#This Row],[Notional Value Local Cur]], -PV[[#This Row],[Notional Value Local Cur]])</f>
        <v>0</v>
      </c>
    </row>
    <row r="92" spans="1:5" x14ac:dyDescent="0.25">
      <c r="A92" s="20" t="b">
        <v>0</v>
      </c>
      <c r="B92" s="56" t="b">
        <v>0</v>
      </c>
      <c r="C92" s="56" t="b">
        <v>0</v>
      </c>
      <c r="D92" s="56" t="b">
        <v>0</v>
      </c>
      <c r="E92" s="56">
        <f ca="1">IF(PV[[#This Row],[Business Date]]=Control!$C$6, PV[[#This Row],[Notional Value Local Cur]], -PV[[#This Row],[Notional Value Local Cur]])</f>
        <v>0</v>
      </c>
    </row>
    <row r="93" spans="1:5" x14ac:dyDescent="0.25">
      <c r="A93" s="20" t="b">
        <v>0</v>
      </c>
      <c r="B93" s="56" t="b">
        <v>0</v>
      </c>
      <c r="C93" s="56" t="b">
        <v>0</v>
      </c>
      <c r="D93" s="56" t="b">
        <v>0</v>
      </c>
      <c r="E93" s="56">
        <f ca="1">IF(PV[[#This Row],[Business Date]]=Control!$C$6, PV[[#This Row],[Notional Value Local Cur]], -PV[[#This Row],[Notional Value Local Cur]])</f>
        <v>0</v>
      </c>
    </row>
    <row r="94" spans="1:5" x14ac:dyDescent="0.25">
      <c r="A94" s="20" t="b">
        <v>0</v>
      </c>
      <c r="B94" s="56" t="b">
        <v>0</v>
      </c>
      <c r="C94" s="56" t="b">
        <v>0</v>
      </c>
      <c r="D94" s="56" t="b">
        <v>0</v>
      </c>
      <c r="E94" s="56">
        <f ca="1">IF(PV[[#This Row],[Business Date]]=Control!$C$6, PV[[#This Row],[Notional Value Local Cur]], -PV[[#This Row],[Notional Value Local Cur]])</f>
        <v>0</v>
      </c>
    </row>
    <row r="95" spans="1:5" x14ac:dyDescent="0.25">
      <c r="A95" s="20" t="b">
        <v>0</v>
      </c>
      <c r="B95" s="56" t="b">
        <v>0</v>
      </c>
      <c r="C95" s="56" t="b">
        <v>0</v>
      </c>
      <c r="D95" s="56" t="b">
        <v>0</v>
      </c>
      <c r="E95" s="56">
        <f ca="1">IF(PV[[#This Row],[Business Date]]=Control!$C$6, PV[[#This Row],[Notional Value Local Cur]], -PV[[#This Row],[Notional Value Local Cur]])</f>
        <v>0</v>
      </c>
    </row>
    <row r="96" spans="1:5" x14ac:dyDescent="0.25">
      <c r="A96" s="20" t="b">
        <v>0</v>
      </c>
      <c r="B96" s="56" t="b">
        <v>0</v>
      </c>
      <c r="C96" s="56" t="b">
        <v>0</v>
      </c>
      <c r="D96" s="56" t="b">
        <v>0</v>
      </c>
      <c r="E96" s="56">
        <f ca="1">IF(PV[[#This Row],[Business Date]]=Control!$C$6, PV[[#This Row],[Notional Value Local Cur]], -PV[[#This Row],[Notional Value Local Cur]])</f>
        <v>0</v>
      </c>
    </row>
    <row r="97" spans="1:5" x14ac:dyDescent="0.25">
      <c r="A97" s="20" t="b">
        <v>0</v>
      </c>
      <c r="B97" s="56" t="b">
        <v>0</v>
      </c>
      <c r="C97" s="56" t="b">
        <v>0</v>
      </c>
      <c r="D97" s="56" t="b">
        <v>0</v>
      </c>
      <c r="E97" s="56">
        <f ca="1">IF(PV[[#This Row],[Business Date]]=Control!$C$6, PV[[#This Row],[Notional Value Local Cur]], -PV[[#This Row],[Notional Value Local Cur]])</f>
        <v>0</v>
      </c>
    </row>
    <row r="98" spans="1:5" x14ac:dyDescent="0.25">
      <c r="A98" s="20" t="b">
        <v>0</v>
      </c>
      <c r="B98" s="56" t="b">
        <v>0</v>
      </c>
      <c r="C98" s="56" t="b">
        <v>0</v>
      </c>
      <c r="D98" s="56" t="b">
        <v>0</v>
      </c>
      <c r="E98" s="56">
        <f ca="1">IF(PV[[#This Row],[Business Date]]=Control!$C$6, PV[[#This Row],[Notional Value Local Cur]], -PV[[#This Row],[Notional Value Local Cur]])</f>
        <v>0</v>
      </c>
    </row>
    <row r="99" spans="1:5" x14ac:dyDescent="0.25">
      <c r="A99" s="20" t="b">
        <v>0</v>
      </c>
      <c r="B99" s="56" t="b">
        <v>0</v>
      </c>
      <c r="C99" s="56" t="b">
        <v>0</v>
      </c>
      <c r="D99" s="56" t="b">
        <v>0</v>
      </c>
      <c r="E99" s="56">
        <f ca="1">IF(PV[[#This Row],[Business Date]]=Control!$C$6, PV[[#This Row],[Notional Value Local Cur]], -PV[[#This Row],[Notional Value Local Cur]])</f>
        <v>0</v>
      </c>
    </row>
    <row r="100" spans="1:5" x14ac:dyDescent="0.25">
      <c r="A100" s="20" t="b">
        <v>0</v>
      </c>
      <c r="B100" s="56" t="b">
        <v>0</v>
      </c>
      <c r="C100" s="56" t="b">
        <v>0</v>
      </c>
      <c r="D100" s="56" t="b">
        <v>0</v>
      </c>
      <c r="E100" s="56">
        <f ca="1">IF(PV[[#This Row],[Business Date]]=Control!$C$6, PV[[#This Row],[Notional Value Local Cur]], -PV[[#This Row],[Notional Value Local Cur]])</f>
        <v>0</v>
      </c>
    </row>
    <row r="101" spans="1:5" x14ac:dyDescent="0.25">
      <c r="A101" s="20" t="b">
        <v>0</v>
      </c>
      <c r="B101" s="56" t="b">
        <v>0</v>
      </c>
      <c r="C101" s="56" t="b">
        <v>0</v>
      </c>
      <c r="D101" s="56" t="b">
        <v>0</v>
      </c>
      <c r="E101" s="56">
        <f ca="1">IF(PV[[#This Row],[Business Date]]=Control!$C$6, PV[[#This Row],[Notional Value Local Cur]], -PV[[#This Row],[Notional Value Local Cur]])</f>
        <v>0</v>
      </c>
    </row>
    <row r="102" spans="1:5" x14ac:dyDescent="0.25">
      <c r="A102" s="20" t="b">
        <v>0</v>
      </c>
      <c r="B102" s="56" t="b">
        <v>0</v>
      </c>
      <c r="C102" s="56" t="b">
        <v>0</v>
      </c>
      <c r="D102" s="56" t="b">
        <v>0</v>
      </c>
      <c r="E102" s="56">
        <f ca="1">IF(PV[[#This Row],[Business Date]]=Control!$C$6, PV[[#This Row],[Notional Value Local Cur]], -PV[[#This Row],[Notional Value Local Cur]])</f>
        <v>0</v>
      </c>
    </row>
    <row r="103" spans="1:5" x14ac:dyDescent="0.25">
      <c r="A103" s="20" t="b">
        <v>0</v>
      </c>
      <c r="B103" s="56" t="b">
        <v>0</v>
      </c>
      <c r="C103" s="56" t="b">
        <v>0</v>
      </c>
      <c r="D103" s="56" t="b">
        <v>0</v>
      </c>
      <c r="E103" s="56">
        <f ca="1">IF(PV[[#This Row],[Business Date]]=Control!$C$6, PV[[#This Row],[Notional Value Local Cur]], -PV[[#This Row],[Notional Value Local Cur]])</f>
        <v>0</v>
      </c>
    </row>
    <row r="104" spans="1:5" x14ac:dyDescent="0.25">
      <c r="A104" s="20" t="b">
        <v>0</v>
      </c>
      <c r="B104" s="56" t="b">
        <v>0</v>
      </c>
      <c r="C104" s="56" t="b">
        <v>0</v>
      </c>
      <c r="D104" s="56" t="b">
        <v>0</v>
      </c>
      <c r="E104" s="56">
        <f ca="1">IF(PV[[#This Row],[Business Date]]=Control!$C$6, PV[[#This Row],[Notional Value Local Cur]], -PV[[#This Row],[Notional Value Local Cur]])</f>
        <v>0</v>
      </c>
    </row>
    <row r="105" spans="1:5" x14ac:dyDescent="0.25">
      <c r="A105" s="20" t="b">
        <v>0</v>
      </c>
      <c r="B105" s="56" t="b">
        <v>0</v>
      </c>
      <c r="C105" s="56" t="b">
        <v>0</v>
      </c>
      <c r="D105" s="56" t="b">
        <v>0</v>
      </c>
      <c r="E105" s="56">
        <f ca="1">IF(PV[[#This Row],[Business Date]]=Control!$C$6, PV[[#This Row],[Notional Value Local Cur]], -PV[[#This Row],[Notional Value Local Cur]])</f>
        <v>0</v>
      </c>
    </row>
    <row r="106" spans="1:5" x14ac:dyDescent="0.25">
      <c r="A106" s="20" t="b">
        <v>0</v>
      </c>
      <c r="B106" s="56" t="b">
        <v>0</v>
      </c>
      <c r="C106" s="56" t="b">
        <v>0</v>
      </c>
      <c r="D106" s="56" t="b">
        <v>0</v>
      </c>
      <c r="E106" s="56">
        <f ca="1">IF(PV[[#This Row],[Business Date]]=Control!$C$6, PV[[#This Row],[Notional Value Local Cur]], -PV[[#This Row],[Notional Value Local Cur]])</f>
        <v>0</v>
      </c>
    </row>
    <row r="107" spans="1:5" x14ac:dyDescent="0.25">
      <c r="A107" s="20" t="b">
        <v>0</v>
      </c>
      <c r="B107" s="56" t="b">
        <v>0</v>
      </c>
      <c r="C107" s="56" t="b">
        <v>0</v>
      </c>
      <c r="D107" s="56" t="b">
        <v>0</v>
      </c>
      <c r="E107" s="56">
        <f ca="1">IF(PV[[#This Row],[Business Date]]=Control!$C$6, PV[[#This Row],[Notional Value Local Cur]], -PV[[#This Row],[Notional Value Local Cur]])</f>
        <v>0</v>
      </c>
    </row>
    <row r="108" spans="1:5" x14ac:dyDescent="0.25">
      <c r="A108" s="36" t="b">
        <v>0</v>
      </c>
      <c r="B108" s="56" t="b">
        <v>0</v>
      </c>
      <c r="C108" s="56" t="b">
        <v>0</v>
      </c>
      <c r="D108" s="56" t="b">
        <v>0</v>
      </c>
      <c r="E108" s="56">
        <f ca="1">IF(PV[[#This Row],[Business Date]]=Control!$C$6, PV[[#This Row],[Notional Value Local Cur]], -PV[[#This Row],[Notional Value Local Cur]])</f>
        <v>0</v>
      </c>
    </row>
    <row r="109" spans="1:5" x14ac:dyDescent="0.25">
      <c r="A109" s="36" t="b">
        <v>0</v>
      </c>
      <c r="B109" s="56" t="b">
        <v>0</v>
      </c>
      <c r="C109" s="56" t="b">
        <v>0</v>
      </c>
      <c r="D109" s="56" t="b">
        <v>0</v>
      </c>
      <c r="E109" s="56">
        <f ca="1">IF(PV[[#This Row],[Business Date]]=Control!$C$6, PV[[#This Row],[Notional Value Local Cur]], -PV[[#This Row],[Notional Value Local Cur]])</f>
        <v>0</v>
      </c>
    </row>
    <row r="110" spans="1:5" x14ac:dyDescent="0.25">
      <c r="A110" s="36" t="b">
        <v>0</v>
      </c>
      <c r="B110" s="56" t="b">
        <v>0</v>
      </c>
      <c r="C110" s="56" t="b">
        <v>0</v>
      </c>
      <c r="D110" s="56" t="b">
        <v>0</v>
      </c>
      <c r="E110" s="56">
        <f ca="1">IF(PV[[#This Row],[Business Date]]=Control!$C$6, PV[[#This Row],[Notional Value Local Cur]], -PV[[#This Row],[Notional Value Local Cur]])</f>
        <v>0</v>
      </c>
    </row>
    <row r="111" spans="1:5" x14ac:dyDescent="0.25">
      <c r="A111" s="36" t="b">
        <v>0</v>
      </c>
      <c r="B111" s="56" t="b">
        <v>0</v>
      </c>
      <c r="C111" s="56" t="b">
        <v>0</v>
      </c>
      <c r="D111" s="56" t="b">
        <v>0</v>
      </c>
      <c r="E111" s="56">
        <f ca="1">IF(PV[[#This Row],[Business Date]]=Control!$C$6, PV[[#This Row],[Notional Value Local Cur]], -PV[[#This Row],[Notional Value Local Cur]])</f>
        <v>0</v>
      </c>
    </row>
    <row r="112" spans="1:5" x14ac:dyDescent="0.25">
      <c r="A112" s="36" t="b">
        <v>0</v>
      </c>
      <c r="B112" s="56" t="b">
        <v>0</v>
      </c>
      <c r="C112" s="56" t="b">
        <v>0</v>
      </c>
      <c r="D112" s="56" t="b">
        <v>0</v>
      </c>
      <c r="E112" s="56">
        <f ca="1">IF(PV[[#This Row],[Business Date]]=Control!$C$6, PV[[#This Row],[Notional Value Local Cur]], -PV[[#This Row],[Notional Value Local Cur]])</f>
        <v>0</v>
      </c>
    </row>
    <row r="113" spans="1:5" x14ac:dyDescent="0.25">
      <c r="A113" s="36" t="b">
        <v>0</v>
      </c>
      <c r="B113" s="56" t="b">
        <v>0</v>
      </c>
      <c r="C113" s="56" t="b">
        <v>0</v>
      </c>
      <c r="D113" s="56" t="b">
        <v>0</v>
      </c>
      <c r="E113" s="56">
        <f ca="1">IF(PV[[#This Row],[Business Date]]=Control!$C$6, PV[[#This Row],[Notional Value Local Cur]], -PV[[#This Row],[Notional Value Local Cur]])</f>
        <v>0</v>
      </c>
    </row>
    <row r="114" spans="1:5" x14ac:dyDescent="0.25">
      <c r="A114" s="36" t="b">
        <v>0</v>
      </c>
      <c r="B114" s="56" t="b">
        <v>0</v>
      </c>
      <c r="C114" s="56" t="b">
        <v>0</v>
      </c>
      <c r="D114" s="56" t="b">
        <v>0</v>
      </c>
      <c r="E114" s="56">
        <f ca="1">IF(PV[[#This Row],[Business Date]]=Control!$C$6, PV[[#This Row],[Notional Value Local Cur]], -PV[[#This Row],[Notional Value Local Cur]])</f>
        <v>0</v>
      </c>
    </row>
    <row r="115" spans="1:5" x14ac:dyDescent="0.25">
      <c r="A115" s="36" t="b">
        <v>0</v>
      </c>
      <c r="B115" s="56" t="b">
        <v>0</v>
      </c>
      <c r="C115" s="56" t="b">
        <v>0</v>
      </c>
      <c r="D115" s="56" t="b">
        <v>0</v>
      </c>
      <c r="E115" s="56">
        <f ca="1">IF(PV[[#This Row],[Business Date]]=Control!$C$6, PV[[#This Row],[Notional Value Local Cur]], -PV[[#This Row],[Notional Value Local Cur]])</f>
        <v>0</v>
      </c>
    </row>
    <row r="116" spans="1:5" x14ac:dyDescent="0.25">
      <c r="A116" s="36" t="b">
        <v>0</v>
      </c>
      <c r="B116" s="56" t="b">
        <v>0</v>
      </c>
      <c r="C116" s="56" t="b">
        <v>0</v>
      </c>
      <c r="D116" s="56" t="b">
        <v>0</v>
      </c>
      <c r="E116" s="56">
        <f ca="1">IF(PV[[#This Row],[Business Date]]=Control!$C$6, PV[[#This Row],[Notional Value Local Cur]], -PV[[#This Row],[Notional Value Local Cur]])</f>
        <v>0</v>
      </c>
    </row>
    <row r="117" spans="1:5" x14ac:dyDescent="0.25">
      <c r="A117" s="36" t="b">
        <v>0</v>
      </c>
      <c r="B117" s="56" t="b">
        <v>0</v>
      </c>
      <c r="C117" s="56" t="b">
        <v>0</v>
      </c>
      <c r="D117" s="56" t="b">
        <v>0</v>
      </c>
      <c r="E117" s="56">
        <f ca="1">IF(PV[[#This Row],[Business Date]]=Control!$C$6, PV[[#This Row],[Notional Value Local Cur]], -PV[[#This Row],[Notional Value Local Cur]])</f>
        <v>0</v>
      </c>
    </row>
    <row r="118" spans="1:5" x14ac:dyDescent="0.25">
      <c r="A118" s="36" t="b">
        <v>0</v>
      </c>
      <c r="B118" s="56" t="b">
        <v>0</v>
      </c>
      <c r="C118" s="56" t="b">
        <v>0</v>
      </c>
      <c r="D118" s="56" t="b">
        <v>0</v>
      </c>
      <c r="E118" s="56">
        <f ca="1">IF(PV[[#This Row],[Business Date]]=Control!$C$6, PV[[#This Row],[Notional Value Local Cur]], -PV[[#This Row],[Notional Value Local Cur]])</f>
        <v>0</v>
      </c>
    </row>
    <row r="119" spans="1:5" x14ac:dyDescent="0.25">
      <c r="A119" s="36" t="b">
        <v>0</v>
      </c>
      <c r="B119" s="56" t="b">
        <v>0</v>
      </c>
      <c r="C119" s="56" t="b">
        <v>0</v>
      </c>
      <c r="D119" s="56" t="b">
        <v>0</v>
      </c>
      <c r="E119" s="56">
        <f ca="1">IF(PV[[#This Row],[Business Date]]=Control!$C$6, PV[[#This Row],[Notional Value Local Cur]], -PV[[#This Row],[Notional Value Local Cur]])</f>
        <v>0</v>
      </c>
    </row>
    <row r="120" spans="1:5" x14ac:dyDescent="0.25">
      <c r="A120" s="36" t="b">
        <v>0</v>
      </c>
      <c r="B120" s="56" t="b">
        <v>0</v>
      </c>
      <c r="C120" s="56" t="b">
        <v>0</v>
      </c>
      <c r="D120" s="56" t="b">
        <v>0</v>
      </c>
      <c r="E120" s="56">
        <f ca="1">IF(PV[[#This Row],[Business Date]]=Control!$C$6, PV[[#This Row],[Notional Value Local Cur]], -PV[[#This Row],[Notional Value Local Cur]])</f>
        <v>0</v>
      </c>
    </row>
    <row r="121" spans="1:5" x14ac:dyDescent="0.25">
      <c r="A121" s="36" t="b">
        <v>0</v>
      </c>
      <c r="B121" s="56" t="b">
        <v>0</v>
      </c>
      <c r="C121" s="56" t="b">
        <v>0</v>
      </c>
      <c r="D121" s="56" t="b">
        <v>0</v>
      </c>
      <c r="E121" s="56">
        <f ca="1">IF(PV[[#This Row],[Business Date]]=Control!$C$6, PV[[#This Row],[Notional Value Local Cur]], -PV[[#This Row],[Notional Value Local Cur]])</f>
        <v>0</v>
      </c>
    </row>
    <row r="122" spans="1:5" x14ac:dyDescent="0.25">
      <c r="A122" s="36" t="b">
        <v>0</v>
      </c>
      <c r="B122" s="56" t="b">
        <v>0</v>
      </c>
      <c r="C122" s="56" t="b">
        <v>0</v>
      </c>
      <c r="D122" s="56" t="b">
        <v>0</v>
      </c>
      <c r="E122" s="56">
        <f ca="1">IF(PV[[#This Row],[Business Date]]=Control!$C$6, PV[[#This Row],[Notional Value Local Cur]], -PV[[#This Row],[Notional Value Local Cur]])</f>
        <v>0</v>
      </c>
    </row>
    <row r="123" spans="1:5" x14ac:dyDescent="0.25">
      <c r="A123" s="36" t="b">
        <v>0</v>
      </c>
      <c r="B123" s="56" t="b">
        <v>0</v>
      </c>
      <c r="C123" s="56" t="b">
        <v>0</v>
      </c>
      <c r="D123" s="56" t="b">
        <v>0</v>
      </c>
      <c r="E123" s="56">
        <f ca="1">IF(PV[[#This Row],[Business Date]]=Control!$C$6, PV[[#This Row],[Notional Value Local Cur]], -PV[[#This Row],[Notional Value Local Cur]])</f>
        <v>0</v>
      </c>
    </row>
    <row r="124" spans="1:5" x14ac:dyDescent="0.25">
      <c r="A124" s="36" t="b">
        <v>0</v>
      </c>
      <c r="B124" s="56" t="b">
        <v>0</v>
      </c>
      <c r="C124" s="56" t="b">
        <v>0</v>
      </c>
      <c r="D124" s="56" t="b">
        <v>0</v>
      </c>
      <c r="E124" s="56">
        <f ca="1">IF(PV[[#This Row],[Business Date]]=Control!$C$6, PV[[#This Row],[Notional Value Local Cur]], -PV[[#This Row],[Notional Value Local Cur]])</f>
        <v>0</v>
      </c>
    </row>
    <row r="125" spans="1:5" x14ac:dyDescent="0.25">
      <c r="A125" s="36" t="b">
        <v>0</v>
      </c>
      <c r="B125" s="56" t="b">
        <v>0</v>
      </c>
      <c r="C125" s="56" t="b">
        <v>0</v>
      </c>
      <c r="D125" s="56" t="b">
        <v>0</v>
      </c>
      <c r="E125" s="56">
        <f ca="1">IF(PV[[#This Row],[Business Date]]=Control!$C$6, PV[[#This Row],[Notional Value Local Cur]], -PV[[#This Row],[Notional Value Local Cur]])</f>
        <v>0</v>
      </c>
    </row>
    <row r="126" spans="1:5" x14ac:dyDescent="0.25">
      <c r="A126" s="36" t="b">
        <v>0</v>
      </c>
      <c r="B126" s="56" t="b">
        <v>0</v>
      </c>
      <c r="C126" s="56" t="b">
        <v>0</v>
      </c>
      <c r="D126" s="56" t="b">
        <v>0</v>
      </c>
      <c r="E126" s="56">
        <f ca="1">IF(PV[[#This Row],[Business Date]]=Control!$C$6, PV[[#This Row],[Notional Value Local Cur]], -PV[[#This Row],[Notional Value Local Cur]])</f>
        <v>0</v>
      </c>
    </row>
    <row r="127" spans="1:5" x14ac:dyDescent="0.25">
      <c r="A127" s="36" t="b">
        <v>0</v>
      </c>
      <c r="B127" s="56" t="b">
        <v>0</v>
      </c>
      <c r="C127" s="56" t="b">
        <v>0</v>
      </c>
      <c r="D127" s="56" t="b">
        <v>0</v>
      </c>
      <c r="E127" s="56">
        <f ca="1">IF(PV[[#This Row],[Business Date]]=Control!$C$6, PV[[#This Row],[Notional Value Local Cur]], -PV[[#This Row],[Notional Value Local Cur]])</f>
        <v>0</v>
      </c>
    </row>
    <row r="128" spans="1:5" x14ac:dyDescent="0.25">
      <c r="A128" s="36" t="b">
        <v>0</v>
      </c>
      <c r="B128" s="56" t="b">
        <v>0</v>
      </c>
      <c r="C128" s="56" t="b">
        <v>0</v>
      </c>
      <c r="D128" s="56" t="b">
        <v>0</v>
      </c>
      <c r="E128" s="56">
        <f ca="1">IF(PV[[#This Row],[Business Date]]=Control!$C$6, PV[[#This Row],[Notional Value Local Cur]], -PV[[#This Row],[Notional Value Local Cur]])</f>
        <v>0</v>
      </c>
    </row>
    <row r="129" spans="1:5" x14ac:dyDescent="0.25">
      <c r="A129" s="36" t="b">
        <v>0</v>
      </c>
      <c r="B129" s="56" t="b">
        <v>0</v>
      </c>
      <c r="C129" s="56" t="b">
        <v>0</v>
      </c>
      <c r="D129" s="56" t="b">
        <v>0</v>
      </c>
      <c r="E129" s="56">
        <f ca="1">IF(PV[[#This Row],[Business Date]]=Control!$C$6, PV[[#This Row],[Notional Value Local Cur]], -PV[[#This Row],[Notional Value Local Cur]])</f>
        <v>0</v>
      </c>
    </row>
    <row r="130" spans="1:5" x14ac:dyDescent="0.25">
      <c r="A130" s="36" t="b">
        <v>0</v>
      </c>
      <c r="B130" s="56" t="b">
        <v>0</v>
      </c>
      <c r="C130" s="56" t="b">
        <v>0</v>
      </c>
      <c r="D130" s="56" t="b">
        <v>0</v>
      </c>
      <c r="E130" s="56">
        <f ca="1">IF(PV[[#This Row],[Business Date]]=Control!$C$6, PV[[#This Row],[Notional Value Local Cur]], -PV[[#This Row],[Notional Value Local Cur]])</f>
        <v>0</v>
      </c>
    </row>
    <row r="131" spans="1:5" x14ac:dyDescent="0.25">
      <c r="A131" s="36" t="b">
        <v>0</v>
      </c>
      <c r="B131" s="56" t="b">
        <v>0</v>
      </c>
      <c r="C131" s="56" t="b">
        <v>0</v>
      </c>
      <c r="D131" s="56" t="b">
        <v>0</v>
      </c>
      <c r="E131" s="56">
        <f ca="1">IF(PV[[#This Row],[Business Date]]=Control!$C$6, PV[[#This Row],[Notional Value Local Cur]], -PV[[#This Row],[Notional Value Local Cur]])</f>
        <v>0</v>
      </c>
    </row>
    <row r="132" spans="1:5" x14ac:dyDescent="0.25">
      <c r="A132" s="36" t="b">
        <v>0</v>
      </c>
      <c r="B132" s="56" t="b">
        <v>0</v>
      </c>
      <c r="C132" s="56" t="b">
        <v>0</v>
      </c>
      <c r="D132" s="56" t="b">
        <v>0</v>
      </c>
      <c r="E132" s="56">
        <f ca="1">IF(PV[[#This Row],[Business Date]]=Control!$C$6, PV[[#This Row],[Notional Value Local Cur]], -PV[[#This Row],[Notional Value Local Cur]])</f>
        <v>0</v>
      </c>
    </row>
    <row r="133" spans="1:5" x14ac:dyDescent="0.25">
      <c r="A133" s="36" t="b">
        <v>0</v>
      </c>
      <c r="B133" s="56" t="b">
        <v>0</v>
      </c>
      <c r="C133" s="56" t="b">
        <v>0</v>
      </c>
      <c r="D133" s="56" t="b">
        <v>0</v>
      </c>
      <c r="E133" s="56">
        <f ca="1">IF(PV[[#This Row],[Business Date]]=Control!$C$6, PV[[#This Row],[Notional Value Local Cur]], -PV[[#This Row],[Notional Value Local Cur]])</f>
        <v>0</v>
      </c>
    </row>
    <row r="134" spans="1:5" x14ac:dyDescent="0.25">
      <c r="A134" s="36" t="b">
        <v>0</v>
      </c>
      <c r="B134" s="56" t="b">
        <v>0</v>
      </c>
      <c r="C134" s="56" t="b">
        <v>0</v>
      </c>
      <c r="D134" s="56" t="b">
        <v>0</v>
      </c>
      <c r="E134" s="56">
        <f ca="1">IF(PV[[#This Row],[Business Date]]=Control!$C$6, PV[[#This Row],[Notional Value Local Cur]], -PV[[#This Row],[Notional Value Local Cur]])</f>
        <v>0</v>
      </c>
    </row>
    <row r="135" spans="1:5" x14ac:dyDescent="0.25">
      <c r="A135" s="36" t="b">
        <v>0</v>
      </c>
      <c r="B135" s="56" t="b">
        <v>0</v>
      </c>
      <c r="C135" s="56" t="b">
        <v>0</v>
      </c>
      <c r="D135" s="56" t="b">
        <v>0</v>
      </c>
      <c r="E135" s="56">
        <f ca="1">IF(PV[[#This Row],[Business Date]]=Control!$C$6, PV[[#This Row],[Notional Value Local Cur]], -PV[[#This Row],[Notional Value Local Cur]])</f>
        <v>0</v>
      </c>
    </row>
    <row r="136" spans="1:5" x14ac:dyDescent="0.25">
      <c r="A136" s="36" t="b">
        <v>0</v>
      </c>
      <c r="B136" s="56" t="b">
        <v>0</v>
      </c>
      <c r="C136" s="56" t="b">
        <v>0</v>
      </c>
      <c r="D136" s="56" t="b">
        <v>0</v>
      </c>
      <c r="E136" s="56">
        <f ca="1">IF(PV[[#This Row],[Business Date]]=Control!$C$6, PV[[#This Row],[Notional Value Local Cur]], -PV[[#This Row],[Notional Value Local Cur]])</f>
        <v>0</v>
      </c>
    </row>
    <row r="137" spans="1:5" x14ac:dyDescent="0.25">
      <c r="A137" s="36" t="b">
        <v>0</v>
      </c>
      <c r="B137" s="56" t="b">
        <v>0</v>
      </c>
      <c r="C137" s="56" t="b">
        <v>0</v>
      </c>
      <c r="D137" s="56" t="b">
        <v>0</v>
      </c>
      <c r="E137" s="56">
        <f ca="1">IF(PV[[#This Row],[Business Date]]=Control!$C$6, PV[[#This Row],[Notional Value Local Cur]], -PV[[#This Row],[Notional Value Local Cur]])</f>
        <v>0</v>
      </c>
    </row>
    <row r="138" spans="1:5" x14ac:dyDescent="0.25">
      <c r="A138" s="36" t="b">
        <v>0</v>
      </c>
      <c r="B138" s="56" t="b">
        <v>0</v>
      </c>
      <c r="C138" s="56" t="b">
        <v>0</v>
      </c>
      <c r="D138" s="56" t="b">
        <v>0</v>
      </c>
      <c r="E138" s="56">
        <f ca="1">IF(PV[[#This Row],[Business Date]]=Control!$C$6, PV[[#This Row],[Notional Value Local Cur]], -PV[[#This Row],[Notional Value Local Cur]])</f>
        <v>0</v>
      </c>
    </row>
    <row r="139" spans="1:5" x14ac:dyDescent="0.25">
      <c r="A139" s="36" t="b">
        <v>0</v>
      </c>
      <c r="B139" s="56" t="b">
        <v>0</v>
      </c>
      <c r="C139" s="56" t="b">
        <v>0</v>
      </c>
      <c r="D139" s="56" t="b">
        <v>0</v>
      </c>
      <c r="E139" s="56">
        <f ca="1">IF(PV[[#This Row],[Business Date]]=Control!$C$6, PV[[#This Row],[Notional Value Local Cur]], -PV[[#This Row],[Notional Value Local Cur]])</f>
        <v>0</v>
      </c>
    </row>
    <row r="140" spans="1:5" x14ac:dyDescent="0.25">
      <c r="A140" s="36" t="b">
        <v>0</v>
      </c>
      <c r="B140" s="56" t="b">
        <v>0</v>
      </c>
      <c r="C140" s="56" t="b">
        <v>0</v>
      </c>
      <c r="D140" s="56" t="b">
        <v>0</v>
      </c>
      <c r="E140" s="56">
        <f ca="1">IF(PV[[#This Row],[Business Date]]=Control!$C$6, PV[[#This Row],[Notional Value Local Cur]], -PV[[#This Row],[Notional Value Local Cur]])</f>
        <v>0</v>
      </c>
    </row>
    <row r="141" spans="1:5" x14ac:dyDescent="0.25">
      <c r="A141" s="36" t="b">
        <v>0</v>
      </c>
      <c r="B141" s="56" t="b">
        <v>0</v>
      </c>
      <c r="C141" s="56" t="b">
        <v>0</v>
      </c>
      <c r="D141" s="56" t="b">
        <v>0</v>
      </c>
      <c r="E141" s="56">
        <f ca="1">IF(PV[[#This Row],[Business Date]]=Control!$C$6, PV[[#This Row],[Notional Value Local Cur]], -PV[[#This Row],[Notional Value Local Cur]])</f>
        <v>0</v>
      </c>
    </row>
    <row r="142" spans="1:5" x14ac:dyDescent="0.25">
      <c r="A142" s="36" t="b">
        <v>0</v>
      </c>
      <c r="B142" s="56" t="b">
        <v>0</v>
      </c>
      <c r="C142" s="56" t="b">
        <v>0</v>
      </c>
      <c r="D142" s="56" t="b">
        <v>0</v>
      </c>
      <c r="E142" s="56">
        <f ca="1">IF(PV[[#This Row],[Business Date]]=Control!$C$6, PV[[#This Row],[Notional Value Local Cur]], -PV[[#This Row],[Notional Value Local Cur]])</f>
        <v>0</v>
      </c>
    </row>
    <row r="143" spans="1:5" x14ac:dyDescent="0.25">
      <c r="A143" s="36" t="b">
        <v>0</v>
      </c>
      <c r="B143" s="56" t="b">
        <v>0</v>
      </c>
      <c r="C143" s="56" t="b">
        <v>0</v>
      </c>
      <c r="D143" s="56" t="b">
        <v>0</v>
      </c>
      <c r="E143" s="56">
        <f ca="1">IF(PV[[#This Row],[Business Date]]=Control!$C$6, PV[[#This Row],[Notional Value Local Cur]], -PV[[#This Row],[Notional Value Local Cur]])</f>
        <v>0</v>
      </c>
    </row>
    <row r="144" spans="1:5" x14ac:dyDescent="0.25">
      <c r="A144" s="36" t="b">
        <v>0</v>
      </c>
      <c r="B144" s="56" t="b">
        <v>0</v>
      </c>
      <c r="C144" s="56" t="b">
        <v>0</v>
      </c>
      <c r="D144" s="56" t="b">
        <v>0</v>
      </c>
      <c r="E144" s="56">
        <f ca="1">IF(PV[[#This Row],[Business Date]]=Control!$C$6, PV[[#This Row],[Notional Value Local Cur]], -PV[[#This Row],[Notional Value Local Cur]])</f>
        <v>0</v>
      </c>
    </row>
    <row r="145" spans="1:5" x14ac:dyDescent="0.25">
      <c r="A145" s="36" t="b">
        <v>0</v>
      </c>
      <c r="B145" s="56" t="b">
        <v>0</v>
      </c>
      <c r="C145" s="56" t="b">
        <v>0</v>
      </c>
      <c r="D145" s="56" t="b">
        <v>0</v>
      </c>
      <c r="E145" s="56">
        <f ca="1">IF(PV[[#This Row],[Business Date]]=Control!$C$6, PV[[#This Row],[Notional Value Local Cur]], -PV[[#This Row],[Notional Value Local Cur]])</f>
        <v>0</v>
      </c>
    </row>
    <row r="146" spans="1:5" x14ac:dyDescent="0.25">
      <c r="A146" s="36" t="b">
        <v>0</v>
      </c>
      <c r="B146" s="56" t="b">
        <v>0</v>
      </c>
      <c r="C146" s="56" t="b">
        <v>0</v>
      </c>
      <c r="D146" s="56" t="b">
        <v>0</v>
      </c>
      <c r="E146" s="56">
        <f ca="1">IF(PV[[#This Row],[Business Date]]=Control!$C$6, PV[[#This Row],[Notional Value Local Cur]], -PV[[#This Row],[Notional Value Local Cur]])</f>
        <v>0</v>
      </c>
    </row>
    <row r="147" spans="1:5" x14ac:dyDescent="0.25">
      <c r="A147" s="36" t="b">
        <v>0</v>
      </c>
      <c r="B147" s="56" t="b">
        <v>0</v>
      </c>
      <c r="C147" s="56" t="b">
        <v>0</v>
      </c>
      <c r="D147" s="56" t="b">
        <v>0</v>
      </c>
      <c r="E147" s="56">
        <f ca="1">IF(PV[[#This Row],[Business Date]]=Control!$C$6, PV[[#This Row],[Notional Value Local Cur]], -PV[[#This Row],[Notional Value Local Cur]])</f>
        <v>0</v>
      </c>
    </row>
    <row r="148" spans="1:5" x14ac:dyDescent="0.25">
      <c r="A148" s="36" t="b">
        <v>0</v>
      </c>
      <c r="B148" s="56" t="b">
        <v>0</v>
      </c>
      <c r="C148" s="56" t="b">
        <v>0</v>
      </c>
      <c r="D148" s="56" t="b">
        <v>0</v>
      </c>
      <c r="E148" s="56">
        <f ca="1">IF(PV[[#This Row],[Business Date]]=Control!$C$6, PV[[#This Row],[Notional Value Local Cur]], -PV[[#This Row],[Notional Value Local Cur]])</f>
        <v>0</v>
      </c>
    </row>
    <row r="149" spans="1:5" x14ac:dyDescent="0.25">
      <c r="A149" s="36" t="b">
        <v>0</v>
      </c>
      <c r="B149" s="56" t="b">
        <v>0</v>
      </c>
      <c r="C149" s="56" t="b">
        <v>0</v>
      </c>
      <c r="D149" s="56" t="b">
        <v>0</v>
      </c>
      <c r="E149" s="56">
        <f ca="1">IF(PV[[#This Row],[Business Date]]=Control!$C$6, PV[[#This Row],[Notional Value Local Cur]], -PV[[#This Row],[Notional Value Local Cur]])</f>
        <v>0</v>
      </c>
    </row>
    <row r="150" spans="1:5" x14ac:dyDescent="0.25">
      <c r="A150" s="36" t="b">
        <v>0</v>
      </c>
      <c r="B150" s="56" t="b">
        <v>0</v>
      </c>
      <c r="C150" s="56" t="b">
        <v>0</v>
      </c>
      <c r="D150" s="56" t="b">
        <v>0</v>
      </c>
      <c r="E150" s="56">
        <f ca="1">IF(PV[[#This Row],[Business Date]]=Control!$C$6, PV[[#This Row],[Notional Value Local Cur]], -PV[[#This Row],[Notional Value Local Cur]])</f>
        <v>0</v>
      </c>
    </row>
    <row r="151" spans="1:5" x14ac:dyDescent="0.25">
      <c r="A151" s="36" t="b">
        <v>0</v>
      </c>
      <c r="B151" s="56" t="b">
        <v>0</v>
      </c>
      <c r="C151" s="56" t="b">
        <v>0</v>
      </c>
      <c r="D151" s="56" t="b">
        <v>0</v>
      </c>
      <c r="E151" s="56">
        <f ca="1">IF(PV[[#This Row],[Business Date]]=Control!$C$6, PV[[#This Row],[Notional Value Local Cur]], -PV[[#This Row],[Notional Value Local Cur]])</f>
        <v>0</v>
      </c>
    </row>
    <row r="152" spans="1:5" x14ac:dyDescent="0.25">
      <c r="A152" s="36" t="b">
        <v>0</v>
      </c>
      <c r="B152" s="56" t="b">
        <v>0</v>
      </c>
      <c r="C152" s="56" t="b">
        <v>0</v>
      </c>
      <c r="D152" s="56" t="b">
        <v>0</v>
      </c>
      <c r="E152" s="56">
        <f ca="1">IF(PV[[#This Row],[Business Date]]=Control!$C$6, PV[[#This Row],[Notional Value Local Cur]], -PV[[#This Row],[Notional Value Local Cur]])</f>
        <v>0</v>
      </c>
    </row>
    <row r="153" spans="1:5" x14ac:dyDescent="0.25">
      <c r="A153" s="36" t="b">
        <v>0</v>
      </c>
      <c r="B153" s="56" t="b">
        <v>0</v>
      </c>
      <c r="C153" s="56" t="b">
        <v>0</v>
      </c>
      <c r="D153" s="56" t="b">
        <v>0</v>
      </c>
      <c r="E153" s="56">
        <f ca="1">IF(PV[[#This Row],[Business Date]]=Control!$C$6, PV[[#This Row],[Notional Value Local Cur]], -PV[[#This Row],[Notional Value Local Cur]])</f>
        <v>0</v>
      </c>
    </row>
    <row r="154" spans="1:5" x14ac:dyDescent="0.25">
      <c r="A154" s="36" t="b">
        <v>0</v>
      </c>
      <c r="B154" s="56" t="b">
        <v>0</v>
      </c>
      <c r="C154" s="56" t="b">
        <v>0</v>
      </c>
      <c r="D154" s="56" t="b">
        <v>0</v>
      </c>
      <c r="E154" s="56">
        <f ca="1">IF(PV[[#This Row],[Business Date]]=Control!$C$6, PV[[#This Row],[Notional Value Local Cur]], -PV[[#This Row],[Notional Value Local Cur]])</f>
        <v>0</v>
      </c>
    </row>
    <row r="155" spans="1:5" x14ac:dyDescent="0.25">
      <c r="A155" s="36" t="b">
        <v>0</v>
      </c>
      <c r="B155" s="56" t="b">
        <v>0</v>
      </c>
      <c r="C155" s="56" t="b">
        <v>0</v>
      </c>
      <c r="D155" s="56" t="b">
        <v>0</v>
      </c>
      <c r="E155" s="56">
        <f ca="1">IF(PV[[#This Row],[Business Date]]=Control!$C$6, PV[[#This Row],[Notional Value Local Cur]], -PV[[#This Row],[Notional Value Local Cur]])</f>
        <v>0</v>
      </c>
    </row>
    <row r="156" spans="1:5" x14ac:dyDescent="0.25">
      <c r="A156" s="36" t="b">
        <v>0</v>
      </c>
      <c r="B156" s="56" t="b">
        <v>0</v>
      </c>
      <c r="C156" s="56" t="b">
        <v>0</v>
      </c>
      <c r="D156" s="56" t="b">
        <v>0</v>
      </c>
      <c r="E156" s="56">
        <f ca="1">IF(PV[[#This Row],[Business Date]]=Control!$C$6, PV[[#This Row],[Notional Value Local Cur]], -PV[[#This Row],[Notional Value Local Cur]])</f>
        <v>0</v>
      </c>
    </row>
    <row r="157" spans="1:5" x14ac:dyDescent="0.25">
      <c r="A157" s="36" t="b">
        <v>0</v>
      </c>
      <c r="B157" s="56" t="b">
        <v>0</v>
      </c>
      <c r="C157" s="56" t="b">
        <v>0</v>
      </c>
      <c r="D157" s="56" t="b">
        <v>0</v>
      </c>
      <c r="E157" s="56">
        <f ca="1">IF(PV[[#This Row],[Business Date]]=Control!$C$6, PV[[#This Row],[Notional Value Local Cur]], -PV[[#This Row],[Notional Value Local Cur]])</f>
        <v>0</v>
      </c>
    </row>
    <row r="158" spans="1:5" x14ac:dyDescent="0.25">
      <c r="A158" s="36" t="b">
        <v>0</v>
      </c>
      <c r="B158" s="56" t="b">
        <v>0</v>
      </c>
      <c r="C158" s="56" t="b">
        <v>0</v>
      </c>
      <c r="D158" s="56" t="b">
        <v>0</v>
      </c>
      <c r="E158" s="56">
        <f ca="1">IF(PV[[#This Row],[Business Date]]=Control!$C$6, PV[[#This Row],[Notional Value Local Cur]], -PV[[#This Row],[Notional Value Local Cur]])</f>
        <v>0</v>
      </c>
    </row>
    <row r="159" spans="1:5" x14ac:dyDescent="0.25">
      <c r="A159" s="36" t="b">
        <v>0</v>
      </c>
      <c r="B159" s="56" t="b">
        <v>0</v>
      </c>
      <c r="C159" s="56" t="b">
        <v>0</v>
      </c>
      <c r="D159" s="56" t="b">
        <v>0</v>
      </c>
      <c r="E159" s="56">
        <f ca="1">IF(PV[[#This Row],[Business Date]]=Control!$C$6, PV[[#This Row],[Notional Value Local Cur]], -PV[[#This Row],[Notional Value Local Cur]])</f>
        <v>0</v>
      </c>
    </row>
    <row r="160" spans="1:5" x14ac:dyDescent="0.25">
      <c r="A160" s="36" t="b">
        <v>0</v>
      </c>
      <c r="B160" s="56" t="b">
        <v>0</v>
      </c>
      <c r="C160" s="56" t="b">
        <v>0</v>
      </c>
      <c r="D160" s="56" t="b">
        <v>0</v>
      </c>
      <c r="E160" s="56">
        <f ca="1">IF(PV[[#This Row],[Business Date]]=Control!$C$6, PV[[#This Row],[Notional Value Local Cur]], -PV[[#This Row],[Notional Value Local Cur]])</f>
        <v>0</v>
      </c>
    </row>
    <row r="161" spans="1:5" x14ac:dyDescent="0.25">
      <c r="A161" s="36" t="b">
        <v>0</v>
      </c>
      <c r="B161" s="56" t="b">
        <v>0</v>
      </c>
      <c r="C161" s="56" t="b">
        <v>0</v>
      </c>
      <c r="D161" s="56" t="b">
        <v>0</v>
      </c>
      <c r="E161" s="56">
        <f ca="1">IF(PV[[#This Row],[Business Date]]=Control!$C$6, PV[[#This Row],[Notional Value Local Cur]], -PV[[#This Row],[Notional Value Local Cur]])</f>
        <v>0</v>
      </c>
    </row>
    <row r="162" spans="1:5" x14ac:dyDescent="0.25">
      <c r="A162" s="36" t="b">
        <v>0</v>
      </c>
      <c r="B162" s="56" t="b">
        <v>0</v>
      </c>
      <c r="C162" s="56" t="b">
        <v>0</v>
      </c>
      <c r="D162" s="56" t="b">
        <v>0</v>
      </c>
      <c r="E162" s="56">
        <f ca="1">IF(PV[[#This Row],[Business Date]]=Control!$C$6, PV[[#This Row],[Notional Value Local Cur]], -PV[[#This Row],[Notional Value Local Cur]])</f>
        <v>0</v>
      </c>
    </row>
    <row r="163" spans="1:5" x14ac:dyDescent="0.25">
      <c r="A163" s="36" t="b">
        <v>0</v>
      </c>
      <c r="B163" s="56" t="b">
        <v>0</v>
      </c>
      <c r="C163" s="56" t="b">
        <v>0</v>
      </c>
      <c r="D163" s="56" t="b">
        <v>0</v>
      </c>
      <c r="E163" s="56">
        <f ca="1">IF(PV[[#This Row],[Business Date]]=Control!$C$6, PV[[#This Row],[Notional Value Local Cur]], -PV[[#This Row],[Notional Value Local Cur]])</f>
        <v>0</v>
      </c>
    </row>
    <row r="164" spans="1:5" x14ac:dyDescent="0.25">
      <c r="A164" s="36" t="b">
        <v>0</v>
      </c>
      <c r="B164" s="56" t="b">
        <v>0</v>
      </c>
      <c r="C164" s="56" t="b">
        <v>0</v>
      </c>
      <c r="D164" s="56" t="b">
        <v>0</v>
      </c>
      <c r="E164" s="56">
        <f ca="1">IF(PV[[#This Row],[Business Date]]=Control!$C$6, PV[[#This Row],[Notional Value Local Cur]], -PV[[#This Row],[Notional Value Local Cur]])</f>
        <v>0</v>
      </c>
    </row>
    <row r="165" spans="1:5" x14ac:dyDescent="0.25">
      <c r="A165" s="36" t="b">
        <v>0</v>
      </c>
      <c r="B165" s="56" t="b">
        <v>0</v>
      </c>
      <c r="C165" s="56" t="b">
        <v>0</v>
      </c>
      <c r="D165" s="56" t="b">
        <v>0</v>
      </c>
      <c r="E165" s="56">
        <f ca="1">IF(PV[[#This Row],[Business Date]]=Control!$C$6, PV[[#This Row],[Notional Value Local Cur]], -PV[[#This Row],[Notional Value Local Cur]])</f>
        <v>0</v>
      </c>
    </row>
    <row r="166" spans="1:5" x14ac:dyDescent="0.25">
      <c r="A166" s="36" t="b">
        <v>0</v>
      </c>
      <c r="B166" s="56" t="b">
        <v>0</v>
      </c>
      <c r="C166" s="56" t="b">
        <v>0</v>
      </c>
      <c r="D166" s="56" t="b">
        <v>0</v>
      </c>
      <c r="E166" s="56">
        <f ca="1">IF(PV[[#This Row],[Business Date]]=Control!$C$6, PV[[#This Row],[Notional Value Local Cur]], -PV[[#This Row],[Notional Value Local Cur]])</f>
        <v>0</v>
      </c>
    </row>
    <row r="167" spans="1:5" x14ac:dyDescent="0.25">
      <c r="A167" s="36" t="b">
        <v>0</v>
      </c>
      <c r="B167" s="56" t="b">
        <v>0</v>
      </c>
      <c r="C167" s="56" t="b">
        <v>0</v>
      </c>
      <c r="D167" s="56" t="b">
        <v>0</v>
      </c>
      <c r="E167" s="56">
        <f ca="1">IF(PV[[#This Row],[Business Date]]=Control!$C$6, PV[[#This Row],[Notional Value Local Cur]], -PV[[#This Row],[Notional Value Local Cur]])</f>
        <v>0</v>
      </c>
    </row>
    <row r="168" spans="1:5" x14ac:dyDescent="0.25">
      <c r="A168" s="36" t="b">
        <v>0</v>
      </c>
      <c r="B168" s="56" t="b">
        <v>0</v>
      </c>
      <c r="C168" s="56" t="b">
        <v>0</v>
      </c>
      <c r="D168" s="56" t="b">
        <v>0</v>
      </c>
      <c r="E168" s="56">
        <f ca="1">IF(PV[[#This Row],[Business Date]]=Control!$C$6, PV[[#This Row],[Notional Value Local Cur]], -PV[[#This Row],[Notional Value Local Cur]])</f>
        <v>0</v>
      </c>
    </row>
    <row r="169" spans="1:5" x14ac:dyDescent="0.25">
      <c r="A169" s="36" t="b">
        <v>0</v>
      </c>
      <c r="B169" s="56" t="b">
        <v>0</v>
      </c>
      <c r="C169" s="56" t="b">
        <v>0</v>
      </c>
      <c r="D169" s="56" t="b">
        <v>0</v>
      </c>
      <c r="E169" s="56">
        <f ca="1">IF(PV[[#This Row],[Business Date]]=Control!$C$6, PV[[#This Row],[Notional Value Local Cur]], -PV[[#This Row],[Notional Value Local Cur]])</f>
        <v>0</v>
      </c>
    </row>
    <row r="170" spans="1:5" x14ac:dyDescent="0.25">
      <c r="A170" s="36" t="b">
        <v>0</v>
      </c>
      <c r="B170" s="56" t="b">
        <v>0</v>
      </c>
      <c r="C170" s="56" t="b">
        <v>0</v>
      </c>
      <c r="D170" s="56" t="b">
        <v>0</v>
      </c>
      <c r="E170" s="56">
        <f ca="1">IF(PV[[#This Row],[Business Date]]=Control!$C$6, PV[[#This Row],[Notional Value Local Cur]], -PV[[#This Row],[Notional Value Local Cur]])</f>
        <v>0</v>
      </c>
    </row>
    <row r="171" spans="1:5" x14ac:dyDescent="0.25">
      <c r="A171" s="36" t="b">
        <v>0</v>
      </c>
      <c r="B171" s="56" t="b">
        <v>0</v>
      </c>
      <c r="C171" s="56" t="b">
        <v>0</v>
      </c>
      <c r="D171" s="56" t="b">
        <v>0</v>
      </c>
      <c r="E171" s="56">
        <f ca="1">IF(PV[[#This Row],[Business Date]]=Control!$C$6, PV[[#This Row],[Notional Value Local Cur]], -PV[[#This Row],[Notional Value Local Cur]])</f>
        <v>0</v>
      </c>
    </row>
    <row r="172" spans="1:5" x14ac:dyDescent="0.25">
      <c r="A172" s="36" t="b">
        <v>0</v>
      </c>
      <c r="B172" s="56" t="b">
        <v>0</v>
      </c>
      <c r="C172" s="56" t="b">
        <v>0</v>
      </c>
      <c r="D172" s="56" t="b">
        <v>0</v>
      </c>
      <c r="E172" s="56">
        <f ca="1">IF(PV[[#This Row],[Business Date]]=Control!$C$6, PV[[#This Row],[Notional Value Local Cur]], -PV[[#This Row],[Notional Value Local Cur]])</f>
        <v>0</v>
      </c>
    </row>
    <row r="173" spans="1:5" x14ac:dyDescent="0.25">
      <c r="A173" s="36" t="b">
        <v>0</v>
      </c>
      <c r="B173" s="56" t="b">
        <v>0</v>
      </c>
      <c r="C173" s="56" t="b">
        <v>0</v>
      </c>
      <c r="D173" s="56" t="b">
        <v>0</v>
      </c>
      <c r="E173" s="56">
        <f ca="1">IF(PV[[#This Row],[Business Date]]=Control!$C$6, PV[[#This Row],[Notional Value Local Cur]], -PV[[#This Row],[Notional Value Local Cur]])</f>
        <v>0</v>
      </c>
    </row>
    <row r="174" spans="1:5" x14ac:dyDescent="0.25">
      <c r="A174" s="36" t="b">
        <v>0</v>
      </c>
      <c r="B174" s="56" t="b">
        <v>0</v>
      </c>
      <c r="C174" s="56" t="b">
        <v>0</v>
      </c>
      <c r="D174" s="56" t="b">
        <v>0</v>
      </c>
      <c r="E174" s="56">
        <f ca="1">IF(PV[[#This Row],[Business Date]]=Control!$C$6, PV[[#This Row],[Notional Value Local Cur]], -PV[[#This Row],[Notional Value Local Cur]])</f>
        <v>0</v>
      </c>
    </row>
    <row r="175" spans="1:5" x14ac:dyDescent="0.25">
      <c r="A175" s="36" t="b">
        <v>0</v>
      </c>
      <c r="B175" s="56" t="b">
        <v>0</v>
      </c>
      <c r="C175" s="56" t="b">
        <v>0</v>
      </c>
      <c r="D175" s="56" t="b">
        <v>0</v>
      </c>
      <c r="E175" s="56">
        <f ca="1">IF(PV[[#This Row],[Business Date]]=Control!$C$6, PV[[#This Row],[Notional Value Local Cur]], -PV[[#This Row],[Notional Value Local Cur]])</f>
        <v>0</v>
      </c>
    </row>
    <row r="176" spans="1:5" x14ac:dyDescent="0.25">
      <c r="A176" s="36" t="b">
        <v>0</v>
      </c>
      <c r="B176" s="56" t="b">
        <v>0</v>
      </c>
      <c r="C176" s="56" t="b">
        <v>0</v>
      </c>
      <c r="D176" s="56" t="b">
        <v>0</v>
      </c>
      <c r="E176" s="56">
        <f ca="1">IF(PV[[#This Row],[Business Date]]=Control!$C$6, PV[[#This Row],[Notional Value Local Cur]], -PV[[#This Row],[Notional Value Local Cur]])</f>
        <v>0</v>
      </c>
    </row>
    <row r="177" spans="1:5" x14ac:dyDescent="0.25">
      <c r="A177" s="36" t="b">
        <v>0</v>
      </c>
      <c r="B177" s="56" t="b">
        <v>0</v>
      </c>
      <c r="C177" s="56" t="b">
        <v>0</v>
      </c>
      <c r="D177" s="56" t="b">
        <v>0</v>
      </c>
      <c r="E177" s="56">
        <f ca="1">IF(PV[[#This Row],[Business Date]]=Control!$C$6, PV[[#This Row],[Notional Value Local Cur]], -PV[[#This Row],[Notional Value Local Cur]])</f>
        <v>0</v>
      </c>
    </row>
    <row r="178" spans="1:5" x14ac:dyDescent="0.25">
      <c r="A178" s="36" t="b">
        <v>0</v>
      </c>
      <c r="B178" s="56" t="b">
        <v>0</v>
      </c>
      <c r="C178" s="56" t="b">
        <v>0</v>
      </c>
      <c r="D178" s="56" t="b">
        <v>0</v>
      </c>
      <c r="E178" s="56">
        <f ca="1">IF(PV[[#This Row],[Business Date]]=Control!$C$6, PV[[#This Row],[Notional Value Local Cur]], -PV[[#This Row],[Notional Value Local Cur]])</f>
        <v>0</v>
      </c>
    </row>
    <row r="179" spans="1:5" x14ac:dyDescent="0.25">
      <c r="A179" s="36" t="b">
        <v>0</v>
      </c>
      <c r="B179" s="56" t="b">
        <v>0</v>
      </c>
      <c r="C179" s="56" t="b">
        <v>0</v>
      </c>
      <c r="D179" s="56" t="b">
        <v>0</v>
      </c>
      <c r="E179" s="56">
        <f ca="1">IF(PV[[#This Row],[Business Date]]=Control!$C$6, PV[[#This Row],[Notional Value Local Cur]], -PV[[#This Row],[Notional Value Local Cur]])</f>
        <v>0</v>
      </c>
    </row>
    <row r="180" spans="1:5" x14ac:dyDescent="0.25">
      <c r="A180" s="36" t="b">
        <v>0</v>
      </c>
      <c r="B180" s="56" t="b">
        <v>0</v>
      </c>
      <c r="C180" s="56" t="b">
        <v>0</v>
      </c>
      <c r="D180" s="56" t="b">
        <v>0</v>
      </c>
      <c r="E180" s="56">
        <f ca="1">IF(PV[[#This Row],[Business Date]]=Control!$C$6, PV[[#This Row],[Notional Value Local Cur]], -PV[[#This Row],[Notional Value Local Cur]])</f>
        <v>0</v>
      </c>
    </row>
    <row r="181" spans="1:5" x14ac:dyDescent="0.25">
      <c r="A181" s="36" t="b">
        <v>0</v>
      </c>
      <c r="B181" s="56" t="b">
        <v>0</v>
      </c>
      <c r="C181" s="56" t="b">
        <v>0</v>
      </c>
      <c r="D181" s="56" t="b">
        <v>0</v>
      </c>
      <c r="E181" s="56">
        <f ca="1">IF(PV[[#This Row],[Business Date]]=Control!$C$6, PV[[#This Row],[Notional Value Local Cur]], -PV[[#This Row],[Notional Value Local Cur]])</f>
        <v>0</v>
      </c>
    </row>
    <row r="182" spans="1:5" x14ac:dyDescent="0.25">
      <c r="A182" s="36" t="b">
        <v>0</v>
      </c>
      <c r="B182" s="56" t="b">
        <v>0</v>
      </c>
      <c r="C182" s="56" t="b">
        <v>0</v>
      </c>
      <c r="D182" s="56" t="b">
        <v>0</v>
      </c>
      <c r="E182" s="56">
        <f ca="1">IF(PV[[#This Row],[Business Date]]=Control!$C$6, PV[[#This Row],[Notional Value Local Cur]], -PV[[#This Row],[Notional Value Local Cur]])</f>
        <v>0</v>
      </c>
    </row>
    <row r="183" spans="1:5" x14ac:dyDescent="0.25">
      <c r="A183" s="36" t="b">
        <v>0</v>
      </c>
      <c r="B183" s="56" t="b">
        <v>0</v>
      </c>
      <c r="C183" s="56" t="b">
        <v>0</v>
      </c>
      <c r="D183" s="56" t="b">
        <v>0</v>
      </c>
      <c r="E183" s="56">
        <f ca="1">IF(PV[[#This Row],[Business Date]]=Control!$C$6, PV[[#This Row],[Notional Value Local Cur]], -PV[[#This Row],[Notional Value Local Cur]])</f>
        <v>0</v>
      </c>
    </row>
    <row r="184" spans="1:5" x14ac:dyDescent="0.25">
      <c r="A184" s="36" t="b">
        <v>0</v>
      </c>
      <c r="B184" s="56" t="b">
        <v>0</v>
      </c>
      <c r="C184" s="56" t="b">
        <v>0</v>
      </c>
      <c r="D184" s="56" t="b">
        <v>0</v>
      </c>
      <c r="E184" s="56">
        <f ca="1">IF(PV[[#This Row],[Business Date]]=Control!$C$6, PV[[#This Row],[Notional Value Local Cur]], -PV[[#This Row],[Notional Value Local Cur]])</f>
        <v>0</v>
      </c>
    </row>
    <row r="185" spans="1:5" x14ac:dyDescent="0.25">
      <c r="A185" s="36" t="b">
        <v>0</v>
      </c>
      <c r="B185" s="56" t="b">
        <v>0</v>
      </c>
      <c r="C185" s="56" t="b">
        <v>0</v>
      </c>
      <c r="D185" s="56" t="b">
        <v>0</v>
      </c>
      <c r="E185" s="56">
        <f ca="1">IF(PV[[#This Row],[Business Date]]=Control!$C$6, PV[[#This Row],[Notional Value Local Cur]], -PV[[#This Row],[Notional Value Local Cur]])</f>
        <v>0</v>
      </c>
    </row>
    <row r="186" spans="1:5" x14ac:dyDescent="0.25">
      <c r="A186" s="36" t="b">
        <v>0</v>
      </c>
      <c r="B186" s="56" t="b">
        <v>0</v>
      </c>
      <c r="C186" s="56" t="b">
        <v>0</v>
      </c>
      <c r="D186" s="56" t="b">
        <v>0</v>
      </c>
      <c r="E186" s="56">
        <f ca="1">IF(PV[[#This Row],[Business Date]]=Control!$C$6, PV[[#This Row],[Notional Value Local Cur]], -PV[[#This Row],[Notional Value Local Cur]])</f>
        <v>0</v>
      </c>
    </row>
    <row r="187" spans="1:5" x14ac:dyDescent="0.25">
      <c r="A187" s="36" t="b">
        <v>0</v>
      </c>
      <c r="B187" s="56" t="b">
        <v>0</v>
      </c>
      <c r="C187" s="56" t="b">
        <v>0</v>
      </c>
      <c r="D187" s="56" t="b">
        <v>0</v>
      </c>
      <c r="E187" s="56">
        <f ca="1">IF(PV[[#This Row],[Business Date]]=Control!$C$6, PV[[#This Row],[Notional Value Local Cur]], -PV[[#This Row],[Notional Value Local Cur]])</f>
        <v>0</v>
      </c>
    </row>
    <row r="188" spans="1:5" x14ac:dyDescent="0.25">
      <c r="A188" s="36" t="b">
        <v>0</v>
      </c>
      <c r="B188" s="56" t="b">
        <v>0</v>
      </c>
      <c r="C188" s="56" t="b">
        <v>0</v>
      </c>
      <c r="D188" s="56" t="b">
        <v>0</v>
      </c>
      <c r="E188" s="56">
        <f ca="1">IF(PV[[#This Row],[Business Date]]=Control!$C$6, PV[[#This Row],[Notional Value Local Cur]], -PV[[#This Row],[Notional Value Local Cur]])</f>
        <v>0</v>
      </c>
    </row>
    <row r="189" spans="1:5" x14ac:dyDescent="0.25">
      <c r="A189" s="36" t="b">
        <v>0</v>
      </c>
      <c r="B189" s="56" t="b">
        <v>0</v>
      </c>
      <c r="C189" s="56" t="b">
        <v>0</v>
      </c>
      <c r="D189" s="56" t="b">
        <v>0</v>
      </c>
      <c r="E189" s="56">
        <f ca="1">IF(PV[[#This Row],[Business Date]]=Control!$C$6, PV[[#This Row],[Notional Value Local Cur]], -PV[[#This Row],[Notional Value Local Cur]])</f>
        <v>0</v>
      </c>
    </row>
    <row r="190" spans="1:5" x14ac:dyDescent="0.25">
      <c r="A190" s="36" t="b">
        <v>0</v>
      </c>
      <c r="B190" s="56" t="b">
        <v>0</v>
      </c>
      <c r="C190" s="56" t="b">
        <v>0</v>
      </c>
      <c r="D190" s="56" t="b">
        <v>0</v>
      </c>
      <c r="E190" s="56">
        <f ca="1">IF(PV[[#This Row],[Business Date]]=Control!$C$6, PV[[#This Row],[Notional Value Local Cur]], -PV[[#This Row],[Notional Value Local Cur]])</f>
        <v>0</v>
      </c>
    </row>
    <row r="191" spans="1:5" x14ac:dyDescent="0.25">
      <c r="A191" s="36" t="b">
        <v>0</v>
      </c>
      <c r="B191" s="56" t="b">
        <v>0</v>
      </c>
      <c r="C191" s="56" t="b">
        <v>0</v>
      </c>
      <c r="D191" s="56" t="b">
        <v>0</v>
      </c>
      <c r="E191" s="56">
        <f ca="1">IF(PV[[#This Row],[Business Date]]=Control!$C$6, PV[[#This Row],[Notional Value Local Cur]], -PV[[#This Row],[Notional Value Local Cur]])</f>
        <v>0</v>
      </c>
    </row>
    <row r="192" spans="1:5" x14ac:dyDescent="0.25">
      <c r="A192" s="36" t="b">
        <v>0</v>
      </c>
      <c r="B192" s="56" t="b">
        <v>0</v>
      </c>
      <c r="C192" s="56" t="b">
        <v>0</v>
      </c>
      <c r="D192" s="56" t="b">
        <v>0</v>
      </c>
      <c r="E192" s="56">
        <f ca="1">IF(PV[[#This Row],[Business Date]]=Control!$C$6, PV[[#This Row],[Notional Value Local Cur]], -PV[[#This Row],[Notional Value Local Cur]])</f>
        <v>0</v>
      </c>
    </row>
    <row r="193" spans="1:5" x14ac:dyDescent="0.25">
      <c r="A193" s="36" t="b">
        <v>0</v>
      </c>
      <c r="B193" s="56" t="b">
        <v>0</v>
      </c>
      <c r="C193" s="56" t="b">
        <v>0</v>
      </c>
      <c r="D193" s="56" t="b">
        <v>0</v>
      </c>
      <c r="E193" s="56">
        <f ca="1">IF(PV[[#This Row],[Business Date]]=Control!$C$6, PV[[#This Row],[Notional Value Local Cur]], -PV[[#This Row],[Notional Value Local Cur]])</f>
        <v>0</v>
      </c>
    </row>
    <row r="194" spans="1:5" x14ac:dyDescent="0.25">
      <c r="A194" s="36" t="b">
        <v>0</v>
      </c>
      <c r="B194" s="56" t="b">
        <v>0</v>
      </c>
      <c r="C194" s="56" t="b">
        <v>0</v>
      </c>
      <c r="D194" s="56" t="b">
        <v>0</v>
      </c>
      <c r="E194" s="56">
        <f ca="1">IF(PV[[#This Row],[Business Date]]=Control!$C$6, PV[[#This Row],[Notional Value Local Cur]], -PV[[#This Row],[Notional Value Local Cur]])</f>
        <v>0</v>
      </c>
    </row>
    <row r="195" spans="1:5" x14ac:dyDescent="0.25">
      <c r="A195" s="36" t="b">
        <v>0</v>
      </c>
      <c r="B195" s="56" t="b">
        <v>0</v>
      </c>
      <c r="C195" s="56" t="b">
        <v>0</v>
      </c>
      <c r="D195" s="56" t="b">
        <v>0</v>
      </c>
      <c r="E195" s="56">
        <f ca="1">IF(PV[[#This Row],[Business Date]]=Control!$C$6, PV[[#This Row],[Notional Value Local Cur]], -PV[[#This Row],[Notional Value Local Cur]])</f>
        <v>0</v>
      </c>
    </row>
    <row r="196" spans="1:5" x14ac:dyDescent="0.25">
      <c r="A196" s="36" t="b">
        <v>0</v>
      </c>
      <c r="B196" s="56" t="b">
        <v>0</v>
      </c>
      <c r="C196" s="56" t="b">
        <v>0</v>
      </c>
      <c r="D196" s="56" t="b">
        <v>0</v>
      </c>
      <c r="E196" s="56">
        <f ca="1">IF(PV[[#This Row],[Business Date]]=Control!$C$6, PV[[#This Row],[Notional Value Local Cur]], -PV[[#This Row],[Notional Value Local Cur]])</f>
        <v>0</v>
      </c>
    </row>
    <row r="197" spans="1:5" x14ac:dyDescent="0.25">
      <c r="A197" s="36" t="b">
        <v>0</v>
      </c>
      <c r="B197" s="56" t="b">
        <v>0</v>
      </c>
      <c r="C197" s="56" t="b">
        <v>0</v>
      </c>
      <c r="D197" s="56" t="b">
        <v>0</v>
      </c>
      <c r="E197" s="56">
        <f ca="1">IF(PV[[#This Row],[Business Date]]=Control!$C$6, PV[[#This Row],[Notional Value Local Cur]], -PV[[#This Row],[Notional Value Local Cur]])</f>
        <v>0</v>
      </c>
    </row>
    <row r="198" spans="1:5" x14ac:dyDescent="0.25">
      <c r="A198" s="36" t="b">
        <v>0</v>
      </c>
      <c r="B198" s="56" t="b">
        <v>0</v>
      </c>
      <c r="C198" s="56" t="b">
        <v>0</v>
      </c>
      <c r="D198" s="56" t="b">
        <v>0</v>
      </c>
      <c r="E198" s="56">
        <f ca="1">IF(PV[[#This Row],[Business Date]]=Control!$C$6, PV[[#This Row],[Notional Value Local Cur]], -PV[[#This Row],[Notional Value Local Cur]])</f>
        <v>0</v>
      </c>
    </row>
    <row r="199" spans="1:5" x14ac:dyDescent="0.25">
      <c r="A199" s="36" t="b">
        <v>0</v>
      </c>
      <c r="B199" s="56" t="b">
        <v>0</v>
      </c>
      <c r="C199" s="56" t="b">
        <v>0</v>
      </c>
      <c r="D199" s="56" t="b">
        <v>0</v>
      </c>
      <c r="E199" s="56">
        <f ca="1">IF(PV[[#This Row],[Business Date]]=Control!$C$6, PV[[#This Row],[Notional Value Local Cur]], -PV[[#This Row],[Notional Value Local Cur]])</f>
        <v>0</v>
      </c>
    </row>
    <row r="200" spans="1:5" x14ac:dyDescent="0.25">
      <c r="A200" s="36" t="b">
        <v>0</v>
      </c>
      <c r="B200" s="56" t="b">
        <v>0</v>
      </c>
      <c r="C200" s="56" t="b">
        <v>0</v>
      </c>
      <c r="D200" s="56" t="b">
        <v>0</v>
      </c>
      <c r="E200" s="56">
        <f ca="1">IF(PV[[#This Row],[Business Date]]=Control!$C$6, PV[[#This Row],[Notional Value Local Cur]], -PV[[#This Row],[Notional Value Local Cur]])</f>
        <v>0</v>
      </c>
    </row>
    <row r="201" spans="1:5" x14ac:dyDescent="0.25">
      <c r="A201" s="36" t="b">
        <v>0</v>
      </c>
      <c r="B201" s="56" t="b">
        <v>0</v>
      </c>
      <c r="C201" s="56" t="b">
        <v>0</v>
      </c>
      <c r="D201" s="56" t="b">
        <v>0</v>
      </c>
      <c r="E201" s="56">
        <f ca="1">IF(PV[[#This Row],[Business Date]]=Control!$C$6, PV[[#This Row],[Notional Value Local Cur]], -PV[[#This Row],[Notional Value Local Cur]])</f>
        <v>0</v>
      </c>
    </row>
    <row r="202" spans="1:5" x14ac:dyDescent="0.25">
      <c r="A202" s="36" t="b">
        <v>0</v>
      </c>
      <c r="B202" s="56" t="b">
        <v>0</v>
      </c>
      <c r="C202" s="56" t="b">
        <v>0</v>
      </c>
      <c r="D202" s="56" t="b">
        <v>0</v>
      </c>
      <c r="E202" s="56">
        <f ca="1">IF(PV[[#This Row],[Business Date]]=Control!$C$6, PV[[#This Row],[Notional Value Local Cur]], -PV[[#This Row],[Notional Value Local Cur]])</f>
        <v>0</v>
      </c>
    </row>
    <row r="203" spans="1:5" x14ac:dyDescent="0.25">
      <c r="A203" s="36" t="b">
        <v>0</v>
      </c>
      <c r="B203" s="56" t="b">
        <v>0</v>
      </c>
      <c r="C203" s="56" t="b">
        <v>0</v>
      </c>
      <c r="D203" s="56" t="b">
        <v>0</v>
      </c>
      <c r="E203" s="56">
        <f ca="1">IF(PV[[#This Row],[Business Date]]=Control!$C$6, PV[[#This Row],[Notional Value Local Cur]], -PV[[#This Row],[Notional Value Local Cur]])</f>
        <v>0</v>
      </c>
    </row>
    <row r="204" spans="1:5" x14ac:dyDescent="0.25">
      <c r="A204" s="36" t="b">
        <v>0</v>
      </c>
      <c r="B204" s="56" t="b">
        <v>0</v>
      </c>
      <c r="C204" s="56" t="b">
        <v>0</v>
      </c>
      <c r="D204" s="56" t="b">
        <v>0</v>
      </c>
      <c r="E204" s="56">
        <f ca="1">IF(PV[[#This Row],[Business Date]]=Control!$C$6, PV[[#This Row],[Notional Value Local Cur]], -PV[[#This Row],[Notional Value Local Cur]])</f>
        <v>0</v>
      </c>
    </row>
    <row r="205" spans="1:5" x14ac:dyDescent="0.25">
      <c r="A205" s="36" t="b">
        <v>0</v>
      </c>
      <c r="B205" s="56" t="b">
        <v>0</v>
      </c>
      <c r="C205" s="56" t="b">
        <v>0</v>
      </c>
      <c r="D205" s="56" t="b">
        <v>0</v>
      </c>
      <c r="E205" s="56">
        <f ca="1">IF(PV[[#This Row],[Business Date]]=Control!$C$6, PV[[#This Row],[Notional Value Local Cur]], -PV[[#This Row],[Notional Value Local Cur]])</f>
        <v>0</v>
      </c>
    </row>
    <row r="206" spans="1:5" x14ac:dyDescent="0.25">
      <c r="A206" s="36" t="b">
        <v>0</v>
      </c>
      <c r="B206" s="56" t="b">
        <v>0</v>
      </c>
      <c r="C206" s="56" t="b">
        <v>0</v>
      </c>
      <c r="D206" s="56" t="b">
        <v>0</v>
      </c>
      <c r="E206" s="56">
        <f ca="1">IF(PV[[#This Row],[Business Date]]=Control!$C$6, PV[[#This Row],[Notional Value Local Cur]], -PV[[#This Row],[Notional Value Local Cur]])</f>
        <v>0</v>
      </c>
    </row>
    <row r="207" spans="1:5" x14ac:dyDescent="0.25">
      <c r="A207" s="36" t="b">
        <v>0</v>
      </c>
      <c r="B207" s="56" t="b">
        <v>0</v>
      </c>
      <c r="C207" s="56" t="b">
        <v>0</v>
      </c>
      <c r="D207" s="56" t="b">
        <v>0</v>
      </c>
      <c r="E207" s="56">
        <f ca="1">IF(PV[[#This Row],[Business Date]]=Control!$C$6, PV[[#This Row],[Notional Value Local Cur]], -PV[[#This Row],[Notional Value Local Cur]])</f>
        <v>0</v>
      </c>
    </row>
    <row r="208" spans="1:5" x14ac:dyDescent="0.25">
      <c r="A208" s="36" t="b">
        <v>0</v>
      </c>
      <c r="B208" s="56" t="b">
        <v>0</v>
      </c>
      <c r="C208" s="56" t="b">
        <v>0</v>
      </c>
      <c r="D208" s="56" t="b">
        <v>0</v>
      </c>
      <c r="E208" s="56">
        <f ca="1">IF(PV[[#This Row],[Business Date]]=Control!$C$6, PV[[#This Row],[Notional Value Local Cur]], -PV[[#This Row],[Notional Value Local Cur]])</f>
        <v>0</v>
      </c>
    </row>
    <row r="209" spans="1:5" x14ac:dyDescent="0.25">
      <c r="A209" s="36" t="b">
        <v>0</v>
      </c>
      <c r="B209" s="56" t="b">
        <v>0</v>
      </c>
      <c r="C209" s="56" t="b">
        <v>0</v>
      </c>
      <c r="D209" s="56" t="b">
        <v>0</v>
      </c>
      <c r="E209" s="56">
        <f ca="1">IF(PV[[#This Row],[Business Date]]=Control!$C$6, PV[[#This Row],[Notional Value Local Cur]], -PV[[#This Row],[Notional Value Local Cur]])</f>
        <v>0</v>
      </c>
    </row>
    <row r="210" spans="1:5" x14ac:dyDescent="0.25">
      <c r="A210" s="36" t="b">
        <v>0</v>
      </c>
      <c r="B210" s="56" t="b">
        <v>0</v>
      </c>
      <c r="C210" s="56" t="b">
        <v>0</v>
      </c>
      <c r="D210" s="56" t="b">
        <v>0</v>
      </c>
      <c r="E210" s="56">
        <f ca="1">IF(PV[[#This Row],[Business Date]]=Control!$C$6, PV[[#This Row],[Notional Value Local Cur]], -PV[[#This Row],[Notional Value Local Cur]])</f>
        <v>0</v>
      </c>
    </row>
    <row r="211" spans="1:5" x14ac:dyDescent="0.25">
      <c r="A211" s="36" t="b">
        <v>0</v>
      </c>
      <c r="B211" s="56" t="b">
        <v>0</v>
      </c>
      <c r="C211" s="56" t="b">
        <v>0</v>
      </c>
      <c r="D211" s="56" t="b">
        <v>0</v>
      </c>
      <c r="E211" s="56">
        <f ca="1">IF(PV[[#This Row],[Business Date]]=Control!$C$6, PV[[#This Row],[Notional Value Local Cur]], -PV[[#This Row],[Notional Value Local Cur]])</f>
        <v>0</v>
      </c>
    </row>
    <row r="212" spans="1:5" x14ac:dyDescent="0.25">
      <c r="A212" s="36" t="b">
        <v>0</v>
      </c>
      <c r="B212" s="56" t="b">
        <v>0</v>
      </c>
      <c r="C212" s="56" t="b">
        <v>0</v>
      </c>
      <c r="D212" s="56" t="b">
        <v>0</v>
      </c>
      <c r="E212" s="56">
        <f ca="1">IF(PV[[#This Row],[Business Date]]=Control!$C$6, PV[[#This Row],[Notional Value Local Cur]], -PV[[#This Row],[Notional Value Local Cur]])</f>
        <v>0</v>
      </c>
    </row>
    <row r="213" spans="1:5" x14ac:dyDescent="0.25">
      <c r="A213" s="36" t="b">
        <v>0</v>
      </c>
      <c r="B213" s="56" t="b">
        <v>0</v>
      </c>
      <c r="C213" s="56" t="b">
        <v>0</v>
      </c>
      <c r="D213" s="56" t="b">
        <v>0</v>
      </c>
      <c r="E213" s="56">
        <f ca="1">IF(PV[[#This Row],[Business Date]]=Control!$C$6, PV[[#This Row],[Notional Value Local Cur]], -PV[[#This Row],[Notional Value Local Cur]])</f>
        <v>0</v>
      </c>
    </row>
    <row r="214" spans="1:5" x14ac:dyDescent="0.25">
      <c r="A214" s="36" t="b">
        <v>0</v>
      </c>
      <c r="B214" s="56" t="b">
        <v>0</v>
      </c>
      <c r="C214" s="56" t="b">
        <v>0</v>
      </c>
      <c r="D214" s="56" t="b">
        <v>0</v>
      </c>
      <c r="E214" s="56">
        <f ca="1">IF(PV[[#This Row],[Business Date]]=Control!$C$6, PV[[#This Row],[Notional Value Local Cur]], -PV[[#This Row],[Notional Value Local Cur]])</f>
        <v>0</v>
      </c>
    </row>
    <row r="215" spans="1:5" x14ac:dyDescent="0.25">
      <c r="A215" s="36" t="b">
        <v>0</v>
      </c>
      <c r="B215" s="56" t="b">
        <v>0</v>
      </c>
      <c r="C215" s="56" t="b">
        <v>0</v>
      </c>
      <c r="D215" s="56" t="b">
        <v>0</v>
      </c>
      <c r="E215" s="56">
        <f ca="1">IF(PV[[#This Row],[Business Date]]=Control!$C$6, PV[[#This Row],[Notional Value Local Cur]], -PV[[#This Row],[Notional Value Local Cur]])</f>
        <v>0</v>
      </c>
    </row>
    <row r="216" spans="1:5" x14ac:dyDescent="0.25">
      <c r="A216" s="36" t="b">
        <v>0</v>
      </c>
      <c r="B216" s="56" t="b">
        <v>0</v>
      </c>
      <c r="C216" s="56" t="b">
        <v>0</v>
      </c>
      <c r="D216" s="56" t="b">
        <v>0</v>
      </c>
      <c r="E216" s="56">
        <f ca="1">IF(PV[[#This Row],[Business Date]]=Control!$C$6, PV[[#This Row],[Notional Value Local Cur]], -PV[[#This Row],[Notional Value Local Cur]])</f>
        <v>0</v>
      </c>
    </row>
    <row r="217" spans="1:5" x14ac:dyDescent="0.25">
      <c r="A217" s="36" t="b">
        <v>0</v>
      </c>
      <c r="B217" s="56" t="b">
        <v>0</v>
      </c>
      <c r="C217" s="56" t="b">
        <v>0</v>
      </c>
      <c r="D217" s="56" t="b">
        <v>0</v>
      </c>
      <c r="E217" s="56">
        <f ca="1">IF(PV[[#This Row],[Business Date]]=Control!$C$6, PV[[#This Row],[Notional Value Local Cur]], -PV[[#This Row],[Notional Value Local Cur]])</f>
        <v>0</v>
      </c>
    </row>
    <row r="218" spans="1:5" x14ac:dyDescent="0.25">
      <c r="A218" s="36" t="b">
        <v>0</v>
      </c>
      <c r="B218" s="56" t="b">
        <v>0</v>
      </c>
      <c r="C218" s="56" t="b">
        <v>0</v>
      </c>
      <c r="D218" s="56" t="b">
        <v>0</v>
      </c>
      <c r="E218" s="56">
        <f ca="1">IF(PV[[#This Row],[Business Date]]=Control!$C$6, PV[[#This Row],[Notional Value Local Cur]], -PV[[#This Row],[Notional Value Local Cur]])</f>
        <v>0</v>
      </c>
    </row>
    <row r="219" spans="1:5" x14ac:dyDescent="0.25">
      <c r="A219" s="36" t="b">
        <v>0</v>
      </c>
      <c r="B219" s="56" t="b">
        <v>0</v>
      </c>
      <c r="C219" s="56" t="b">
        <v>0</v>
      </c>
      <c r="D219" s="56" t="b">
        <v>0</v>
      </c>
      <c r="E219" s="56">
        <f ca="1">IF(PV[[#This Row],[Business Date]]=Control!$C$6, PV[[#This Row],[Notional Value Local Cur]], -PV[[#This Row],[Notional Value Local Cur]])</f>
        <v>0</v>
      </c>
    </row>
    <row r="220" spans="1:5" x14ac:dyDescent="0.25">
      <c r="A220" s="36" t="b">
        <v>0</v>
      </c>
      <c r="B220" s="56" t="b">
        <v>0</v>
      </c>
      <c r="C220" s="56" t="b">
        <v>0</v>
      </c>
      <c r="D220" s="56" t="b">
        <v>0</v>
      </c>
      <c r="E220" s="56">
        <f ca="1">IF(PV[[#This Row],[Business Date]]=Control!$C$6, PV[[#This Row],[Notional Value Local Cur]], -PV[[#This Row],[Notional Value Local Cur]])</f>
        <v>0</v>
      </c>
    </row>
    <row r="221" spans="1:5" x14ac:dyDescent="0.25">
      <c r="A221" s="36" t="b">
        <v>0</v>
      </c>
      <c r="B221" s="56" t="b">
        <v>0</v>
      </c>
      <c r="C221" s="56" t="b">
        <v>0</v>
      </c>
      <c r="D221" s="56" t="b">
        <v>0</v>
      </c>
      <c r="E221" s="56">
        <f ca="1">IF(PV[[#This Row],[Business Date]]=Control!$C$6, PV[[#This Row],[Notional Value Local Cur]], -PV[[#This Row],[Notional Value Local Cur]])</f>
        <v>0</v>
      </c>
    </row>
    <row r="222" spans="1:5" x14ac:dyDescent="0.25">
      <c r="A222" s="36" t="b">
        <v>0</v>
      </c>
      <c r="B222" s="56" t="b">
        <v>0</v>
      </c>
      <c r="C222" s="56" t="b">
        <v>0</v>
      </c>
      <c r="D222" s="56" t="b">
        <v>0</v>
      </c>
      <c r="E222" s="56">
        <f ca="1">IF(PV[[#This Row],[Business Date]]=Control!$C$6, PV[[#This Row],[Notional Value Local Cur]], -PV[[#This Row],[Notional Value Local Cur]])</f>
        <v>0</v>
      </c>
    </row>
    <row r="223" spans="1:5" x14ac:dyDescent="0.25">
      <c r="A223" s="36" t="b">
        <v>0</v>
      </c>
      <c r="B223" s="56" t="b">
        <v>0</v>
      </c>
      <c r="C223" s="56" t="b">
        <v>0</v>
      </c>
      <c r="D223" s="56" t="b">
        <v>0</v>
      </c>
      <c r="E223" s="56">
        <f ca="1">IF(PV[[#This Row],[Business Date]]=Control!$C$6, PV[[#This Row],[Notional Value Local Cur]], -PV[[#This Row],[Notional Value Local Cur]])</f>
        <v>0</v>
      </c>
    </row>
    <row r="224" spans="1:5" x14ac:dyDescent="0.25">
      <c r="A224" s="36" t="b">
        <v>0</v>
      </c>
      <c r="B224" s="56" t="b">
        <v>0</v>
      </c>
      <c r="C224" s="56" t="b">
        <v>0</v>
      </c>
      <c r="D224" s="56" t="b">
        <v>0</v>
      </c>
      <c r="E224" s="56">
        <f ca="1">IF(PV[[#This Row],[Business Date]]=Control!$C$6, PV[[#This Row],[Notional Value Local Cur]], -PV[[#This Row],[Notional Value Local Cur]])</f>
        <v>0</v>
      </c>
    </row>
    <row r="225" spans="1:5" x14ac:dyDescent="0.25">
      <c r="A225" s="36" t="b">
        <v>0</v>
      </c>
      <c r="B225" s="56" t="b">
        <v>0</v>
      </c>
      <c r="C225" s="56" t="b">
        <v>0</v>
      </c>
      <c r="D225" s="56" t="b">
        <v>0</v>
      </c>
      <c r="E225" s="56">
        <f ca="1">IF(PV[[#This Row],[Business Date]]=Control!$C$6, PV[[#This Row],[Notional Value Local Cur]], -PV[[#This Row],[Notional Value Local Cur]])</f>
        <v>0</v>
      </c>
    </row>
    <row r="226" spans="1:5" x14ac:dyDescent="0.25">
      <c r="A226" s="36" t="b">
        <v>0</v>
      </c>
      <c r="B226" s="56" t="b">
        <v>0</v>
      </c>
      <c r="C226" s="56" t="b">
        <v>0</v>
      </c>
      <c r="D226" s="56" t="b">
        <v>0</v>
      </c>
      <c r="E226" s="56">
        <f ca="1">IF(PV[[#This Row],[Business Date]]=Control!$C$6, PV[[#This Row],[Notional Value Local Cur]], -PV[[#This Row],[Notional Value Local Cur]])</f>
        <v>0</v>
      </c>
    </row>
    <row r="227" spans="1:5" x14ac:dyDescent="0.25">
      <c r="A227" s="36" t="b">
        <v>0</v>
      </c>
      <c r="B227" s="56" t="b">
        <v>0</v>
      </c>
      <c r="C227" s="56" t="b">
        <v>0</v>
      </c>
      <c r="D227" s="56" t="b">
        <v>0</v>
      </c>
      <c r="E227" s="56">
        <f ca="1">IF(PV[[#This Row],[Business Date]]=Control!$C$6, PV[[#This Row],[Notional Value Local Cur]], -PV[[#This Row],[Notional Value Local Cur]])</f>
        <v>0</v>
      </c>
    </row>
    <row r="228" spans="1:5" x14ac:dyDescent="0.25">
      <c r="A228" s="36" t="b">
        <v>0</v>
      </c>
      <c r="B228" s="56" t="b">
        <v>0</v>
      </c>
      <c r="C228" s="56" t="b">
        <v>0</v>
      </c>
      <c r="D228" s="56" t="b">
        <v>0</v>
      </c>
      <c r="E228" s="56">
        <f ca="1">IF(PV[[#This Row],[Business Date]]=Control!$C$6, PV[[#This Row],[Notional Value Local Cur]], -PV[[#This Row],[Notional Value Local Cur]])</f>
        <v>0</v>
      </c>
    </row>
    <row r="229" spans="1:5" x14ac:dyDescent="0.25">
      <c r="A229" s="36" t="b">
        <v>0</v>
      </c>
      <c r="B229" s="56" t="b">
        <v>0</v>
      </c>
      <c r="C229" s="56" t="b">
        <v>0</v>
      </c>
      <c r="D229" s="56" t="b">
        <v>0</v>
      </c>
      <c r="E229" s="56">
        <f ca="1">IF(PV[[#This Row],[Business Date]]=Control!$C$6, PV[[#This Row],[Notional Value Local Cur]], -PV[[#This Row],[Notional Value Local Cur]])</f>
        <v>0</v>
      </c>
    </row>
    <row r="230" spans="1:5" x14ac:dyDescent="0.25">
      <c r="A230" s="36" t="b">
        <v>0</v>
      </c>
      <c r="B230" s="56" t="b">
        <v>0</v>
      </c>
      <c r="C230" s="56" t="b">
        <v>0</v>
      </c>
      <c r="D230" s="56" t="b">
        <v>0</v>
      </c>
      <c r="E230" s="56">
        <f ca="1">IF(PV[[#This Row],[Business Date]]=Control!$C$6, PV[[#This Row],[Notional Value Local Cur]], -PV[[#This Row],[Notional Value Local Cur]])</f>
        <v>0</v>
      </c>
    </row>
    <row r="231" spans="1:5" x14ac:dyDescent="0.25">
      <c r="A231" s="36" t="b">
        <v>0</v>
      </c>
      <c r="B231" s="56" t="b">
        <v>0</v>
      </c>
      <c r="C231" s="56" t="b">
        <v>0</v>
      </c>
      <c r="D231" s="56" t="b">
        <v>0</v>
      </c>
      <c r="E231" s="56">
        <f ca="1">IF(PV[[#This Row],[Business Date]]=Control!$C$6, PV[[#This Row],[Notional Value Local Cur]], -PV[[#This Row],[Notional Value Local Cur]])</f>
        <v>0</v>
      </c>
    </row>
    <row r="232" spans="1:5" x14ac:dyDescent="0.25">
      <c r="A232" s="36" t="b">
        <v>0</v>
      </c>
      <c r="B232" s="56" t="b">
        <v>0</v>
      </c>
      <c r="C232" s="56" t="b">
        <v>0</v>
      </c>
      <c r="D232" s="56" t="b">
        <v>0</v>
      </c>
      <c r="E232" s="56">
        <f ca="1">IF(PV[[#This Row],[Business Date]]=Control!$C$6, PV[[#This Row],[Notional Value Local Cur]], -PV[[#This Row],[Notional Value Local Cur]])</f>
        <v>0</v>
      </c>
    </row>
    <row r="233" spans="1:5" x14ac:dyDescent="0.25">
      <c r="A233" s="36" t="b">
        <v>0</v>
      </c>
      <c r="B233" s="56" t="b">
        <v>0</v>
      </c>
      <c r="C233" s="56" t="b">
        <v>0</v>
      </c>
      <c r="D233" s="56" t="b">
        <v>0</v>
      </c>
      <c r="E233" s="56">
        <f ca="1">IF(PV[[#This Row],[Business Date]]=Control!$C$6, PV[[#This Row],[Notional Value Local Cur]], -PV[[#This Row],[Notional Value Local Cur]])</f>
        <v>0</v>
      </c>
    </row>
    <row r="234" spans="1:5" x14ac:dyDescent="0.25">
      <c r="A234" s="36" t="b">
        <v>0</v>
      </c>
      <c r="B234" s="56" t="b">
        <v>0</v>
      </c>
      <c r="C234" s="56" t="b">
        <v>0</v>
      </c>
      <c r="D234" s="56" t="b">
        <v>0</v>
      </c>
      <c r="E234" s="56">
        <f ca="1">IF(PV[[#This Row],[Business Date]]=Control!$C$6, PV[[#This Row],[Notional Value Local Cur]], -PV[[#This Row],[Notional Value Local Cur]])</f>
        <v>0</v>
      </c>
    </row>
    <row r="235" spans="1:5" x14ac:dyDescent="0.25">
      <c r="A235" s="36" t="b">
        <v>0</v>
      </c>
      <c r="B235" s="56" t="b">
        <v>0</v>
      </c>
      <c r="C235" s="56" t="b">
        <v>0</v>
      </c>
      <c r="D235" s="56" t="b">
        <v>0</v>
      </c>
      <c r="E235" s="56">
        <f ca="1">IF(PV[[#This Row],[Business Date]]=Control!$C$6, PV[[#This Row],[Notional Value Local Cur]], -PV[[#This Row],[Notional Value Local Cur]])</f>
        <v>0</v>
      </c>
    </row>
    <row r="236" spans="1:5" x14ac:dyDescent="0.25">
      <c r="A236" s="36" t="b">
        <v>0</v>
      </c>
      <c r="B236" s="56" t="b">
        <v>0</v>
      </c>
      <c r="C236" s="56" t="b">
        <v>0</v>
      </c>
      <c r="D236" s="56" t="b">
        <v>0</v>
      </c>
      <c r="E236" s="56">
        <f ca="1">IF(PV[[#This Row],[Business Date]]=Control!$C$6, PV[[#This Row],[Notional Value Local Cur]], -PV[[#This Row],[Notional Value Local Cur]])</f>
        <v>0</v>
      </c>
    </row>
    <row r="237" spans="1:5" x14ac:dyDescent="0.25">
      <c r="A237" s="36" t="b">
        <v>0</v>
      </c>
      <c r="B237" s="56" t="b">
        <v>0</v>
      </c>
      <c r="C237" s="56" t="b">
        <v>0</v>
      </c>
      <c r="D237" s="56" t="b">
        <v>0</v>
      </c>
      <c r="E237" s="56">
        <f ca="1">IF(PV[[#This Row],[Business Date]]=Control!$C$6, PV[[#This Row],[Notional Value Local Cur]], -PV[[#This Row],[Notional Value Local Cur]])</f>
        <v>0</v>
      </c>
    </row>
    <row r="238" spans="1:5" x14ac:dyDescent="0.25">
      <c r="A238" s="36" t="b">
        <v>0</v>
      </c>
      <c r="B238" s="56" t="b">
        <v>0</v>
      </c>
      <c r="C238" s="56" t="b">
        <v>0</v>
      </c>
      <c r="D238" s="56" t="b">
        <v>0</v>
      </c>
      <c r="E238" s="56">
        <f ca="1">IF(PV[[#This Row],[Business Date]]=Control!$C$6, PV[[#This Row],[Notional Value Local Cur]], -PV[[#This Row],[Notional Value Local Cur]])</f>
        <v>0</v>
      </c>
    </row>
    <row r="239" spans="1:5" x14ac:dyDescent="0.25">
      <c r="A239" s="36" t="b">
        <v>0</v>
      </c>
      <c r="B239" s="56" t="b">
        <v>0</v>
      </c>
      <c r="C239" s="56" t="b">
        <v>0</v>
      </c>
      <c r="D239" s="56" t="b">
        <v>0</v>
      </c>
      <c r="E239" s="56">
        <f ca="1">IF(PV[[#This Row],[Business Date]]=Control!$C$6, PV[[#This Row],[Notional Value Local Cur]], -PV[[#This Row],[Notional Value Local Cur]])</f>
        <v>0</v>
      </c>
    </row>
    <row r="240" spans="1:5" x14ac:dyDescent="0.25">
      <c r="A240" s="36" t="b">
        <v>0</v>
      </c>
      <c r="B240" s="56" t="b">
        <v>0</v>
      </c>
      <c r="C240" s="56" t="b">
        <v>0</v>
      </c>
      <c r="D240" s="56" t="b">
        <v>0</v>
      </c>
      <c r="E240" s="56">
        <f ca="1">IF(PV[[#This Row],[Business Date]]=Control!$C$6, PV[[#This Row],[Notional Value Local Cur]], -PV[[#This Row],[Notional Value Local Cur]])</f>
        <v>0</v>
      </c>
    </row>
    <row r="241" spans="1:5" x14ac:dyDescent="0.25">
      <c r="A241" s="36" t="b">
        <v>0</v>
      </c>
      <c r="B241" s="56" t="b">
        <v>0</v>
      </c>
      <c r="C241" s="56" t="b">
        <v>0</v>
      </c>
      <c r="D241" s="56" t="b">
        <v>0</v>
      </c>
      <c r="E241" s="56">
        <f ca="1">IF(PV[[#This Row],[Business Date]]=Control!$C$6, PV[[#This Row],[Notional Value Local Cur]], -PV[[#This Row],[Notional Value Local Cur]])</f>
        <v>0</v>
      </c>
    </row>
    <row r="242" spans="1:5" x14ac:dyDescent="0.25">
      <c r="A242" s="36" t="b">
        <v>0</v>
      </c>
      <c r="B242" s="56" t="b">
        <v>0</v>
      </c>
      <c r="C242" s="56" t="b">
        <v>0</v>
      </c>
      <c r="D242" s="56" t="b">
        <v>0</v>
      </c>
      <c r="E242" s="56">
        <f ca="1">IF(PV[[#This Row],[Business Date]]=Control!$C$6, PV[[#This Row],[Notional Value Local Cur]], -PV[[#This Row],[Notional Value Local Cur]])</f>
        <v>0</v>
      </c>
    </row>
    <row r="243" spans="1:5" x14ac:dyDescent="0.25">
      <c r="A243" s="36" t="b">
        <v>0</v>
      </c>
      <c r="B243" s="56" t="b">
        <v>0</v>
      </c>
      <c r="C243" s="56" t="b">
        <v>0</v>
      </c>
      <c r="D243" s="56" t="b">
        <v>0</v>
      </c>
      <c r="E243" s="56">
        <f ca="1">IF(PV[[#This Row],[Business Date]]=Control!$C$6, PV[[#This Row],[Notional Value Local Cur]], -PV[[#This Row],[Notional Value Local Cur]])</f>
        <v>0</v>
      </c>
    </row>
    <row r="244" spans="1:5" x14ac:dyDescent="0.25">
      <c r="A244" s="36" t="b">
        <v>0</v>
      </c>
      <c r="B244" s="56" t="b">
        <v>0</v>
      </c>
      <c r="C244" s="56" t="b">
        <v>0</v>
      </c>
      <c r="D244" s="56" t="b">
        <v>0</v>
      </c>
      <c r="E244" s="56">
        <f ca="1">IF(PV[[#This Row],[Business Date]]=Control!$C$6, PV[[#This Row],[Notional Value Local Cur]], -PV[[#This Row],[Notional Value Local Cur]])</f>
        <v>0</v>
      </c>
    </row>
    <row r="245" spans="1:5" x14ac:dyDescent="0.25">
      <c r="A245" s="36" t="b">
        <v>0</v>
      </c>
      <c r="B245" s="56" t="b">
        <v>0</v>
      </c>
      <c r="C245" s="56" t="b">
        <v>0</v>
      </c>
      <c r="D245" s="56" t="b">
        <v>0</v>
      </c>
      <c r="E245" s="56">
        <f ca="1">IF(PV[[#This Row],[Business Date]]=Control!$C$6, PV[[#This Row],[Notional Value Local Cur]], -PV[[#This Row],[Notional Value Local Cur]])</f>
        <v>0</v>
      </c>
    </row>
    <row r="246" spans="1:5" x14ac:dyDescent="0.25">
      <c r="A246" s="36" t="b">
        <v>0</v>
      </c>
      <c r="B246" s="56" t="b">
        <v>0</v>
      </c>
      <c r="C246" s="56" t="b">
        <v>0</v>
      </c>
      <c r="D246" s="56" t="b">
        <v>0</v>
      </c>
      <c r="E246" s="56">
        <f ca="1">IF(PV[[#This Row],[Business Date]]=Control!$C$6, PV[[#This Row],[Notional Value Local Cur]], -PV[[#This Row],[Notional Value Local Cur]])</f>
        <v>0</v>
      </c>
    </row>
    <row r="247" spans="1:5" x14ac:dyDescent="0.25">
      <c r="A247" s="36" t="b">
        <v>0</v>
      </c>
      <c r="B247" s="56" t="b">
        <v>0</v>
      </c>
      <c r="C247" s="56" t="b">
        <v>0</v>
      </c>
      <c r="D247" s="56" t="b">
        <v>0</v>
      </c>
      <c r="E247" s="56">
        <f ca="1">IF(PV[[#This Row],[Business Date]]=Control!$C$6, PV[[#This Row],[Notional Value Local Cur]], -PV[[#This Row],[Notional Value Local Cur]])</f>
        <v>0</v>
      </c>
    </row>
    <row r="248" spans="1:5" x14ac:dyDescent="0.25">
      <c r="A248" s="36" t="b">
        <v>0</v>
      </c>
      <c r="B248" s="56" t="b">
        <v>0</v>
      </c>
      <c r="C248" s="56" t="b">
        <v>0</v>
      </c>
      <c r="D248" s="56" t="b">
        <v>0</v>
      </c>
      <c r="E248" s="56">
        <f ca="1">IF(PV[[#This Row],[Business Date]]=Control!$C$6, PV[[#This Row],[Notional Value Local Cur]], -PV[[#This Row],[Notional Value Local Cur]])</f>
        <v>0</v>
      </c>
    </row>
    <row r="249" spans="1:5" x14ac:dyDescent="0.25">
      <c r="A249" s="36" t="b">
        <v>0</v>
      </c>
      <c r="B249" s="56" t="b">
        <v>0</v>
      </c>
      <c r="C249" s="56" t="b">
        <v>0</v>
      </c>
      <c r="D249" s="56" t="b">
        <v>0</v>
      </c>
      <c r="E249" s="56">
        <f ca="1">IF(PV[[#This Row],[Business Date]]=Control!$C$6, PV[[#This Row],[Notional Value Local Cur]], -PV[[#This Row],[Notional Value Local Cur]])</f>
        <v>0</v>
      </c>
    </row>
    <row r="250" spans="1:5" x14ac:dyDescent="0.25">
      <c r="A250" s="36" t="b">
        <v>0</v>
      </c>
      <c r="B250" s="56" t="b">
        <v>0</v>
      </c>
      <c r="C250" s="56" t="b">
        <v>0</v>
      </c>
      <c r="D250" s="56" t="b">
        <v>0</v>
      </c>
      <c r="E250" s="56">
        <f ca="1">IF(PV[[#This Row],[Business Date]]=Control!$C$6, PV[[#This Row],[Notional Value Local Cur]], -PV[[#This Row],[Notional Value Local Cur]])</f>
        <v>0</v>
      </c>
    </row>
    <row r="251" spans="1:5" x14ac:dyDescent="0.25">
      <c r="A251" s="36" t="b">
        <v>0</v>
      </c>
      <c r="B251" s="56" t="b">
        <v>0</v>
      </c>
      <c r="C251" s="56" t="b">
        <v>0</v>
      </c>
      <c r="D251" s="56" t="b">
        <v>0</v>
      </c>
      <c r="E251" s="56">
        <f ca="1">IF(PV[[#This Row],[Business Date]]=Control!$C$6, PV[[#This Row],[Notional Value Local Cur]], -PV[[#This Row],[Notional Value Local Cur]])</f>
        <v>0</v>
      </c>
    </row>
    <row r="252" spans="1:5" x14ac:dyDescent="0.25">
      <c r="A252" s="36" t="b">
        <v>0</v>
      </c>
      <c r="B252" s="56" t="b">
        <v>0</v>
      </c>
      <c r="C252" s="56" t="b">
        <v>0</v>
      </c>
      <c r="D252" s="56" t="b">
        <v>0</v>
      </c>
      <c r="E252" s="56">
        <f ca="1">IF(PV[[#This Row],[Business Date]]=Control!$C$6, PV[[#This Row],[Notional Value Local Cur]], -PV[[#This Row],[Notional Value Local Cur]])</f>
        <v>0</v>
      </c>
    </row>
    <row r="253" spans="1:5" x14ac:dyDescent="0.25">
      <c r="A253" s="36" t="b">
        <v>0</v>
      </c>
      <c r="B253" s="56" t="b">
        <v>0</v>
      </c>
      <c r="C253" s="56" t="b">
        <v>0</v>
      </c>
      <c r="D253" s="56" t="b">
        <v>0</v>
      </c>
      <c r="E253" s="56">
        <f ca="1">IF(PV[[#This Row],[Business Date]]=Control!$C$6, PV[[#This Row],[Notional Value Local Cur]], -PV[[#This Row],[Notional Value Local Cur]])</f>
        <v>0</v>
      </c>
    </row>
    <row r="254" spans="1:5" x14ac:dyDescent="0.25">
      <c r="A254" s="36" t="b">
        <v>0</v>
      </c>
      <c r="B254" s="56" t="b">
        <v>0</v>
      </c>
      <c r="C254" s="56" t="b">
        <v>0</v>
      </c>
      <c r="D254" s="56" t="b">
        <v>0</v>
      </c>
      <c r="E254" s="56">
        <f ca="1">IF(PV[[#This Row],[Business Date]]=Control!$C$6, PV[[#This Row],[Notional Value Local Cur]], -PV[[#This Row],[Notional Value Local Cur]])</f>
        <v>0</v>
      </c>
    </row>
    <row r="255" spans="1:5" x14ac:dyDescent="0.25">
      <c r="A255" s="36" t="b">
        <v>0</v>
      </c>
      <c r="B255" s="56" t="b">
        <v>0</v>
      </c>
      <c r="C255" s="56" t="b">
        <v>0</v>
      </c>
      <c r="D255" s="56" t="b">
        <v>0</v>
      </c>
      <c r="E255" s="56">
        <f ca="1">IF(PV[[#This Row],[Business Date]]=Control!$C$6, PV[[#This Row],[Notional Value Local Cur]], -PV[[#This Row],[Notional Value Local Cur]])</f>
        <v>0</v>
      </c>
    </row>
    <row r="256" spans="1:5" x14ac:dyDescent="0.25">
      <c r="A256" s="36" t="b">
        <v>0</v>
      </c>
      <c r="B256" s="56" t="b">
        <v>0</v>
      </c>
      <c r="C256" s="56" t="b">
        <v>0</v>
      </c>
      <c r="D256" s="56" t="b">
        <v>0</v>
      </c>
      <c r="E256" s="56">
        <f ca="1">IF(PV[[#This Row],[Business Date]]=Control!$C$6, PV[[#This Row],[Notional Value Local Cur]], -PV[[#This Row],[Notional Value Local Cur]])</f>
        <v>0</v>
      </c>
    </row>
    <row r="257" spans="1:5" x14ac:dyDescent="0.25">
      <c r="A257" s="36" t="b">
        <v>0</v>
      </c>
      <c r="B257" s="56" t="b">
        <v>0</v>
      </c>
      <c r="C257" s="56" t="b">
        <v>0</v>
      </c>
      <c r="D257" s="56" t="b">
        <v>0</v>
      </c>
      <c r="E257" s="56">
        <f ca="1">IF(PV[[#This Row],[Business Date]]=Control!$C$6, PV[[#This Row],[Notional Value Local Cur]], -PV[[#This Row],[Notional Value Local Cur]])</f>
        <v>0</v>
      </c>
    </row>
    <row r="258" spans="1:5" x14ac:dyDescent="0.25">
      <c r="A258" s="36" t="b">
        <v>0</v>
      </c>
      <c r="B258" s="56" t="b">
        <v>0</v>
      </c>
      <c r="C258" s="56" t="b">
        <v>0</v>
      </c>
      <c r="D258" s="56" t="b">
        <v>0</v>
      </c>
      <c r="E258" s="56">
        <f ca="1">IF(PV[[#This Row],[Business Date]]=Control!$C$6, PV[[#This Row],[Notional Value Local Cur]], -PV[[#This Row],[Notional Value Local Cur]])</f>
        <v>0</v>
      </c>
    </row>
    <row r="259" spans="1:5" x14ac:dyDescent="0.25">
      <c r="A259" s="36" t="b">
        <v>0</v>
      </c>
      <c r="B259" s="56" t="b">
        <v>0</v>
      </c>
      <c r="C259" s="56" t="b">
        <v>0</v>
      </c>
      <c r="D259" s="56" t="b">
        <v>0</v>
      </c>
      <c r="E259" s="56">
        <f ca="1">IF(PV[[#This Row],[Business Date]]=Control!$C$6, PV[[#This Row],[Notional Value Local Cur]], -PV[[#This Row],[Notional Value Local Cur]])</f>
        <v>0</v>
      </c>
    </row>
    <row r="260" spans="1:5" x14ac:dyDescent="0.25">
      <c r="A260" s="36" t="b">
        <v>0</v>
      </c>
      <c r="B260" s="56" t="b">
        <v>0</v>
      </c>
      <c r="C260" s="56" t="b">
        <v>0</v>
      </c>
      <c r="D260" s="56" t="b">
        <v>0</v>
      </c>
      <c r="E260" s="56">
        <f ca="1">IF(PV[[#This Row],[Business Date]]=Control!$C$6, PV[[#This Row],[Notional Value Local Cur]], -PV[[#This Row],[Notional Value Local Cur]])</f>
        <v>0</v>
      </c>
    </row>
    <row r="261" spans="1:5" x14ac:dyDescent="0.25">
      <c r="A261" s="36" t="b">
        <v>0</v>
      </c>
      <c r="B261" s="56" t="b">
        <v>0</v>
      </c>
      <c r="C261" s="56" t="b">
        <v>0</v>
      </c>
      <c r="D261" s="56" t="b">
        <v>0</v>
      </c>
      <c r="E261" s="56">
        <f ca="1">IF(PV[[#This Row],[Business Date]]=Control!$C$6, PV[[#This Row],[Notional Value Local Cur]], -PV[[#This Row],[Notional Value Local Cur]])</f>
        <v>0</v>
      </c>
    </row>
    <row r="262" spans="1:5" x14ac:dyDescent="0.25">
      <c r="A262" s="36" t="b">
        <v>0</v>
      </c>
      <c r="B262" s="56" t="b">
        <v>0</v>
      </c>
      <c r="C262" s="56" t="b">
        <v>0</v>
      </c>
      <c r="D262" s="56" t="b">
        <v>0</v>
      </c>
      <c r="E262" s="56">
        <f ca="1">IF(PV[[#This Row],[Business Date]]=Control!$C$6, PV[[#This Row],[Notional Value Local Cur]], -PV[[#This Row],[Notional Value Local Cur]])</f>
        <v>0</v>
      </c>
    </row>
    <row r="263" spans="1:5" x14ac:dyDescent="0.25">
      <c r="A263" s="36" t="b">
        <v>0</v>
      </c>
      <c r="B263" s="56" t="b">
        <v>0</v>
      </c>
      <c r="C263" s="56" t="b">
        <v>0</v>
      </c>
      <c r="D263" s="56" t="b">
        <v>0</v>
      </c>
      <c r="E263" s="56">
        <f ca="1">IF(PV[[#This Row],[Business Date]]=Control!$C$6, PV[[#This Row],[Notional Value Local Cur]], -PV[[#This Row],[Notional Value Local Cur]])</f>
        <v>0</v>
      </c>
    </row>
    <row r="264" spans="1:5" x14ac:dyDescent="0.25">
      <c r="A264" s="36" t="b">
        <v>0</v>
      </c>
      <c r="B264" s="56" t="b">
        <v>0</v>
      </c>
      <c r="C264" s="56" t="b">
        <v>0</v>
      </c>
      <c r="D264" s="56" t="b">
        <v>0</v>
      </c>
      <c r="E264" s="56">
        <f ca="1">IF(PV[[#This Row],[Business Date]]=Control!$C$6, PV[[#This Row],[Notional Value Local Cur]], -PV[[#This Row],[Notional Value Local Cur]])</f>
        <v>0</v>
      </c>
    </row>
    <row r="265" spans="1:5" x14ac:dyDescent="0.25">
      <c r="A265" s="36" t="b">
        <v>0</v>
      </c>
      <c r="B265" s="56" t="b">
        <v>0</v>
      </c>
      <c r="C265" s="56" t="b">
        <v>0</v>
      </c>
      <c r="D265" s="56" t="b">
        <v>0</v>
      </c>
      <c r="E265" s="56">
        <f ca="1">IF(PV[[#This Row],[Business Date]]=Control!$C$6, PV[[#This Row],[Notional Value Local Cur]], -PV[[#This Row],[Notional Value Local Cur]])</f>
        <v>0</v>
      </c>
    </row>
    <row r="266" spans="1:5" x14ac:dyDescent="0.25">
      <c r="A266" s="36" t="b">
        <v>0</v>
      </c>
      <c r="B266" s="56" t="b">
        <v>0</v>
      </c>
      <c r="C266" s="56" t="b">
        <v>0</v>
      </c>
      <c r="D266" s="56" t="b">
        <v>0</v>
      </c>
      <c r="E266" s="56">
        <f ca="1">IF(PV[[#This Row],[Business Date]]=Control!$C$6, PV[[#This Row],[Notional Value Local Cur]], -PV[[#This Row],[Notional Value Local Cur]])</f>
        <v>0</v>
      </c>
    </row>
    <row r="267" spans="1:5" x14ac:dyDescent="0.25">
      <c r="A267" s="36" t="b">
        <v>0</v>
      </c>
      <c r="B267" s="56" t="b">
        <v>0</v>
      </c>
      <c r="C267" s="56" t="b">
        <v>0</v>
      </c>
      <c r="D267" s="56" t="b">
        <v>0</v>
      </c>
      <c r="E267" s="56">
        <f ca="1">IF(PV[[#This Row],[Business Date]]=Control!$C$6, PV[[#This Row],[Notional Value Local Cur]], -PV[[#This Row],[Notional Value Local Cur]])</f>
        <v>0</v>
      </c>
    </row>
    <row r="268" spans="1:5" x14ac:dyDescent="0.25">
      <c r="A268" s="36" t="b">
        <v>0</v>
      </c>
      <c r="B268" s="56" t="b">
        <v>0</v>
      </c>
      <c r="C268" s="56" t="b">
        <v>0</v>
      </c>
      <c r="D268" s="56" t="b">
        <v>0</v>
      </c>
      <c r="E268" s="56">
        <f ca="1">IF(PV[[#This Row],[Business Date]]=Control!$C$6, PV[[#This Row],[Notional Value Local Cur]], -PV[[#This Row],[Notional Value Local Cur]])</f>
        <v>0</v>
      </c>
    </row>
    <row r="269" spans="1:5" x14ac:dyDescent="0.25">
      <c r="A269" s="36" t="b">
        <v>0</v>
      </c>
      <c r="B269" s="56" t="b">
        <v>0</v>
      </c>
      <c r="C269" s="56" t="b">
        <v>0</v>
      </c>
      <c r="D269" s="56" t="b">
        <v>0</v>
      </c>
      <c r="E269" s="56">
        <f ca="1">IF(PV[[#This Row],[Business Date]]=Control!$C$6, PV[[#This Row],[Notional Value Local Cur]], -PV[[#This Row],[Notional Value Local Cur]])</f>
        <v>0</v>
      </c>
    </row>
    <row r="270" spans="1:5" x14ac:dyDescent="0.25">
      <c r="A270" s="36" t="b">
        <v>0</v>
      </c>
      <c r="B270" s="56" t="b">
        <v>0</v>
      </c>
      <c r="C270" s="56" t="b">
        <v>0</v>
      </c>
      <c r="D270" s="56" t="b">
        <v>0</v>
      </c>
      <c r="E270" s="56">
        <f ca="1">IF(PV[[#This Row],[Business Date]]=Control!$C$6, PV[[#This Row],[Notional Value Local Cur]], -PV[[#This Row],[Notional Value Local Cur]])</f>
        <v>0</v>
      </c>
    </row>
    <row r="271" spans="1:5" x14ac:dyDescent="0.25">
      <c r="A271" s="36" t="b">
        <v>0</v>
      </c>
      <c r="B271" s="56" t="b">
        <v>0</v>
      </c>
      <c r="C271" s="56" t="b">
        <v>0</v>
      </c>
      <c r="D271" s="56" t="b">
        <v>0</v>
      </c>
      <c r="E271" s="56">
        <f ca="1">IF(PV[[#This Row],[Business Date]]=Control!$C$6, PV[[#This Row],[Notional Value Local Cur]], -PV[[#This Row],[Notional Value Local Cur]])</f>
        <v>0</v>
      </c>
    </row>
    <row r="272" spans="1:5" x14ac:dyDescent="0.25">
      <c r="A272" s="36" t="b">
        <v>0</v>
      </c>
      <c r="B272" s="56" t="b">
        <v>0</v>
      </c>
      <c r="C272" s="56" t="b">
        <v>0</v>
      </c>
      <c r="D272" s="56" t="b">
        <v>0</v>
      </c>
      <c r="E272" s="56">
        <f ca="1">IF(PV[[#This Row],[Business Date]]=Control!$C$6, PV[[#This Row],[Notional Value Local Cur]], -PV[[#This Row],[Notional Value Local Cur]])</f>
        <v>0</v>
      </c>
    </row>
    <row r="273" spans="1:5" x14ac:dyDescent="0.25">
      <c r="A273" s="36" t="b">
        <v>0</v>
      </c>
      <c r="B273" s="56" t="b">
        <v>0</v>
      </c>
      <c r="C273" s="56" t="b">
        <v>0</v>
      </c>
      <c r="D273" s="56" t="b">
        <v>0</v>
      </c>
      <c r="E273" s="56">
        <f ca="1">IF(PV[[#This Row],[Business Date]]=Control!$C$6, PV[[#This Row],[Notional Value Local Cur]], -PV[[#This Row],[Notional Value Local Cur]])</f>
        <v>0</v>
      </c>
    </row>
    <row r="274" spans="1:5" x14ac:dyDescent="0.25">
      <c r="A274" s="36" t="b">
        <v>0</v>
      </c>
      <c r="B274" s="56" t="b">
        <v>0</v>
      </c>
      <c r="C274" s="56" t="b">
        <v>0</v>
      </c>
      <c r="D274" s="56" t="b">
        <v>0</v>
      </c>
      <c r="E274" s="56">
        <f ca="1">IF(PV[[#This Row],[Business Date]]=Control!$C$6, PV[[#This Row],[Notional Value Local Cur]], -PV[[#This Row],[Notional Value Local Cur]])</f>
        <v>0</v>
      </c>
    </row>
    <row r="275" spans="1:5" x14ac:dyDescent="0.25">
      <c r="A275" s="36" t="b">
        <v>0</v>
      </c>
      <c r="B275" s="56" t="b">
        <v>0</v>
      </c>
      <c r="C275" s="56" t="b">
        <v>0</v>
      </c>
      <c r="D275" s="56" t="b">
        <v>0</v>
      </c>
      <c r="E275" s="56">
        <f ca="1">IF(PV[[#This Row],[Business Date]]=Control!$C$6, PV[[#This Row],[Notional Value Local Cur]], -PV[[#This Row],[Notional Value Local Cur]])</f>
        <v>0</v>
      </c>
    </row>
    <row r="276" spans="1:5" x14ac:dyDescent="0.25">
      <c r="A276" s="36" t="b">
        <v>0</v>
      </c>
      <c r="B276" s="56" t="b">
        <v>0</v>
      </c>
      <c r="C276" s="56" t="b">
        <v>0</v>
      </c>
      <c r="D276" s="56" t="b">
        <v>0</v>
      </c>
      <c r="E276" s="56">
        <f ca="1">IF(PV[[#This Row],[Business Date]]=Control!$C$6, PV[[#This Row],[Notional Value Local Cur]], -PV[[#This Row],[Notional Value Local Cur]])</f>
        <v>0</v>
      </c>
    </row>
    <row r="277" spans="1:5" x14ac:dyDescent="0.25">
      <c r="A277" s="36" t="b">
        <v>0</v>
      </c>
      <c r="B277" s="56" t="b">
        <v>0</v>
      </c>
      <c r="C277" s="56" t="b">
        <v>0</v>
      </c>
      <c r="D277" s="56" t="b">
        <v>0</v>
      </c>
      <c r="E277" s="56">
        <f ca="1">IF(PV[[#This Row],[Business Date]]=Control!$C$6, PV[[#This Row],[Notional Value Local Cur]], -PV[[#This Row],[Notional Value Local Cur]])</f>
        <v>0</v>
      </c>
    </row>
    <row r="278" spans="1:5" x14ac:dyDescent="0.25">
      <c r="A278" s="36" t="b">
        <v>0</v>
      </c>
      <c r="B278" s="56" t="b">
        <v>0</v>
      </c>
      <c r="C278" s="56" t="b">
        <v>0</v>
      </c>
      <c r="D278" s="56" t="b">
        <v>0</v>
      </c>
      <c r="E278" s="56">
        <f ca="1">IF(PV[[#This Row],[Business Date]]=Control!$C$6, PV[[#This Row],[Notional Value Local Cur]], -PV[[#This Row],[Notional Value Local Cur]])</f>
        <v>0</v>
      </c>
    </row>
    <row r="279" spans="1:5" x14ac:dyDescent="0.25">
      <c r="A279" s="36" t="b">
        <v>0</v>
      </c>
      <c r="B279" s="56" t="b">
        <v>0</v>
      </c>
      <c r="C279" s="56" t="b">
        <v>0</v>
      </c>
      <c r="D279" s="56" t="b">
        <v>0</v>
      </c>
      <c r="E279" s="56">
        <f ca="1">IF(PV[[#This Row],[Business Date]]=Control!$C$6, PV[[#This Row],[Notional Value Local Cur]], -PV[[#This Row],[Notional Value Local Cur]])</f>
        <v>0</v>
      </c>
    </row>
    <row r="280" spans="1:5" x14ac:dyDescent="0.25">
      <c r="A280" s="36" t="b">
        <v>0</v>
      </c>
      <c r="B280" s="56" t="b">
        <v>0</v>
      </c>
      <c r="C280" s="56" t="b">
        <v>0</v>
      </c>
      <c r="D280" s="56" t="b">
        <v>0</v>
      </c>
      <c r="E280" s="56">
        <f ca="1">IF(PV[[#This Row],[Business Date]]=Control!$C$6, PV[[#This Row],[Notional Value Local Cur]], -PV[[#This Row],[Notional Value Local Cur]])</f>
        <v>0</v>
      </c>
    </row>
    <row r="281" spans="1:5" x14ac:dyDescent="0.25">
      <c r="A281" s="36" t="b">
        <v>0</v>
      </c>
      <c r="B281" s="56" t="b">
        <v>0</v>
      </c>
      <c r="C281" s="56" t="b">
        <v>0</v>
      </c>
      <c r="D281" s="56" t="b">
        <v>0</v>
      </c>
      <c r="E281" s="56">
        <f ca="1">IF(PV[[#This Row],[Business Date]]=Control!$C$6, PV[[#This Row],[Notional Value Local Cur]], -PV[[#This Row],[Notional Value Local Cur]])</f>
        <v>0</v>
      </c>
    </row>
    <row r="282" spans="1:5" x14ac:dyDescent="0.25">
      <c r="A282" s="36" t="b">
        <v>0</v>
      </c>
      <c r="B282" s="56" t="b">
        <v>0</v>
      </c>
      <c r="C282" s="56" t="b">
        <v>0</v>
      </c>
      <c r="D282" s="56" t="b">
        <v>0</v>
      </c>
      <c r="E282" s="56">
        <f ca="1">IF(PV[[#This Row],[Business Date]]=Control!$C$6, PV[[#This Row],[Notional Value Local Cur]], -PV[[#This Row],[Notional Value Local Cur]])</f>
        <v>0</v>
      </c>
    </row>
    <row r="283" spans="1:5" x14ac:dyDescent="0.25">
      <c r="A283" s="36" t="b">
        <v>0</v>
      </c>
      <c r="B283" s="56" t="b">
        <v>0</v>
      </c>
      <c r="C283" s="56" t="b">
        <v>0</v>
      </c>
      <c r="D283" s="56" t="b">
        <v>0</v>
      </c>
      <c r="E283" s="56">
        <f ca="1">IF(PV[[#This Row],[Business Date]]=Control!$C$6, PV[[#This Row],[Notional Value Local Cur]], -PV[[#This Row],[Notional Value Local Cur]])</f>
        <v>0</v>
      </c>
    </row>
    <row r="284" spans="1:5" x14ac:dyDescent="0.25">
      <c r="A284" s="36" t="b">
        <v>0</v>
      </c>
      <c r="B284" s="56" t="b">
        <v>0</v>
      </c>
      <c r="C284" s="56" t="b">
        <v>0</v>
      </c>
      <c r="D284" s="56" t="b">
        <v>0</v>
      </c>
      <c r="E284" s="56">
        <f ca="1">IF(PV[[#This Row],[Business Date]]=Control!$C$6, PV[[#This Row],[Notional Value Local Cur]], -PV[[#This Row],[Notional Value Local Cur]])</f>
        <v>0</v>
      </c>
    </row>
    <row r="285" spans="1:5" x14ac:dyDescent="0.25">
      <c r="A285" s="36" t="b">
        <v>0</v>
      </c>
      <c r="B285" s="56" t="b">
        <v>0</v>
      </c>
      <c r="C285" s="56" t="b">
        <v>0</v>
      </c>
      <c r="D285" s="56" t="b">
        <v>0</v>
      </c>
      <c r="E285" s="56">
        <f ca="1">IF(PV[[#This Row],[Business Date]]=Control!$C$6, PV[[#This Row],[Notional Value Local Cur]], -PV[[#This Row],[Notional Value Local Cur]])</f>
        <v>0</v>
      </c>
    </row>
    <row r="286" spans="1:5" x14ac:dyDescent="0.25">
      <c r="A286" s="36" t="b">
        <v>0</v>
      </c>
      <c r="B286" s="56" t="b">
        <v>0</v>
      </c>
      <c r="C286" s="56" t="b">
        <v>0</v>
      </c>
      <c r="D286" s="56" t="b">
        <v>0</v>
      </c>
      <c r="E286" s="56">
        <f ca="1">IF(PV[[#This Row],[Business Date]]=Control!$C$6, PV[[#This Row],[Notional Value Local Cur]], -PV[[#This Row],[Notional Value Local Cur]])</f>
        <v>0</v>
      </c>
    </row>
    <row r="287" spans="1:5" x14ac:dyDescent="0.25">
      <c r="A287" s="36" t="b">
        <v>0</v>
      </c>
      <c r="B287" s="56" t="b">
        <v>0</v>
      </c>
      <c r="C287" s="56" t="b">
        <v>0</v>
      </c>
      <c r="D287" s="56" t="b">
        <v>0</v>
      </c>
      <c r="E287" s="56">
        <f ca="1">IF(PV[[#This Row],[Business Date]]=Control!$C$6, PV[[#This Row],[Notional Value Local Cur]], -PV[[#This Row],[Notional Value Local Cur]])</f>
        <v>0</v>
      </c>
    </row>
    <row r="288" spans="1:5" x14ac:dyDescent="0.25">
      <c r="A288" s="36" t="b">
        <v>0</v>
      </c>
      <c r="B288" s="56" t="b">
        <v>0</v>
      </c>
      <c r="C288" s="56" t="b">
        <v>0</v>
      </c>
      <c r="D288" s="56" t="b">
        <v>0</v>
      </c>
      <c r="E288" s="56">
        <f ca="1">IF(PV[[#This Row],[Business Date]]=Control!$C$6, PV[[#This Row],[Notional Value Local Cur]], -PV[[#This Row],[Notional Value Local Cur]])</f>
        <v>0</v>
      </c>
    </row>
    <row r="289" spans="1:5" x14ac:dyDescent="0.25">
      <c r="A289" s="36" t="b">
        <v>0</v>
      </c>
      <c r="B289" s="56" t="b">
        <v>0</v>
      </c>
      <c r="C289" s="56" t="b">
        <v>0</v>
      </c>
      <c r="D289" s="56" t="b">
        <v>0</v>
      </c>
      <c r="E289" s="56">
        <f ca="1">IF(PV[[#This Row],[Business Date]]=Control!$C$6, PV[[#This Row],[Notional Value Local Cur]], -PV[[#This Row],[Notional Value Local Cur]])</f>
        <v>0</v>
      </c>
    </row>
    <row r="290" spans="1:5" x14ac:dyDescent="0.25">
      <c r="A290" s="36" t="b">
        <v>0</v>
      </c>
      <c r="B290" s="56" t="b">
        <v>0</v>
      </c>
      <c r="C290" s="56" t="b">
        <v>0</v>
      </c>
      <c r="D290" s="56" t="b">
        <v>0</v>
      </c>
      <c r="E290" s="56">
        <f ca="1">IF(PV[[#This Row],[Business Date]]=Control!$C$6, PV[[#This Row],[Notional Value Local Cur]], -PV[[#This Row],[Notional Value Local Cur]])</f>
        <v>0</v>
      </c>
    </row>
    <row r="291" spans="1:5" x14ac:dyDescent="0.25">
      <c r="A291" s="36" t="b">
        <v>0</v>
      </c>
      <c r="B291" s="56" t="b">
        <v>0</v>
      </c>
      <c r="C291" s="56" t="b">
        <v>0</v>
      </c>
      <c r="D291" s="56" t="b">
        <v>0</v>
      </c>
      <c r="E291" s="56">
        <f ca="1">IF(PV[[#This Row],[Business Date]]=Control!$C$6, PV[[#This Row],[Notional Value Local Cur]], -PV[[#This Row],[Notional Value Local Cur]])</f>
        <v>0</v>
      </c>
    </row>
    <row r="292" spans="1:5" x14ac:dyDescent="0.25">
      <c r="A292" s="36" t="b">
        <v>0</v>
      </c>
      <c r="B292" s="56" t="b">
        <v>0</v>
      </c>
      <c r="C292" s="56" t="b">
        <v>0</v>
      </c>
      <c r="D292" s="56" t="b">
        <v>0</v>
      </c>
      <c r="E292" s="56">
        <f ca="1">IF(PV[[#This Row],[Business Date]]=Control!$C$6, PV[[#This Row],[Notional Value Local Cur]], -PV[[#This Row],[Notional Value Local Cur]])</f>
        <v>0</v>
      </c>
    </row>
    <row r="293" spans="1:5" x14ac:dyDescent="0.25">
      <c r="A293" s="36" t="b">
        <v>0</v>
      </c>
      <c r="B293" s="56" t="b">
        <v>0</v>
      </c>
      <c r="C293" s="56" t="b">
        <v>0</v>
      </c>
      <c r="D293" s="56" t="b">
        <v>0</v>
      </c>
      <c r="E293" s="56">
        <f ca="1">IF(PV[[#This Row],[Business Date]]=Control!$C$6, PV[[#This Row],[Notional Value Local Cur]], -PV[[#This Row],[Notional Value Local Cur]])</f>
        <v>0</v>
      </c>
    </row>
    <row r="294" spans="1:5" x14ac:dyDescent="0.25">
      <c r="A294" s="36" t="b">
        <v>0</v>
      </c>
      <c r="B294" s="56" t="b">
        <v>0</v>
      </c>
      <c r="C294" s="56" t="b">
        <v>0</v>
      </c>
      <c r="D294" s="56" t="b">
        <v>0</v>
      </c>
      <c r="E294" s="56">
        <f ca="1">IF(PV[[#This Row],[Business Date]]=Control!$C$6, PV[[#This Row],[Notional Value Local Cur]], -PV[[#This Row],[Notional Value Local Cur]])</f>
        <v>0</v>
      </c>
    </row>
    <row r="295" spans="1:5" x14ac:dyDescent="0.25">
      <c r="A295" s="36" t="b">
        <v>0</v>
      </c>
      <c r="B295" s="56" t="b">
        <v>0</v>
      </c>
      <c r="C295" s="56" t="b">
        <v>0</v>
      </c>
      <c r="D295" s="56" t="b">
        <v>0</v>
      </c>
      <c r="E295" s="56">
        <f ca="1">IF(PV[[#This Row],[Business Date]]=Control!$C$6, PV[[#This Row],[Notional Value Local Cur]], -PV[[#This Row],[Notional Value Local Cur]])</f>
        <v>0</v>
      </c>
    </row>
    <row r="296" spans="1:5" x14ac:dyDescent="0.25">
      <c r="A296" s="36" t="b">
        <v>0</v>
      </c>
      <c r="B296" s="56" t="b">
        <v>0</v>
      </c>
      <c r="C296" s="56" t="b">
        <v>0</v>
      </c>
      <c r="D296" s="56" t="b">
        <v>0</v>
      </c>
      <c r="E296" s="56">
        <f ca="1">IF(PV[[#This Row],[Business Date]]=Control!$C$6, PV[[#This Row],[Notional Value Local Cur]], -PV[[#This Row],[Notional Value Local Cur]])</f>
        <v>0</v>
      </c>
    </row>
    <row r="297" spans="1:5" x14ac:dyDescent="0.25">
      <c r="A297" s="36" t="b">
        <v>0</v>
      </c>
      <c r="B297" s="56" t="b">
        <v>0</v>
      </c>
      <c r="C297" s="56" t="b">
        <v>0</v>
      </c>
      <c r="D297" s="56" t="b">
        <v>0</v>
      </c>
      <c r="E297" s="56">
        <f ca="1">IF(PV[[#This Row],[Business Date]]=Control!$C$6, PV[[#This Row],[Notional Value Local Cur]], -PV[[#This Row],[Notional Value Local Cur]])</f>
        <v>0</v>
      </c>
    </row>
    <row r="298" spans="1:5" x14ac:dyDescent="0.25">
      <c r="A298" s="36" t="b">
        <v>0</v>
      </c>
      <c r="B298" s="56" t="b">
        <v>0</v>
      </c>
      <c r="C298" s="56" t="b">
        <v>0</v>
      </c>
      <c r="D298" s="56" t="b">
        <v>0</v>
      </c>
      <c r="E298" s="56">
        <f ca="1">IF(PV[[#This Row],[Business Date]]=Control!$C$6, PV[[#This Row],[Notional Value Local Cur]], -PV[[#This Row],[Notional Value Local Cur]])</f>
        <v>0</v>
      </c>
    </row>
    <row r="299" spans="1:5" x14ac:dyDescent="0.25">
      <c r="A299" s="36" t="b">
        <v>0</v>
      </c>
      <c r="B299" s="56" t="b">
        <v>0</v>
      </c>
      <c r="C299" s="56" t="b">
        <v>0</v>
      </c>
      <c r="D299" s="56" t="b">
        <v>0</v>
      </c>
      <c r="E299" s="56">
        <f ca="1">IF(PV[[#This Row],[Business Date]]=Control!$C$6, PV[[#This Row],[Notional Value Local Cur]], -PV[[#This Row],[Notional Value Local Cur]])</f>
        <v>0</v>
      </c>
    </row>
    <row r="300" spans="1:5" x14ac:dyDescent="0.25">
      <c r="A300" s="36" t="b">
        <v>0</v>
      </c>
      <c r="B300" s="56" t="b">
        <v>0</v>
      </c>
      <c r="C300" s="56" t="b">
        <v>0</v>
      </c>
      <c r="D300" s="56" t="b">
        <v>0</v>
      </c>
      <c r="E300" s="56">
        <f ca="1">IF(PV[[#This Row],[Business Date]]=Control!$C$6, PV[[#This Row],[Notional Value Local Cur]], -PV[[#This Row],[Notional Value Local Cur]])</f>
        <v>0</v>
      </c>
    </row>
    <row r="301" spans="1:5" x14ac:dyDescent="0.25">
      <c r="A301" s="36" t="b">
        <v>0</v>
      </c>
      <c r="B301" s="56" t="b">
        <v>0</v>
      </c>
      <c r="C301" s="56" t="b">
        <v>0</v>
      </c>
      <c r="D301" s="56" t="b">
        <v>0</v>
      </c>
      <c r="E301" s="56">
        <f ca="1">IF(PV[[#This Row],[Business Date]]=Control!$C$6, PV[[#This Row],[Notional Value Local Cur]], -PV[[#This Row],[Notional Value Local Cur]])</f>
        <v>0</v>
      </c>
    </row>
    <row r="302" spans="1:5" x14ac:dyDescent="0.25">
      <c r="A302" s="36" t="b">
        <v>0</v>
      </c>
      <c r="B302" s="56" t="b">
        <v>0</v>
      </c>
      <c r="C302" s="56" t="b">
        <v>0</v>
      </c>
      <c r="D302" s="56" t="b">
        <v>0</v>
      </c>
      <c r="E302" s="56">
        <f ca="1">IF(PV[[#This Row],[Business Date]]=Control!$C$6, PV[[#This Row],[Notional Value Local Cur]], -PV[[#This Row],[Notional Value Local Cur]])</f>
        <v>0</v>
      </c>
    </row>
    <row r="303" spans="1:5" x14ac:dyDescent="0.25">
      <c r="A303" s="36" t="b">
        <v>0</v>
      </c>
      <c r="B303" s="56" t="b">
        <v>0</v>
      </c>
      <c r="C303" s="56" t="b">
        <v>0</v>
      </c>
      <c r="D303" s="56" t="b">
        <v>0</v>
      </c>
      <c r="E303" s="56">
        <f ca="1">IF(PV[[#This Row],[Business Date]]=Control!$C$6, PV[[#This Row],[Notional Value Local Cur]], -PV[[#This Row],[Notional Value Local Cur]])</f>
        <v>0</v>
      </c>
    </row>
    <row r="304" spans="1:5" x14ac:dyDescent="0.25">
      <c r="A304" s="36" t="b">
        <v>0</v>
      </c>
      <c r="B304" s="56" t="b">
        <v>0</v>
      </c>
      <c r="C304" s="56" t="b">
        <v>0</v>
      </c>
      <c r="D304" s="56" t="b">
        <v>0</v>
      </c>
      <c r="E304" s="56">
        <f ca="1">IF(PV[[#This Row],[Business Date]]=Control!$C$6, PV[[#This Row],[Notional Value Local Cur]], -PV[[#This Row],[Notional Value Local Cur]])</f>
        <v>0</v>
      </c>
    </row>
    <row r="305" spans="1:5" x14ac:dyDescent="0.25">
      <c r="A305" s="36" t="b">
        <v>0</v>
      </c>
      <c r="B305" s="56" t="b">
        <v>0</v>
      </c>
      <c r="C305" s="56" t="b">
        <v>0</v>
      </c>
      <c r="D305" s="56" t="b">
        <v>0</v>
      </c>
      <c r="E305" s="56">
        <f ca="1">IF(PV[[#This Row],[Business Date]]=Control!$C$6, PV[[#This Row],[Notional Value Local Cur]], -PV[[#This Row],[Notional Value Local Cur]])</f>
        <v>0</v>
      </c>
    </row>
    <row r="306" spans="1:5" x14ac:dyDescent="0.25">
      <c r="A306" s="36" t="b">
        <v>0</v>
      </c>
      <c r="B306" s="56" t="b">
        <v>0</v>
      </c>
      <c r="C306" s="56" t="b">
        <v>0</v>
      </c>
      <c r="D306" s="56" t="b">
        <v>0</v>
      </c>
      <c r="E306" s="56">
        <f ca="1">IF(PV[[#This Row],[Business Date]]=Control!$C$6, PV[[#This Row],[Notional Value Local Cur]], -PV[[#This Row],[Notional Value Local Cur]])</f>
        <v>0</v>
      </c>
    </row>
    <row r="307" spans="1:5" x14ac:dyDescent="0.25">
      <c r="A307" s="36" t="b">
        <v>0</v>
      </c>
      <c r="B307" s="56" t="b">
        <v>0</v>
      </c>
      <c r="C307" s="56" t="b">
        <v>0</v>
      </c>
      <c r="D307" s="56" t="b">
        <v>0</v>
      </c>
      <c r="E307" s="56">
        <f ca="1">IF(PV[[#This Row],[Business Date]]=Control!$C$6, PV[[#This Row],[Notional Value Local Cur]], -PV[[#This Row],[Notional Value Local Cur]])</f>
        <v>0</v>
      </c>
    </row>
    <row r="308" spans="1:5" x14ac:dyDescent="0.25">
      <c r="A308" s="36" t="b">
        <v>0</v>
      </c>
      <c r="B308" s="56" t="b">
        <v>0</v>
      </c>
      <c r="C308" s="56" t="b">
        <v>0</v>
      </c>
      <c r="D308" s="56" t="b">
        <v>0</v>
      </c>
      <c r="E308" s="56">
        <f ca="1">IF(PV[[#This Row],[Business Date]]=Control!$C$6, PV[[#This Row],[Notional Value Local Cur]], -PV[[#This Row],[Notional Value Local Cur]])</f>
        <v>0</v>
      </c>
    </row>
    <row r="309" spans="1:5" x14ac:dyDescent="0.25">
      <c r="A309" s="36" t="b">
        <v>0</v>
      </c>
      <c r="B309" s="56" t="b">
        <v>0</v>
      </c>
      <c r="C309" s="56" t="b">
        <v>0</v>
      </c>
      <c r="D309" s="56" t="b">
        <v>0</v>
      </c>
      <c r="E309" s="56">
        <f ca="1">IF(PV[[#This Row],[Business Date]]=Control!$C$6, PV[[#This Row],[Notional Value Local Cur]], -PV[[#This Row],[Notional Value Local Cur]])</f>
        <v>0</v>
      </c>
    </row>
    <row r="310" spans="1:5" x14ac:dyDescent="0.25">
      <c r="A310" s="36" t="b">
        <v>0</v>
      </c>
      <c r="B310" s="56" t="b">
        <v>0</v>
      </c>
      <c r="C310" s="56" t="b">
        <v>0</v>
      </c>
      <c r="D310" s="56" t="b">
        <v>0</v>
      </c>
      <c r="E310" s="56">
        <f ca="1">IF(PV[[#This Row],[Business Date]]=Control!$C$6, PV[[#This Row],[Notional Value Local Cur]], -PV[[#This Row],[Notional Value Local Cur]])</f>
        <v>0</v>
      </c>
    </row>
    <row r="311" spans="1:5" x14ac:dyDescent="0.25">
      <c r="A311" s="36" t="b">
        <v>0</v>
      </c>
      <c r="B311" s="56" t="b">
        <v>0</v>
      </c>
      <c r="C311" s="56" t="b">
        <v>0</v>
      </c>
      <c r="D311" s="56" t="b">
        <v>0</v>
      </c>
      <c r="E311" s="56">
        <f ca="1">IF(PV[[#This Row],[Business Date]]=Control!$C$6, PV[[#This Row],[Notional Value Local Cur]], -PV[[#This Row],[Notional Value Local Cur]])</f>
        <v>0</v>
      </c>
    </row>
    <row r="312" spans="1:5" x14ac:dyDescent="0.25">
      <c r="A312" s="36" t="b">
        <v>0</v>
      </c>
      <c r="B312" s="56" t="b">
        <v>0</v>
      </c>
      <c r="C312" s="56" t="b">
        <v>0</v>
      </c>
      <c r="D312" s="56" t="b">
        <v>0</v>
      </c>
      <c r="E312" s="56">
        <f ca="1">IF(PV[[#This Row],[Business Date]]=Control!$C$6, PV[[#This Row],[Notional Value Local Cur]], -PV[[#This Row],[Notional Value Local Cur]])</f>
        <v>0</v>
      </c>
    </row>
    <row r="313" spans="1:5" x14ac:dyDescent="0.25">
      <c r="A313" s="36" t="b">
        <v>0</v>
      </c>
      <c r="B313" s="56" t="b">
        <v>0</v>
      </c>
      <c r="C313" s="56" t="b">
        <v>0</v>
      </c>
      <c r="D313" s="56" t="b">
        <v>0</v>
      </c>
      <c r="E313" s="56">
        <f ca="1">IF(PV[[#This Row],[Business Date]]=Control!$C$6, PV[[#This Row],[Notional Value Local Cur]], -PV[[#This Row],[Notional Value Local Cur]])</f>
        <v>0</v>
      </c>
    </row>
    <row r="314" spans="1:5" x14ac:dyDescent="0.25">
      <c r="A314" s="36" t="b">
        <v>0</v>
      </c>
      <c r="B314" s="56" t="b">
        <v>0</v>
      </c>
      <c r="C314" s="56" t="b">
        <v>0</v>
      </c>
      <c r="D314" s="56" t="b">
        <v>0</v>
      </c>
      <c r="E314" s="56">
        <f ca="1">IF(PV[[#This Row],[Business Date]]=Control!$C$6, PV[[#This Row],[Notional Value Local Cur]], -PV[[#This Row],[Notional Value Local Cur]])</f>
        <v>0</v>
      </c>
    </row>
    <row r="315" spans="1:5" x14ac:dyDescent="0.25">
      <c r="A315" s="36" t="b">
        <v>0</v>
      </c>
      <c r="B315" s="56" t="b">
        <v>0</v>
      </c>
      <c r="C315" s="56" t="b">
        <v>0</v>
      </c>
      <c r="D315" s="56" t="b">
        <v>0</v>
      </c>
      <c r="E315" s="56">
        <f ca="1">IF(PV[[#This Row],[Business Date]]=Control!$C$6, PV[[#This Row],[Notional Value Local Cur]], -PV[[#This Row],[Notional Value Local Cur]])</f>
        <v>0</v>
      </c>
    </row>
    <row r="316" spans="1:5" x14ac:dyDescent="0.25">
      <c r="A316" s="36" t="b">
        <v>0</v>
      </c>
      <c r="B316" s="56" t="b">
        <v>0</v>
      </c>
      <c r="C316" s="56" t="b">
        <v>0</v>
      </c>
      <c r="D316" s="56" t="b">
        <v>0</v>
      </c>
      <c r="E316" s="56">
        <f ca="1">IF(PV[[#This Row],[Business Date]]=Control!$C$6, PV[[#This Row],[Notional Value Local Cur]], -PV[[#This Row],[Notional Value Local Cur]])</f>
        <v>0</v>
      </c>
    </row>
    <row r="317" spans="1:5" x14ac:dyDescent="0.25">
      <c r="A317" s="36" t="b">
        <v>0</v>
      </c>
      <c r="B317" s="56" t="b">
        <v>0</v>
      </c>
      <c r="C317" s="56" t="b">
        <v>0</v>
      </c>
      <c r="D317" s="56" t="b">
        <v>0</v>
      </c>
      <c r="E317" s="56">
        <f ca="1">IF(PV[[#This Row],[Business Date]]=Control!$C$6, PV[[#This Row],[Notional Value Local Cur]], -PV[[#This Row],[Notional Value Local Cur]])</f>
        <v>0</v>
      </c>
    </row>
    <row r="318" spans="1:5" x14ac:dyDescent="0.25">
      <c r="A318" s="36" t="b">
        <v>0</v>
      </c>
      <c r="B318" s="56" t="b">
        <v>0</v>
      </c>
      <c r="C318" s="56" t="b">
        <v>0</v>
      </c>
      <c r="D318" s="56" t="b">
        <v>0</v>
      </c>
      <c r="E318" s="56">
        <f ca="1">IF(PV[[#This Row],[Business Date]]=Control!$C$6, PV[[#This Row],[Notional Value Local Cur]], -PV[[#This Row],[Notional Value Local Cur]])</f>
        <v>0</v>
      </c>
    </row>
    <row r="319" spans="1:5" x14ac:dyDescent="0.25">
      <c r="A319" s="36" t="b">
        <v>0</v>
      </c>
      <c r="B319" s="56" t="b">
        <v>0</v>
      </c>
      <c r="C319" s="56" t="b">
        <v>0</v>
      </c>
      <c r="D319" s="56" t="b">
        <v>0</v>
      </c>
      <c r="E319" s="56">
        <f ca="1">IF(PV[[#This Row],[Business Date]]=Control!$C$6, PV[[#This Row],[Notional Value Local Cur]], -PV[[#This Row],[Notional Value Local Cur]])</f>
        <v>0</v>
      </c>
    </row>
    <row r="320" spans="1:5" x14ac:dyDescent="0.25">
      <c r="A320" s="36" t="b">
        <v>0</v>
      </c>
      <c r="B320" s="56" t="b">
        <v>0</v>
      </c>
      <c r="C320" s="56" t="b">
        <v>0</v>
      </c>
      <c r="D320" s="56" t="b">
        <v>0</v>
      </c>
      <c r="E320" s="56">
        <f ca="1">IF(PV[[#This Row],[Business Date]]=Control!$C$6, PV[[#This Row],[Notional Value Local Cur]], -PV[[#This Row],[Notional Value Local Cur]])</f>
        <v>0</v>
      </c>
    </row>
    <row r="321" spans="1:5" x14ac:dyDescent="0.25">
      <c r="A321" s="36" t="b">
        <v>0</v>
      </c>
      <c r="B321" s="56" t="b">
        <v>0</v>
      </c>
      <c r="C321" s="56" t="b">
        <v>0</v>
      </c>
      <c r="D321" s="56" t="b">
        <v>0</v>
      </c>
      <c r="E321" s="56">
        <f ca="1">IF(PV[[#This Row],[Business Date]]=Control!$C$6, PV[[#This Row],[Notional Value Local Cur]], -PV[[#This Row],[Notional Value Local Cur]])</f>
        <v>0</v>
      </c>
    </row>
    <row r="322" spans="1:5" x14ac:dyDescent="0.25">
      <c r="A322" s="36" t="b">
        <v>0</v>
      </c>
      <c r="B322" s="56" t="b">
        <v>0</v>
      </c>
      <c r="C322" s="56" t="b">
        <v>0</v>
      </c>
      <c r="D322" s="56" t="b">
        <v>0</v>
      </c>
      <c r="E322" s="56">
        <f ca="1">IF(PV[[#This Row],[Business Date]]=Control!$C$6, PV[[#This Row],[Notional Value Local Cur]], -PV[[#This Row],[Notional Value Local Cur]])</f>
        <v>0</v>
      </c>
    </row>
    <row r="323" spans="1:5" x14ac:dyDescent="0.25">
      <c r="A323" s="36" t="b">
        <v>0</v>
      </c>
      <c r="B323" s="56" t="b">
        <v>0</v>
      </c>
      <c r="C323" s="56" t="b">
        <v>0</v>
      </c>
      <c r="D323" s="56" t="b">
        <v>0</v>
      </c>
      <c r="E323" s="56">
        <f ca="1">IF(PV[[#This Row],[Business Date]]=Control!$C$6, PV[[#This Row],[Notional Value Local Cur]], -PV[[#This Row],[Notional Value Local Cur]])</f>
        <v>0</v>
      </c>
    </row>
    <row r="324" spans="1:5" x14ac:dyDescent="0.25">
      <c r="A324" s="36" t="b">
        <v>0</v>
      </c>
      <c r="B324" s="56" t="b">
        <v>0</v>
      </c>
      <c r="C324" s="56" t="b">
        <v>0</v>
      </c>
      <c r="D324" s="56" t="b">
        <v>0</v>
      </c>
      <c r="E324" s="56">
        <f ca="1">IF(PV[[#This Row],[Business Date]]=Control!$C$6, PV[[#This Row],[Notional Value Local Cur]], -PV[[#This Row],[Notional Value Local Cur]])</f>
        <v>0</v>
      </c>
    </row>
    <row r="325" spans="1:5" x14ac:dyDescent="0.25">
      <c r="A325" s="36" t="b">
        <v>0</v>
      </c>
      <c r="B325" s="56" t="b">
        <v>0</v>
      </c>
      <c r="C325" s="56" t="b">
        <v>0</v>
      </c>
      <c r="D325" s="56" t="b">
        <v>0</v>
      </c>
      <c r="E325" s="56">
        <f ca="1">IF(PV[[#This Row],[Business Date]]=Control!$C$6, PV[[#This Row],[Notional Value Local Cur]], -PV[[#This Row],[Notional Value Local Cur]])</f>
        <v>0</v>
      </c>
    </row>
    <row r="326" spans="1:5" x14ac:dyDescent="0.25">
      <c r="A326" s="36" t="b">
        <v>0</v>
      </c>
      <c r="B326" s="56" t="b">
        <v>0</v>
      </c>
      <c r="C326" s="56" t="b">
        <v>0</v>
      </c>
      <c r="D326" s="56" t="b">
        <v>0</v>
      </c>
      <c r="E326" s="56">
        <f ca="1">IF(PV[[#This Row],[Business Date]]=Control!$C$6, PV[[#This Row],[Notional Value Local Cur]], -PV[[#This Row],[Notional Value Local Cur]])</f>
        <v>0</v>
      </c>
    </row>
    <row r="327" spans="1:5" x14ac:dyDescent="0.25">
      <c r="A327" s="36" t="b">
        <v>0</v>
      </c>
      <c r="B327" s="56" t="b">
        <v>0</v>
      </c>
      <c r="C327" s="56" t="b">
        <v>0</v>
      </c>
      <c r="D327" s="56" t="b">
        <v>0</v>
      </c>
      <c r="E327" s="56">
        <f ca="1">IF(PV[[#This Row],[Business Date]]=Control!$C$6, PV[[#This Row],[Notional Value Local Cur]], -PV[[#This Row],[Notional Value Local Cur]])</f>
        <v>0</v>
      </c>
    </row>
    <row r="328" spans="1:5" x14ac:dyDescent="0.25">
      <c r="A328" s="36" t="b">
        <v>0</v>
      </c>
      <c r="B328" s="56" t="b">
        <v>0</v>
      </c>
      <c r="C328" s="56" t="b">
        <v>0</v>
      </c>
      <c r="D328" s="56" t="b">
        <v>0</v>
      </c>
      <c r="E328" s="56">
        <f ca="1">IF(PV[[#This Row],[Business Date]]=Control!$C$6, PV[[#This Row],[Notional Value Local Cur]], -PV[[#This Row],[Notional Value Local Cur]])</f>
        <v>0</v>
      </c>
    </row>
    <row r="329" spans="1:5" x14ac:dyDescent="0.25">
      <c r="A329" s="36" t="b">
        <v>0</v>
      </c>
      <c r="B329" s="56" t="b">
        <v>0</v>
      </c>
      <c r="C329" s="56" t="b">
        <v>0</v>
      </c>
      <c r="D329" s="56" t="b">
        <v>0</v>
      </c>
      <c r="E329" s="56">
        <f ca="1">IF(PV[[#This Row],[Business Date]]=Control!$C$6, PV[[#This Row],[Notional Value Local Cur]], -PV[[#This Row],[Notional Value Local Cur]])</f>
        <v>0</v>
      </c>
    </row>
    <row r="330" spans="1:5" x14ac:dyDescent="0.25">
      <c r="A330" s="36" t="b">
        <v>0</v>
      </c>
      <c r="B330" s="56" t="b">
        <v>0</v>
      </c>
      <c r="C330" s="56" t="b">
        <v>0</v>
      </c>
      <c r="D330" s="56" t="b">
        <v>0</v>
      </c>
      <c r="E330" s="56">
        <f ca="1">IF(PV[[#This Row],[Business Date]]=Control!$C$6, PV[[#This Row],[Notional Value Local Cur]], -PV[[#This Row],[Notional Value Local Cur]])</f>
        <v>0</v>
      </c>
    </row>
    <row r="331" spans="1:5" x14ac:dyDescent="0.25">
      <c r="A331" s="36" t="b">
        <v>0</v>
      </c>
      <c r="B331" s="56" t="b">
        <v>0</v>
      </c>
      <c r="C331" s="56" t="b">
        <v>0</v>
      </c>
      <c r="D331" s="56" t="b">
        <v>0</v>
      </c>
      <c r="E331" s="56">
        <f ca="1">IF(PV[[#This Row],[Business Date]]=Control!$C$6, PV[[#This Row],[Notional Value Local Cur]], -PV[[#This Row],[Notional Value Local Cur]])</f>
        <v>0</v>
      </c>
    </row>
    <row r="332" spans="1:5" x14ac:dyDescent="0.25">
      <c r="A332" s="36" t="b">
        <v>0</v>
      </c>
      <c r="B332" s="56" t="b">
        <v>0</v>
      </c>
      <c r="C332" s="56" t="b">
        <v>0</v>
      </c>
      <c r="D332" s="56" t="b">
        <v>0</v>
      </c>
      <c r="E332" s="56">
        <f ca="1">IF(PV[[#This Row],[Business Date]]=Control!$C$6, PV[[#This Row],[Notional Value Local Cur]], -PV[[#This Row],[Notional Value Local Cur]])</f>
        <v>0</v>
      </c>
    </row>
    <row r="333" spans="1:5" x14ac:dyDescent="0.25">
      <c r="A333" s="36" t="b">
        <v>0</v>
      </c>
      <c r="B333" s="56" t="b">
        <v>0</v>
      </c>
      <c r="C333" s="56" t="b">
        <v>0</v>
      </c>
      <c r="D333" s="56" t="b">
        <v>0</v>
      </c>
      <c r="E333" s="56">
        <f ca="1">IF(PV[[#This Row],[Business Date]]=Control!$C$6, PV[[#This Row],[Notional Value Local Cur]], -PV[[#This Row],[Notional Value Local Cur]])</f>
        <v>0</v>
      </c>
    </row>
    <row r="334" spans="1:5" x14ac:dyDescent="0.25">
      <c r="A334" s="36" t="b">
        <v>0</v>
      </c>
      <c r="B334" s="56" t="b">
        <v>0</v>
      </c>
      <c r="C334" s="56" t="b">
        <v>0</v>
      </c>
      <c r="D334" s="56" t="b">
        <v>0</v>
      </c>
      <c r="E334" s="56">
        <f ca="1">IF(PV[[#This Row],[Business Date]]=Control!$C$6, PV[[#This Row],[Notional Value Local Cur]], -PV[[#This Row],[Notional Value Local Cur]])</f>
        <v>0</v>
      </c>
    </row>
    <row r="335" spans="1:5" x14ac:dyDescent="0.25">
      <c r="A335" s="36" t="b">
        <v>0</v>
      </c>
      <c r="B335" s="56" t="b">
        <v>0</v>
      </c>
      <c r="C335" s="56" t="b">
        <v>0</v>
      </c>
      <c r="D335" s="56" t="b">
        <v>0</v>
      </c>
      <c r="E335" s="56">
        <f ca="1">IF(PV[[#This Row],[Business Date]]=Control!$C$6, PV[[#This Row],[Notional Value Local Cur]], -PV[[#This Row],[Notional Value Local Cur]])</f>
        <v>0</v>
      </c>
    </row>
    <row r="336" spans="1:5" x14ac:dyDescent="0.25">
      <c r="A336" s="36" t="b">
        <v>0</v>
      </c>
      <c r="B336" s="56" t="b">
        <v>0</v>
      </c>
      <c r="C336" s="56" t="b">
        <v>0</v>
      </c>
      <c r="D336" s="56" t="b">
        <v>0</v>
      </c>
      <c r="E336" s="56">
        <f ca="1">IF(PV[[#This Row],[Business Date]]=Control!$C$6, PV[[#This Row],[Notional Value Local Cur]], -PV[[#This Row],[Notional Value Local Cur]])</f>
        <v>0</v>
      </c>
    </row>
    <row r="337" spans="1:5" x14ac:dyDescent="0.25">
      <c r="A337" s="36" t="b">
        <v>0</v>
      </c>
      <c r="B337" s="56" t="b">
        <v>0</v>
      </c>
      <c r="C337" s="56" t="b">
        <v>0</v>
      </c>
      <c r="D337" s="56" t="b">
        <v>0</v>
      </c>
      <c r="E337" s="56">
        <f ca="1">IF(PV[[#This Row],[Business Date]]=Control!$C$6, PV[[#This Row],[Notional Value Local Cur]], -PV[[#This Row],[Notional Value Local Cur]])</f>
        <v>0</v>
      </c>
    </row>
    <row r="338" spans="1:5" x14ac:dyDescent="0.25">
      <c r="A338" s="36" t="b">
        <v>0</v>
      </c>
      <c r="B338" s="56" t="b">
        <v>0</v>
      </c>
      <c r="C338" s="56" t="b">
        <v>0</v>
      </c>
      <c r="D338" s="56" t="b">
        <v>0</v>
      </c>
      <c r="E338" s="56">
        <f ca="1">IF(PV[[#This Row],[Business Date]]=Control!$C$6, PV[[#This Row],[Notional Value Local Cur]], -PV[[#This Row],[Notional Value Local Cur]])</f>
        <v>0</v>
      </c>
    </row>
    <row r="339" spans="1:5" x14ac:dyDescent="0.25">
      <c r="A339" s="36" t="b">
        <v>0</v>
      </c>
      <c r="B339" s="56" t="b">
        <v>0</v>
      </c>
      <c r="C339" s="56" t="b">
        <v>0</v>
      </c>
      <c r="D339" s="56" t="b">
        <v>0</v>
      </c>
      <c r="E339" s="56">
        <f ca="1">IF(PV[[#This Row],[Business Date]]=Control!$C$6, PV[[#This Row],[Notional Value Local Cur]], -PV[[#This Row],[Notional Value Local Cur]])</f>
        <v>0</v>
      </c>
    </row>
    <row r="340" spans="1:5" x14ac:dyDescent="0.25">
      <c r="A340" s="36" t="b">
        <v>0</v>
      </c>
      <c r="B340" s="56" t="b">
        <v>0</v>
      </c>
      <c r="C340" s="56" t="b">
        <v>0</v>
      </c>
      <c r="D340" s="56" t="b">
        <v>0</v>
      </c>
      <c r="E340" s="56">
        <f ca="1">IF(PV[[#This Row],[Business Date]]=Control!$C$6, PV[[#This Row],[Notional Value Local Cur]], -PV[[#This Row],[Notional Value Local Cur]])</f>
        <v>0</v>
      </c>
    </row>
    <row r="341" spans="1:5" x14ac:dyDescent="0.25">
      <c r="A341" s="36" t="b">
        <v>0</v>
      </c>
      <c r="B341" s="56" t="b">
        <v>0</v>
      </c>
      <c r="C341" s="56" t="b">
        <v>0</v>
      </c>
      <c r="D341" s="56" t="b">
        <v>0</v>
      </c>
      <c r="E341" s="56">
        <f ca="1">IF(PV[[#This Row],[Business Date]]=Control!$C$6, PV[[#This Row],[Notional Value Local Cur]], -PV[[#This Row],[Notional Value Local Cur]])</f>
        <v>0</v>
      </c>
    </row>
    <row r="342" spans="1:5" x14ac:dyDescent="0.25">
      <c r="A342" s="36" t="b">
        <v>0</v>
      </c>
      <c r="B342" s="56" t="b">
        <v>0</v>
      </c>
      <c r="C342" s="56" t="b">
        <v>0</v>
      </c>
      <c r="D342" s="56" t="b">
        <v>0</v>
      </c>
      <c r="E342" s="56">
        <f ca="1">IF(PV[[#This Row],[Business Date]]=Control!$C$6, PV[[#This Row],[Notional Value Local Cur]], -PV[[#This Row],[Notional Value Local Cur]])</f>
        <v>0</v>
      </c>
    </row>
    <row r="343" spans="1:5" x14ac:dyDescent="0.25">
      <c r="A343" s="36" t="b">
        <v>0</v>
      </c>
      <c r="B343" s="56" t="b">
        <v>0</v>
      </c>
      <c r="C343" s="56" t="b">
        <v>0</v>
      </c>
      <c r="D343" s="56" t="b">
        <v>0</v>
      </c>
      <c r="E343" s="56">
        <f ca="1">IF(PV[[#This Row],[Business Date]]=Control!$C$6, PV[[#This Row],[Notional Value Local Cur]], -PV[[#This Row],[Notional Value Local Cur]])</f>
        <v>0</v>
      </c>
    </row>
    <row r="344" spans="1:5" x14ac:dyDescent="0.25">
      <c r="A344" s="36" t="b">
        <v>0</v>
      </c>
      <c r="B344" s="56" t="b">
        <v>0</v>
      </c>
      <c r="C344" s="56" t="b">
        <v>0</v>
      </c>
      <c r="D344" s="56" t="b">
        <v>0</v>
      </c>
      <c r="E344" s="56">
        <f ca="1">IF(PV[[#This Row],[Business Date]]=Control!$C$6, PV[[#This Row],[Notional Value Local Cur]], -PV[[#This Row],[Notional Value Local Cur]])</f>
        <v>0</v>
      </c>
    </row>
    <row r="345" spans="1:5" x14ac:dyDescent="0.25">
      <c r="A345" s="36" t="b">
        <v>0</v>
      </c>
      <c r="B345" s="56" t="b">
        <v>0</v>
      </c>
      <c r="C345" s="56" t="b">
        <v>0</v>
      </c>
      <c r="D345" s="56" t="b">
        <v>0</v>
      </c>
      <c r="E345" s="56">
        <f ca="1">IF(PV[[#This Row],[Business Date]]=Control!$C$6, PV[[#This Row],[Notional Value Local Cur]], -PV[[#This Row],[Notional Value Local Cur]])</f>
        <v>0</v>
      </c>
    </row>
    <row r="346" spans="1:5" x14ac:dyDescent="0.25">
      <c r="A346" s="36" t="b">
        <v>0</v>
      </c>
      <c r="B346" s="56" t="b">
        <v>0</v>
      </c>
      <c r="C346" s="56" t="b">
        <v>0</v>
      </c>
      <c r="D346" s="56" t="b">
        <v>0</v>
      </c>
      <c r="E346" s="56">
        <f ca="1">IF(PV[[#This Row],[Business Date]]=Control!$C$6, PV[[#This Row],[Notional Value Local Cur]], -PV[[#This Row],[Notional Value Local Cur]])</f>
        <v>0</v>
      </c>
    </row>
    <row r="347" spans="1:5" x14ac:dyDescent="0.25">
      <c r="A347" s="36" t="b">
        <v>0</v>
      </c>
      <c r="B347" s="56" t="b">
        <v>0</v>
      </c>
      <c r="C347" s="56" t="b">
        <v>0</v>
      </c>
      <c r="D347" s="56" t="b">
        <v>0</v>
      </c>
      <c r="E347" s="56">
        <f ca="1">IF(PV[[#This Row],[Business Date]]=Control!$C$6, PV[[#This Row],[Notional Value Local Cur]], -PV[[#This Row],[Notional Value Local Cur]])</f>
        <v>0</v>
      </c>
    </row>
    <row r="348" spans="1:5" x14ac:dyDescent="0.25">
      <c r="A348" s="36" t="b">
        <v>0</v>
      </c>
      <c r="B348" s="56" t="b">
        <v>0</v>
      </c>
      <c r="C348" s="56" t="b">
        <v>0</v>
      </c>
      <c r="D348" s="56" t="b">
        <v>0</v>
      </c>
      <c r="E348" s="56">
        <f ca="1">IF(PV[[#This Row],[Business Date]]=Control!$C$6, PV[[#This Row],[Notional Value Local Cur]], -PV[[#This Row],[Notional Value Local Cur]])</f>
        <v>0</v>
      </c>
    </row>
    <row r="349" spans="1:5" x14ac:dyDescent="0.25">
      <c r="A349" s="36" t="b">
        <v>0</v>
      </c>
      <c r="B349" s="56" t="b">
        <v>0</v>
      </c>
      <c r="C349" s="56" t="b">
        <v>0</v>
      </c>
      <c r="D349" s="56" t="b">
        <v>0</v>
      </c>
      <c r="E349" s="56">
        <f ca="1">IF(PV[[#This Row],[Business Date]]=Control!$C$6, PV[[#This Row],[Notional Value Local Cur]], -PV[[#This Row],[Notional Value Local Cur]])</f>
        <v>0</v>
      </c>
    </row>
    <row r="350" spans="1:5" x14ac:dyDescent="0.25">
      <c r="A350" s="36" t="b">
        <v>0</v>
      </c>
      <c r="B350" s="56" t="b">
        <v>0</v>
      </c>
      <c r="C350" s="56" t="b">
        <v>0</v>
      </c>
      <c r="D350" s="56" t="b">
        <v>0</v>
      </c>
      <c r="E350" s="56">
        <f ca="1">IF(PV[[#This Row],[Business Date]]=Control!$C$6, PV[[#This Row],[Notional Value Local Cur]], -PV[[#This Row],[Notional Value Local Cur]])</f>
        <v>0</v>
      </c>
    </row>
    <row r="351" spans="1:5" x14ac:dyDescent="0.25">
      <c r="A351" s="36" t="b">
        <v>0</v>
      </c>
      <c r="B351" s="56" t="b">
        <v>0</v>
      </c>
      <c r="C351" s="56" t="b">
        <v>0</v>
      </c>
      <c r="D351" s="56" t="b">
        <v>0</v>
      </c>
      <c r="E351" s="56">
        <f ca="1">IF(PV[[#This Row],[Business Date]]=Control!$C$6, PV[[#This Row],[Notional Value Local Cur]], -PV[[#This Row],[Notional Value Local Cur]])</f>
        <v>0</v>
      </c>
    </row>
    <row r="352" spans="1:5" x14ac:dyDescent="0.25">
      <c r="A352" s="36" t="b">
        <v>0</v>
      </c>
      <c r="B352" s="56" t="b">
        <v>0</v>
      </c>
      <c r="C352" s="56" t="b">
        <v>0</v>
      </c>
      <c r="D352" s="56" t="b">
        <v>0</v>
      </c>
      <c r="E352" s="56">
        <f ca="1">IF(PV[[#This Row],[Business Date]]=Control!$C$6, PV[[#This Row],[Notional Value Local Cur]], -PV[[#This Row],[Notional Value Local Cur]])</f>
        <v>0</v>
      </c>
    </row>
    <row r="353" spans="1:5" x14ac:dyDescent="0.25">
      <c r="A353" s="36" t="b">
        <v>0</v>
      </c>
      <c r="B353" s="56" t="b">
        <v>0</v>
      </c>
      <c r="C353" s="56" t="b">
        <v>0</v>
      </c>
      <c r="D353" s="56" t="b">
        <v>0</v>
      </c>
      <c r="E353" s="56">
        <f ca="1">IF(PV[[#This Row],[Business Date]]=Control!$C$6, PV[[#This Row],[Notional Value Local Cur]], -PV[[#This Row],[Notional Value Local Cur]])</f>
        <v>0</v>
      </c>
    </row>
    <row r="354" spans="1:5" x14ac:dyDescent="0.25">
      <c r="A354" s="36" t="b">
        <v>0</v>
      </c>
      <c r="B354" s="56" t="b">
        <v>0</v>
      </c>
      <c r="C354" s="56" t="b">
        <v>0</v>
      </c>
      <c r="D354" s="56" t="b">
        <v>0</v>
      </c>
      <c r="E354" s="56">
        <f ca="1">IF(PV[[#This Row],[Business Date]]=Control!$C$6, PV[[#This Row],[Notional Value Local Cur]], -PV[[#This Row],[Notional Value Local Cur]])</f>
        <v>0</v>
      </c>
    </row>
    <row r="355" spans="1:5" x14ac:dyDescent="0.25">
      <c r="A355" s="36" t="b">
        <v>0</v>
      </c>
      <c r="B355" s="56" t="b">
        <v>0</v>
      </c>
      <c r="C355" s="56" t="b">
        <v>0</v>
      </c>
      <c r="D355" s="56" t="b">
        <v>0</v>
      </c>
      <c r="E355" s="56">
        <f ca="1">IF(PV[[#This Row],[Business Date]]=Control!$C$6, PV[[#This Row],[Notional Value Local Cur]], -PV[[#This Row],[Notional Value Local Cur]])</f>
        <v>0</v>
      </c>
    </row>
    <row r="356" spans="1:5" x14ac:dyDescent="0.25">
      <c r="A356" s="36" t="b">
        <v>0</v>
      </c>
      <c r="B356" s="56" t="b">
        <v>0</v>
      </c>
      <c r="C356" s="56" t="b">
        <v>0</v>
      </c>
      <c r="D356" s="56" t="b">
        <v>0</v>
      </c>
      <c r="E356" s="56">
        <f ca="1">IF(PV[[#This Row],[Business Date]]=Control!$C$6, PV[[#This Row],[Notional Value Local Cur]], -PV[[#This Row],[Notional Value Local Cur]])</f>
        <v>0</v>
      </c>
    </row>
    <row r="357" spans="1:5" x14ac:dyDescent="0.25">
      <c r="A357" s="36" t="b">
        <v>0</v>
      </c>
      <c r="B357" s="56" t="b">
        <v>0</v>
      </c>
      <c r="C357" s="56" t="b">
        <v>0</v>
      </c>
      <c r="D357" s="56" t="b">
        <v>0</v>
      </c>
      <c r="E357" s="56">
        <f ca="1">IF(PV[[#This Row],[Business Date]]=Control!$C$6, PV[[#This Row],[Notional Value Local Cur]], -PV[[#This Row],[Notional Value Local Cur]])</f>
        <v>0</v>
      </c>
    </row>
    <row r="358" spans="1:5" x14ac:dyDescent="0.25">
      <c r="A358" s="36" t="b">
        <v>0</v>
      </c>
      <c r="B358" s="56" t="b">
        <v>0</v>
      </c>
      <c r="C358" s="56" t="b">
        <v>0</v>
      </c>
      <c r="D358" s="56" t="b">
        <v>0</v>
      </c>
      <c r="E358" s="56">
        <f ca="1">IF(PV[[#This Row],[Business Date]]=Control!$C$6, PV[[#This Row],[Notional Value Local Cur]], -PV[[#This Row],[Notional Value Local Cur]])</f>
        <v>0</v>
      </c>
    </row>
    <row r="359" spans="1:5" x14ac:dyDescent="0.25">
      <c r="A359" s="36" t="b">
        <v>0</v>
      </c>
      <c r="B359" s="56" t="b">
        <v>0</v>
      </c>
      <c r="C359" s="56" t="b">
        <v>0</v>
      </c>
      <c r="D359" s="56" t="b">
        <v>0</v>
      </c>
      <c r="E359" s="56">
        <f ca="1">IF(PV[[#This Row],[Business Date]]=Control!$C$6, PV[[#This Row],[Notional Value Local Cur]], -PV[[#This Row],[Notional Value Local Cur]])</f>
        <v>0</v>
      </c>
    </row>
    <row r="360" spans="1:5" x14ac:dyDescent="0.25">
      <c r="A360" s="36" t="b">
        <v>0</v>
      </c>
      <c r="B360" s="56" t="b">
        <v>0</v>
      </c>
      <c r="C360" s="56" t="b">
        <v>0</v>
      </c>
      <c r="D360" s="56" t="b">
        <v>0</v>
      </c>
      <c r="E360" s="56">
        <f ca="1">IF(PV[[#This Row],[Business Date]]=Control!$C$6, PV[[#This Row],[Notional Value Local Cur]], -PV[[#This Row],[Notional Value Local Cur]])</f>
        <v>0</v>
      </c>
    </row>
    <row r="361" spans="1:5" x14ac:dyDescent="0.25">
      <c r="A361" s="36" t="b">
        <v>0</v>
      </c>
      <c r="B361" s="56" t="b">
        <v>0</v>
      </c>
      <c r="C361" s="56" t="b">
        <v>0</v>
      </c>
      <c r="D361" s="56" t="b">
        <v>0</v>
      </c>
      <c r="E361" s="56">
        <f ca="1">IF(PV[[#This Row],[Business Date]]=Control!$C$6, PV[[#This Row],[Notional Value Local Cur]], -PV[[#This Row],[Notional Value Local Cur]])</f>
        <v>0</v>
      </c>
    </row>
    <row r="362" spans="1:5" x14ac:dyDescent="0.25">
      <c r="A362" s="36" t="b">
        <v>0</v>
      </c>
      <c r="B362" s="56" t="b">
        <v>0</v>
      </c>
      <c r="C362" s="56" t="b">
        <v>0</v>
      </c>
      <c r="D362" s="56" t="b">
        <v>0</v>
      </c>
      <c r="E362" s="56">
        <f ca="1">IF(PV[[#This Row],[Business Date]]=Control!$C$6, PV[[#This Row],[Notional Value Local Cur]], -PV[[#This Row],[Notional Value Local Cur]])</f>
        <v>0</v>
      </c>
    </row>
    <row r="363" spans="1:5" x14ac:dyDescent="0.25">
      <c r="A363" s="36" t="b">
        <v>0</v>
      </c>
      <c r="B363" s="56" t="b">
        <v>0</v>
      </c>
      <c r="C363" s="56" t="b">
        <v>0</v>
      </c>
      <c r="D363" s="56" t="b">
        <v>0</v>
      </c>
      <c r="E363" s="56">
        <f ca="1">IF(PV[[#This Row],[Business Date]]=Control!$C$6, PV[[#This Row],[Notional Value Local Cur]], -PV[[#This Row],[Notional Value Local Cur]])</f>
        <v>0</v>
      </c>
    </row>
    <row r="364" spans="1:5" x14ac:dyDescent="0.25">
      <c r="A364" s="36" t="b">
        <v>0</v>
      </c>
      <c r="B364" s="56" t="b">
        <v>0</v>
      </c>
      <c r="C364" s="56" t="b">
        <v>0</v>
      </c>
      <c r="D364" s="56" t="b">
        <v>0</v>
      </c>
      <c r="E364" s="56">
        <f ca="1">IF(PV[[#This Row],[Business Date]]=Control!$C$6, PV[[#This Row],[Notional Value Local Cur]], -PV[[#This Row],[Notional Value Local Cur]])</f>
        <v>0</v>
      </c>
    </row>
    <row r="365" spans="1:5" x14ac:dyDescent="0.25">
      <c r="A365" s="36" t="b">
        <v>0</v>
      </c>
      <c r="B365" s="56" t="b">
        <v>0</v>
      </c>
      <c r="C365" s="56" t="b">
        <v>0</v>
      </c>
      <c r="D365" s="56" t="b">
        <v>0</v>
      </c>
      <c r="E365" s="56">
        <f ca="1">IF(PV[[#This Row],[Business Date]]=Control!$C$6, PV[[#This Row],[Notional Value Local Cur]], -PV[[#This Row],[Notional Value Local Cur]])</f>
        <v>0</v>
      </c>
    </row>
    <row r="366" spans="1:5" x14ac:dyDescent="0.25">
      <c r="A366" s="36" t="b">
        <v>0</v>
      </c>
      <c r="B366" s="56" t="b">
        <v>0</v>
      </c>
      <c r="C366" s="56" t="b">
        <v>0</v>
      </c>
      <c r="D366" s="56" t="b">
        <v>0</v>
      </c>
      <c r="E366" s="56">
        <f ca="1">IF(PV[[#This Row],[Business Date]]=Control!$C$6, PV[[#This Row],[Notional Value Local Cur]], -PV[[#This Row],[Notional Value Local Cur]])</f>
        <v>0</v>
      </c>
    </row>
    <row r="367" spans="1:5" x14ac:dyDescent="0.25">
      <c r="A367" s="36" t="b">
        <v>0</v>
      </c>
      <c r="B367" s="56" t="b">
        <v>0</v>
      </c>
      <c r="C367" s="56" t="b">
        <v>0</v>
      </c>
      <c r="D367" s="56" t="b">
        <v>0</v>
      </c>
      <c r="E367" s="56">
        <f ca="1">IF(PV[[#This Row],[Business Date]]=Control!$C$6, PV[[#This Row],[Notional Value Local Cur]], -PV[[#This Row],[Notional Value Local Cur]])</f>
        <v>0</v>
      </c>
    </row>
    <row r="368" spans="1:5" x14ac:dyDescent="0.25">
      <c r="A368" s="36" t="b">
        <v>0</v>
      </c>
      <c r="B368" s="56" t="b">
        <v>0</v>
      </c>
      <c r="C368" s="56" t="b">
        <v>0</v>
      </c>
      <c r="D368" s="56" t="b">
        <v>0</v>
      </c>
      <c r="E368" s="56">
        <f ca="1">IF(PV[[#This Row],[Business Date]]=Control!$C$6, PV[[#This Row],[Notional Value Local Cur]], -PV[[#This Row],[Notional Value Local Cur]])</f>
        <v>0</v>
      </c>
    </row>
    <row r="369" spans="1:5" x14ac:dyDescent="0.25">
      <c r="A369" s="36" t="b">
        <v>0</v>
      </c>
      <c r="B369" s="56" t="b">
        <v>0</v>
      </c>
      <c r="C369" s="56" t="b">
        <v>0</v>
      </c>
      <c r="D369" s="56" t="b">
        <v>0</v>
      </c>
      <c r="E369" s="56">
        <f ca="1">IF(PV[[#This Row],[Business Date]]=Control!$C$6, PV[[#This Row],[Notional Value Local Cur]], -PV[[#This Row],[Notional Value Local Cur]])</f>
        <v>0</v>
      </c>
    </row>
    <row r="370" spans="1:5" x14ac:dyDescent="0.25">
      <c r="A370" s="36" t="b">
        <v>0</v>
      </c>
      <c r="B370" s="56" t="b">
        <v>0</v>
      </c>
      <c r="C370" s="56" t="b">
        <v>0</v>
      </c>
      <c r="D370" s="56" t="b">
        <v>0</v>
      </c>
      <c r="E370" s="56">
        <f ca="1">IF(PV[[#This Row],[Business Date]]=Control!$C$6, PV[[#This Row],[Notional Value Local Cur]], -PV[[#This Row],[Notional Value Local Cur]])</f>
        <v>0</v>
      </c>
    </row>
    <row r="371" spans="1:5" x14ac:dyDescent="0.25">
      <c r="A371" s="36" t="b">
        <v>0</v>
      </c>
      <c r="B371" s="56" t="b">
        <v>0</v>
      </c>
      <c r="C371" s="56" t="b">
        <v>0</v>
      </c>
      <c r="D371" s="56" t="b">
        <v>0</v>
      </c>
      <c r="E371" s="56">
        <f ca="1">IF(PV[[#This Row],[Business Date]]=Control!$C$6, PV[[#This Row],[Notional Value Local Cur]], -PV[[#This Row],[Notional Value Local Cur]])</f>
        <v>0</v>
      </c>
    </row>
    <row r="372" spans="1:5" x14ac:dyDescent="0.25">
      <c r="A372" s="36" t="b">
        <v>0</v>
      </c>
      <c r="B372" s="56" t="b">
        <v>0</v>
      </c>
      <c r="C372" s="56" t="b">
        <v>0</v>
      </c>
      <c r="D372" s="56" t="b">
        <v>0</v>
      </c>
      <c r="E372" s="56">
        <f ca="1">IF(PV[[#This Row],[Business Date]]=Control!$C$6, PV[[#This Row],[Notional Value Local Cur]], -PV[[#This Row],[Notional Value Local Cur]])</f>
        <v>0</v>
      </c>
    </row>
    <row r="373" spans="1:5" x14ac:dyDescent="0.25">
      <c r="A373" s="36" t="b">
        <v>0</v>
      </c>
      <c r="B373" s="56" t="b">
        <v>0</v>
      </c>
      <c r="C373" s="56" t="b">
        <v>0</v>
      </c>
      <c r="D373" s="56" t="b">
        <v>0</v>
      </c>
      <c r="E373" s="56">
        <f ca="1">IF(PV[[#This Row],[Business Date]]=Control!$C$6, PV[[#This Row],[Notional Value Local Cur]], -PV[[#This Row],[Notional Value Local Cur]])</f>
        <v>0</v>
      </c>
    </row>
    <row r="374" spans="1:5" x14ac:dyDescent="0.25">
      <c r="A374" s="36" t="b">
        <v>0</v>
      </c>
      <c r="B374" s="56" t="b">
        <v>0</v>
      </c>
      <c r="C374" s="56" t="b">
        <v>0</v>
      </c>
      <c r="D374" s="56" t="b">
        <v>0</v>
      </c>
      <c r="E374" s="56">
        <f ca="1">IF(PV[[#This Row],[Business Date]]=Control!$C$6, PV[[#This Row],[Notional Value Local Cur]], -PV[[#This Row],[Notional Value Local Cur]])</f>
        <v>0</v>
      </c>
    </row>
    <row r="375" spans="1:5" x14ac:dyDescent="0.25">
      <c r="A375" s="36" t="b">
        <v>0</v>
      </c>
      <c r="B375" s="56" t="b">
        <v>0</v>
      </c>
      <c r="C375" s="56" t="b">
        <v>0</v>
      </c>
      <c r="D375" s="56" t="b">
        <v>0</v>
      </c>
      <c r="E375" s="56">
        <f ca="1">IF(PV[[#This Row],[Business Date]]=Control!$C$6, PV[[#This Row],[Notional Value Local Cur]], -PV[[#This Row],[Notional Value Local Cur]])</f>
        <v>0</v>
      </c>
    </row>
    <row r="376" spans="1:5" x14ac:dyDescent="0.25">
      <c r="A376" s="36" t="b">
        <v>0</v>
      </c>
      <c r="B376" s="56" t="b">
        <v>0</v>
      </c>
      <c r="C376" s="56" t="b">
        <v>0</v>
      </c>
      <c r="D376" s="56" t="b">
        <v>0</v>
      </c>
      <c r="E376" s="56">
        <f ca="1">IF(PV[[#This Row],[Business Date]]=Control!$C$6, PV[[#This Row],[Notional Value Local Cur]], -PV[[#This Row],[Notional Value Local Cur]])</f>
        <v>0</v>
      </c>
    </row>
    <row r="377" spans="1:5" x14ac:dyDescent="0.25">
      <c r="A377" s="36" t="b">
        <v>0</v>
      </c>
      <c r="B377" s="56" t="b">
        <v>0</v>
      </c>
      <c r="C377" s="56" t="b">
        <v>0</v>
      </c>
      <c r="D377" s="56" t="b">
        <v>0</v>
      </c>
      <c r="E377" s="56">
        <f ca="1">IF(PV[[#This Row],[Business Date]]=Control!$C$6, PV[[#This Row],[Notional Value Local Cur]], -PV[[#This Row],[Notional Value Local Cur]])</f>
        <v>0</v>
      </c>
    </row>
    <row r="378" spans="1:5" x14ac:dyDescent="0.25">
      <c r="A378" s="36" t="b">
        <v>0</v>
      </c>
      <c r="B378" s="56" t="b">
        <v>0</v>
      </c>
      <c r="C378" s="56" t="b">
        <v>0</v>
      </c>
      <c r="D378" s="56" t="b">
        <v>0</v>
      </c>
      <c r="E378" s="56">
        <f ca="1">IF(PV[[#This Row],[Business Date]]=Control!$C$6, PV[[#This Row],[Notional Value Local Cur]], -PV[[#This Row],[Notional Value Local Cur]])</f>
        <v>0</v>
      </c>
    </row>
    <row r="379" spans="1:5" x14ac:dyDescent="0.25">
      <c r="A379" s="36" t="b">
        <v>0</v>
      </c>
      <c r="B379" s="56" t="b">
        <v>0</v>
      </c>
      <c r="C379" s="56" t="b">
        <v>0</v>
      </c>
      <c r="D379" s="56" t="b">
        <v>0</v>
      </c>
      <c r="E379" s="56">
        <f ca="1">IF(PV[[#This Row],[Business Date]]=Control!$C$6, PV[[#This Row],[Notional Value Local Cur]], -PV[[#This Row],[Notional Value Local Cur]])</f>
        <v>0</v>
      </c>
    </row>
    <row r="380" spans="1:5" x14ac:dyDescent="0.25">
      <c r="A380" s="36" t="b">
        <v>0</v>
      </c>
      <c r="B380" s="56" t="b">
        <v>0</v>
      </c>
      <c r="C380" s="56" t="b">
        <v>0</v>
      </c>
      <c r="D380" s="56" t="b">
        <v>0</v>
      </c>
      <c r="E380" s="56">
        <f ca="1">IF(PV[[#This Row],[Business Date]]=Control!$C$6, PV[[#This Row],[Notional Value Local Cur]], -PV[[#This Row],[Notional Value Local Cur]])</f>
        <v>0</v>
      </c>
    </row>
    <row r="381" spans="1:5" x14ac:dyDescent="0.25">
      <c r="A381" s="36" t="b">
        <v>0</v>
      </c>
      <c r="B381" s="56" t="b">
        <v>0</v>
      </c>
      <c r="C381" s="56" t="b">
        <v>0</v>
      </c>
      <c r="D381" s="56" t="b">
        <v>0</v>
      </c>
      <c r="E381" s="56">
        <f ca="1">IF(PV[[#This Row],[Business Date]]=Control!$C$6, PV[[#This Row],[Notional Value Local Cur]], -PV[[#This Row],[Notional Value Local Cur]])</f>
        <v>0</v>
      </c>
    </row>
    <row r="382" spans="1:5" x14ac:dyDescent="0.25">
      <c r="A382" s="36" t="b">
        <v>0</v>
      </c>
      <c r="B382" s="56" t="b">
        <v>0</v>
      </c>
      <c r="C382" s="56" t="b">
        <v>0</v>
      </c>
      <c r="D382" s="56" t="b">
        <v>0</v>
      </c>
      <c r="E382" s="56">
        <f ca="1">IF(PV[[#This Row],[Business Date]]=Control!$C$6, PV[[#This Row],[Notional Value Local Cur]], -PV[[#This Row],[Notional Value Local Cur]])</f>
        <v>0</v>
      </c>
    </row>
    <row r="383" spans="1:5" x14ac:dyDescent="0.25">
      <c r="A383" s="36" t="b">
        <v>0</v>
      </c>
      <c r="B383" s="56" t="b">
        <v>0</v>
      </c>
      <c r="C383" s="56" t="b">
        <v>0</v>
      </c>
      <c r="D383" s="56" t="b">
        <v>0</v>
      </c>
      <c r="E383" s="56">
        <f ca="1">IF(PV[[#This Row],[Business Date]]=Control!$C$6, PV[[#This Row],[Notional Value Local Cur]], -PV[[#This Row],[Notional Value Local Cur]])</f>
        <v>0</v>
      </c>
    </row>
    <row r="384" spans="1:5" x14ac:dyDescent="0.25">
      <c r="A384" s="36" t="b">
        <v>0</v>
      </c>
      <c r="B384" s="56" t="b">
        <v>0</v>
      </c>
      <c r="C384" s="56" t="b">
        <v>0</v>
      </c>
      <c r="D384" s="56" t="b">
        <v>0</v>
      </c>
      <c r="E384" s="56">
        <f ca="1">IF(PV[[#This Row],[Business Date]]=Control!$C$6, PV[[#This Row],[Notional Value Local Cur]], -PV[[#This Row],[Notional Value Local Cur]])</f>
        <v>0</v>
      </c>
    </row>
    <row r="385" spans="1:5" x14ac:dyDescent="0.25">
      <c r="A385" s="36" t="b">
        <v>0</v>
      </c>
      <c r="B385" s="56" t="b">
        <v>0</v>
      </c>
      <c r="C385" s="56" t="b">
        <v>0</v>
      </c>
      <c r="D385" s="56" t="b">
        <v>0</v>
      </c>
      <c r="E385" s="56">
        <f ca="1">IF(PV[[#This Row],[Business Date]]=Control!$C$6, PV[[#This Row],[Notional Value Local Cur]], -PV[[#This Row],[Notional Value Local Cur]])</f>
        <v>0</v>
      </c>
    </row>
    <row r="386" spans="1:5" x14ac:dyDescent="0.25">
      <c r="A386" s="36" t="b">
        <v>0</v>
      </c>
      <c r="B386" s="56" t="b">
        <v>0</v>
      </c>
      <c r="C386" s="56" t="b">
        <v>0</v>
      </c>
      <c r="D386" s="56" t="b">
        <v>0</v>
      </c>
      <c r="E386" s="56">
        <f ca="1">IF(PV[[#This Row],[Business Date]]=Control!$C$6, PV[[#This Row],[Notional Value Local Cur]], -PV[[#This Row],[Notional Value Local Cur]])</f>
        <v>0</v>
      </c>
    </row>
    <row r="387" spans="1:5" x14ac:dyDescent="0.25">
      <c r="A387" s="36" t="b">
        <v>0</v>
      </c>
      <c r="B387" s="56" t="b">
        <v>0</v>
      </c>
      <c r="C387" s="56" t="b">
        <v>0</v>
      </c>
      <c r="D387" s="56" t="b">
        <v>0</v>
      </c>
      <c r="E387" s="56">
        <f ca="1">IF(PV[[#This Row],[Business Date]]=Control!$C$6, PV[[#This Row],[Notional Value Local Cur]], -PV[[#This Row],[Notional Value Local Cur]])</f>
        <v>0</v>
      </c>
    </row>
    <row r="388" spans="1:5" x14ac:dyDescent="0.25">
      <c r="A388" s="36" t="b">
        <v>0</v>
      </c>
      <c r="B388" s="56" t="b">
        <v>0</v>
      </c>
      <c r="C388" s="56" t="b">
        <v>0</v>
      </c>
      <c r="D388" s="56" t="b">
        <v>0</v>
      </c>
      <c r="E388" s="56">
        <f ca="1">IF(PV[[#This Row],[Business Date]]=Control!$C$6, PV[[#This Row],[Notional Value Local Cur]], -PV[[#This Row],[Notional Value Local Cur]])</f>
        <v>0</v>
      </c>
    </row>
    <row r="389" spans="1:5" x14ac:dyDescent="0.25">
      <c r="A389" s="36" t="b">
        <v>0</v>
      </c>
      <c r="B389" s="56" t="b">
        <v>0</v>
      </c>
      <c r="C389" s="56" t="b">
        <v>0</v>
      </c>
      <c r="D389" s="56" t="b">
        <v>0</v>
      </c>
      <c r="E389" s="56">
        <f ca="1">IF(PV[[#This Row],[Business Date]]=Control!$C$6, PV[[#This Row],[Notional Value Local Cur]], -PV[[#This Row],[Notional Value Local Cur]])</f>
        <v>0</v>
      </c>
    </row>
    <row r="390" spans="1:5" x14ac:dyDescent="0.25">
      <c r="A390" s="36" t="b">
        <v>0</v>
      </c>
      <c r="B390" s="56" t="b">
        <v>0</v>
      </c>
      <c r="C390" s="56" t="b">
        <v>0</v>
      </c>
      <c r="D390" s="56" t="b">
        <v>0</v>
      </c>
      <c r="E390" s="56">
        <f ca="1">IF(PV[[#This Row],[Business Date]]=Control!$C$6, PV[[#This Row],[Notional Value Local Cur]], -PV[[#This Row],[Notional Value Local Cur]])</f>
        <v>0</v>
      </c>
    </row>
    <row r="391" spans="1:5" x14ac:dyDescent="0.25">
      <c r="A391" s="36" t="b">
        <v>0</v>
      </c>
      <c r="B391" s="56" t="b">
        <v>0</v>
      </c>
      <c r="C391" s="56" t="b">
        <v>0</v>
      </c>
      <c r="D391" s="56" t="b">
        <v>0</v>
      </c>
      <c r="E391" s="56">
        <f ca="1">IF(PV[[#This Row],[Business Date]]=Control!$C$6, PV[[#This Row],[Notional Value Local Cur]], -PV[[#This Row],[Notional Value Local Cur]])</f>
        <v>0</v>
      </c>
    </row>
    <row r="392" spans="1:5" x14ac:dyDescent="0.25">
      <c r="A392" s="36" t="b">
        <v>0</v>
      </c>
      <c r="B392" s="56" t="b">
        <v>0</v>
      </c>
      <c r="C392" s="56" t="b">
        <v>0</v>
      </c>
      <c r="D392" s="56" t="b">
        <v>0</v>
      </c>
      <c r="E392" s="56">
        <f ca="1">IF(PV[[#This Row],[Business Date]]=Control!$C$6, PV[[#This Row],[Notional Value Local Cur]], -PV[[#This Row],[Notional Value Local Cur]])</f>
        <v>0</v>
      </c>
    </row>
    <row r="393" spans="1:5" x14ac:dyDescent="0.25">
      <c r="A393" s="36" t="b">
        <v>0</v>
      </c>
      <c r="B393" s="56" t="b">
        <v>0</v>
      </c>
      <c r="C393" s="56" t="b">
        <v>0</v>
      </c>
      <c r="D393" s="56" t="b">
        <v>0</v>
      </c>
      <c r="E393" s="56">
        <f ca="1">IF(PV[[#This Row],[Business Date]]=Control!$C$6, PV[[#This Row],[Notional Value Local Cur]], -PV[[#This Row],[Notional Value Local Cur]])</f>
        <v>0</v>
      </c>
    </row>
    <row r="394" spans="1:5" x14ac:dyDescent="0.25">
      <c r="A394" s="36" t="b">
        <v>0</v>
      </c>
      <c r="B394" s="56" t="b">
        <v>0</v>
      </c>
      <c r="C394" s="56" t="b">
        <v>0</v>
      </c>
      <c r="D394" s="56" t="b">
        <v>0</v>
      </c>
      <c r="E394" s="56">
        <f ca="1">IF(PV[[#This Row],[Business Date]]=Control!$C$6, PV[[#This Row],[Notional Value Local Cur]], -PV[[#This Row],[Notional Value Local Cur]])</f>
        <v>0</v>
      </c>
    </row>
    <row r="395" spans="1:5" x14ac:dyDescent="0.25">
      <c r="A395" s="36" t="b">
        <v>0</v>
      </c>
      <c r="B395" s="56" t="b">
        <v>0</v>
      </c>
      <c r="C395" s="56" t="b">
        <v>0</v>
      </c>
      <c r="D395" s="56" t="b">
        <v>0</v>
      </c>
      <c r="E395" s="56">
        <f ca="1">IF(PV[[#This Row],[Business Date]]=Control!$C$6, PV[[#This Row],[Notional Value Local Cur]], -PV[[#This Row],[Notional Value Local Cur]])</f>
        <v>0</v>
      </c>
    </row>
    <row r="396" spans="1:5" x14ac:dyDescent="0.25">
      <c r="A396" s="36" t="b">
        <v>0</v>
      </c>
      <c r="B396" s="56" t="b">
        <v>0</v>
      </c>
      <c r="C396" s="56" t="b">
        <v>0</v>
      </c>
      <c r="D396" s="56" t="b">
        <v>0</v>
      </c>
      <c r="E396" s="56">
        <f ca="1">IF(PV[[#This Row],[Business Date]]=Control!$C$6, PV[[#This Row],[Notional Value Local Cur]], -PV[[#This Row],[Notional Value Local Cur]])</f>
        <v>0</v>
      </c>
    </row>
    <row r="397" spans="1:5" x14ac:dyDescent="0.25">
      <c r="A397" s="36" t="b">
        <v>0</v>
      </c>
      <c r="B397" s="56" t="b">
        <v>0</v>
      </c>
      <c r="C397" s="56" t="b">
        <v>0</v>
      </c>
      <c r="D397" s="56" t="b">
        <v>0</v>
      </c>
      <c r="E397" s="56">
        <f ca="1">IF(PV[[#This Row],[Business Date]]=Control!$C$6, PV[[#This Row],[Notional Value Local Cur]], -PV[[#This Row],[Notional Value Local Cur]])</f>
        <v>0</v>
      </c>
    </row>
    <row r="398" spans="1:5" x14ac:dyDescent="0.25">
      <c r="A398" s="36" t="b">
        <v>0</v>
      </c>
      <c r="B398" s="56" t="b">
        <v>0</v>
      </c>
      <c r="C398" s="56" t="b">
        <v>0</v>
      </c>
      <c r="D398" s="56" t="b">
        <v>0</v>
      </c>
      <c r="E398" s="56">
        <f ca="1">IF(PV[[#This Row],[Business Date]]=Control!$C$6, PV[[#This Row],[Notional Value Local Cur]], -PV[[#This Row],[Notional Value Local Cur]])</f>
        <v>0</v>
      </c>
    </row>
    <row r="399" spans="1:5" x14ac:dyDescent="0.25">
      <c r="A399" s="36" t="b">
        <v>0</v>
      </c>
      <c r="B399" s="56" t="b">
        <v>0</v>
      </c>
      <c r="C399" s="56" t="b">
        <v>0</v>
      </c>
      <c r="D399" s="56" t="b">
        <v>0</v>
      </c>
      <c r="E399" s="56">
        <f ca="1">IF(PV[[#This Row],[Business Date]]=Control!$C$6, PV[[#This Row],[Notional Value Local Cur]], -PV[[#This Row],[Notional Value Local Cur]])</f>
        <v>0</v>
      </c>
    </row>
    <row r="400" spans="1:5" x14ac:dyDescent="0.25">
      <c r="A400" s="36" t="b">
        <v>0</v>
      </c>
      <c r="B400" s="56" t="b">
        <v>0</v>
      </c>
      <c r="C400" s="56" t="b">
        <v>0</v>
      </c>
      <c r="D400" s="56" t="b">
        <v>0</v>
      </c>
      <c r="E400" s="56">
        <f ca="1">IF(PV[[#This Row],[Business Date]]=Control!$C$6, PV[[#This Row],[Notional Value Local Cur]], -PV[[#This Row],[Notional Value Local Cur]])</f>
        <v>0</v>
      </c>
    </row>
    <row r="401" spans="1:5" x14ac:dyDescent="0.25">
      <c r="A401" s="36" t="b">
        <v>0</v>
      </c>
      <c r="B401" s="56" t="b">
        <v>0</v>
      </c>
      <c r="C401" s="56" t="b">
        <v>0</v>
      </c>
      <c r="D401" s="56" t="b">
        <v>0</v>
      </c>
      <c r="E401" s="56">
        <f ca="1">IF(PV[[#This Row],[Business Date]]=Control!$C$6, PV[[#This Row],[Notional Value Local Cur]], -PV[[#This Row],[Notional Value Local Cur]])</f>
        <v>0</v>
      </c>
    </row>
    <row r="402" spans="1:5" x14ac:dyDescent="0.25">
      <c r="A402" s="36" t="b">
        <v>0</v>
      </c>
      <c r="B402" s="56" t="b">
        <v>0</v>
      </c>
      <c r="C402" s="56" t="b">
        <v>0</v>
      </c>
      <c r="D402" s="56" t="b">
        <v>0</v>
      </c>
      <c r="E402" s="56">
        <f ca="1">IF(PV[[#This Row],[Business Date]]=Control!$C$6, PV[[#This Row],[Notional Value Local Cur]], -PV[[#This Row],[Notional Value Local Cur]])</f>
        <v>0</v>
      </c>
    </row>
    <row r="403" spans="1:5" x14ac:dyDescent="0.25">
      <c r="A403" s="36" t="b">
        <v>0</v>
      </c>
      <c r="B403" s="56" t="b">
        <v>0</v>
      </c>
      <c r="C403" s="56" t="b">
        <v>0</v>
      </c>
      <c r="D403" s="56" t="b">
        <v>0</v>
      </c>
      <c r="E403" s="56">
        <f ca="1">IF(PV[[#This Row],[Business Date]]=Control!$C$6, PV[[#This Row],[Notional Value Local Cur]], -PV[[#This Row],[Notional Value Local Cur]])</f>
        <v>0</v>
      </c>
    </row>
    <row r="404" spans="1:5" x14ac:dyDescent="0.25">
      <c r="A404" s="36" t="b">
        <v>0</v>
      </c>
      <c r="B404" s="56" t="b">
        <v>0</v>
      </c>
      <c r="C404" s="56" t="b">
        <v>0</v>
      </c>
      <c r="D404" s="56" t="b">
        <v>0</v>
      </c>
      <c r="E404" s="56">
        <f ca="1">IF(PV[[#This Row],[Business Date]]=Control!$C$6, PV[[#This Row],[Notional Value Local Cur]], -PV[[#This Row],[Notional Value Local Cur]])</f>
        <v>0</v>
      </c>
    </row>
    <row r="405" spans="1:5" x14ac:dyDescent="0.25">
      <c r="A405" s="36" t="b">
        <v>0</v>
      </c>
      <c r="B405" s="56" t="b">
        <v>0</v>
      </c>
      <c r="C405" s="56" t="b">
        <v>0</v>
      </c>
      <c r="D405" s="56" t="b">
        <v>0</v>
      </c>
      <c r="E405" s="56">
        <f ca="1">IF(PV[[#This Row],[Business Date]]=Control!$C$6, PV[[#This Row],[Notional Value Local Cur]], -PV[[#This Row],[Notional Value Local Cur]])</f>
        <v>0</v>
      </c>
    </row>
    <row r="406" spans="1:5" x14ac:dyDescent="0.25">
      <c r="A406" s="36" t="b">
        <v>0</v>
      </c>
      <c r="B406" s="56" t="b">
        <v>0</v>
      </c>
      <c r="C406" s="56" t="b">
        <v>0</v>
      </c>
      <c r="D406" s="56" t="b">
        <v>0</v>
      </c>
      <c r="E406" s="56">
        <f ca="1">IF(PV[[#This Row],[Business Date]]=Control!$C$6, PV[[#This Row],[Notional Value Local Cur]], -PV[[#This Row],[Notional Value Local Cur]])</f>
        <v>0</v>
      </c>
    </row>
    <row r="407" spans="1:5" x14ac:dyDescent="0.25">
      <c r="A407" s="36" t="b">
        <v>0</v>
      </c>
      <c r="B407" s="56" t="b">
        <v>0</v>
      </c>
      <c r="C407" s="56" t="b">
        <v>0</v>
      </c>
      <c r="D407" s="56" t="b">
        <v>0</v>
      </c>
      <c r="E407" s="56">
        <f ca="1">IF(PV[[#This Row],[Business Date]]=Control!$C$6, PV[[#This Row],[Notional Value Local Cur]], -PV[[#This Row],[Notional Value Local Cur]])</f>
        <v>0</v>
      </c>
    </row>
    <row r="408" spans="1:5" x14ac:dyDescent="0.25">
      <c r="A408" s="36" t="b">
        <v>0</v>
      </c>
      <c r="B408" s="56" t="b">
        <v>0</v>
      </c>
      <c r="C408" s="56" t="b">
        <v>0</v>
      </c>
      <c r="D408" s="56" t="b">
        <v>0</v>
      </c>
      <c r="E408" s="56">
        <f ca="1">IF(PV[[#This Row],[Business Date]]=Control!$C$6, PV[[#This Row],[Notional Value Local Cur]], -PV[[#This Row],[Notional Value Local Cur]])</f>
        <v>0</v>
      </c>
    </row>
    <row r="409" spans="1:5" x14ac:dyDescent="0.25">
      <c r="A409" s="36" t="b">
        <v>0</v>
      </c>
      <c r="B409" s="56" t="b">
        <v>0</v>
      </c>
      <c r="C409" s="56" t="b">
        <v>0</v>
      </c>
      <c r="D409" s="56" t="b">
        <v>0</v>
      </c>
      <c r="E409" s="56">
        <f ca="1">IF(PV[[#This Row],[Business Date]]=Control!$C$6, PV[[#This Row],[Notional Value Local Cur]], -PV[[#This Row],[Notional Value Local Cur]])</f>
        <v>0</v>
      </c>
    </row>
    <row r="410" spans="1:5" x14ac:dyDescent="0.25">
      <c r="A410" s="36" t="b">
        <v>0</v>
      </c>
      <c r="B410" s="56" t="b">
        <v>0</v>
      </c>
      <c r="C410" s="56" t="b">
        <v>0</v>
      </c>
      <c r="D410" s="56" t="b">
        <v>0</v>
      </c>
      <c r="E410" s="56">
        <f ca="1">IF(PV[[#This Row],[Business Date]]=Control!$C$6, PV[[#This Row],[Notional Value Local Cur]], -PV[[#This Row],[Notional Value Local Cur]])</f>
        <v>0</v>
      </c>
    </row>
    <row r="411" spans="1:5" x14ac:dyDescent="0.25">
      <c r="A411" s="36" t="b">
        <v>0</v>
      </c>
      <c r="B411" s="56" t="b">
        <v>0</v>
      </c>
      <c r="C411" s="56" t="b">
        <v>0</v>
      </c>
      <c r="D411" s="56" t="b">
        <v>0</v>
      </c>
      <c r="E411" s="56">
        <f ca="1">IF(PV[[#This Row],[Business Date]]=Control!$C$6, PV[[#This Row],[Notional Value Local Cur]], -PV[[#This Row],[Notional Value Local Cur]])</f>
        <v>0</v>
      </c>
    </row>
    <row r="412" spans="1:5" x14ac:dyDescent="0.25">
      <c r="A412" s="36" t="b">
        <v>0</v>
      </c>
      <c r="B412" s="56" t="b">
        <v>0</v>
      </c>
      <c r="C412" s="56" t="b">
        <v>0</v>
      </c>
      <c r="D412" s="56" t="b">
        <v>0</v>
      </c>
      <c r="E412" s="56">
        <f ca="1">IF(PV[[#This Row],[Business Date]]=Control!$C$6, PV[[#This Row],[Notional Value Local Cur]], -PV[[#This Row],[Notional Value Local Cur]])</f>
        <v>0</v>
      </c>
    </row>
    <row r="413" spans="1:5" x14ac:dyDescent="0.25">
      <c r="A413" s="36" t="b">
        <v>0</v>
      </c>
      <c r="B413" s="56" t="b">
        <v>0</v>
      </c>
      <c r="C413" s="56" t="b">
        <v>0</v>
      </c>
      <c r="D413" s="56" t="b">
        <v>0</v>
      </c>
      <c r="E413" s="56">
        <f ca="1">IF(PV[[#This Row],[Business Date]]=Control!$C$6, PV[[#This Row],[Notional Value Local Cur]], -PV[[#This Row],[Notional Value Local Cur]])</f>
        <v>0</v>
      </c>
    </row>
    <row r="414" spans="1:5" x14ac:dyDescent="0.25">
      <c r="A414" s="36" t="b">
        <v>0</v>
      </c>
      <c r="B414" s="56" t="b">
        <v>0</v>
      </c>
      <c r="C414" s="56" t="b">
        <v>0</v>
      </c>
      <c r="D414" s="56" t="b">
        <v>0</v>
      </c>
      <c r="E414" s="56">
        <f ca="1">IF(PV[[#This Row],[Business Date]]=Control!$C$6, PV[[#This Row],[Notional Value Local Cur]], -PV[[#This Row],[Notional Value Local Cur]])</f>
        <v>0</v>
      </c>
    </row>
    <row r="415" spans="1:5" x14ac:dyDescent="0.25">
      <c r="A415" s="36" t="b">
        <v>0</v>
      </c>
      <c r="B415" s="56" t="b">
        <v>0</v>
      </c>
      <c r="C415" s="56" t="b">
        <v>0</v>
      </c>
      <c r="D415" s="56" t="b">
        <v>0</v>
      </c>
      <c r="E415" s="56">
        <f ca="1">IF(PV[[#This Row],[Business Date]]=Control!$C$6, PV[[#This Row],[Notional Value Local Cur]], -PV[[#This Row],[Notional Value Local Cur]])</f>
        <v>0</v>
      </c>
    </row>
    <row r="416" spans="1:5" x14ac:dyDescent="0.25">
      <c r="A416" s="36" t="b">
        <v>0</v>
      </c>
      <c r="B416" s="56" t="b">
        <v>0</v>
      </c>
      <c r="C416" s="56" t="b">
        <v>0</v>
      </c>
      <c r="D416" s="56" t="b">
        <v>0</v>
      </c>
      <c r="E416" s="56">
        <f ca="1">IF(PV[[#This Row],[Business Date]]=Control!$C$6, PV[[#This Row],[Notional Value Local Cur]], -PV[[#This Row],[Notional Value Local Cur]])</f>
        <v>0</v>
      </c>
    </row>
    <row r="417" spans="1:5" x14ac:dyDescent="0.25">
      <c r="A417" s="36" t="b">
        <v>0</v>
      </c>
      <c r="B417" s="56" t="b">
        <v>0</v>
      </c>
      <c r="C417" s="56" t="b">
        <v>0</v>
      </c>
      <c r="D417" s="56" t="b">
        <v>0</v>
      </c>
      <c r="E417" s="56">
        <f ca="1">IF(PV[[#This Row],[Business Date]]=Control!$C$6, PV[[#This Row],[Notional Value Local Cur]], -PV[[#This Row],[Notional Value Local Cur]])</f>
        <v>0</v>
      </c>
    </row>
    <row r="418" spans="1:5" x14ac:dyDescent="0.25">
      <c r="A418" s="36" t="b">
        <v>0</v>
      </c>
      <c r="B418" s="56" t="b">
        <v>0</v>
      </c>
      <c r="C418" s="56" t="b">
        <v>0</v>
      </c>
      <c r="D418" s="56" t="b">
        <v>0</v>
      </c>
      <c r="E418" s="56">
        <f ca="1">IF(PV[[#This Row],[Business Date]]=Control!$C$6, PV[[#This Row],[Notional Value Local Cur]], -PV[[#This Row],[Notional Value Local Cur]])</f>
        <v>0</v>
      </c>
    </row>
    <row r="419" spans="1:5" x14ac:dyDescent="0.25">
      <c r="A419" s="36" t="b">
        <v>0</v>
      </c>
      <c r="B419" s="56" t="b">
        <v>0</v>
      </c>
      <c r="C419" s="56" t="b">
        <v>0</v>
      </c>
      <c r="D419" s="56" t="b">
        <v>0</v>
      </c>
      <c r="E419" s="56">
        <f ca="1">IF(PV[[#This Row],[Business Date]]=Control!$C$6, PV[[#This Row],[Notional Value Local Cur]], -PV[[#This Row],[Notional Value Local Cur]])</f>
        <v>0</v>
      </c>
    </row>
    <row r="420" spans="1:5" x14ac:dyDescent="0.25">
      <c r="A420" s="36" t="b">
        <v>0</v>
      </c>
      <c r="B420" s="56" t="b">
        <v>0</v>
      </c>
      <c r="C420" s="56" t="b">
        <v>0</v>
      </c>
      <c r="D420" s="56" t="b">
        <v>0</v>
      </c>
      <c r="E420" s="56">
        <f ca="1">IF(PV[[#This Row],[Business Date]]=Control!$C$6, PV[[#This Row],[Notional Value Local Cur]], -PV[[#This Row],[Notional Value Local Cur]])</f>
        <v>0</v>
      </c>
    </row>
    <row r="421" spans="1:5" x14ac:dyDescent="0.25">
      <c r="A421" s="36" t="b">
        <v>0</v>
      </c>
      <c r="B421" s="56" t="b">
        <v>0</v>
      </c>
      <c r="C421" s="56" t="b">
        <v>0</v>
      </c>
      <c r="D421" s="56" t="b">
        <v>0</v>
      </c>
      <c r="E421" s="56">
        <f ca="1">IF(PV[[#This Row],[Business Date]]=Control!$C$6, PV[[#This Row],[Notional Value Local Cur]], -PV[[#This Row],[Notional Value Local Cur]])</f>
        <v>0</v>
      </c>
    </row>
    <row r="422" spans="1:5" x14ac:dyDescent="0.25">
      <c r="A422" s="36" t="b">
        <v>0</v>
      </c>
      <c r="B422" s="56" t="b">
        <v>0</v>
      </c>
      <c r="C422" s="56" t="b">
        <v>0</v>
      </c>
      <c r="D422" s="56" t="b">
        <v>0</v>
      </c>
      <c r="E422" s="56">
        <f ca="1">IF(PV[[#This Row],[Business Date]]=Control!$C$6, PV[[#This Row],[Notional Value Local Cur]], -PV[[#This Row],[Notional Value Local Cur]])</f>
        <v>0</v>
      </c>
    </row>
    <row r="423" spans="1:5" x14ac:dyDescent="0.25">
      <c r="A423" s="36" t="b">
        <v>0</v>
      </c>
      <c r="B423" s="56" t="b">
        <v>0</v>
      </c>
      <c r="C423" s="56" t="b">
        <v>0</v>
      </c>
      <c r="D423" s="56" t="b">
        <v>0</v>
      </c>
      <c r="E423" s="56">
        <f ca="1">IF(PV[[#This Row],[Business Date]]=Control!$C$6, PV[[#This Row],[Notional Value Local Cur]], -PV[[#This Row],[Notional Value Local Cur]])</f>
        <v>0</v>
      </c>
    </row>
    <row r="424" spans="1:5" x14ac:dyDescent="0.25">
      <c r="A424" s="36" t="b">
        <v>0</v>
      </c>
      <c r="B424" s="56" t="b">
        <v>0</v>
      </c>
      <c r="C424" s="56" t="b">
        <v>0</v>
      </c>
      <c r="D424" s="56" t="b">
        <v>0</v>
      </c>
      <c r="E424" s="56">
        <f ca="1">IF(PV[[#This Row],[Business Date]]=Control!$C$6, PV[[#This Row],[Notional Value Local Cur]], -PV[[#This Row],[Notional Value Local Cur]])</f>
        <v>0</v>
      </c>
    </row>
    <row r="425" spans="1:5" x14ac:dyDescent="0.25">
      <c r="A425" s="36" t="b">
        <v>0</v>
      </c>
      <c r="B425" s="56" t="b">
        <v>0</v>
      </c>
      <c r="C425" s="56" t="b">
        <v>0</v>
      </c>
      <c r="D425" s="56" t="b">
        <v>0</v>
      </c>
      <c r="E425" s="56">
        <f ca="1">IF(PV[[#This Row],[Business Date]]=Control!$C$6, PV[[#This Row],[Notional Value Local Cur]], -PV[[#This Row],[Notional Value Local Cur]])</f>
        <v>0</v>
      </c>
    </row>
    <row r="426" spans="1:5" x14ac:dyDescent="0.25">
      <c r="A426" s="36" t="b">
        <v>0</v>
      </c>
      <c r="B426" s="56" t="b">
        <v>0</v>
      </c>
      <c r="C426" s="56" t="b">
        <v>0</v>
      </c>
      <c r="D426" s="56" t="b">
        <v>0</v>
      </c>
      <c r="E426" s="56">
        <f ca="1">IF(PV[[#This Row],[Business Date]]=Control!$C$6, PV[[#This Row],[Notional Value Local Cur]], -PV[[#This Row],[Notional Value Local Cur]])</f>
        <v>0</v>
      </c>
    </row>
    <row r="427" spans="1:5" x14ac:dyDescent="0.25">
      <c r="A427" s="36" t="b">
        <v>0</v>
      </c>
      <c r="B427" s="56" t="b">
        <v>0</v>
      </c>
      <c r="C427" s="56" t="b">
        <v>0</v>
      </c>
      <c r="D427" s="56" t="b">
        <v>0</v>
      </c>
      <c r="E427" s="56">
        <f ca="1">IF(PV[[#This Row],[Business Date]]=Control!$C$6, PV[[#This Row],[Notional Value Local Cur]], -PV[[#This Row],[Notional Value Local Cur]])</f>
        <v>0</v>
      </c>
    </row>
    <row r="428" spans="1:5" x14ac:dyDescent="0.25">
      <c r="A428" s="36" t="b">
        <v>0</v>
      </c>
      <c r="B428" s="56" t="b">
        <v>0</v>
      </c>
      <c r="C428" s="56" t="b">
        <v>0</v>
      </c>
      <c r="D428" s="56" t="b">
        <v>0</v>
      </c>
      <c r="E428" s="56">
        <f ca="1">IF(PV[[#This Row],[Business Date]]=Control!$C$6, PV[[#This Row],[Notional Value Local Cur]], -PV[[#This Row],[Notional Value Local Cur]])</f>
        <v>0</v>
      </c>
    </row>
    <row r="429" spans="1:5" x14ac:dyDescent="0.25">
      <c r="A429" s="36" t="b">
        <v>0</v>
      </c>
      <c r="B429" s="56" t="b">
        <v>0</v>
      </c>
      <c r="C429" s="56" t="b">
        <v>0</v>
      </c>
      <c r="D429" s="56" t="b">
        <v>0</v>
      </c>
      <c r="E429" s="56">
        <f ca="1">IF(PV[[#This Row],[Business Date]]=Control!$C$6, PV[[#This Row],[Notional Value Local Cur]], -PV[[#This Row],[Notional Value Local Cur]])</f>
        <v>0</v>
      </c>
    </row>
    <row r="430" spans="1:5" x14ac:dyDescent="0.25">
      <c r="A430" s="36" t="b">
        <v>0</v>
      </c>
      <c r="B430" s="56" t="b">
        <v>0</v>
      </c>
      <c r="C430" s="56" t="b">
        <v>0</v>
      </c>
      <c r="D430" s="56" t="b">
        <v>0</v>
      </c>
      <c r="E430" s="56">
        <f ca="1">IF(PV[[#This Row],[Business Date]]=Control!$C$6, PV[[#This Row],[Notional Value Local Cur]], -PV[[#This Row],[Notional Value Local Cur]])</f>
        <v>0</v>
      </c>
    </row>
    <row r="431" spans="1:5" x14ac:dyDescent="0.25">
      <c r="A431" s="36" t="b">
        <v>0</v>
      </c>
      <c r="B431" s="56" t="b">
        <v>0</v>
      </c>
      <c r="C431" s="56" t="b">
        <v>0</v>
      </c>
      <c r="D431" s="56" t="b">
        <v>0</v>
      </c>
      <c r="E431" s="56">
        <f ca="1">IF(PV[[#This Row],[Business Date]]=Control!$C$6, PV[[#This Row],[Notional Value Local Cur]], -PV[[#This Row],[Notional Value Local Cur]])</f>
        <v>0</v>
      </c>
    </row>
    <row r="432" spans="1:5" x14ac:dyDescent="0.25">
      <c r="A432" s="36" t="b">
        <v>0</v>
      </c>
      <c r="B432" s="56" t="b">
        <v>0</v>
      </c>
      <c r="C432" s="56" t="b">
        <v>0</v>
      </c>
      <c r="D432" s="56" t="b">
        <v>0</v>
      </c>
      <c r="E432" s="56">
        <f ca="1">IF(PV[[#This Row],[Business Date]]=Control!$C$6, PV[[#This Row],[Notional Value Local Cur]], -PV[[#This Row],[Notional Value Local Cur]])</f>
        <v>0</v>
      </c>
    </row>
    <row r="433" spans="1:5" x14ac:dyDescent="0.25">
      <c r="A433" s="36" t="b">
        <v>0</v>
      </c>
      <c r="B433" s="56" t="b">
        <v>0</v>
      </c>
      <c r="C433" s="56" t="b">
        <v>0</v>
      </c>
      <c r="D433" s="56" t="b">
        <v>0</v>
      </c>
      <c r="E433" s="56">
        <f ca="1">IF(PV[[#This Row],[Business Date]]=Control!$C$6, PV[[#This Row],[Notional Value Local Cur]], -PV[[#This Row],[Notional Value Local Cur]])</f>
        <v>0</v>
      </c>
    </row>
    <row r="434" spans="1:5" x14ac:dyDescent="0.25">
      <c r="A434" s="36" t="b">
        <v>0</v>
      </c>
      <c r="B434" s="56" t="b">
        <v>0</v>
      </c>
      <c r="C434" s="56" t="b">
        <v>0</v>
      </c>
      <c r="D434" s="56" t="b">
        <v>0</v>
      </c>
      <c r="E434" s="56">
        <f ca="1">IF(PV[[#This Row],[Business Date]]=Control!$C$6, PV[[#This Row],[Notional Value Local Cur]], -PV[[#This Row],[Notional Value Local Cur]])</f>
        <v>0</v>
      </c>
    </row>
    <row r="435" spans="1:5" x14ac:dyDescent="0.25">
      <c r="A435" s="36" t="b">
        <v>0</v>
      </c>
      <c r="B435" s="56" t="b">
        <v>0</v>
      </c>
      <c r="C435" s="56" t="b">
        <v>0</v>
      </c>
      <c r="D435" s="56" t="b">
        <v>0</v>
      </c>
      <c r="E435" s="56">
        <f ca="1">IF(PV[[#This Row],[Business Date]]=Control!$C$6, PV[[#This Row],[Notional Value Local Cur]], -PV[[#This Row],[Notional Value Local Cur]])</f>
        <v>0</v>
      </c>
    </row>
    <row r="436" spans="1:5" x14ac:dyDescent="0.25">
      <c r="A436" s="36" t="b">
        <v>0</v>
      </c>
      <c r="B436" s="56" t="b">
        <v>0</v>
      </c>
      <c r="C436" s="56" t="b">
        <v>0</v>
      </c>
      <c r="D436" s="56" t="b">
        <v>0</v>
      </c>
      <c r="E436" s="56">
        <f ca="1">IF(PV[[#This Row],[Business Date]]=Control!$C$6, PV[[#This Row],[Notional Value Local Cur]], -PV[[#This Row],[Notional Value Local Cur]])</f>
        <v>0</v>
      </c>
    </row>
    <row r="437" spans="1:5" x14ac:dyDescent="0.25">
      <c r="A437" s="36" t="b">
        <v>0</v>
      </c>
      <c r="B437" s="56" t="b">
        <v>0</v>
      </c>
      <c r="C437" s="56" t="b">
        <v>0</v>
      </c>
      <c r="D437" s="56" t="b">
        <v>0</v>
      </c>
      <c r="E437" s="56">
        <f ca="1">IF(PV[[#This Row],[Business Date]]=Control!$C$6, PV[[#This Row],[Notional Value Local Cur]], -PV[[#This Row],[Notional Value Local Cur]])</f>
        <v>0</v>
      </c>
    </row>
    <row r="438" spans="1:5" x14ac:dyDescent="0.25">
      <c r="A438" s="36" t="b">
        <v>0</v>
      </c>
      <c r="B438" s="56" t="b">
        <v>0</v>
      </c>
      <c r="C438" s="56" t="b">
        <v>0</v>
      </c>
      <c r="D438" s="56" t="b">
        <v>0</v>
      </c>
      <c r="E438" s="56">
        <f ca="1">IF(PV[[#This Row],[Business Date]]=Control!$C$6, PV[[#This Row],[Notional Value Local Cur]], -PV[[#This Row],[Notional Value Local Cur]])</f>
        <v>0</v>
      </c>
    </row>
    <row r="439" spans="1:5" x14ac:dyDescent="0.25">
      <c r="A439" s="36" t="b">
        <v>0</v>
      </c>
      <c r="B439" s="56" t="b">
        <v>0</v>
      </c>
      <c r="C439" s="56" t="b">
        <v>0</v>
      </c>
      <c r="D439" s="56" t="b">
        <v>0</v>
      </c>
      <c r="E439" s="56">
        <f ca="1">IF(PV[[#This Row],[Business Date]]=Control!$C$6, PV[[#This Row],[Notional Value Local Cur]], -PV[[#This Row],[Notional Value Local Cur]])</f>
        <v>0</v>
      </c>
    </row>
    <row r="440" spans="1:5" x14ac:dyDescent="0.25">
      <c r="A440" s="36" t="b">
        <v>0</v>
      </c>
      <c r="B440" s="56" t="b">
        <v>0</v>
      </c>
      <c r="C440" s="56" t="b">
        <v>0</v>
      </c>
      <c r="D440" s="56" t="b">
        <v>0</v>
      </c>
      <c r="E440" s="56">
        <f ca="1">IF(PV[[#This Row],[Business Date]]=Control!$C$6, PV[[#This Row],[Notional Value Local Cur]], -PV[[#This Row],[Notional Value Local Cur]])</f>
        <v>0</v>
      </c>
    </row>
    <row r="441" spans="1:5" x14ac:dyDescent="0.25">
      <c r="A441" s="36" t="b">
        <v>0</v>
      </c>
      <c r="B441" s="56" t="b">
        <v>0</v>
      </c>
      <c r="C441" s="56" t="b">
        <v>0</v>
      </c>
      <c r="D441" s="56" t="b">
        <v>0</v>
      </c>
      <c r="E441" s="56">
        <f ca="1">IF(PV[[#This Row],[Business Date]]=Control!$C$6, PV[[#This Row],[Notional Value Local Cur]], -PV[[#This Row],[Notional Value Local Cur]])</f>
        <v>0</v>
      </c>
    </row>
    <row r="442" spans="1:5" x14ac:dyDescent="0.25">
      <c r="A442" s="36" t="b">
        <v>0</v>
      </c>
      <c r="B442" s="56" t="b">
        <v>0</v>
      </c>
      <c r="C442" s="56" t="b">
        <v>0</v>
      </c>
      <c r="D442" s="56" t="b">
        <v>0</v>
      </c>
      <c r="E442" s="56">
        <f ca="1">IF(PV[[#This Row],[Business Date]]=Control!$C$6, PV[[#This Row],[Notional Value Local Cur]], -PV[[#This Row],[Notional Value Local Cur]])</f>
        <v>0</v>
      </c>
    </row>
    <row r="443" spans="1:5" x14ac:dyDescent="0.25">
      <c r="A443" s="36" t="b">
        <v>0</v>
      </c>
      <c r="B443" s="56" t="b">
        <v>0</v>
      </c>
      <c r="C443" s="56" t="b">
        <v>0</v>
      </c>
      <c r="D443" s="56" t="b">
        <v>0</v>
      </c>
      <c r="E443" s="56">
        <f ca="1">IF(PV[[#This Row],[Business Date]]=Control!$C$6, PV[[#This Row],[Notional Value Local Cur]], -PV[[#This Row],[Notional Value Local Cur]])</f>
        <v>0</v>
      </c>
    </row>
    <row r="444" spans="1:5" x14ac:dyDescent="0.25">
      <c r="A444" s="36" t="b">
        <v>0</v>
      </c>
      <c r="B444" s="56" t="b">
        <v>0</v>
      </c>
      <c r="C444" s="56" t="b">
        <v>0</v>
      </c>
      <c r="D444" s="56" t="b">
        <v>0</v>
      </c>
      <c r="E444" s="56">
        <f ca="1">IF(PV[[#This Row],[Business Date]]=Control!$C$6, PV[[#This Row],[Notional Value Local Cur]], -PV[[#This Row],[Notional Value Local Cur]])</f>
        <v>0</v>
      </c>
    </row>
    <row r="445" spans="1:5" x14ac:dyDescent="0.25">
      <c r="A445" s="36" t="b">
        <v>0</v>
      </c>
      <c r="B445" s="56" t="b">
        <v>0</v>
      </c>
      <c r="C445" s="56" t="b">
        <v>0</v>
      </c>
      <c r="D445" s="56" t="b">
        <v>0</v>
      </c>
      <c r="E445" s="56">
        <f ca="1">IF(PV[[#This Row],[Business Date]]=Control!$C$6, PV[[#This Row],[Notional Value Local Cur]], -PV[[#This Row],[Notional Value Local Cur]])</f>
        <v>0</v>
      </c>
    </row>
    <row r="446" spans="1:5" x14ac:dyDescent="0.25">
      <c r="A446" s="36" t="b">
        <v>0</v>
      </c>
      <c r="B446" s="56" t="b">
        <v>0</v>
      </c>
      <c r="C446" s="56" t="b">
        <v>0</v>
      </c>
      <c r="D446" s="56" t="b">
        <v>0</v>
      </c>
      <c r="E446" s="56">
        <f ca="1">IF(PV[[#This Row],[Business Date]]=Control!$C$6, PV[[#This Row],[Notional Value Local Cur]], -PV[[#This Row],[Notional Value Local Cur]])</f>
        <v>0</v>
      </c>
    </row>
    <row r="447" spans="1:5" x14ac:dyDescent="0.25">
      <c r="A447" s="36" t="b">
        <v>0</v>
      </c>
      <c r="B447" s="56" t="b">
        <v>0</v>
      </c>
      <c r="C447" s="56" t="b">
        <v>0</v>
      </c>
      <c r="D447" s="56" t="b">
        <v>0</v>
      </c>
      <c r="E447" s="56">
        <f ca="1">IF(PV[[#This Row],[Business Date]]=Control!$C$6, PV[[#This Row],[Notional Value Local Cur]], -PV[[#This Row],[Notional Value Local Cur]])</f>
        <v>0</v>
      </c>
    </row>
    <row r="448" spans="1:5" x14ac:dyDescent="0.25">
      <c r="A448" s="36" t="b">
        <v>0</v>
      </c>
      <c r="B448" s="56" t="b">
        <v>0</v>
      </c>
      <c r="C448" s="56" t="b">
        <v>0</v>
      </c>
      <c r="D448" s="56" t="b">
        <v>0</v>
      </c>
      <c r="E448" s="56">
        <f ca="1">IF(PV[[#This Row],[Business Date]]=Control!$C$6, PV[[#This Row],[Notional Value Local Cur]], -PV[[#This Row],[Notional Value Local Cur]])</f>
        <v>0</v>
      </c>
    </row>
    <row r="449" spans="1:5" x14ac:dyDescent="0.25">
      <c r="A449" s="36" t="b">
        <v>0</v>
      </c>
      <c r="B449" s="56" t="b">
        <v>0</v>
      </c>
      <c r="C449" s="56" t="b">
        <v>0</v>
      </c>
      <c r="D449" s="56" t="b">
        <v>0</v>
      </c>
      <c r="E449" s="56">
        <f ca="1">IF(PV[[#This Row],[Business Date]]=Control!$C$6, PV[[#This Row],[Notional Value Local Cur]], -PV[[#This Row],[Notional Value Local Cur]])</f>
        <v>0</v>
      </c>
    </row>
    <row r="450" spans="1:5" x14ac:dyDescent="0.25">
      <c r="A450" s="36" t="b">
        <v>0</v>
      </c>
      <c r="B450" s="56" t="b">
        <v>0</v>
      </c>
      <c r="C450" s="56" t="b">
        <v>0</v>
      </c>
      <c r="D450" s="56" t="b">
        <v>0</v>
      </c>
      <c r="E450" s="56">
        <f ca="1">IF(PV[[#This Row],[Business Date]]=Control!$C$6, PV[[#This Row],[Notional Value Local Cur]], -PV[[#This Row],[Notional Value Local Cur]])</f>
        <v>0</v>
      </c>
    </row>
    <row r="451" spans="1:5" x14ac:dyDescent="0.25">
      <c r="A451" s="36" t="b">
        <v>0</v>
      </c>
      <c r="B451" s="56" t="b">
        <v>0</v>
      </c>
      <c r="C451" s="56" t="b">
        <v>0</v>
      </c>
      <c r="D451" s="56" t="b">
        <v>0</v>
      </c>
      <c r="E451" s="56">
        <f ca="1">IF(PV[[#This Row],[Business Date]]=Control!$C$6, PV[[#This Row],[Notional Value Local Cur]], -PV[[#This Row],[Notional Value Local Cur]])</f>
        <v>0</v>
      </c>
    </row>
    <row r="452" spans="1:5" x14ac:dyDescent="0.25">
      <c r="A452" s="36" t="b">
        <v>0</v>
      </c>
      <c r="B452" s="56" t="b">
        <v>0</v>
      </c>
      <c r="C452" s="56" t="b">
        <v>0</v>
      </c>
      <c r="D452" s="56" t="b">
        <v>0</v>
      </c>
      <c r="E452" s="56">
        <f ca="1">IF(PV[[#This Row],[Business Date]]=Control!$C$6, PV[[#This Row],[Notional Value Local Cur]], -PV[[#This Row],[Notional Value Local Cur]])</f>
        <v>0</v>
      </c>
    </row>
    <row r="453" spans="1:5" x14ac:dyDescent="0.25">
      <c r="A453" s="36" t="b">
        <v>0</v>
      </c>
      <c r="B453" s="56" t="b">
        <v>0</v>
      </c>
      <c r="C453" s="56" t="b">
        <v>0</v>
      </c>
      <c r="D453" s="56" t="b">
        <v>0</v>
      </c>
      <c r="E453" s="56">
        <f ca="1">IF(PV[[#This Row],[Business Date]]=Control!$C$6, PV[[#This Row],[Notional Value Local Cur]], -PV[[#This Row],[Notional Value Local Cur]])</f>
        <v>0</v>
      </c>
    </row>
    <row r="454" spans="1:5" x14ac:dyDescent="0.25">
      <c r="A454" s="36" t="b">
        <v>0</v>
      </c>
      <c r="B454" s="56" t="b">
        <v>0</v>
      </c>
      <c r="C454" s="56" t="b">
        <v>0</v>
      </c>
      <c r="D454" s="56" t="b">
        <v>0</v>
      </c>
      <c r="E454" s="56">
        <f ca="1">IF(PV[[#This Row],[Business Date]]=Control!$C$6, PV[[#This Row],[Notional Value Local Cur]], -PV[[#This Row],[Notional Value Local Cur]])</f>
        <v>0</v>
      </c>
    </row>
    <row r="455" spans="1:5" x14ac:dyDescent="0.25">
      <c r="A455" s="36" t="b">
        <v>0</v>
      </c>
      <c r="B455" s="56" t="b">
        <v>0</v>
      </c>
      <c r="C455" s="56" t="b">
        <v>0</v>
      </c>
      <c r="D455" s="56" t="b">
        <v>0</v>
      </c>
      <c r="E455" s="56">
        <f ca="1">IF(PV[[#This Row],[Business Date]]=Control!$C$6, PV[[#This Row],[Notional Value Local Cur]], -PV[[#This Row],[Notional Value Local Cur]])</f>
        <v>0</v>
      </c>
    </row>
    <row r="456" spans="1:5" x14ac:dyDescent="0.25">
      <c r="A456" s="36" t="b">
        <v>0</v>
      </c>
      <c r="B456" s="56" t="b">
        <v>0</v>
      </c>
      <c r="C456" s="56" t="b">
        <v>0</v>
      </c>
      <c r="D456" s="56" t="b">
        <v>0</v>
      </c>
      <c r="E456" s="56">
        <f ca="1">IF(PV[[#This Row],[Business Date]]=Control!$C$6, PV[[#This Row],[Notional Value Local Cur]], -PV[[#This Row],[Notional Value Local Cur]])</f>
        <v>0</v>
      </c>
    </row>
    <row r="457" spans="1:5" x14ac:dyDescent="0.25">
      <c r="A457" s="36" t="b">
        <v>0</v>
      </c>
      <c r="B457" s="56" t="b">
        <v>0</v>
      </c>
      <c r="C457" s="56" t="b">
        <v>0</v>
      </c>
      <c r="D457" s="56" t="b">
        <v>0</v>
      </c>
      <c r="E457" s="56">
        <f ca="1">IF(PV[[#This Row],[Business Date]]=Control!$C$6, PV[[#This Row],[Notional Value Local Cur]], -PV[[#This Row],[Notional Value Local Cur]])</f>
        <v>0</v>
      </c>
    </row>
    <row r="458" spans="1:5" x14ac:dyDescent="0.25">
      <c r="A458" s="36" t="b">
        <v>0</v>
      </c>
      <c r="B458" s="56" t="b">
        <v>0</v>
      </c>
      <c r="C458" s="56" t="b">
        <v>0</v>
      </c>
      <c r="D458" s="56" t="b">
        <v>0</v>
      </c>
      <c r="E458" s="56">
        <f ca="1">IF(PV[[#This Row],[Business Date]]=Control!$C$6, PV[[#This Row],[Notional Value Local Cur]], -PV[[#This Row],[Notional Value Local Cur]])</f>
        <v>0</v>
      </c>
    </row>
    <row r="459" spans="1:5" x14ac:dyDescent="0.25">
      <c r="A459" s="36" t="b">
        <v>0</v>
      </c>
      <c r="B459" s="56" t="b">
        <v>0</v>
      </c>
      <c r="C459" s="56" t="b">
        <v>0</v>
      </c>
      <c r="D459" s="56" t="b">
        <v>0</v>
      </c>
      <c r="E459" s="56">
        <f ca="1">IF(PV[[#This Row],[Business Date]]=Control!$C$6, PV[[#This Row],[Notional Value Local Cur]], -PV[[#This Row],[Notional Value Local Cur]])</f>
        <v>0</v>
      </c>
    </row>
    <row r="460" spans="1:5" x14ac:dyDescent="0.25">
      <c r="A460" s="36" t="b">
        <v>0</v>
      </c>
      <c r="B460" s="56" t="b">
        <v>0</v>
      </c>
      <c r="C460" s="56" t="b">
        <v>0</v>
      </c>
      <c r="D460" s="56" t="b">
        <v>0</v>
      </c>
      <c r="E460" s="56">
        <f ca="1">IF(PV[[#This Row],[Business Date]]=Control!$C$6, PV[[#This Row],[Notional Value Local Cur]], -PV[[#This Row],[Notional Value Local Cur]])</f>
        <v>0</v>
      </c>
    </row>
    <row r="461" spans="1:5" x14ac:dyDescent="0.25">
      <c r="A461" s="36" t="b">
        <v>0</v>
      </c>
      <c r="B461" s="56" t="b">
        <v>0</v>
      </c>
      <c r="C461" s="56" t="b">
        <v>0</v>
      </c>
      <c r="D461" s="56" t="b">
        <v>0</v>
      </c>
      <c r="E461" s="56">
        <f ca="1">IF(PV[[#This Row],[Business Date]]=Control!$C$6, PV[[#This Row],[Notional Value Local Cur]], -PV[[#This Row],[Notional Value Local Cur]])</f>
        <v>0</v>
      </c>
    </row>
    <row r="462" spans="1:5" x14ac:dyDescent="0.25">
      <c r="A462" s="36" t="b">
        <v>0</v>
      </c>
      <c r="B462" s="56" t="b">
        <v>0</v>
      </c>
      <c r="C462" s="56" t="b">
        <v>0</v>
      </c>
      <c r="D462" s="56" t="b">
        <v>0</v>
      </c>
      <c r="E462" s="56">
        <f ca="1">IF(PV[[#This Row],[Business Date]]=Control!$C$6, PV[[#This Row],[Notional Value Local Cur]], -PV[[#This Row],[Notional Value Local Cur]])</f>
        <v>0</v>
      </c>
    </row>
    <row r="463" spans="1:5" x14ac:dyDescent="0.25">
      <c r="A463" s="36" t="b">
        <v>0</v>
      </c>
      <c r="B463" s="56" t="b">
        <v>0</v>
      </c>
      <c r="C463" s="56" t="b">
        <v>0</v>
      </c>
      <c r="D463" s="56" t="b">
        <v>0</v>
      </c>
      <c r="E463" s="56">
        <f ca="1">IF(PV[[#This Row],[Business Date]]=Control!$C$6, PV[[#This Row],[Notional Value Local Cur]], -PV[[#This Row],[Notional Value Local Cur]])</f>
        <v>0</v>
      </c>
    </row>
    <row r="464" spans="1:5" x14ac:dyDescent="0.25">
      <c r="A464" s="36" t="b">
        <v>0</v>
      </c>
      <c r="B464" s="56" t="b">
        <v>0</v>
      </c>
      <c r="C464" s="56" t="b">
        <v>0</v>
      </c>
      <c r="D464" s="56" t="b">
        <v>0</v>
      </c>
      <c r="E464" s="56">
        <f ca="1">IF(PV[[#This Row],[Business Date]]=Control!$C$6, PV[[#This Row],[Notional Value Local Cur]], -PV[[#This Row],[Notional Value Local Cur]])</f>
        <v>0</v>
      </c>
    </row>
    <row r="465" spans="1:5" x14ac:dyDescent="0.25">
      <c r="A465" s="36" t="b">
        <v>0</v>
      </c>
      <c r="B465" s="56" t="b">
        <v>0</v>
      </c>
      <c r="C465" s="56" t="b">
        <v>0</v>
      </c>
      <c r="D465" s="56" t="b">
        <v>0</v>
      </c>
      <c r="E465" s="56">
        <f ca="1">IF(PV[[#This Row],[Business Date]]=Control!$C$6, PV[[#This Row],[Notional Value Local Cur]], -PV[[#This Row],[Notional Value Local Cur]])</f>
        <v>0</v>
      </c>
    </row>
    <row r="466" spans="1:5" x14ac:dyDescent="0.25">
      <c r="A466" s="36" t="b">
        <v>0</v>
      </c>
      <c r="B466" s="56" t="b">
        <v>0</v>
      </c>
      <c r="C466" s="56" t="b">
        <v>0</v>
      </c>
      <c r="D466" s="56" t="b">
        <v>0</v>
      </c>
      <c r="E466" s="56">
        <f ca="1">IF(PV[[#This Row],[Business Date]]=Control!$C$6, PV[[#This Row],[Notional Value Local Cur]], -PV[[#This Row],[Notional Value Local Cur]])</f>
        <v>0</v>
      </c>
    </row>
    <row r="467" spans="1:5" x14ac:dyDescent="0.25">
      <c r="A467" s="36" t="b">
        <v>0</v>
      </c>
      <c r="B467" s="56" t="b">
        <v>0</v>
      </c>
      <c r="C467" s="56" t="b">
        <v>0</v>
      </c>
      <c r="D467" s="56" t="b">
        <v>0</v>
      </c>
      <c r="E467" s="56">
        <f ca="1">IF(PV[[#This Row],[Business Date]]=Control!$C$6, PV[[#This Row],[Notional Value Local Cur]], -PV[[#This Row],[Notional Value Local Cur]])</f>
        <v>0</v>
      </c>
    </row>
    <row r="468" spans="1:5" x14ac:dyDescent="0.25">
      <c r="A468" s="36" t="b">
        <v>0</v>
      </c>
      <c r="B468" s="56" t="b">
        <v>0</v>
      </c>
      <c r="C468" s="56" t="b">
        <v>0</v>
      </c>
      <c r="D468" s="56" t="b">
        <v>0</v>
      </c>
      <c r="E468" s="56">
        <f ca="1">IF(PV[[#This Row],[Business Date]]=Control!$C$6, PV[[#This Row],[Notional Value Local Cur]], -PV[[#This Row],[Notional Value Local Cur]])</f>
        <v>0</v>
      </c>
    </row>
    <row r="469" spans="1:5" x14ac:dyDescent="0.25">
      <c r="A469" s="36" t="b">
        <v>0</v>
      </c>
      <c r="B469" s="56" t="b">
        <v>0</v>
      </c>
      <c r="C469" s="56" t="b">
        <v>0</v>
      </c>
      <c r="D469" s="56" t="b">
        <v>0</v>
      </c>
      <c r="E469" s="56">
        <f ca="1">IF(PV[[#This Row],[Business Date]]=Control!$C$6, PV[[#This Row],[Notional Value Local Cur]], -PV[[#This Row],[Notional Value Local Cur]])</f>
        <v>0</v>
      </c>
    </row>
    <row r="470" spans="1:5" x14ac:dyDescent="0.25">
      <c r="A470" s="36" t="b">
        <v>0</v>
      </c>
      <c r="B470" s="56" t="b">
        <v>0</v>
      </c>
      <c r="C470" s="56" t="b">
        <v>0</v>
      </c>
      <c r="D470" s="56" t="b">
        <v>0</v>
      </c>
      <c r="E470" s="56">
        <f ca="1">IF(PV[[#This Row],[Business Date]]=Control!$C$6, PV[[#This Row],[Notional Value Local Cur]], -PV[[#This Row],[Notional Value Local Cur]])</f>
        <v>0</v>
      </c>
    </row>
    <row r="471" spans="1:5" x14ac:dyDescent="0.25">
      <c r="A471" s="36" t="b">
        <v>0</v>
      </c>
      <c r="B471" s="56" t="b">
        <v>0</v>
      </c>
      <c r="C471" s="56" t="b">
        <v>0</v>
      </c>
      <c r="D471" s="56" t="b">
        <v>0</v>
      </c>
      <c r="E471" s="56">
        <f ca="1">IF(PV[[#This Row],[Business Date]]=Control!$C$6, PV[[#This Row],[Notional Value Local Cur]], -PV[[#This Row],[Notional Value Local Cur]])</f>
        <v>0</v>
      </c>
    </row>
    <row r="472" spans="1:5" x14ac:dyDescent="0.25">
      <c r="A472" s="36" t="b">
        <v>0</v>
      </c>
      <c r="B472" s="56" t="b">
        <v>0</v>
      </c>
      <c r="C472" s="56" t="b">
        <v>0</v>
      </c>
      <c r="D472" s="56" t="b">
        <v>0</v>
      </c>
      <c r="E472" s="56">
        <f ca="1">IF(PV[[#This Row],[Business Date]]=Control!$C$6, PV[[#This Row],[Notional Value Local Cur]], -PV[[#This Row],[Notional Value Local Cur]])</f>
        <v>0</v>
      </c>
    </row>
    <row r="473" spans="1:5" x14ac:dyDescent="0.25">
      <c r="A473" s="36" t="b">
        <v>0</v>
      </c>
      <c r="B473" s="56" t="b">
        <v>0</v>
      </c>
      <c r="C473" s="56" t="b">
        <v>0</v>
      </c>
      <c r="D473" s="56" t="b">
        <v>0</v>
      </c>
      <c r="E473" s="56">
        <f ca="1">IF(PV[[#This Row],[Business Date]]=Control!$C$6, PV[[#This Row],[Notional Value Local Cur]], -PV[[#This Row],[Notional Value Local Cur]])</f>
        <v>0</v>
      </c>
    </row>
    <row r="474" spans="1:5" x14ac:dyDescent="0.25">
      <c r="A474" s="36" t="b">
        <v>0</v>
      </c>
      <c r="B474" s="56" t="b">
        <v>0</v>
      </c>
      <c r="C474" s="56" t="b">
        <v>0</v>
      </c>
      <c r="D474" s="56" t="b">
        <v>0</v>
      </c>
      <c r="E474" s="56">
        <f ca="1">IF(PV[[#This Row],[Business Date]]=Control!$C$6, PV[[#This Row],[Notional Value Local Cur]], -PV[[#This Row],[Notional Value Local Cur]])</f>
        <v>0</v>
      </c>
    </row>
    <row r="475" spans="1:5" x14ac:dyDescent="0.25">
      <c r="A475" s="36" t="b">
        <v>0</v>
      </c>
      <c r="B475" s="56" t="b">
        <v>0</v>
      </c>
      <c r="C475" s="56" t="b">
        <v>0</v>
      </c>
      <c r="D475" s="56" t="b">
        <v>0</v>
      </c>
      <c r="E475" s="56">
        <f ca="1">IF(PV[[#This Row],[Business Date]]=Control!$C$6, PV[[#This Row],[Notional Value Local Cur]], -PV[[#This Row],[Notional Value Local Cur]])</f>
        <v>0</v>
      </c>
    </row>
    <row r="476" spans="1:5" x14ac:dyDescent="0.25">
      <c r="A476" s="36" t="b">
        <v>0</v>
      </c>
      <c r="B476" s="56" t="b">
        <v>0</v>
      </c>
      <c r="C476" s="56" t="b">
        <v>0</v>
      </c>
      <c r="D476" s="56" t="b">
        <v>0</v>
      </c>
      <c r="E476" s="56">
        <f ca="1">IF(PV[[#This Row],[Business Date]]=Control!$C$6, PV[[#This Row],[Notional Value Local Cur]], -PV[[#This Row],[Notional Value Local Cur]])</f>
        <v>0</v>
      </c>
    </row>
    <row r="477" spans="1:5" x14ac:dyDescent="0.25">
      <c r="A477" s="36" t="b">
        <v>0</v>
      </c>
      <c r="B477" s="56" t="b">
        <v>0</v>
      </c>
      <c r="C477" s="56" t="b">
        <v>0</v>
      </c>
      <c r="D477" s="56" t="b">
        <v>0</v>
      </c>
      <c r="E477" s="56">
        <f ca="1">IF(PV[[#This Row],[Business Date]]=Control!$C$6, PV[[#This Row],[Notional Value Local Cur]], -PV[[#This Row],[Notional Value Local Cur]])</f>
        <v>0</v>
      </c>
    </row>
    <row r="478" spans="1:5" x14ac:dyDescent="0.25">
      <c r="A478" s="36" t="b">
        <v>0</v>
      </c>
      <c r="B478" s="56" t="b">
        <v>0</v>
      </c>
      <c r="C478" s="56" t="b">
        <v>0</v>
      </c>
      <c r="D478" s="56" t="b">
        <v>0</v>
      </c>
      <c r="E478" s="56">
        <f ca="1">IF(PV[[#This Row],[Business Date]]=Control!$C$6, PV[[#This Row],[Notional Value Local Cur]], -PV[[#This Row],[Notional Value Local Cur]])</f>
        <v>0</v>
      </c>
    </row>
    <row r="479" spans="1:5" x14ac:dyDescent="0.25">
      <c r="A479" s="36" t="b">
        <v>0</v>
      </c>
      <c r="B479" s="56" t="b">
        <v>0</v>
      </c>
      <c r="C479" s="56" t="b">
        <v>0</v>
      </c>
      <c r="D479" s="56" t="b">
        <v>0</v>
      </c>
      <c r="E479" s="56">
        <f ca="1">IF(PV[[#This Row],[Business Date]]=Control!$C$6, PV[[#This Row],[Notional Value Local Cur]], -PV[[#This Row],[Notional Value Local Cur]])</f>
        <v>0</v>
      </c>
    </row>
    <row r="480" spans="1:5" x14ac:dyDescent="0.25">
      <c r="A480" s="36" t="b">
        <v>0</v>
      </c>
      <c r="B480" s="56" t="b">
        <v>0</v>
      </c>
      <c r="C480" s="56" t="b">
        <v>0</v>
      </c>
      <c r="D480" s="56" t="b">
        <v>0</v>
      </c>
      <c r="E480" s="56">
        <f ca="1">IF(PV[[#This Row],[Business Date]]=Control!$C$6, PV[[#This Row],[Notional Value Local Cur]], -PV[[#This Row],[Notional Value Local Cur]])</f>
        <v>0</v>
      </c>
    </row>
    <row r="481" spans="1:5" x14ac:dyDescent="0.25">
      <c r="A481" s="36" t="b">
        <v>0</v>
      </c>
      <c r="B481" s="56" t="b">
        <v>0</v>
      </c>
      <c r="C481" s="56" t="b">
        <v>0</v>
      </c>
      <c r="D481" s="56" t="b">
        <v>0</v>
      </c>
      <c r="E481" s="56">
        <f ca="1">IF(PV[[#This Row],[Business Date]]=Control!$C$6, PV[[#This Row],[Notional Value Local Cur]], -PV[[#This Row],[Notional Value Local Cur]])</f>
        <v>0</v>
      </c>
    </row>
    <row r="482" spans="1:5" x14ac:dyDescent="0.25">
      <c r="A482" s="36" t="b">
        <v>0</v>
      </c>
      <c r="B482" s="56" t="b">
        <v>0</v>
      </c>
      <c r="C482" s="56" t="b">
        <v>0</v>
      </c>
      <c r="D482" s="56" t="b">
        <v>0</v>
      </c>
      <c r="E482" s="56">
        <f ca="1">IF(PV[[#This Row],[Business Date]]=Control!$C$6, PV[[#This Row],[Notional Value Local Cur]], -PV[[#This Row],[Notional Value Local Cur]])</f>
        <v>0</v>
      </c>
    </row>
    <row r="483" spans="1:5" x14ac:dyDescent="0.25">
      <c r="A483" s="36" t="b">
        <v>0</v>
      </c>
      <c r="B483" s="56" t="b">
        <v>0</v>
      </c>
      <c r="C483" s="56" t="b">
        <v>0</v>
      </c>
      <c r="D483" s="56" t="b">
        <v>0</v>
      </c>
      <c r="E483" s="56">
        <f ca="1">IF(PV[[#This Row],[Business Date]]=Control!$C$6, PV[[#This Row],[Notional Value Local Cur]], -PV[[#This Row],[Notional Value Local Cur]])</f>
        <v>0</v>
      </c>
    </row>
    <row r="484" spans="1:5" x14ac:dyDescent="0.25">
      <c r="A484" s="36" t="b">
        <v>0</v>
      </c>
      <c r="B484" s="56" t="b">
        <v>0</v>
      </c>
      <c r="C484" s="56" t="b">
        <v>0</v>
      </c>
      <c r="D484" s="56" t="b">
        <v>0</v>
      </c>
      <c r="E484" s="56">
        <f ca="1">IF(PV[[#This Row],[Business Date]]=Control!$C$6, PV[[#This Row],[Notional Value Local Cur]], -PV[[#This Row],[Notional Value Local Cur]])</f>
        <v>0</v>
      </c>
    </row>
    <row r="485" spans="1:5" x14ac:dyDescent="0.25">
      <c r="A485" s="36" t="b">
        <v>0</v>
      </c>
      <c r="B485" s="56" t="b">
        <v>0</v>
      </c>
      <c r="C485" s="56" t="b">
        <v>0</v>
      </c>
      <c r="D485" s="56" t="b">
        <v>0</v>
      </c>
      <c r="E485" s="56">
        <f ca="1">IF(PV[[#This Row],[Business Date]]=Control!$C$6, PV[[#This Row],[Notional Value Local Cur]], -PV[[#This Row],[Notional Value Local Cur]])</f>
        <v>0</v>
      </c>
    </row>
    <row r="486" spans="1:5" x14ac:dyDescent="0.25">
      <c r="A486" s="36" t="b">
        <v>0</v>
      </c>
      <c r="B486" s="56" t="b">
        <v>0</v>
      </c>
      <c r="C486" s="56" t="b">
        <v>0</v>
      </c>
      <c r="D486" s="56" t="b">
        <v>0</v>
      </c>
      <c r="E486" s="56">
        <f ca="1">IF(PV[[#This Row],[Business Date]]=Control!$C$6, PV[[#This Row],[Notional Value Local Cur]], -PV[[#This Row],[Notional Value Local Cur]])</f>
        <v>0</v>
      </c>
    </row>
    <row r="487" spans="1:5" x14ac:dyDescent="0.25">
      <c r="A487" s="36" t="b">
        <v>0</v>
      </c>
      <c r="B487" s="56" t="b">
        <v>0</v>
      </c>
      <c r="C487" s="56" t="b">
        <v>0</v>
      </c>
      <c r="D487" s="56" t="b">
        <v>0</v>
      </c>
      <c r="E487" s="56">
        <f ca="1">IF(PV[[#This Row],[Business Date]]=Control!$C$6, PV[[#This Row],[Notional Value Local Cur]], -PV[[#This Row],[Notional Value Local Cur]])</f>
        <v>0</v>
      </c>
    </row>
    <row r="488" spans="1:5" x14ac:dyDescent="0.25">
      <c r="A488" s="36" t="b">
        <v>0</v>
      </c>
      <c r="B488" s="56" t="b">
        <v>0</v>
      </c>
      <c r="C488" s="56" t="b">
        <v>0</v>
      </c>
      <c r="D488" s="56" t="b">
        <v>0</v>
      </c>
      <c r="E488" s="56">
        <f ca="1">IF(PV[[#This Row],[Business Date]]=Control!$C$6, PV[[#This Row],[Notional Value Local Cur]], -PV[[#This Row],[Notional Value Local Cur]])</f>
        <v>0</v>
      </c>
    </row>
    <row r="489" spans="1:5" x14ac:dyDescent="0.25">
      <c r="A489" s="36" t="b">
        <v>0</v>
      </c>
      <c r="B489" s="56" t="b">
        <v>0</v>
      </c>
      <c r="C489" s="56" t="b">
        <v>0</v>
      </c>
      <c r="D489" s="56" t="b">
        <v>0</v>
      </c>
      <c r="E489" s="56">
        <f ca="1">IF(PV[[#This Row],[Business Date]]=Control!$C$6, PV[[#This Row],[Notional Value Local Cur]], -PV[[#This Row],[Notional Value Local Cur]])</f>
        <v>0</v>
      </c>
    </row>
    <row r="490" spans="1:5" x14ac:dyDescent="0.25">
      <c r="A490" s="36" t="b">
        <v>0</v>
      </c>
      <c r="B490" s="56" t="b">
        <v>0</v>
      </c>
      <c r="C490" s="56" t="b">
        <v>0</v>
      </c>
      <c r="D490" s="56" t="b">
        <v>0</v>
      </c>
      <c r="E490" s="56">
        <f ca="1">IF(PV[[#This Row],[Business Date]]=Control!$C$6, PV[[#This Row],[Notional Value Local Cur]], -PV[[#This Row],[Notional Value Local Cur]])</f>
        <v>0</v>
      </c>
    </row>
    <row r="491" spans="1:5" x14ac:dyDescent="0.25">
      <c r="A491" s="36" t="b">
        <v>0</v>
      </c>
      <c r="B491" s="56" t="b">
        <v>0</v>
      </c>
      <c r="C491" s="56" t="b">
        <v>0</v>
      </c>
      <c r="D491" s="56" t="b">
        <v>0</v>
      </c>
      <c r="E491" s="56">
        <f ca="1">IF(PV[[#This Row],[Business Date]]=Control!$C$6, PV[[#This Row],[Notional Value Local Cur]], -PV[[#This Row],[Notional Value Local Cur]])</f>
        <v>0</v>
      </c>
    </row>
    <row r="492" spans="1:5" x14ac:dyDescent="0.25">
      <c r="A492" s="36" t="b">
        <v>0</v>
      </c>
      <c r="B492" s="56" t="b">
        <v>0</v>
      </c>
      <c r="C492" s="56" t="b">
        <v>0</v>
      </c>
      <c r="D492" s="56" t="b">
        <v>0</v>
      </c>
      <c r="E492" s="56">
        <f ca="1">IF(PV[[#This Row],[Business Date]]=Control!$C$6, PV[[#This Row],[Notional Value Local Cur]], -PV[[#This Row],[Notional Value Local Cur]])</f>
        <v>0</v>
      </c>
    </row>
    <row r="493" spans="1:5" x14ac:dyDescent="0.25">
      <c r="A493" s="36" t="b">
        <v>0</v>
      </c>
      <c r="B493" s="56" t="b">
        <v>0</v>
      </c>
      <c r="C493" s="56" t="b">
        <v>0</v>
      </c>
      <c r="D493" s="56" t="b">
        <v>0</v>
      </c>
      <c r="E493" s="56">
        <f ca="1">IF(PV[[#This Row],[Business Date]]=Control!$C$6, PV[[#This Row],[Notional Value Local Cur]], -PV[[#This Row],[Notional Value Local Cur]])</f>
        <v>0</v>
      </c>
    </row>
    <row r="494" spans="1:5" x14ac:dyDescent="0.25">
      <c r="A494" s="36" t="b">
        <v>0</v>
      </c>
      <c r="B494" s="56" t="b">
        <v>0</v>
      </c>
      <c r="C494" s="56" t="b">
        <v>0</v>
      </c>
      <c r="D494" s="56" t="b">
        <v>0</v>
      </c>
      <c r="E494" s="56">
        <f ca="1">IF(PV[[#This Row],[Business Date]]=Control!$C$6, PV[[#This Row],[Notional Value Local Cur]], -PV[[#This Row],[Notional Value Local Cur]])</f>
        <v>0</v>
      </c>
    </row>
    <row r="495" spans="1:5" x14ac:dyDescent="0.25">
      <c r="A495" s="36" t="b">
        <v>0</v>
      </c>
      <c r="B495" s="56" t="b">
        <v>0</v>
      </c>
      <c r="C495" s="56" t="b">
        <v>0</v>
      </c>
      <c r="D495" s="56" t="b">
        <v>0</v>
      </c>
      <c r="E495" s="56">
        <f ca="1">IF(PV[[#This Row],[Business Date]]=Control!$C$6, PV[[#This Row],[Notional Value Local Cur]], -PV[[#This Row],[Notional Value Local Cur]])</f>
        <v>0</v>
      </c>
    </row>
    <row r="496" spans="1:5" x14ac:dyDescent="0.25">
      <c r="A496" s="36" t="b">
        <v>0</v>
      </c>
      <c r="B496" s="56" t="b">
        <v>0</v>
      </c>
      <c r="C496" s="56" t="b">
        <v>0</v>
      </c>
      <c r="D496" s="56" t="b">
        <v>0</v>
      </c>
      <c r="E496" s="56">
        <f ca="1">IF(PV[[#This Row],[Business Date]]=Control!$C$6, PV[[#This Row],[Notional Value Local Cur]], -PV[[#This Row],[Notional Value Local Cur]])</f>
        <v>0</v>
      </c>
    </row>
    <row r="497" spans="1:5" x14ac:dyDescent="0.25">
      <c r="A497" s="36" t="b">
        <v>0</v>
      </c>
      <c r="B497" s="56" t="b">
        <v>0</v>
      </c>
      <c r="C497" s="56" t="b">
        <v>0</v>
      </c>
      <c r="D497" s="56" t="b">
        <v>0</v>
      </c>
      <c r="E497" s="56">
        <f ca="1">IF(PV[[#This Row],[Business Date]]=Control!$C$6, PV[[#This Row],[Notional Value Local Cur]], -PV[[#This Row],[Notional Value Local Cur]])</f>
        <v>0</v>
      </c>
    </row>
    <row r="498" spans="1:5" x14ac:dyDescent="0.25">
      <c r="A498" s="36" t="b">
        <v>0</v>
      </c>
      <c r="B498" s="56" t="b">
        <v>0</v>
      </c>
      <c r="C498" s="56" t="b">
        <v>0</v>
      </c>
      <c r="D498" s="56" t="b">
        <v>0</v>
      </c>
      <c r="E498" s="56">
        <f ca="1">IF(PV[[#This Row],[Business Date]]=Control!$C$6, PV[[#This Row],[Notional Value Local Cur]], -PV[[#This Row],[Notional Value Local Cur]])</f>
        <v>0</v>
      </c>
    </row>
    <row r="499" spans="1:5" x14ac:dyDescent="0.25">
      <c r="A499" s="36" t="b">
        <v>0</v>
      </c>
      <c r="B499" s="56" t="b">
        <v>0</v>
      </c>
      <c r="C499" s="56" t="b">
        <v>0</v>
      </c>
      <c r="D499" s="56" t="b">
        <v>0</v>
      </c>
      <c r="E499" s="56">
        <f ca="1">IF(PV[[#This Row],[Business Date]]=Control!$C$6, PV[[#This Row],[Notional Value Local Cur]], -PV[[#This Row],[Notional Value Local Cur]])</f>
        <v>0</v>
      </c>
    </row>
    <row r="500" spans="1:5" x14ac:dyDescent="0.25">
      <c r="A500" s="36" t="b">
        <v>0</v>
      </c>
      <c r="B500" s="56" t="b">
        <v>0</v>
      </c>
      <c r="C500" s="56" t="b">
        <v>0</v>
      </c>
      <c r="D500" s="56" t="b">
        <v>0</v>
      </c>
      <c r="E500" s="56">
        <f ca="1">IF(PV[[#This Row],[Business Date]]=Control!$C$6, PV[[#This Row],[Notional Value Local Cur]], -PV[[#This Row],[Notional Value Local Cur]])</f>
        <v>0</v>
      </c>
    </row>
    <row r="501" spans="1:5" x14ac:dyDescent="0.25">
      <c r="A501" s="36" t="b">
        <v>0</v>
      </c>
      <c r="B501" s="56" t="b">
        <v>0</v>
      </c>
      <c r="C501" s="56" t="b">
        <v>0</v>
      </c>
      <c r="D501" s="56" t="b">
        <v>0</v>
      </c>
      <c r="E501" s="56">
        <f ca="1">IF(PV[[#This Row],[Business Date]]=Control!$C$6, PV[[#This Row],[Notional Value Local Cur]], -PV[[#This Row],[Notional Value Local Cur]])</f>
        <v>0</v>
      </c>
    </row>
    <row r="502" spans="1:5" x14ac:dyDescent="0.25">
      <c r="A502" s="36" t="b">
        <v>0</v>
      </c>
      <c r="B502" s="56" t="b">
        <v>0</v>
      </c>
      <c r="C502" s="56" t="b">
        <v>0</v>
      </c>
      <c r="D502" s="56" t="b">
        <v>0</v>
      </c>
      <c r="E502" s="56">
        <f ca="1">IF(PV[[#This Row],[Business Date]]=Control!$C$6, PV[[#This Row],[Notional Value Local Cur]], -PV[[#This Row],[Notional Value Local Cur]])</f>
        <v>0</v>
      </c>
    </row>
    <row r="503" spans="1:5" x14ac:dyDescent="0.25">
      <c r="A503" s="36" t="b">
        <v>0</v>
      </c>
      <c r="B503" s="56" t="b">
        <v>0</v>
      </c>
      <c r="C503" s="56" t="b">
        <v>0</v>
      </c>
      <c r="D503" s="56" t="b">
        <v>0</v>
      </c>
      <c r="E503" s="56">
        <f ca="1">IF(PV[[#This Row],[Business Date]]=Control!$C$6, PV[[#This Row],[Notional Value Local Cur]], -PV[[#This Row],[Notional Value Local Cur]])</f>
        <v>0</v>
      </c>
    </row>
    <row r="504" spans="1:5" x14ac:dyDescent="0.25">
      <c r="A504" s="36" t="b">
        <v>0</v>
      </c>
      <c r="B504" s="56" t="b">
        <v>0</v>
      </c>
      <c r="C504" s="56" t="b">
        <v>0</v>
      </c>
      <c r="D504" s="56" t="b">
        <v>0</v>
      </c>
      <c r="E504" s="56">
        <f ca="1">IF(PV[[#This Row],[Business Date]]=Control!$C$6, PV[[#This Row],[Notional Value Local Cur]], -PV[[#This Row],[Notional Value Local Cur]])</f>
        <v>0</v>
      </c>
    </row>
    <row r="505" spans="1:5" x14ac:dyDescent="0.25">
      <c r="A505" s="36" t="b">
        <v>0</v>
      </c>
      <c r="B505" s="56" t="b">
        <v>0</v>
      </c>
      <c r="C505" s="56" t="b">
        <v>0</v>
      </c>
      <c r="D505" s="56" t="b">
        <v>0</v>
      </c>
      <c r="E505" s="56">
        <f ca="1">IF(PV[[#This Row],[Business Date]]=Control!$C$6, PV[[#This Row],[Notional Value Local Cur]], -PV[[#This Row],[Notional Value Local Cur]])</f>
        <v>0</v>
      </c>
    </row>
    <row r="506" spans="1:5" x14ac:dyDescent="0.25">
      <c r="A506" s="36" t="b">
        <v>0</v>
      </c>
      <c r="B506" s="56" t="b">
        <v>0</v>
      </c>
      <c r="C506" s="56" t="b">
        <v>0</v>
      </c>
      <c r="D506" s="56" t="b">
        <v>0</v>
      </c>
      <c r="E506" s="56">
        <f ca="1">IF(PV[[#This Row],[Business Date]]=Control!$C$6, PV[[#This Row],[Notional Value Local Cur]], -PV[[#This Row],[Notional Value Local Cur]])</f>
        <v>0</v>
      </c>
    </row>
    <row r="507" spans="1:5" x14ac:dyDescent="0.25">
      <c r="A507" s="36" t="b">
        <v>0</v>
      </c>
      <c r="B507" s="56" t="b">
        <v>0</v>
      </c>
      <c r="C507" s="56" t="b">
        <v>0</v>
      </c>
      <c r="D507" s="56" t="b">
        <v>0</v>
      </c>
      <c r="E507" s="56">
        <f ca="1">IF(PV[[#This Row],[Business Date]]=Control!$C$6, PV[[#This Row],[Notional Value Local Cur]], -PV[[#This Row],[Notional Value Local Cur]])</f>
        <v>0</v>
      </c>
    </row>
    <row r="508" spans="1:5" x14ac:dyDescent="0.25">
      <c r="A508" s="36" t="b">
        <v>0</v>
      </c>
      <c r="B508" s="56" t="b">
        <v>0</v>
      </c>
      <c r="C508" s="56" t="b">
        <v>0</v>
      </c>
      <c r="D508" s="56" t="b">
        <v>0</v>
      </c>
      <c r="E508" s="56">
        <f ca="1">IF(PV[[#This Row],[Business Date]]=Control!$C$6, PV[[#This Row],[Notional Value Local Cur]], -PV[[#This Row],[Notional Value Local Cur]])</f>
        <v>0</v>
      </c>
    </row>
    <row r="509" spans="1:5" x14ac:dyDescent="0.25">
      <c r="A509" s="36" t="b">
        <v>0</v>
      </c>
      <c r="B509" s="56" t="b">
        <v>0</v>
      </c>
      <c r="C509" s="56" t="b">
        <v>0</v>
      </c>
      <c r="D509" s="56" t="b">
        <v>0</v>
      </c>
      <c r="E509" s="56">
        <f ca="1">IF(PV[[#This Row],[Business Date]]=Control!$C$6, PV[[#This Row],[Notional Value Local Cur]], -PV[[#This Row],[Notional Value Local Cur]])</f>
        <v>0</v>
      </c>
    </row>
    <row r="510" spans="1:5" x14ac:dyDescent="0.25">
      <c r="A510" s="36" t="b">
        <v>0</v>
      </c>
      <c r="B510" s="56" t="b">
        <v>0</v>
      </c>
      <c r="C510" s="56" t="b">
        <v>0</v>
      </c>
      <c r="D510" s="56" t="b">
        <v>0</v>
      </c>
      <c r="E510" s="56">
        <f ca="1">IF(PV[[#This Row],[Business Date]]=Control!$C$6, PV[[#This Row],[Notional Value Local Cur]], -PV[[#This Row],[Notional Value Local Cur]])</f>
        <v>0</v>
      </c>
    </row>
    <row r="511" spans="1:5" x14ac:dyDescent="0.25">
      <c r="A511" s="36" t="b">
        <v>0</v>
      </c>
      <c r="B511" s="56" t="b">
        <v>0</v>
      </c>
      <c r="C511" s="56" t="b">
        <v>0</v>
      </c>
      <c r="D511" s="56" t="b">
        <v>0</v>
      </c>
      <c r="E511" s="56">
        <f ca="1">IF(PV[[#This Row],[Business Date]]=Control!$C$6, PV[[#This Row],[Notional Value Local Cur]], -PV[[#This Row],[Notional Value Local Cur]])</f>
        <v>0</v>
      </c>
    </row>
    <row r="512" spans="1:5" x14ac:dyDescent="0.25">
      <c r="A512" s="36" t="b">
        <v>0</v>
      </c>
      <c r="B512" s="56" t="b">
        <v>0</v>
      </c>
      <c r="C512" s="56" t="b">
        <v>0</v>
      </c>
      <c r="D512" s="56" t="b">
        <v>0</v>
      </c>
      <c r="E512" s="56">
        <f ca="1">IF(PV[[#This Row],[Business Date]]=Control!$C$6, PV[[#This Row],[Notional Value Local Cur]], -PV[[#This Row],[Notional Value Local Cur]])</f>
        <v>0</v>
      </c>
    </row>
    <row r="513" spans="1:5" x14ac:dyDescent="0.25">
      <c r="A513" s="36" t="b">
        <v>0</v>
      </c>
      <c r="B513" s="56" t="b">
        <v>0</v>
      </c>
      <c r="C513" s="56" t="b">
        <v>0</v>
      </c>
      <c r="D513" s="56" t="b">
        <v>0</v>
      </c>
      <c r="E513" s="56">
        <f ca="1">IF(PV[[#This Row],[Business Date]]=Control!$C$6, PV[[#This Row],[Notional Value Local Cur]], -PV[[#This Row],[Notional Value Local Cur]])</f>
        <v>0</v>
      </c>
    </row>
    <row r="514" spans="1:5" x14ac:dyDescent="0.25">
      <c r="A514" s="36" t="b">
        <v>0</v>
      </c>
      <c r="B514" s="56" t="b">
        <v>0</v>
      </c>
      <c r="C514" s="56" t="b">
        <v>0</v>
      </c>
      <c r="D514" s="56" t="b">
        <v>0</v>
      </c>
      <c r="E514" s="56">
        <f ca="1">IF(PV[[#This Row],[Business Date]]=Control!$C$6, PV[[#This Row],[Notional Value Local Cur]], -PV[[#This Row],[Notional Value Local Cur]])</f>
        <v>0</v>
      </c>
    </row>
    <row r="515" spans="1:5" x14ac:dyDescent="0.25">
      <c r="A515" s="36" t="b">
        <v>0</v>
      </c>
      <c r="B515" s="56" t="b">
        <v>0</v>
      </c>
      <c r="C515" s="56" t="b">
        <v>0</v>
      </c>
      <c r="D515" s="56" t="b">
        <v>0</v>
      </c>
      <c r="E515" s="56">
        <f ca="1">IF(PV[[#This Row],[Business Date]]=Control!$C$6, PV[[#This Row],[Notional Value Local Cur]], -PV[[#This Row],[Notional Value Local Cur]])</f>
        <v>0</v>
      </c>
    </row>
    <row r="516" spans="1:5" x14ac:dyDescent="0.25">
      <c r="A516" s="36" t="b">
        <v>0</v>
      </c>
      <c r="B516" s="56" t="b">
        <v>0</v>
      </c>
      <c r="C516" s="56" t="b">
        <v>0</v>
      </c>
      <c r="D516" s="56" t="b">
        <v>0</v>
      </c>
      <c r="E516" s="56">
        <f ca="1">IF(PV[[#This Row],[Business Date]]=Control!$C$6, PV[[#This Row],[Notional Value Local Cur]], -PV[[#This Row],[Notional Value Local Cur]])</f>
        <v>0</v>
      </c>
    </row>
    <row r="517" spans="1:5" x14ac:dyDescent="0.25">
      <c r="A517" s="36" t="b">
        <v>0</v>
      </c>
      <c r="B517" s="56" t="b">
        <v>0</v>
      </c>
      <c r="C517" s="56" t="b">
        <v>0</v>
      </c>
      <c r="D517" s="56" t="b">
        <v>0</v>
      </c>
      <c r="E517" s="56">
        <f ca="1">IF(PV[[#This Row],[Business Date]]=Control!$C$6, PV[[#This Row],[Notional Value Local Cur]], -PV[[#This Row],[Notional Value Local Cur]])</f>
        <v>0</v>
      </c>
    </row>
    <row r="518" spans="1:5" x14ac:dyDescent="0.25">
      <c r="A518" s="36" t="b">
        <v>0</v>
      </c>
      <c r="B518" s="56" t="b">
        <v>0</v>
      </c>
      <c r="C518" s="56" t="b">
        <v>0</v>
      </c>
      <c r="D518" s="56" t="b">
        <v>0</v>
      </c>
      <c r="E518" s="56">
        <f ca="1">IF(PV[[#This Row],[Business Date]]=Control!$C$6, PV[[#This Row],[Notional Value Local Cur]], -PV[[#This Row],[Notional Value Local Cur]])</f>
        <v>0</v>
      </c>
    </row>
    <row r="519" spans="1:5" x14ac:dyDescent="0.25">
      <c r="A519" s="36" t="b">
        <v>0</v>
      </c>
      <c r="B519" s="56" t="b">
        <v>0</v>
      </c>
      <c r="C519" s="56" t="b">
        <v>0</v>
      </c>
      <c r="D519" s="56" t="b">
        <v>0</v>
      </c>
      <c r="E519" s="56">
        <f ca="1">IF(PV[[#This Row],[Business Date]]=Control!$C$6, PV[[#This Row],[Notional Value Local Cur]], -PV[[#This Row],[Notional Value Local Cur]])</f>
        <v>0</v>
      </c>
    </row>
    <row r="520" spans="1:5" x14ac:dyDescent="0.25">
      <c r="A520" s="36" t="b">
        <v>0</v>
      </c>
      <c r="B520" s="56" t="b">
        <v>0</v>
      </c>
      <c r="C520" s="56" t="b">
        <v>0</v>
      </c>
      <c r="D520" s="56" t="b">
        <v>0</v>
      </c>
      <c r="E520" s="56">
        <f ca="1">IF(PV[[#This Row],[Business Date]]=Control!$C$6, PV[[#This Row],[Notional Value Local Cur]], -PV[[#This Row],[Notional Value Local Cur]])</f>
        <v>0</v>
      </c>
    </row>
    <row r="521" spans="1:5" x14ac:dyDescent="0.25">
      <c r="A521" s="36" t="b">
        <v>0</v>
      </c>
      <c r="B521" s="56" t="b">
        <v>0</v>
      </c>
      <c r="C521" s="56" t="b">
        <v>0</v>
      </c>
      <c r="D521" s="56" t="b">
        <v>0</v>
      </c>
      <c r="E521" s="56">
        <f ca="1">IF(PV[[#This Row],[Business Date]]=Control!$C$6, PV[[#This Row],[Notional Value Local Cur]], -PV[[#This Row],[Notional Value Local Cur]])</f>
        <v>0</v>
      </c>
    </row>
    <row r="522" spans="1:5" x14ac:dyDescent="0.25">
      <c r="A522" s="36" t="b">
        <v>0</v>
      </c>
      <c r="B522" s="56" t="b">
        <v>0</v>
      </c>
      <c r="C522" s="56" t="b">
        <v>0</v>
      </c>
      <c r="D522" s="56" t="b">
        <v>0</v>
      </c>
      <c r="E522" s="56">
        <f ca="1">IF(PV[[#This Row],[Business Date]]=Control!$C$6, PV[[#This Row],[Notional Value Local Cur]], -PV[[#This Row],[Notional Value Local Cur]])</f>
        <v>0</v>
      </c>
    </row>
    <row r="523" spans="1:5" x14ac:dyDescent="0.25">
      <c r="A523" s="36" t="b">
        <v>0</v>
      </c>
      <c r="B523" s="56" t="b">
        <v>0</v>
      </c>
      <c r="C523" s="56" t="b">
        <v>0</v>
      </c>
      <c r="D523" s="56" t="b">
        <v>0</v>
      </c>
      <c r="E523" s="56">
        <f ca="1">IF(PV[[#This Row],[Business Date]]=Control!$C$6, PV[[#This Row],[Notional Value Local Cur]], -PV[[#This Row],[Notional Value Local Cur]])</f>
        <v>0</v>
      </c>
    </row>
    <row r="524" spans="1:5" x14ac:dyDescent="0.25">
      <c r="A524" s="36" t="b">
        <v>0</v>
      </c>
      <c r="B524" s="56" t="b">
        <v>0</v>
      </c>
      <c r="C524" s="56" t="b">
        <v>0</v>
      </c>
      <c r="D524" s="56" t="b">
        <v>0</v>
      </c>
      <c r="E524" s="56">
        <f ca="1">IF(PV[[#This Row],[Business Date]]=Control!$C$6, PV[[#This Row],[Notional Value Local Cur]], -PV[[#This Row],[Notional Value Local Cur]])</f>
        <v>0</v>
      </c>
    </row>
    <row r="525" spans="1:5" x14ac:dyDescent="0.25">
      <c r="A525" s="36" t="b">
        <v>0</v>
      </c>
      <c r="B525" s="56" t="b">
        <v>0</v>
      </c>
      <c r="C525" s="56" t="b">
        <v>0</v>
      </c>
      <c r="D525" s="56" t="b">
        <v>0</v>
      </c>
      <c r="E525" s="56">
        <f ca="1">IF(PV[[#This Row],[Business Date]]=Control!$C$6, PV[[#This Row],[Notional Value Local Cur]], -PV[[#This Row],[Notional Value Local Cur]])</f>
        <v>0</v>
      </c>
    </row>
    <row r="526" spans="1:5" x14ac:dyDescent="0.25">
      <c r="A526" s="36" t="b">
        <v>0</v>
      </c>
      <c r="B526" s="56" t="b">
        <v>0</v>
      </c>
      <c r="C526" s="56" t="b">
        <v>0</v>
      </c>
      <c r="D526" s="56" t="b">
        <v>0</v>
      </c>
      <c r="E526" s="56">
        <f ca="1">IF(PV[[#This Row],[Business Date]]=Control!$C$6, PV[[#This Row],[Notional Value Local Cur]], -PV[[#This Row],[Notional Value Local Cur]])</f>
        <v>0</v>
      </c>
    </row>
    <row r="527" spans="1:5" x14ac:dyDescent="0.25">
      <c r="A527" s="36" t="b">
        <v>0</v>
      </c>
      <c r="B527" s="56" t="b">
        <v>0</v>
      </c>
      <c r="C527" s="56" t="b">
        <v>0</v>
      </c>
      <c r="D527" s="56" t="b">
        <v>0</v>
      </c>
      <c r="E527" s="56">
        <f ca="1">IF(PV[[#This Row],[Business Date]]=Control!$C$6, PV[[#This Row],[Notional Value Local Cur]], -PV[[#This Row],[Notional Value Local Cur]])</f>
        <v>0</v>
      </c>
    </row>
    <row r="528" spans="1:5" x14ac:dyDescent="0.25">
      <c r="A528" s="36" t="b">
        <v>0</v>
      </c>
      <c r="B528" s="56" t="b">
        <v>0</v>
      </c>
      <c r="C528" s="56" t="b">
        <v>0</v>
      </c>
      <c r="D528" s="56" t="b">
        <v>0</v>
      </c>
      <c r="E528" s="56">
        <f ca="1">IF(PV[[#This Row],[Business Date]]=Control!$C$6, PV[[#This Row],[Notional Value Local Cur]], -PV[[#This Row],[Notional Value Local Cur]])</f>
        <v>0</v>
      </c>
    </row>
    <row r="529" spans="1:5" x14ac:dyDescent="0.25">
      <c r="A529" s="36" t="b">
        <v>0</v>
      </c>
      <c r="B529" s="56" t="b">
        <v>0</v>
      </c>
      <c r="C529" s="56" t="b">
        <v>0</v>
      </c>
      <c r="D529" s="56" t="b">
        <v>0</v>
      </c>
      <c r="E529" s="56">
        <f ca="1">IF(PV[[#This Row],[Business Date]]=Control!$C$6, PV[[#This Row],[Notional Value Local Cur]], -PV[[#This Row],[Notional Value Local Cur]])</f>
        <v>0</v>
      </c>
    </row>
    <row r="530" spans="1:5" x14ac:dyDescent="0.25">
      <c r="A530" s="36" t="b">
        <v>0</v>
      </c>
      <c r="B530" s="56" t="b">
        <v>0</v>
      </c>
      <c r="C530" s="56" t="b">
        <v>0</v>
      </c>
      <c r="D530" s="56" t="b">
        <v>0</v>
      </c>
      <c r="E530" s="56">
        <f ca="1">IF(PV[[#This Row],[Business Date]]=Control!$C$6, PV[[#This Row],[Notional Value Local Cur]], -PV[[#This Row],[Notional Value Local Cur]])</f>
        <v>0</v>
      </c>
    </row>
    <row r="531" spans="1:5" x14ac:dyDescent="0.25">
      <c r="A531" s="36" t="b">
        <v>0</v>
      </c>
      <c r="B531" s="56" t="b">
        <v>0</v>
      </c>
      <c r="C531" s="56" t="b">
        <v>0</v>
      </c>
      <c r="D531" s="56" t="b">
        <v>0</v>
      </c>
      <c r="E531" s="56">
        <f ca="1">IF(PV[[#This Row],[Business Date]]=Control!$C$6, PV[[#This Row],[Notional Value Local Cur]], -PV[[#This Row],[Notional Value Local Cur]])</f>
        <v>0</v>
      </c>
    </row>
    <row r="532" spans="1:5" x14ac:dyDescent="0.25">
      <c r="A532" s="36" t="b">
        <v>0</v>
      </c>
      <c r="B532" s="56" t="b">
        <v>0</v>
      </c>
      <c r="C532" s="56" t="b">
        <v>0</v>
      </c>
      <c r="D532" s="56" t="b">
        <v>0</v>
      </c>
      <c r="E532" s="56">
        <f ca="1">IF(PV[[#This Row],[Business Date]]=Control!$C$6, PV[[#This Row],[Notional Value Local Cur]], -PV[[#This Row],[Notional Value Local Cur]])</f>
        <v>0</v>
      </c>
    </row>
    <row r="533" spans="1:5" x14ac:dyDescent="0.25">
      <c r="A533" s="36" t="b">
        <v>0</v>
      </c>
      <c r="B533" s="56" t="b">
        <v>0</v>
      </c>
      <c r="C533" s="56" t="b">
        <v>0</v>
      </c>
      <c r="D533" s="56" t="b">
        <v>0</v>
      </c>
      <c r="E533" s="56">
        <f ca="1">IF(PV[[#This Row],[Business Date]]=Control!$C$6, PV[[#This Row],[Notional Value Local Cur]], -PV[[#This Row],[Notional Value Local Cur]])</f>
        <v>0</v>
      </c>
    </row>
    <row r="534" spans="1:5" x14ac:dyDescent="0.25">
      <c r="A534" s="36" t="b">
        <v>0</v>
      </c>
      <c r="B534" s="56" t="b">
        <v>0</v>
      </c>
      <c r="C534" s="56" t="b">
        <v>0</v>
      </c>
      <c r="D534" s="56" t="b">
        <v>0</v>
      </c>
      <c r="E534" s="56">
        <f ca="1">IF(PV[[#This Row],[Business Date]]=Control!$C$6, PV[[#This Row],[Notional Value Local Cur]], -PV[[#This Row],[Notional Value Local Cur]])</f>
        <v>0</v>
      </c>
    </row>
    <row r="535" spans="1:5" x14ac:dyDescent="0.25">
      <c r="A535" s="36" t="b">
        <v>0</v>
      </c>
      <c r="B535" s="56" t="b">
        <v>0</v>
      </c>
      <c r="C535" s="56" t="b">
        <v>0</v>
      </c>
      <c r="D535" s="56" t="b">
        <v>0</v>
      </c>
      <c r="E535" s="56">
        <f ca="1">IF(PV[[#This Row],[Business Date]]=Control!$C$6, PV[[#This Row],[Notional Value Local Cur]], -PV[[#This Row],[Notional Value Local Cur]])</f>
        <v>0</v>
      </c>
    </row>
    <row r="536" spans="1:5" x14ac:dyDescent="0.25">
      <c r="A536" s="36" t="b">
        <v>0</v>
      </c>
      <c r="B536" s="56" t="b">
        <v>0</v>
      </c>
      <c r="C536" s="56" t="b">
        <v>0</v>
      </c>
      <c r="D536" s="56" t="b">
        <v>0</v>
      </c>
      <c r="E536" s="56">
        <f ca="1">IF(PV[[#This Row],[Business Date]]=Control!$C$6, PV[[#This Row],[Notional Value Local Cur]], -PV[[#This Row],[Notional Value Local Cur]])</f>
        <v>0</v>
      </c>
    </row>
    <row r="537" spans="1:5" x14ac:dyDescent="0.25">
      <c r="A537" s="36" t="b">
        <v>0</v>
      </c>
      <c r="B537" s="56" t="b">
        <v>0</v>
      </c>
      <c r="C537" s="56" t="b">
        <v>0</v>
      </c>
      <c r="D537" s="56" t="b">
        <v>0</v>
      </c>
      <c r="E537" s="56">
        <f ca="1">IF(PV[[#This Row],[Business Date]]=Control!$C$6, PV[[#This Row],[Notional Value Local Cur]], -PV[[#This Row],[Notional Value Local Cur]])</f>
        <v>0</v>
      </c>
    </row>
    <row r="538" spans="1:5" x14ac:dyDescent="0.25">
      <c r="A538" s="36" t="b">
        <v>0</v>
      </c>
      <c r="B538" s="56" t="b">
        <v>0</v>
      </c>
      <c r="C538" s="56" t="b">
        <v>0</v>
      </c>
      <c r="D538" s="56" t="b">
        <v>0</v>
      </c>
      <c r="E538" s="56">
        <f ca="1">IF(PV[[#This Row],[Business Date]]=Control!$C$6, PV[[#This Row],[Notional Value Local Cur]], -PV[[#This Row],[Notional Value Local Cur]])</f>
        <v>0</v>
      </c>
    </row>
    <row r="539" spans="1:5" x14ac:dyDescent="0.25">
      <c r="A539" s="36" t="b">
        <v>0</v>
      </c>
      <c r="B539" s="56" t="b">
        <v>0</v>
      </c>
      <c r="C539" s="56" t="b">
        <v>0</v>
      </c>
      <c r="D539" s="56" t="b">
        <v>0</v>
      </c>
      <c r="E539" s="56">
        <f ca="1">IF(PV[[#This Row],[Business Date]]=Control!$C$6, PV[[#This Row],[Notional Value Local Cur]], -PV[[#This Row],[Notional Value Local Cur]])</f>
        <v>0</v>
      </c>
    </row>
    <row r="540" spans="1:5" x14ac:dyDescent="0.25">
      <c r="A540" s="36" t="b">
        <v>0</v>
      </c>
      <c r="B540" s="56" t="b">
        <v>0</v>
      </c>
      <c r="C540" s="56" t="b">
        <v>0</v>
      </c>
      <c r="D540" s="56" t="b">
        <v>0</v>
      </c>
      <c r="E540" s="56">
        <f ca="1">IF(PV[[#This Row],[Business Date]]=Control!$C$6, PV[[#This Row],[Notional Value Local Cur]], -PV[[#This Row],[Notional Value Local Cur]])</f>
        <v>0</v>
      </c>
    </row>
    <row r="541" spans="1:5" x14ac:dyDescent="0.25">
      <c r="A541" s="36" t="b">
        <v>0</v>
      </c>
      <c r="B541" s="56" t="b">
        <v>0</v>
      </c>
      <c r="C541" s="56" t="b">
        <v>0</v>
      </c>
      <c r="D541" s="56" t="b">
        <v>0</v>
      </c>
      <c r="E541" s="56">
        <f ca="1">IF(PV[[#This Row],[Business Date]]=Control!$C$6, PV[[#This Row],[Notional Value Local Cur]], -PV[[#This Row],[Notional Value Local Cur]])</f>
        <v>0</v>
      </c>
    </row>
    <row r="542" spans="1:5" x14ac:dyDescent="0.25">
      <c r="A542" s="36" t="b">
        <v>0</v>
      </c>
      <c r="B542" s="56" t="b">
        <v>0</v>
      </c>
      <c r="C542" s="56" t="b">
        <v>0</v>
      </c>
      <c r="D542" s="56" t="b">
        <v>0</v>
      </c>
      <c r="E542" s="56">
        <f ca="1">IF(PV[[#This Row],[Business Date]]=Control!$C$6, PV[[#This Row],[Notional Value Local Cur]], -PV[[#This Row],[Notional Value Local Cur]])</f>
        <v>0</v>
      </c>
    </row>
    <row r="543" spans="1:5" x14ac:dyDescent="0.25">
      <c r="A543" s="36" t="b">
        <v>0</v>
      </c>
      <c r="B543" s="56" t="b">
        <v>0</v>
      </c>
      <c r="C543" s="56" t="b">
        <v>0</v>
      </c>
      <c r="D543" s="56" t="b">
        <v>0</v>
      </c>
      <c r="E543" s="56">
        <f ca="1">IF(PV[[#This Row],[Business Date]]=Control!$C$6, PV[[#This Row],[Notional Value Local Cur]], -PV[[#This Row],[Notional Value Local Cur]])</f>
        <v>0</v>
      </c>
    </row>
    <row r="544" spans="1:5" x14ac:dyDescent="0.25">
      <c r="A544" s="36" t="b">
        <v>0</v>
      </c>
      <c r="B544" s="56" t="b">
        <v>0</v>
      </c>
      <c r="C544" s="56" t="b">
        <v>0</v>
      </c>
      <c r="D544" s="56" t="b">
        <v>0</v>
      </c>
      <c r="E544" s="56">
        <f ca="1">IF(PV[[#This Row],[Business Date]]=Control!$C$6, PV[[#This Row],[Notional Value Local Cur]], -PV[[#This Row],[Notional Value Local Cur]])</f>
        <v>0</v>
      </c>
    </row>
    <row r="545" spans="1:5" x14ac:dyDescent="0.25">
      <c r="A545" s="36" t="b">
        <v>0</v>
      </c>
      <c r="B545" s="56" t="b">
        <v>0</v>
      </c>
      <c r="C545" s="56" t="b">
        <v>0</v>
      </c>
      <c r="D545" s="56" t="b">
        <v>0</v>
      </c>
      <c r="E545" s="56">
        <f ca="1">IF(PV[[#This Row],[Business Date]]=Control!$C$6, PV[[#This Row],[Notional Value Local Cur]], -PV[[#This Row],[Notional Value Local Cur]])</f>
        <v>0</v>
      </c>
    </row>
    <row r="546" spans="1:5" x14ac:dyDescent="0.25">
      <c r="A546" s="36" t="b">
        <v>0</v>
      </c>
      <c r="B546" s="56" t="b">
        <v>0</v>
      </c>
      <c r="C546" s="56" t="b">
        <v>0</v>
      </c>
      <c r="D546" s="56" t="b">
        <v>0</v>
      </c>
      <c r="E546" s="56">
        <f ca="1">IF(PV[[#This Row],[Business Date]]=Control!$C$6, PV[[#This Row],[Notional Value Local Cur]], -PV[[#This Row],[Notional Value Local Cur]])</f>
        <v>0</v>
      </c>
    </row>
    <row r="547" spans="1:5" x14ac:dyDescent="0.25">
      <c r="A547" s="36" t="b">
        <v>0</v>
      </c>
      <c r="B547" s="56" t="b">
        <v>0</v>
      </c>
      <c r="C547" s="56" t="b">
        <v>0</v>
      </c>
      <c r="D547" s="56" t="b">
        <v>0</v>
      </c>
      <c r="E547" s="56">
        <f ca="1">IF(PV[[#This Row],[Business Date]]=Control!$C$6, PV[[#This Row],[Notional Value Local Cur]], -PV[[#This Row],[Notional Value Local Cur]])</f>
        <v>0</v>
      </c>
    </row>
    <row r="548" spans="1:5" x14ac:dyDescent="0.25">
      <c r="A548" s="36" t="b">
        <v>0</v>
      </c>
      <c r="B548" s="56" t="b">
        <v>0</v>
      </c>
      <c r="C548" s="56" t="b">
        <v>0</v>
      </c>
      <c r="D548" s="56" t="b">
        <v>0</v>
      </c>
      <c r="E548" s="56">
        <f ca="1">IF(PV[[#This Row],[Business Date]]=Control!$C$6, PV[[#This Row],[Notional Value Local Cur]], -PV[[#This Row],[Notional Value Local Cur]])</f>
        <v>0</v>
      </c>
    </row>
    <row r="549" spans="1:5" x14ac:dyDescent="0.25">
      <c r="A549" s="36" t="b">
        <v>0</v>
      </c>
      <c r="B549" s="56" t="b">
        <v>0</v>
      </c>
      <c r="C549" s="56" t="b">
        <v>0</v>
      </c>
      <c r="D549" s="56" t="b">
        <v>0</v>
      </c>
      <c r="E549" s="56">
        <f ca="1">IF(PV[[#This Row],[Business Date]]=Control!$C$6, PV[[#This Row],[Notional Value Local Cur]], -PV[[#This Row],[Notional Value Local Cur]])</f>
        <v>0</v>
      </c>
    </row>
    <row r="550" spans="1:5" x14ac:dyDescent="0.25">
      <c r="A550" s="36" t="b">
        <v>0</v>
      </c>
      <c r="B550" s="56" t="b">
        <v>0</v>
      </c>
      <c r="C550" s="56" t="b">
        <v>0</v>
      </c>
      <c r="D550" s="56" t="b">
        <v>0</v>
      </c>
      <c r="E550" s="56">
        <f ca="1">IF(PV[[#This Row],[Business Date]]=Control!$C$6, PV[[#This Row],[Notional Value Local Cur]], -PV[[#This Row],[Notional Value Local Cur]])</f>
        <v>0</v>
      </c>
    </row>
    <row r="551" spans="1:5" x14ac:dyDescent="0.25">
      <c r="A551" s="36" t="b">
        <v>0</v>
      </c>
      <c r="B551" s="56" t="b">
        <v>0</v>
      </c>
      <c r="C551" s="56" t="b">
        <v>0</v>
      </c>
      <c r="D551" s="56" t="b">
        <v>0</v>
      </c>
      <c r="E551" s="56">
        <f ca="1">IF(PV[[#This Row],[Business Date]]=Control!$C$6, PV[[#This Row],[Notional Value Local Cur]], -PV[[#This Row],[Notional Value Local Cur]])</f>
        <v>0</v>
      </c>
    </row>
    <row r="552" spans="1:5" x14ac:dyDescent="0.25">
      <c r="A552" s="36" t="b">
        <v>0</v>
      </c>
      <c r="B552" s="56" t="b">
        <v>0</v>
      </c>
      <c r="C552" s="56" t="b">
        <v>0</v>
      </c>
      <c r="D552" s="56" t="b">
        <v>0</v>
      </c>
      <c r="E552" s="56">
        <f ca="1">IF(PV[[#This Row],[Business Date]]=Control!$C$6, PV[[#This Row],[Notional Value Local Cur]], -PV[[#This Row],[Notional Value Local Cur]])</f>
        <v>0</v>
      </c>
    </row>
    <row r="553" spans="1:5" x14ac:dyDescent="0.25">
      <c r="A553" s="36" t="b">
        <v>0</v>
      </c>
      <c r="B553" s="56" t="b">
        <v>0</v>
      </c>
      <c r="C553" s="56" t="b">
        <v>0</v>
      </c>
      <c r="D553" s="56" t="b">
        <v>0</v>
      </c>
      <c r="E553" s="56">
        <f ca="1">IF(PV[[#This Row],[Business Date]]=Control!$C$6, PV[[#This Row],[Notional Value Local Cur]], -PV[[#This Row],[Notional Value Local Cur]])</f>
        <v>0</v>
      </c>
    </row>
    <row r="554" spans="1:5" x14ac:dyDescent="0.25">
      <c r="A554" s="36" t="b">
        <v>0</v>
      </c>
      <c r="B554" s="56" t="b">
        <v>0</v>
      </c>
      <c r="C554" s="56" t="b">
        <v>0</v>
      </c>
      <c r="D554" s="56" t="b">
        <v>0</v>
      </c>
      <c r="E554" s="56">
        <f ca="1">IF(PV[[#This Row],[Business Date]]=Control!$C$6, PV[[#This Row],[Notional Value Local Cur]], -PV[[#This Row],[Notional Value Local Cur]])</f>
        <v>0</v>
      </c>
    </row>
    <row r="555" spans="1:5" x14ac:dyDescent="0.25">
      <c r="A555" s="36" t="b">
        <v>0</v>
      </c>
      <c r="B555" s="56" t="b">
        <v>0</v>
      </c>
      <c r="C555" s="56" t="b">
        <v>0</v>
      </c>
      <c r="D555" s="56" t="b">
        <v>0</v>
      </c>
      <c r="E555" s="56">
        <f ca="1">IF(PV[[#This Row],[Business Date]]=Control!$C$6, PV[[#This Row],[Notional Value Local Cur]], -PV[[#This Row],[Notional Value Local Cur]])</f>
        <v>0</v>
      </c>
    </row>
    <row r="556" spans="1:5" x14ac:dyDescent="0.25">
      <c r="A556" s="36" t="b">
        <v>0</v>
      </c>
      <c r="B556" s="56" t="b">
        <v>0</v>
      </c>
      <c r="C556" s="56" t="b">
        <v>0</v>
      </c>
      <c r="D556" s="56" t="b">
        <v>0</v>
      </c>
      <c r="E556" s="56">
        <f ca="1">IF(PV[[#This Row],[Business Date]]=Control!$C$6, PV[[#This Row],[Notional Value Local Cur]], -PV[[#This Row],[Notional Value Local Cur]])</f>
        <v>0</v>
      </c>
    </row>
    <row r="557" spans="1:5" x14ac:dyDescent="0.25">
      <c r="A557" s="36" t="b">
        <v>0</v>
      </c>
      <c r="B557" s="56" t="b">
        <v>0</v>
      </c>
      <c r="C557" s="56" t="b">
        <v>0</v>
      </c>
      <c r="D557" s="56" t="b">
        <v>0</v>
      </c>
      <c r="E557" s="56">
        <f ca="1">IF(PV[[#This Row],[Business Date]]=Control!$C$6, PV[[#This Row],[Notional Value Local Cur]], -PV[[#This Row],[Notional Value Local Cur]])</f>
        <v>0</v>
      </c>
    </row>
    <row r="558" spans="1:5" x14ac:dyDescent="0.25">
      <c r="A558" s="36" t="b">
        <v>0</v>
      </c>
      <c r="B558" s="56" t="b">
        <v>0</v>
      </c>
      <c r="C558" s="56" t="b">
        <v>0</v>
      </c>
      <c r="D558" s="56" t="b">
        <v>0</v>
      </c>
      <c r="E558" s="56">
        <f ca="1">IF(PV[[#This Row],[Business Date]]=Control!$C$6, PV[[#This Row],[Notional Value Local Cur]], -PV[[#This Row],[Notional Value Local Cur]])</f>
        <v>0</v>
      </c>
    </row>
    <row r="559" spans="1:5" x14ac:dyDescent="0.25">
      <c r="A559" s="36" t="b">
        <v>0</v>
      </c>
      <c r="B559" s="56" t="b">
        <v>0</v>
      </c>
      <c r="C559" s="56" t="b">
        <v>0</v>
      </c>
      <c r="D559" s="56" t="b">
        <v>0</v>
      </c>
      <c r="E559" s="56">
        <f ca="1">IF(PV[[#This Row],[Business Date]]=Control!$C$6, PV[[#This Row],[Notional Value Local Cur]], -PV[[#This Row],[Notional Value Local Cur]])</f>
        <v>0</v>
      </c>
    </row>
    <row r="560" spans="1:5" x14ac:dyDescent="0.25">
      <c r="A560" s="36" t="b">
        <v>0</v>
      </c>
      <c r="B560" s="56" t="b">
        <v>0</v>
      </c>
      <c r="C560" s="56" t="b">
        <v>0</v>
      </c>
      <c r="D560" s="56" t="b">
        <v>0</v>
      </c>
      <c r="E560" s="56">
        <f ca="1">IF(PV[[#This Row],[Business Date]]=Control!$C$6, PV[[#This Row],[Notional Value Local Cur]], -PV[[#This Row],[Notional Value Local Cur]])</f>
        <v>0</v>
      </c>
    </row>
    <row r="561" spans="1:5" x14ac:dyDescent="0.25">
      <c r="A561" s="36" t="b">
        <v>0</v>
      </c>
      <c r="B561" s="56" t="b">
        <v>0</v>
      </c>
      <c r="C561" s="56" t="b">
        <v>0</v>
      </c>
      <c r="D561" s="56" t="b">
        <v>0</v>
      </c>
      <c r="E561" s="56">
        <f ca="1">IF(PV[[#This Row],[Business Date]]=Control!$C$6, PV[[#This Row],[Notional Value Local Cur]], -PV[[#This Row],[Notional Value Local Cur]])</f>
        <v>0</v>
      </c>
    </row>
    <row r="562" spans="1:5" x14ac:dyDescent="0.25">
      <c r="A562" s="36" t="b">
        <v>0</v>
      </c>
      <c r="B562" s="56" t="b">
        <v>0</v>
      </c>
      <c r="C562" s="56" t="b">
        <v>0</v>
      </c>
      <c r="D562" s="56" t="b">
        <v>0</v>
      </c>
      <c r="E562" s="56">
        <f ca="1">IF(PV[[#This Row],[Business Date]]=Control!$C$6, PV[[#This Row],[Notional Value Local Cur]], -PV[[#This Row],[Notional Value Local Cur]])</f>
        <v>0</v>
      </c>
    </row>
    <row r="563" spans="1:5" x14ac:dyDescent="0.25">
      <c r="A563" s="36" t="b">
        <v>0</v>
      </c>
      <c r="B563" s="56" t="b">
        <v>0</v>
      </c>
      <c r="C563" s="56" t="b">
        <v>0</v>
      </c>
      <c r="D563" s="56" t="b">
        <v>0</v>
      </c>
      <c r="E563" s="56">
        <f ca="1">IF(PV[[#This Row],[Business Date]]=Control!$C$6, PV[[#This Row],[Notional Value Local Cur]], -PV[[#This Row],[Notional Value Local Cur]])</f>
        <v>0</v>
      </c>
    </row>
    <row r="564" spans="1:5" x14ac:dyDescent="0.25">
      <c r="A564" s="36" t="b">
        <v>0</v>
      </c>
      <c r="B564" s="56" t="b">
        <v>0</v>
      </c>
      <c r="C564" s="56" t="b">
        <v>0</v>
      </c>
      <c r="D564" s="56" t="b">
        <v>0</v>
      </c>
      <c r="E564" s="56">
        <f ca="1">IF(PV[[#This Row],[Business Date]]=Control!$C$6, PV[[#This Row],[Notional Value Local Cur]], -PV[[#This Row],[Notional Value Local Cur]])</f>
        <v>0</v>
      </c>
    </row>
    <row r="565" spans="1:5" x14ac:dyDescent="0.25">
      <c r="A565" s="36" t="b">
        <v>0</v>
      </c>
      <c r="B565" s="56" t="b">
        <v>0</v>
      </c>
      <c r="C565" s="56" t="b">
        <v>0</v>
      </c>
      <c r="D565" s="56" t="b">
        <v>0</v>
      </c>
      <c r="E565" s="56">
        <f ca="1">IF(PV[[#This Row],[Business Date]]=Control!$C$6, PV[[#This Row],[Notional Value Local Cur]], -PV[[#This Row],[Notional Value Local Cur]])</f>
        <v>0</v>
      </c>
    </row>
    <row r="566" spans="1:5" x14ac:dyDescent="0.25">
      <c r="A566" s="36" t="b">
        <v>0</v>
      </c>
      <c r="B566" s="56" t="b">
        <v>0</v>
      </c>
      <c r="C566" s="56" t="b">
        <v>0</v>
      </c>
      <c r="D566" s="56" t="b">
        <v>0</v>
      </c>
      <c r="E566" s="56">
        <f ca="1">IF(PV[[#This Row],[Business Date]]=Control!$C$6, PV[[#This Row],[Notional Value Local Cur]], -PV[[#This Row],[Notional Value Local Cur]])</f>
        <v>0</v>
      </c>
    </row>
    <row r="567" spans="1:5" x14ac:dyDescent="0.25">
      <c r="A567" s="36" t="b">
        <v>0</v>
      </c>
      <c r="B567" s="56" t="b">
        <v>0</v>
      </c>
      <c r="C567" s="56" t="b">
        <v>0</v>
      </c>
      <c r="D567" s="56" t="b">
        <v>0</v>
      </c>
      <c r="E567" s="56">
        <f ca="1">IF(PV[[#This Row],[Business Date]]=Control!$C$6, PV[[#This Row],[Notional Value Local Cur]], -PV[[#This Row],[Notional Value Local Cur]])</f>
        <v>0</v>
      </c>
    </row>
    <row r="568" spans="1:5" x14ac:dyDescent="0.25">
      <c r="A568" s="36" t="b">
        <v>0</v>
      </c>
      <c r="B568" s="56" t="b">
        <v>0</v>
      </c>
      <c r="C568" s="56" t="b">
        <v>0</v>
      </c>
      <c r="D568" s="56" t="b">
        <v>0</v>
      </c>
      <c r="E568" s="56">
        <f ca="1">IF(PV[[#This Row],[Business Date]]=Control!$C$6, PV[[#This Row],[Notional Value Local Cur]], -PV[[#This Row],[Notional Value Local Cur]])</f>
        <v>0</v>
      </c>
    </row>
    <row r="569" spans="1:5" x14ac:dyDescent="0.25">
      <c r="A569" s="36" t="b">
        <v>0</v>
      </c>
      <c r="B569" s="56" t="b">
        <v>0</v>
      </c>
      <c r="C569" s="56" t="b">
        <v>0</v>
      </c>
      <c r="D569" s="56" t="b">
        <v>0</v>
      </c>
      <c r="E569" s="56">
        <f ca="1">IF(PV[[#This Row],[Business Date]]=Control!$C$6, PV[[#This Row],[Notional Value Local Cur]], -PV[[#This Row],[Notional Value Local Cur]])</f>
        <v>0</v>
      </c>
    </row>
    <row r="570" spans="1:5" x14ac:dyDescent="0.25">
      <c r="A570" s="36" t="b">
        <v>0</v>
      </c>
      <c r="B570" s="56" t="b">
        <v>0</v>
      </c>
      <c r="C570" s="56" t="b">
        <v>0</v>
      </c>
      <c r="D570" s="56" t="b">
        <v>0</v>
      </c>
      <c r="E570" s="56">
        <f ca="1">IF(PV[[#This Row],[Business Date]]=Control!$C$6, PV[[#This Row],[Notional Value Local Cur]], -PV[[#This Row],[Notional Value Local Cur]])</f>
        <v>0</v>
      </c>
    </row>
    <row r="571" spans="1:5" x14ac:dyDescent="0.25">
      <c r="A571" s="36" t="b">
        <v>0</v>
      </c>
      <c r="B571" s="56" t="b">
        <v>0</v>
      </c>
      <c r="C571" s="56" t="b">
        <v>0</v>
      </c>
      <c r="D571" s="56" t="b">
        <v>0</v>
      </c>
      <c r="E571" s="56">
        <f ca="1">IF(PV[[#This Row],[Business Date]]=Control!$C$6, PV[[#This Row],[Notional Value Local Cur]], -PV[[#This Row],[Notional Value Local Cur]])</f>
        <v>0</v>
      </c>
    </row>
    <row r="572" spans="1:5" x14ac:dyDescent="0.25">
      <c r="A572" s="36" t="b">
        <v>0</v>
      </c>
      <c r="B572" s="56" t="b">
        <v>0</v>
      </c>
      <c r="C572" s="56" t="b">
        <v>0</v>
      </c>
      <c r="D572" s="56" t="b">
        <v>0</v>
      </c>
      <c r="E572" s="56">
        <f ca="1">IF(PV[[#This Row],[Business Date]]=Control!$C$6, PV[[#This Row],[Notional Value Local Cur]], -PV[[#This Row],[Notional Value Local Cur]])</f>
        <v>0</v>
      </c>
    </row>
    <row r="573" spans="1:5" x14ac:dyDescent="0.25">
      <c r="A573" s="36" t="b">
        <v>0</v>
      </c>
      <c r="B573" s="56" t="b">
        <v>0</v>
      </c>
      <c r="C573" s="56" t="b">
        <v>0</v>
      </c>
      <c r="D573" s="56" t="b">
        <v>0</v>
      </c>
      <c r="E573" s="56">
        <f ca="1">IF(PV[[#This Row],[Business Date]]=Control!$C$6, PV[[#This Row],[Notional Value Local Cur]], -PV[[#This Row],[Notional Value Local Cur]])</f>
        <v>0</v>
      </c>
    </row>
    <row r="574" spans="1:5" x14ac:dyDescent="0.25">
      <c r="A574" s="36" t="b">
        <v>0</v>
      </c>
      <c r="B574" s="56" t="b">
        <v>0</v>
      </c>
      <c r="C574" s="56" t="b">
        <v>0</v>
      </c>
      <c r="D574" s="56" t="b">
        <v>0</v>
      </c>
      <c r="E574" s="56">
        <f ca="1">IF(PV[[#This Row],[Business Date]]=Control!$C$6, PV[[#This Row],[Notional Value Local Cur]], -PV[[#This Row],[Notional Value Local Cur]])</f>
        <v>0</v>
      </c>
    </row>
    <row r="575" spans="1:5" x14ac:dyDescent="0.25">
      <c r="A575" s="36" t="b">
        <v>0</v>
      </c>
      <c r="B575" s="56" t="b">
        <v>0</v>
      </c>
      <c r="C575" s="56" t="b">
        <v>0</v>
      </c>
      <c r="D575" s="56" t="b">
        <v>0</v>
      </c>
      <c r="E575" s="56">
        <f ca="1">IF(PV[[#This Row],[Business Date]]=Control!$C$6, PV[[#This Row],[Notional Value Local Cur]], -PV[[#This Row],[Notional Value Local Cur]])</f>
        <v>0</v>
      </c>
    </row>
    <row r="576" spans="1:5" x14ac:dyDescent="0.25">
      <c r="A576" s="36" t="b">
        <v>0</v>
      </c>
      <c r="B576" s="56" t="b">
        <v>0</v>
      </c>
      <c r="C576" s="56" t="b">
        <v>0</v>
      </c>
      <c r="D576" s="56" t="b">
        <v>0</v>
      </c>
      <c r="E576" s="56">
        <f ca="1">IF(PV[[#This Row],[Business Date]]=Control!$C$6, PV[[#This Row],[Notional Value Local Cur]], -PV[[#This Row],[Notional Value Local Cur]])</f>
        <v>0</v>
      </c>
    </row>
    <row r="577" spans="1:5" x14ac:dyDescent="0.25">
      <c r="A577" s="36" t="b">
        <v>0</v>
      </c>
      <c r="B577" s="56" t="b">
        <v>0</v>
      </c>
      <c r="C577" s="56" t="b">
        <v>0</v>
      </c>
      <c r="D577" s="56" t="b">
        <v>0</v>
      </c>
      <c r="E577" s="56">
        <f ca="1">IF(PV[[#This Row],[Business Date]]=Control!$C$6, PV[[#This Row],[Notional Value Local Cur]], -PV[[#This Row],[Notional Value Local Cur]])</f>
        <v>0</v>
      </c>
    </row>
    <row r="578" spans="1:5" x14ac:dyDescent="0.25">
      <c r="A578" s="36" t="b">
        <v>0</v>
      </c>
      <c r="B578" s="56" t="b">
        <v>0</v>
      </c>
      <c r="C578" s="56" t="b">
        <v>0</v>
      </c>
      <c r="D578" s="56" t="b">
        <v>0</v>
      </c>
      <c r="E578" s="56">
        <f ca="1">IF(PV[[#This Row],[Business Date]]=Control!$C$6, PV[[#This Row],[Notional Value Local Cur]], -PV[[#This Row],[Notional Value Local Cur]])</f>
        <v>0</v>
      </c>
    </row>
    <row r="579" spans="1:5" x14ac:dyDescent="0.25">
      <c r="A579" s="36" t="b">
        <v>0</v>
      </c>
      <c r="B579" s="56" t="b">
        <v>0</v>
      </c>
      <c r="C579" s="56" t="b">
        <v>0</v>
      </c>
      <c r="D579" s="56" t="b">
        <v>0</v>
      </c>
      <c r="E579" s="56">
        <f ca="1">IF(PV[[#This Row],[Business Date]]=Control!$C$6, PV[[#This Row],[Notional Value Local Cur]], -PV[[#This Row],[Notional Value Local Cur]])</f>
        <v>0</v>
      </c>
    </row>
    <row r="580" spans="1:5" x14ac:dyDescent="0.25">
      <c r="A580" s="36" t="b">
        <v>0</v>
      </c>
      <c r="B580" s="56" t="b">
        <v>0</v>
      </c>
      <c r="C580" s="56" t="b">
        <v>0</v>
      </c>
      <c r="D580" s="56" t="b">
        <v>0</v>
      </c>
      <c r="E580" s="56">
        <f ca="1">IF(PV[[#This Row],[Business Date]]=Control!$C$6, PV[[#This Row],[Notional Value Local Cur]], -PV[[#This Row],[Notional Value Local Cur]])</f>
        <v>0</v>
      </c>
    </row>
    <row r="581" spans="1:5" x14ac:dyDescent="0.25">
      <c r="A581" s="36" t="b">
        <v>0</v>
      </c>
      <c r="B581" s="56" t="b">
        <v>0</v>
      </c>
      <c r="C581" s="56" t="b">
        <v>0</v>
      </c>
      <c r="D581" s="56" t="b">
        <v>0</v>
      </c>
      <c r="E581" s="56">
        <f ca="1">IF(PV[[#This Row],[Business Date]]=Control!$C$6, PV[[#This Row],[Notional Value Local Cur]], -PV[[#This Row],[Notional Value Local Cur]])</f>
        <v>0</v>
      </c>
    </row>
    <row r="582" spans="1:5" x14ac:dyDescent="0.25">
      <c r="A582" s="36" t="b">
        <v>0</v>
      </c>
      <c r="B582" s="56" t="b">
        <v>0</v>
      </c>
      <c r="C582" s="56" t="b">
        <v>0</v>
      </c>
      <c r="D582" s="56" t="b">
        <v>0</v>
      </c>
      <c r="E582" s="56">
        <f ca="1">IF(PV[[#This Row],[Business Date]]=Control!$C$6, PV[[#This Row],[Notional Value Local Cur]], -PV[[#This Row],[Notional Value Local Cur]])</f>
        <v>0</v>
      </c>
    </row>
    <row r="583" spans="1:5" x14ac:dyDescent="0.25">
      <c r="A583" s="36" t="b">
        <v>0</v>
      </c>
      <c r="B583" s="56" t="b">
        <v>0</v>
      </c>
      <c r="C583" s="56" t="b">
        <v>0</v>
      </c>
      <c r="D583" s="56" t="b">
        <v>0</v>
      </c>
      <c r="E583" s="56">
        <f ca="1">IF(PV[[#This Row],[Business Date]]=Control!$C$6, PV[[#This Row],[Notional Value Local Cur]], -PV[[#This Row],[Notional Value Local Cur]])</f>
        <v>0</v>
      </c>
    </row>
    <row r="584" spans="1:5" x14ac:dyDescent="0.25">
      <c r="A584" s="36" t="b">
        <v>0</v>
      </c>
      <c r="B584" s="56" t="b">
        <v>0</v>
      </c>
      <c r="C584" s="56" t="b">
        <v>0</v>
      </c>
      <c r="D584" s="56" t="b">
        <v>0</v>
      </c>
      <c r="E584" s="56">
        <f ca="1">IF(PV[[#This Row],[Business Date]]=Control!$C$6, PV[[#This Row],[Notional Value Local Cur]], -PV[[#This Row],[Notional Value Local Cur]])</f>
        <v>0</v>
      </c>
    </row>
    <row r="585" spans="1:5" x14ac:dyDescent="0.25">
      <c r="A585" s="36" t="b">
        <v>0</v>
      </c>
      <c r="B585" s="56" t="b">
        <v>0</v>
      </c>
      <c r="C585" s="56" t="b">
        <v>0</v>
      </c>
      <c r="D585" s="56" t="b">
        <v>0</v>
      </c>
      <c r="E585" s="56">
        <f ca="1">IF(PV[[#This Row],[Business Date]]=Control!$C$6, PV[[#This Row],[Notional Value Local Cur]], -PV[[#This Row],[Notional Value Local Cur]])</f>
        <v>0</v>
      </c>
    </row>
    <row r="586" spans="1:5" x14ac:dyDescent="0.25">
      <c r="A586" s="36" t="b">
        <v>0</v>
      </c>
      <c r="B586" s="56" t="b">
        <v>0</v>
      </c>
      <c r="C586" s="56" t="b">
        <v>0</v>
      </c>
      <c r="D586" s="56" t="b">
        <v>0</v>
      </c>
      <c r="E586" s="56">
        <f ca="1">IF(PV[[#This Row],[Business Date]]=Control!$C$6, PV[[#This Row],[Notional Value Local Cur]], -PV[[#This Row],[Notional Value Local Cur]])</f>
        <v>0</v>
      </c>
    </row>
    <row r="587" spans="1:5" x14ac:dyDescent="0.25">
      <c r="A587" s="36" t="b">
        <v>0</v>
      </c>
      <c r="B587" s="56" t="b">
        <v>0</v>
      </c>
      <c r="C587" s="56" t="b">
        <v>0</v>
      </c>
      <c r="D587" s="56" t="b">
        <v>0</v>
      </c>
      <c r="E587" s="56">
        <f ca="1">IF(PV[[#This Row],[Business Date]]=Control!$C$6, PV[[#This Row],[Notional Value Local Cur]], -PV[[#This Row],[Notional Value Local Cur]])</f>
        <v>0</v>
      </c>
    </row>
    <row r="588" spans="1:5" x14ac:dyDescent="0.25">
      <c r="A588" s="36" t="b">
        <v>0</v>
      </c>
      <c r="B588" s="56" t="b">
        <v>0</v>
      </c>
      <c r="C588" s="56" t="b">
        <v>0</v>
      </c>
      <c r="D588" s="56" t="b">
        <v>0</v>
      </c>
      <c r="E588" s="56">
        <f ca="1">IF(PV[[#This Row],[Business Date]]=Control!$C$6, PV[[#This Row],[Notional Value Local Cur]], -PV[[#This Row],[Notional Value Local Cur]])</f>
        <v>0</v>
      </c>
    </row>
    <row r="589" spans="1:5" x14ac:dyDescent="0.25">
      <c r="A589" s="36" t="b">
        <v>0</v>
      </c>
      <c r="B589" s="56" t="b">
        <v>0</v>
      </c>
      <c r="C589" s="56" t="b">
        <v>0</v>
      </c>
      <c r="D589" s="56" t="b">
        <v>0</v>
      </c>
      <c r="E589" s="56">
        <f ca="1">IF(PV[[#This Row],[Business Date]]=Control!$C$6, PV[[#This Row],[Notional Value Local Cur]], -PV[[#This Row],[Notional Value Local Cur]])</f>
        <v>0</v>
      </c>
    </row>
    <row r="590" spans="1:5" x14ac:dyDescent="0.25">
      <c r="A590" s="36" t="b">
        <v>0</v>
      </c>
      <c r="B590" s="56" t="b">
        <v>0</v>
      </c>
      <c r="C590" s="56" t="b">
        <v>0</v>
      </c>
      <c r="D590" s="56" t="b">
        <v>0</v>
      </c>
      <c r="E590" s="56">
        <f ca="1">IF(PV[[#This Row],[Business Date]]=Control!$C$6, PV[[#This Row],[Notional Value Local Cur]], -PV[[#This Row],[Notional Value Local Cur]])</f>
        <v>0</v>
      </c>
    </row>
    <row r="591" spans="1:5" x14ac:dyDescent="0.25">
      <c r="A591" s="36" t="b">
        <v>0</v>
      </c>
      <c r="B591" s="56" t="b">
        <v>0</v>
      </c>
      <c r="C591" s="56" t="b">
        <v>0</v>
      </c>
      <c r="D591" s="56" t="b">
        <v>0</v>
      </c>
      <c r="E591" s="56">
        <f ca="1">IF(PV[[#This Row],[Business Date]]=Control!$C$6, PV[[#This Row],[Notional Value Local Cur]], -PV[[#This Row],[Notional Value Local Cur]])</f>
        <v>0</v>
      </c>
    </row>
    <row r="592" spans="1:5" x14ac:dyDescent="0.25">
      <c r="A592" s="36" t="b">
        <v>0</v>
      </c>
      <c r="B592" s="56" t="b">
        <v>0</v>
      </c>
      <c r="C592" s="56" t="b">
        <v>0</v>
      </c>
      <c r="D592" s="56" t="b">
        <v>0</v>
      </c>
      <c r="E592" s="56">
        <f ca="1">IF(PV[[#This Row],[Business Date]]=Control!$C$6, PV[[#This Row],[Notional Value Local Cur]], -PV[[#This Row],[Notional Value Local Cur]])</f>
        <v>0</v>
      </c>
    </row>
    <row r="593" spans="1:5" x14ac:dyDescent="0.25">
      <c r="A593" s="36" t="b">
        <v>0</v>
      </c>
      <c r="B593" s="56" t="b">
        <v>0</v>
      </c>
      <c r="C593" s="56" t="b">
        <v>0</v>
      </c>
      <c r="D593" s="56" t="b">
        <v>0</v>
      </c>
      <c r="E593" s="56">
        <f ca="1">IF(PV[[#This Row],[Business Date]]=Control!$C$6, PV[[#This Row],[Notional Value Local Cur]], -PV[[#This Row],[Notional Value Local Cur]])</f>
        <v>0</v>
      </c>
    </row>
    <row r="594" spans="1:5" x14ac:dyDescent="0.25">
      <c r="A594" s="36" t="b">
        <v>0</v>
      </c>
      <c r="B594" s="56" t="b">
        <v>0</v>
      </c>
      <c r="C594" s="56" t="b">
        <v>0</v>
      </c>
      <c r="D594" s="56" t="b">
        <v>0</v>
      </c>
      <c r="E594" s="56">
        <f ca="1">IF(PV[[#This Row],[Business Date]]=Control!$C$6, PV[[#This Row],[Notional Value Local Cur]], -PV[[#This Row],[Notional Value Local Cur]])</f>
        <v>0</v>
      </c>
    </row>
    <row r="595" spans="1:5" x14ac:dyDescent="0.25">
      <c r="A595" s="36" t="b">
        <v>0</v>
      </c>
      <c r="B595" s="56" t="b">
        <v>0</v>
      </c>
      <c r="C595" s="56" t="b">
        <v>0</v>
      </c>
      <c r="D595" s="56" t="b">
        <v>0</v>
      </c>
      <c r="E595" s="56">
        <f ca="1">IF(PV[[#This Row],[Business Date]]=Control!$C$6, PV[[#This Row],[Notional Value Local Cur]], -PV[[#This Row],[Notional Value Local Cur]])</f>
        <v>0</v>
      </c>
    </row>
    <row r="596" spans="1:5" x14ac:dyDescent="0.25">
      <c r="A596" s="36" t="b">
        <v>0</v>
      </c>
      <c r="B596" s="56" t="b">
        <v>0</v>
      </c>
      <c r="C596" s="56" t="b">
        <v>0</v>
      </c>
      <c r="D596" s="56" t="b">
        <v>0</v>
      </c>
      <c r="E596" s="56">
        <f ca="1">IF(PV[[#This Row],[Business Date]]=Control!$C$6, PV[[#This Row],[Notional Value Local Cur]], -PV[[#This Row],[Notional Value Local Cur]])</f>
        <v>0</v>
      </c>
    </row>
    <row r="597" spans="1:5" x14ac:dyDescent="0.25">
      <c r="A597" s="36" t="b">
        <v>0</v>
      </c>
      <c r="B597" s="56" t="b">
        <v>0</v>
      </c>
      <c r="C597" s="56" t="b">
        <v>0</v>
      </c>
      <c r="D597" s="56" t="b">
        <v>0</v>
      </c>
      <c r="E597" s="56">
        <f ca="1">IF(PV[[#This Row],[Business Date]]=Control!$C$6, PV[[#This Row],[Notional Value Local Cur]], -PV[[#This Row],[Notional Value Local Cur]])</f>
        <v>0</v>
      </c>
    </row>
    <row r="598" spans="1:5" x14ac:dyDescent="0.25">
      <c r="A598" s="36" t="b">
        <v>0</v>
      </c>
      <c r="B598" s="56" t="b">
        <v>0</v>
      </c>
      <c r="C598" s="56" t="b">
        <v>0</v>
      </c>
      <c r="D598" s="56" t="b">
        <v>0</v>
      </c>
      <c r="E598" s="56">
        <f ca="1">IF(PV[[#This Row],[Business Date]]=Control!$C$6, PV[[#This Row],[Notional Value Local Cur]], -PV[[#This Row],[Notional Value Local Cur]])</f>
        <v>0</v>
      </c>
    </row>
    <row r="599" spans="1:5" x14ac:dyDescent="0.25">
      <c r="A599" s="36" t="b">
        <v>0</v>
      </c>
      <c r="B599" s="56" t="b">
        <v>0</v>
      </c>
      <c r="C599" s="56" t="b">
        <v>0</v>
      </c>
      <c r="D599" s="56" t="b">
        <v>0</v>
      </c>
      <c r="E599" s="56">
        <f ca="1">IF(PV[[#This Row],[Business Date]]=Control!$C$6, PV[[#This Row],[Notional Value Local Cur]], -PV[[#This Row],[Notional Value Local Cur]])</f>
        <v>0</v>
      </c>
    </row>
    <row r="600" spans="1:5" x14ac:dyDescent="0.25">
      <c r="A600" s="36" t="b">
        <v>0</v>
      </c>
      <c r="B600" s="56" t="b">
        <v>0</v>
      </c>
      <c r="C600" s="56" t="b">
        <v>0</v>
      </c>
      <c r="D600" s="56" t="b">
        <v>0</v>
      </c>
      <c r="E600" s="56">
        <f ca="1">IF(PV[[#This Row],[Business Date]]=Control!$C$6, PV[[#This Row],[Notional Value Local Cur]], -PV[[#This Row],[Notional Value Local Cur]])</f>
        <v>0</v>
      </c>
    </row>
    <row r="601" spans="1:5" x14ac:dyDescent="0.25">
      <c r="A601" s="36" t="b">
        <v>0</v>
      </c>
      <c r="B601" s="56" t="b">
        <v>0</v>
      </c>
      <c r="C601" s="56" t="b">
        <v>0</v>
      </c>
      <c r="D601" s="56" t="b">
        <v>0</v>
      </c>
      <c r="E601" s="56">
        <f ca="1">IF(PV[[#This Row],[Business Date]]=Control!$C$6, PV[[#This Row],[Notional Value Local Cur]], -PV[[#This Row],[Notional Value Local Cur]])</f>
        <v>0</v>
      </c>
    </row>
    <row r="602" spans="1:5" x14ac:dyDescent="0.25">
      <c r="A602" s="36" t="b">
        <v>0</v>
      </c>
      <c r="B602" s="56" t="b">
        <v>0</v>
      </c>
      <c r="C602" s="56" t="b">
        <v>0</v>
      </c>
      <c r="D602" s="56" t="b">
        <v>0</v>
      </c>
      <c r="E602" s="56">
        <f ca="1">IF(PV[[#This Row],[Business Date]]=Control!$C$6, PV[[#This Row],[Notional Value Local Cur]], -PV[[#This Row],[Notional Value Local Cur]])</f>
        <v>0</v>
      </c>
    </row>
    <row r="603" spans="1:5" x14ac:dyDescent="0.25">
      <c r="A603" s="36" t="b">
        <v>0</v>
      </c>
      <c r="B603" s="56" t="b">
        <v>0</v>
      </c>
      <c r="C603" s="56" t="b">
        <v>0</v>
      </c>
      <c r="D603" s="56" t="b">
        <v>0</v>
      </c>
      <c r="E603" s="56">
        <f ca="1">IF(PV[[#This Row],[Business Date]]=Control!$C$6, PV[[#This Row],[Notional Value Local Cur]], -PV[[#This Row],[Notional Value Local Cur]])</f>
        <v>0</v>
      </c>
    </row>
    <row r="604" spans="1:5" x14ac:dyDescent="0.25">
      <c r="A604" s="36" t="b">
        <v>0</v>
      </c>
      <c r="B604" s="56" t="b">
        <v>0</v>
      </c>
      <c r="C604" s="56" t="b">
        <v>0</v>
      </c>
      <c r="D604" s="56" t="b">
        <v>0</v>
      </c>
      <c r="E604" s="56">
        <f ca="1">IF(PV[[#This Row],[Business Date]]=Control!$C$6, PV[[#This Row],[Notional Value Local Cur]], -PV[[#This Row],[Notional Value Local Cur]])</f>
        <v>0</v>
      </c>
    </row>
    <row r="605" spans="1:5" x14ac:dyDescent="0.25">
      <c r="A605" s="36" t="b">
        <v>0</v>
      </c>
      <c r="B605" s="56" t="b">
        <v>0</v>
      </c>
      <c r="C605" s="56" t="b">
        <v>0</v>
      </c>
      <c r="D605" s="56" t="b">
        <v>0</v>
      </c>
      <c r="E605" s="56">
        <f ca="1">IF(PV[[#This Row],[Business Date]]=Control!$C$6, PV[[#This Row],[Notional Value Local Cur]], -PV[[#This Row],[Notional Value Local Cur]])</f>
        <v>0</v>
      </c>
    </row>
    <row r="606" spans="1:5" x14ac:dyDescent="0.25">
      <c r="A606" s="36" t="b">
        <v>0</v>
      </c>
      <c r="B606" s="56" t="b">
        <v>0</v>
      </c>
      <c r="C606" s="56" t="b">
        <v>0</v>
      </c>
      <c r="D606" s="56" t="b">
        <v>0</v>
      </c>
      <c r="E606" s="56">
        <f ca="1">IF(PV[[#This Row],[Business Date]]=Control!$C$6, PV[[#This Row],[Notional Value Local Cur]], -PV[[#This Row],[Notional Value Local Cur]])</f>
        <v>0</v>
      </c>
    </row>
    <row r="607" spans="1:5" x14ac:dyDescent="0.25">
      <c r="A607" s="36" t="b">
        <v>0</v>
      </c>
      <c r="B607" s="56" t="b">
        <v>0</v>
      </c>
      <c r="C607" s="56" t="b">
        <v>0</v>
      </c>
      <c r="D607" s="56" t="b">
        <v>0</v>
      </c>
      <c r="E607" s="56">
        <f ca="1">IF(PV[[#This Row],[Business Date]]=Control!$C$6, PV[[#This Row],[Notional Value Local Cur]], -PV[[#This Row],[Notional Value Local Cur]])</f>
        <v>0</v>
      </c>
    </row>
    <row r="608" spans="1:5" x14ac:dyDescent="0.25">
      <c r="A608" s="36" t="b">
        <v>0</v>
      </c>
      <c r="B608" s="56" t="b">
        <v>0</v>
      </c>
      <c r="C608" s="56" t="b">
        <v>0</v>
      </c>
      <c r="D608" s="56" t="b">
        <v>0</v>
      </c>
      <c r="E608" s="56">
        <f ca="1">IF(PV[[#This Row],[Business Date]]=Control!$C$6, PV[[#This Row],[Notional Value Local Cur]], -PV[[#This Row],[Notional Value Local Cur]])</f>
        <v>0</v>
      </c>
    </row>
    <row r="609" spans="1:5" x14ac:dyDescent="0.25">
      <c r="A609" s="36" t="b">
        <v>0</v>
      </c>
      <c r="B609" s="56" t="b">
        <v>0</v>
      </c>
      <c r="C609" s="56" t="b">
        <v>0</v>
      </c>
      <c r="D609" s="56" t="b">
        <v>0</v>
      </c>
      <c r="E609" s="56">
        <f ca="1">IF(PV[[#This Row],[Business Date]]=Control!$C$6, PV[[#This Row],[Notional Value Local Cur]], -PV[[#This Row],[Notional Value Local Cur]])</f>
        <v>0</v>
      </c>
    </row>
    <row r="610" spans="1:5" x14ac:dyDescent="0.25">
      <c r="A610" s="36" t="b">
        <v>0</v>
      </c>
      <c r="B610" s="56" t="b">
        <v>0</v>
      </c>
      <c r="C610" s="56" t="b">
        <v>0</v>
      </c>
      <c r="D610" s="56" t="b">
        <v>0</v>
      </c>
      <c r="E610" s="56">
        <f ca="1">IF(PV[[#This Row],[Business Date]]=Control!$C$6, PV[[#This Row],[Notional Value Local Cur]], -PV[[#This Row],[Notional Value Local Cur]])</f>
        <v>0</v>
      </c>
    </row>
    <row r="611" spans="1:5" x14ac:dyDescent="0.25">
      <c r="A611" s="36" t="b">
        <v>0</v>
      </c>
      <c r="B611" s="56" t="b">
        <v>0</v>
      </c>
      <c r="C611" s="56" t="b">
        <v>0</v>
      </c>
      <c r="D611" s="56" t="b">
        <v>0</v>
      </c>
      <c r="E611" s="56">
        <f ca="1">IF(PV[[#This Row],[Business Date]]=Control!$C$6, PV[[#This Row],[Notional Value Local Cur]], -PV[[#This Row],[Notional Value Local Cur]])</f>
        <v>0</v>
      </c>
    </row>
    <row r="612" spans="1:5" x14ac:dyDescent="0.25">
      <c r="A612" s="36" t="b">
        <v>0</v>
      </c>
      <c r="B612" s="56" t="b">
        <v>0</v>
      </c>
      <c r="C612" s="56" t="b">
        <v>0</v>
      </c>
      <c r="D612" s="56" t="b">
        <v>0</v>
      </c>
      <c r="E612" s="56">
        <f ca="1">IF(PV[[#This Row],[Business Date]]=Control!$C$6, PV[[#This Row],[Notional Value Local Cur]], -PV[[#This Row],[Notional Value Local Cur]])</f>
        <v>0</v>
      </c>
    </row>
    <row r="613" spans="1:5" x14ac:dyDescent="0.25">
      <c r="A613" s="36" t="b">
        <v>0</v>
      </c>
      <c r="B613" s="56" t="b">
        <v>0</v>
      </c>
      <c r="C613" s="56" t="b">
        <v>0</v>
      </c>
      <c r="D613" s="56" t="b">
        <v>0</v>
      </c>
      <c r="E613" s="56">
        <f ca="1">IF(PV[[#This Row],[Business Date]]=Control!$C$6, PV[[#This Row],[Notional Value Local Cur]], -PV[[#This Row],[Notional Value Local Cur]])</f>
        <v>0</v>
      </c>
    </row>
    <row r="614" spans="1:5" x14ac:dyDescent="0.25">
      <c r="A614" s="36" t="b">
        <v>0</v>
      </c>
      <c r="B614" s="56" t="b">
        <v>0</v>
      </c>
      <c r="C614" s="56" t="b">
        <v>0</v>
      </c>
      <c r="D614" s="56" t="b">
        <v>0</v>
      </c>
      <c r="E614" s="56">
        <f ca="1">IF(PV[[#This Row],[Business Date]]=Control!$C$6, PV[[#This Row],[Notional Value Local Cur]], -PV[[#This Row],[Notional Value Local Cur]])</f>
        <v>0</v>
      </c>
    </row>
    <row r="615" spans="1:5" x14ac:dyDescent="0.25">
      <c r="A615" s="36" t="b">
        <v>0</v>
      </c>
      <c r="B615" s="56" t="b">
        <v>0</v>
      </c>
      <c r="C615" s="56" t="b">
        <v>0</v>
      </c>
      <c r="D615" s="56" t="b">
        <v>0</v>
      </c>
      <c r="E615" s="56">
        <f ca="1">IF(PV[[#This Row],[Business Date]]=Control!$C$6, PV[[#This Row],[Notional Value Local Cur]], -PV[[#This Row],[Notional Value Local Cur]])</f>
        <v>0</v>
      </c>
    </row>
    <row r="616" spans="1:5" x14ac:dyDescent="0.25">
      <c r="A616" s="36" t="b">
        <v>0</v>
      </c>
      <c r="B616" s="56" t="b">
        <v>0</v>
      </c>
      <c r="C616" s="56" t="b">
        <v>0</v>
      </c>
      <c r="D616" s="56" t="b">
        <v>0</v>
      </c>
      <c r="E616" s="56">
        <f ca="1">IF(PV[[#This Row],[Business Date]]=Control!$C$6, PV[[#This Row],[Notional Value Local Cur]], -PV[[#This Row],[Notional Value Local Cur]])</f>
        <v>0</v>
      </c>
    </row>
    <row r="617" spans="1:5" x14ac:dyDescent="0.25">
      <c r="A617" s="36" t="b">
        <v>0</v>
      </c>
      <c r="B617" s="56" t="b">
        <v>0</v>
      </c>
      <c r="C617" s="56" t="b">
        <v>0</v>
      </c>
      <c r="D617" s="56" t="b">
        <v>0</v>
      </c>
      <c r="E617" s="56">
        <f ca="1">IF(PV[[#This Row],[Business Date]]=Control!$C$6, PV[[#This Row],[Notional Value Local Cur]], -PV[[#This Row],[Notional Value Local Cur]])</f>
        <v>0</v>
      </c>
    </row>
    <row r="618" spans="1:5" x14ac:dyDescent="0.25">
      <c r="A618" s="36" t="b">
        <v>0</v>
      </c>
      <c r="B618" s="56" t="b">
        <v>0</v>
      </c>
      <c r="C618" s="56" t="b">
        <v>0</v>
      </c>
      <c r="D618" s="56" t="b">
        <v>0</v>
      </c>
      <c r="E618" s="56">
        <f ca="1">IF(PV[[#This Row],[Business Date]]=Control!$C$6, PV[[#This Row],[Notional Value Local Cur]], -PV[[#This Row],[Notional Value Local Cur]])</f>
        <v>0</v>
      </c>
    </row>
    <row r="619" spans="1:5" x14ac:dyDescent="0.25">
      <c r="A619" s="36" t="b">
        <v>0</v>
      </c>
      <c r="B619" s="56" t="b">
        <v>0</v>
      </c>
      <c r="C619" s="56" t="b">
        <v>0</v>
      </c>
      <c r="D619" s="56" t="b">
        <v>0</v>
      </c>
      <c r="E619" s="56">
        <f ca="1">IF(PV[[#This Row],[Business Date]]=Control!$C$6, PV[[#This Row],[Notional Value Local Cur]], -PV[[#This Row],[Notional Value Local Cur]])</f>
        <v>0</v>
      </c>
    </row>
    <row r="620" spans="1:5" x14ac:dyDescent="0.25">
      <c r="A620" s="36" t="b">
        <v>0</v>
      </c>
      <c r="B620" s="56" t="b">
        <v>0</v>
      </c>
      <c r="C620" s="56" t="b">
        <v>0</v>
      </c>
      <c r="D620" s="56" t="b">
        <v>0</v>
      </c>
      <c r="E620" s="56">
        <f ca="1">IF(PV[[#This Row],[Business Date]]=Control!$C$6, PV[[#This Row],[Notional Value Local Cur]], -PV[[#This Row],[Notional Value Local Cur]])</f>
        <v>0</v>
      </c>
    </row>
    <row r="621" spans="1:5" x14ac:dyDescent="0.25">
      <c r="A621" s="36" t="b">
        <v>0</v>
      </c>
      <c r="B621" s="56" t="b">
        <v>0</v>
      </c>
      <c r="C621" s="56" t="b">
        <v>0</v>
      </c>
      <c r="D621" s="56" t="b">
        <v>0</v>
      </c>
      <c r="E621" s="56">
        <f ca="1">IF(PV[[#This Row],[Business Date]]=Control!$C$6, PV[[#This Row],[Notional Value Local Cur]], -PV[[#This Row],[Notional Value Local Cur]])</f>
        <v>0</v>
      </c>
    </row>
    <row r="622" spans="1:5" x14ac:dyDescent="0.25">
      <c r="A622" s="36" t="b">
        <v>0</v>
      </c>
      <c r="B622" s="56" t="b">
        <v>0</v>
      </c>
      <c r="C622" s="56" t="b">
        <v>0</v>
      </c>
      <c r="D622" s="56" t="b">
        <v>0</v>
      </c>
      <c r="E622" s="56">
        <f ca="1">IF(PV[[#This Row],[Business Date]]=Control!$C$6, PV[[#This Row],[Notional Value Local Cur]], -PV[[#This Row],[Notional Value Local Cur]])</f>
        <v>0</v>
      </c>
    </row>
    <row r="623" spans="1:5" x14ac:dyDescent="0.25">
      <c r="A623" s="36" t="b">
        <v>0</v>
      </c>
      <c r="B623" s="56" t="b">
        <v>0</v>
      </c>
      <c r="C623" s="56" t="b">
        <v>0</v>
      </c>
      <c r="D623" s="56" t="b">
        <v>0</v>
      </c>
      <c r="E623" s="56">
        <f ca="1">IF(PV[[#This Row],[Business Date]]=Control!$C$6, PV[[#This Row],[Notional Value Local Cur]], -PV[[#This Row],[Notional Value Local Cur]])</f>
        <v>0</v>
      </c>
    </row>
    <row r="624" spans="1:5" x14ac:dyDescent="0.25">
      <c r="A624" s="36" t="b">
        <v>0</v>
      </c>
      <c r="B624" s="56" t="b">
        <v>0</v>
      </c>
      <c r="C624" s="56" t="b">
        <v>0</v>
      </c>
      <c r="D624" s="56" t="b">
        <v>0</v>
      </c>
      <c r="E624" s="56">
        <f ca="1">IF(PV[[#This Row],[Business Date]]=Control!$C$6, PV[[#This Row],[Notional Value Local Cur]], -PV[[#This Row],[Notional Value Local Cur]])</f>
        <v>0</v>
      </c>
    </row>
    <row r="625" spans="1:5" x14ac:dyDescent="0.25">
      <c r="A625" s="36" t="b">
        <v>0</v>
      </c>
      <c r="B625" s="56" t="b">
        <v>0</v>
      </c>
      <c r="C625" s="56" t="b">
        <v>0</v>
      </c>
      <c r="D625" s="56" t="b">
        <v>0</v>
      </c>
      <c r="E625" s="56">
        <f ca="1">IF(PV[[#This Row],[Business Date]]=Control!$C$6, PV[[#This Row],[Notional Value Local Cur]], -PV[[#This Row],[Notional Value Local Cur]])</f>
        <v>0</v>
      </c>
    </row>
    <row r="626" spans="1:5" x14ac:dyDescent="0.25">
      <c r="A626" s="36" t="b">
        <v>0</v>
      </c>
      <c r="B626" s="56" t="b">
        <v>0</v>
      </c>
      <c r="C626" s="56" t="b">
        <v>0</v>
      </c>
      <c r="D626" s="56" t="b">
        <v>0</v>
      </c>
      <c r="E626" s="56">
        <f ca="1">IF(PV[[#This Row],[Business Date]]=Control!$C$6, PV[[#This Row],[Notional Value Local Cur]], -PV[[#This Row],[Notional Value Local Cur]])</f>
        <v>0</v>
      </c>
    </row>
    <row r="627" spans="1:5" x14ac:dyDescent="0.25">
      <c r="A627" s="36" t="b">
        <v>0</v>
      </c>
      <c r="B627" s="56" t="b">
        <v>0</v>
      </c>
      <c r="C627" s="56" t="b">
        <v>0</v>
      </c>
      <c r="D627" s="56" t="b">
        <v>0</v>
      </c>
      <c r="E627" s="56">
        <f ca="1">IF(PV[[#This Row],[Business Date]]=Control!$C$6, PV[[#This Row],[Notional Value Local Cur]], -PV[[#This Row],[Notional Value Local Cur]])</f>
        <v>0</v>
      </c>
    </row>
    <row r="628" spans="1:5" x14ac:dyDescent="0.25">
      <c r="A628" s="36" t="b">
        <v>0</v>
      </c>
      <c r="B628" s="56" t="b">
        <v>0</v>
      </c>
      <c r="C628" s="56" t="b">
        <v>0</v>
      </c>
      <c r="D628" s="56" t="b">
        <v>0</v>
      </c>
      <c r="E628" s="56">
        <f ca="1">IF(PV[[#This Row],[Business Date]]=Control!$C$6, PV[[#This Row],[Notional Value Local Cur]], -PV[[#This Row],[Notional Value Local Cur]])</f>
        <v>0</v>
      </c>
    </row>
    <row r="629" spans="1:5" x14ac:dyDescent="0.25">
      <c r="A629" s="36" t="b">
        <v>0</v>
      </c>
      <c r="B629" s="56" t="b">
        <v>0</v>
      </c>
      <c r="C629" s="56" t="b">
        <v>0</v>
      </c>
      <c r="D629" s="56" t="b">
        <v>0</v>
      </c>
      <c r="E629" s="56">
        <f ca="1">IF(PV[[#This Row],[Business Date]]=Control!$C$6, PV[[#This Row],[Notional Value Local Cur]], -PV[[#This Row],[Notional Value Local Cur]])</f>
        <v>0</v>
      </c>
    </row>
    <row r="630" spans="1:5" x14ac:dyDescent="0.25">
      <c r="A630" s="36" t="b">
        <v>0</v>
      </c>
      <c r="B630" s="56" t="b">
        <v>0</v>
      </c>
      <c r="C630" s="56" t="b">
        <v>0</v>
      </c>
      <c r="D630" s="56" t="b">
        <v>0</v>
      </c>
      <c r="E630" s="56">
        <f ca="1">IF(PV[[#This Row],[Business Date]]=Control!$C$6, PV[[#This Row],[Notional Value Local Cur]], -PV[[#This Row],[Notional Value Local Cur]])</f>
        <v>0</v>
      </c>
    </row>
    <row r="631" spans="1:5" x14ac:dyDescent="0.25">
      <c r="A631" s="36" t="b">
        <v>0</v>
      </c>
      <c r="B631" s="56" t="b">
        <v>0</v>
      </c>
      <c r="C631" s="56" t="b">
        <v>0</v>
      </c>
      <c r="D631" s="56" t="b">
        <v>0</v>
      </c>
      <c r="E631" s="56">
        <f ca="1">IF(PV[[#This Row],[Business Date]]=Control!$C$6, PV[[#This Row],[Notional Value Local Cur]], -PV[[#This Row],[Notional Value Local Cur]])</f>
        <v>0</v>
      </c>
    </row>
    <row r="632" spans="1:5" x14ac:dyDescent="0.25">
      <c r="A632" s="36" t="b">
        <v>0</v>
      </c>
      <c r="B632" s="56" t="b">
        <v>0</v>
      </c>
      <c r="C632" s="56" t="b">
        <v>0</v>
      </c>
      <c r="D632" s="56" t="b">
        <v>0</v>
      </c>
      <c r="E632" s="56">
        <f ca="1">IF(PV[[#This Row],[Business Date]]=Control!$C$6, PV[[#This Row],[Notional Value Local Cur]], -PV[[#This Row],[Notional Value Local Cur]])</f>
        <v>0</v>
      </c>
    </row>
    <row r="633" spans="1:5" x14ac:dyDescent="0.25">
      <c r="A633" s="36" t="b">
        <v>0</v>
      </c>
      <c r="B633" s="56" t="b">
        <v>0</v>
      </c>
      <c r="C633" s="56" t="b">
        <v>0</v>
      </c>
      <c r="D633" s="56" t="b">
        <v>0</v>
      </c>
      <c r="E633" s="56">
        <f ca="1">IF(PV[[#This Row],[Business Date]]=Control!$C$6, PV[[#This Row],[Notional Value Local Cur]], -PV[[#This Row],[Notional Value Local Cur]])</f>
        <v>0</v>
      </c>
    </row>
    <row r="634" spans="1:5" x14ac:dyDescent="0.25">
      <c r="A634" s="36" t="b">
        <v>0</v>
      </c>
      <c r="B634" s="56" t="b">
        <v>0</v>
      </c>
      <c r="C634" s="56" t="b">
        <v>0</v>
      </c>
      <c r="D634" s="56" t="b">
        <v>0</v>
      </c>
      <c r="E634" s="56">
        <f ca="1">IF(PV[[#This Row],[Business Date]]=Control!$C$6, PV[[#This Row],[Notional Value Local Cur]], -PV[[#This Row],[Notional Value Local Cur]])</f>
        <v>0</v>
      </c>
    </row>
    <row r="635" spans="1:5" x14ac:dyDescent="0.25">
      <c r="A635" s="36" t="b">
        <v>0</v>
      </c>
      <c r="B635" s="56" t="b">
        <v>0</v>
      </c>
      <c r="C635" s="56" t="b">
        <v>0</v>
      </c>
      <c r="D635" s="56" t="b">
        <v>0</v>
      </c>
      <c r="E635" s="56">
        <f ca="1">IF(PV[[#This Row],[Business Date]]=Control!$C$6, PV[[#This Row],[Notional Value Local Cur]], -PV[[#This Row],[Notional Value Local Cur]])</f>
        <v>0</v>
      </c>
    </row>
    <row r="636" spans="1:5" x14ac:dyDescent="0.25">
      <c r="A636" s="36" t="b">
        <v>0</v>
      </c>
      <c r="B636" s="56" t="b">
        <v>0</v>
      </c>
      <c r="C636" s="56" t="b">
        <v>0</v>
      </c>
      <c r="D636" s="56" t="b">
        <v>0</v>
      </c>
      <c r="E636" s="56">
        <f ca="1">IF(PV[[#This Row],[Business Date]]=Control!$C$6, PV[[#This Row],[Notional Value Local Cur]], -PV[[#This Row],[Notional Value Local Cur]])</f>
        <v>0</v>
      </c>
    </row>
    <row r="637" spans="1:5" x14ac:dyDescent="0.25">
      <c r="A637" s="36" t="b">
        <v>0</v>
      </c>
      <c r="B637" s="56" t="b">
        <v>0</v>
      </c>
      <c r="C637" s="56" t="b">
        <v>0</v>
      </c>
      <c r="D637" s="56" t="b">
        <v>0</v>
      </c>
      <c r="E637" s="56">
        <f ca="1">IF(PV[[#This Row],[Business Date]]=Control!$C$6, PV[[#This Row],[Notional Value Local Cur]], -PV[[#This Row],[Notional Value Local Cur]])</f>
        <v>0</v>
      </c>
    </row>
    <row r="638" spans="1:5" x14ac:dyDescent="0.25">
      <c r="A638" s="36" t="b">
        <v>0</v>
      </c>
      <c r="B638" s="56" t="b">
        <v>0</v>
      </c>
      <c r="C638" s="56" t="b">
        <v>0</v>
      </c>
      <c r="D638" s="56" t="b">
        <v>0</v>
      </c>
      <c r="E638" s="56">
        <f ca="1">IF(PV[[#This Row],[Business Date]]=Control!$C$6, PV[[#This Row],[Notional Value Local Cur]], -PV[[#This Row],[Notional Value Local Cur]])</f>
        <v>0</v>
      </c>
    </row>
    <row r="639" spans="1:5" x14ac:dyDescent="0.25">
      <c r="A639" s="36" t="b">
        <v>0</v>
      </c>
      <c r="B639" s="56" t="b">
        <v>0</v>
      </c>
      <c r="C639" s="56" t="b">
        <v>0</v>
      </c>
      <c r="D639" s="56" t="b">
        <v>0</v>
      </c>
      <c r="E639" s="56">
        <f ca="1">IF(PV[[#This Row],[Business Date]]=Control!$C$6, PV[[#This Row],[Notional Value Local Cur]], -PV[[#This Row],[Notional Value Local Cur]])</f>
        <v>0</v>
      </c>
    </row>
    <row r="640" spans="1:5" x14ac:dyDescent="0.25">
      <c r="A640" s="36" t="b">
        <v>0</v>
      </c>
      <c r="B640" s="56" t="b">
        <v>0</v>
      </c>
      <c r="C640" s="56" t="b">
        <v>0</v>
      </c>
      <c r="D640" s="56" t="b">
        <v>0</v>
      </c>
      <c r="E640" s="56">
        <f ca="1">IF(PV[[#This Row],[Business Date]]=Control!$C$6, PV[[#This Row],[Notional Value Local Cur]], -PV[[#This Row],[Notional Value Local Cur]])</f>
        <v>0</v>
      </c>
    </row>
    <row r="641" spans="1:5" x14ac:dyDescent="0.25">
      <c r="A641" s="36" t="b">
        <v>0</v>
      </c>
      <c r="B641" s="56" t="b">
        <v>0</v>
      </c>
      <c r="C641" s="56" t="b">
        <v>0</v>
      </c>
      <c r="D641" s="56" t="b">
        <v>0</v>
      </c>
      <c r="E641" s="56">
        <f ca="1">IF(PV[[#This Row],[Business Date]]=Control!$C$6, PV[[#This Row],[Notional Value Local Cur]], -PV[[#This Row],[Notional Value Local Cur]])</f>
        <v>0</v>
      </c>
    </row>
    <row r="642" spans="1:5" x14ac:dyDescent="0.25">
      <c r="A642" s="36" t="b">
        <v>0</v>
      </c>
      <c r="B642" s="56" t="b">
        <v>0</v>
      </c>
      <c r="C642" s="56" t="b">
        <v>0</v>
      </c>
      <c r="D642" s="56" t="b">
        <v>0</v>
      </c>
      <c r="E642" s="56">
        <f ca="1">IF(PV[[#This Row],[Business Date]]=Control!$C$6, PV[[#This Row],[Notional Value Local Cur]], -PV[[#This Row],[Notional Value Local Cur]])</f>
        <v>0</v>
      </c>
    </row>
    <row r="643" spans="1:5" x14ac:dyDescent="0.25">
      <c r="A643" s="36" t="b">
        <v>0</v>
      </c>
      <c r="B643" s="56" t="b">
        <v>0</v>
      </c>
      <c r="C643" s="56" t="b">
        <v>0</v>
      </c>
      <c r="D643" s="56" t="b">
        <v>0</v>
      </c>
      <c r="E643" s="56">
        <f ca="1">IF(PV[[#This Row],[Business Date]]=Control!$C$6, PV[[#This Row],[Notional Value Local Cur]], -PV[[#This Row],[Notional Value Local Cur]])</f>
        <v>0</v>
      </c>
    </row>
    <row r="644" spans="1:5" x14ac:dyDescent="0.25">
      <c r="A644" s="36" t="b">
        <v>0</v>
      </c>
      <c r="B644" s="56" t="b">
        <v>0</v>
      </c>
      <c r="C644" s="56" t="b">
        <v>0</v>
      </c>
      <c r="D644" s="56" t="b">
        <v>0</v>
      </c>
      <c r="E644" s="56">
        <f ca="1">IF(PV[[#This Row],[Business Date]]=Control!$C$6, PV[[#This Row],[Notional Value Local Cur]], -PV[[#This Row],[Notional Value Local Cur]])</f>
        <v>0</v>
      </c>
    </row>
    <row r="645" spans="1:5" x14ac:dyDescent="0.25">
      <c r="A645" s="36" t="b">
        <v>0</v>
      </c>
      <c r="B645" s="56" t="b">
        <v>0</v>
      </c>
      <c r="C645" s="56" t="b">
        <v>0</v>
      </c>
      <c r="D645" s="56" t="b">
        <v>0</v>
      </c>
      <c r="E645" s="56">
        <f ca="1">IF(PV[[#This Row],[Business Date]]=Control!$C$6, PV[[#This Row],[Notional Value Local Cur]], -PV[[#This Row],[Notional Value Local Cur]])</f>
        <v>0</v>
      </c>
    </row>
    <row r="646" spans="1:5" x14ac:dyDescent="0.25">
      <c r="A646" s="36" t="b">
        <v>0</v>
      </c>
      <c r="B646" s="56" t="b">
        <v>0</v>
      </c>
      <c r="C646" s="56" t="b">
        <v>0</v>
      </c>
      <c r="D646" s="56" t="b">
        <v>0</v>
      </c>
      <c r="E646" s="56">
        <f ca="1">IF(PV[[#This Row],[Business Date]]=Control!$C$6, PV[[#This Row],[Notional Value Local Cur]], -PV[[#This Row],[Notional Value Local Cur]])</f>
        <v>0</v>
      </c>
    </row>
    <row r="647" spans="1:5" x14ac:dyDescent="0.25">
      <c r="A647" s="36" t="b">
        <v>0</v>
      </c>
      <c r="B647" s="56" t="b">
        <v>0</v>
      </c>
      <c r="C647" s="56" t="b">
        <v>0</v>
      </c>
      <c r="D647" s="56" t="b">
        <v>0</v>
      </c>
      <c r="E647" s="56">
        <f ca="1">IF(PV[[#This Row],[Business Date]]=Control!$C$6, PV[[#This Row],[Notional Value Local Cur]], -PV[[#This Row],[Notional Value Local Cur]])</f>
        <v>0</v>
      </c>
    </row>
    <row r="648" spans="1:5" x14ac:dyDescent="0.25">
      <c r="A648" s="36" t="b">
        <v>0</v>
      </c>
      <c r="B648" s="56" t="b">
        <v>0</v>
      </c>
      <c r="C648" s="56" t="b">
        <v>0</v>
      </c>
      <c r="D648" s="56" t="b">
        <v>0</v>
      </c>
      <c r="E648" s="56">
        <f ca="1">IF(PV[[#This Row],[Business Date]]=Control!$C$6, PV[[#This Row],[Notional Value Local Cur]], -PV[[#This Row],[Notional Value Local Cur]])</f>
        <v>0</v>
      </c>
    </row>
    <row r="649" spans="1:5" x14ac:dyDescent="0.25">
      <c r="A649" s="36" t="b">
        <v>0</v>
      </c>
      <c r="B649" s="56" t="b">
        <v>0</v>
      </c>
      <c r="C649" s="56" t="b">
        <v>0</v>
      </c>
      <c r="D649" s="56" t="b">
        <v>0</v>
      </c>
      <c r="E649" s="56">
        <f ca="1">IF(PV[[#This Row],[Business Date]]=Control!$C$6, PV[[#This Row],[Notional Value Local Cur]], -PV[[#This Row],[Notional Value Local Cur]])</f>
        <v>0</v>
      </c>
    </row>
    <row r="650" spans="1:5" x14ac:dyDescent="0.25">
      <c r="A650" s="36" t="b">
        <v>0</v>
      </c>
      <c r="B650" s="56" t="b">
        <v>0</v>
      </c>
      <c r="C650" s="56" t="b">
        <v>0</v>
      </c>
      <c r="D650" s="56" t="b">
        <v>0</v>
      </c>
      <c r="E650" s="56">
        <f ca="1">IF(PV[[#This Row],[Business Date]]=Control!$C$6, PV[[#This Row],[Notional Value Local Cur]], -PV[[#This Row],[Notional Value Local Cur]])</f>
        <v>0</v>
      </c>
    </row>
    <row r="651" spans="1:5" x14ac:dyDescent="0.25">
      <c r="A651" s="36" t="b">
        <v>0</v>
      </c>
      <c r="B651" s="56" t="b">
        <v>0</v>
      </c>
      <c r="C651" s="56" t="b">
        <v>0</v>
      </c>
      <c r="D651" s="56" t="b">
        <v>0</v>
      </c>
      <c r="E651" s="56">
        <f ca="1">IF(PV[[#This Row],[Business Date]]=Control!$C$6, PV[[#This Row],[Notional Value Local Cur]], -PV[[#This Row],[Notional Value Local Cur]])</f>
        <v>0</v>
      </c>
    </row>
    <row r="652" spans="1:5" x14ac:dyDescent="0.25">
      <c r="A652" s="36" t="b">
        <v>0</v>
      </c>
      <c r="B652" s="56" t="b">
        <v>0</v>
      </c>
      <c r="C652" s="56" t="b">
        <v>0</v>
      </c>
      <c r="D652" s="56" t="b">
        <v>0</v>
      </c>
      <c r="E652" s="56">
        <f ca="1">IF(PV[[#This Row],[Business Date]]=Control!$C$6, PV[[#This Row],[Notional Value Local Cur]], -PV[[#This Row],[Notional Value Local Cur]])</f>
        <v>0</v>
      </c>
    </row>
    <row r="653" spans="1:5" x14ac:dyDescent="0.25">
      <c r="A653" s="36" t="b">
        <v>0</v>
      </c>
      <c r="B653" s="56" t="b">
        <v>0</v>
      </c>
      <c r="C653" s="56" t="b">
        <v>0</v>
      </c>
      <c r="D653" s="56" t="b">
        <v>0</v>
      </c>
      <c r="E653" s="56">
        <f ca="1">IF(PV[[#This Row],[Business Date]]=Control!$C$6, PV[[#This Row],[Notional Value Local Cur]], -PV[[#This Row],[Notional Value Local Cur]])</f>
        <v>0</v>
      </c>
    </row>
    <row r="654" spans="1:5" x14ac:dyDescent="0.25">
      <c r="A654" s="36" t="b">
        <v>0</v>
      </c>
      <c r="B654" s="56" t="b">
        <v>0</v>
      </c>
      <c r="C654" s="56" t="b">
        <v>0</v>
      </c>
      <c r="D654" s="56" t="b">
        <v>0</v>
      </c>
      <c r="E654" s="56">
        <f ca="1">IF(PV[[#This Row],[Business Date]]=Control!$C$6, PV[[#This Row],[Notional Value Local Cur]], -PV[[#This Row],[Notional Value Local Cur]])</f>
        <v>0</v>
      </c>
    </row>
    <row r="655" spans="1:5" x14ac:dyDescent="0.25">
      <c r="A655" s="36" t="b">
        <v>0</v>
      </c>
      <c r="B655" s="56" t="b">
        <v>0</v>
      </c>
      <c r="C655" s="56" t="b">
        <v>0</v>
      </c>
      <c r="D655" s="56" t="b">
        <v>0</v>
      </c>
      <c r="E655" s="56">
        <f ca="1">IF(PV[[#This Row],[Business Date]]=Control!$C$6, PV[[#This Row],[Notional Value Local Cur]], -PV[[#This Row],[Notional Value Local Cur]])</f>
        <v>0</v>
      </c>
    </row>
    <row r="656" spans="1:5" x14ac:dyDescent="0.25">
      <c r="A656" s="36" t="b">
        <v>0</v>
      </c>
      <c r="B656" s="56" t="b">
        <v>0</v>
      </c>
      <c r="C656" s="56" t="b">
        <v>0</v>
      </c>
      <c r="D656" s="56" t="b">
        <v>0</v>
      </c>
      <c r="E656" s="56">
        <f ca="1">IF(PV[[#This Row],[Business Date]]=Control!$C$6, PV[[#This Row],[Notional Value Local Cur]], -PV[[#This Row],[Notional Value Local Cur]])</f>
        <v>0</v>
      </c>
    </row>
    <row r="657" spans="1:5" x14ac:dyDescent="0.25">
      <c r="A657" s="36" t="b">
        <v>0</v>
      </c>
      <c r="B657" s="56" t="b">
        <v>0</v>
      </c>
      <c r="C657" s="56" t="b">
        <v>0</v>
      </c>
      <c r="D657" s="56" t="b">
        <v>0</v>
      </c>
      <c r="E657" s="56">
        <f ca="1">IF(PV[[#This Row],[Business Date]]=Control!$C$6, PV[[#This Row],[Notional Value Local Cur]], -PV[[#This Row],[Notional Value Local Cur]])</f>
        <v>0</v>
      </c>
    </row>
    <row r="658" spans="1:5" x14ac:dyDescent="0.25">
      <c r="A658" s="36" t="b">
        <v>0</v>
      </c>
      <c r="B658" s="56" t="b">
        <v>0</v>
      </c>
      <c r="C658" s="56" t="b">
        <v>0</v>
      </c>
      <c r="D658" s="56" t="b">
        <v>0</v>
      </c>
      <c r="E658" s="56">
        <f ca="1">IF(PV[[#This Row],[Business Date]]=Control!$C$6, PV[[#This Row],[Notional Value Local Cur]], -PV[[#This Row],[Notional Value Local Cur]])</f>
        <v>0</v>
      </c>
    </row>
    <row r="659" spans="1:5" x14ac:dyDescent="0.25">
      <c r="A659" s="36" t="b">
        <v>0</v>
      </c>
      <c r="B659" s="56" t="b">
        <v>0</v>
      </c>
      <c r="C659" s="56" t="b">
        <v>0</v>
      </c>
      <c r="D659" s="56" t="b">
        <v>0</v>
      </c>
      <c r="E659" s="56">
        <f ca="1">IF(PV[[#This Row],[Business Date]]=Control!$C$6, PV[[#This Row],[Notional Value Local Cur]], -PV[[#This Row],[Notional Value Local Cur]])</f>
        <v>0</v>
      </c>
    </row>
    <row r="660" spans="1:5" x14ac:dyDescent="0.25">
      <c r="A660" s="36" t="b">
        <v>0</v>
      </c>
      <c r="B660" s="56" t="b">
        <v>0</v>
      </c>
      <c r="C660" s="56" t="b">
        <v>0</v>
      </c>
      <c r="D660" s="56" t="b">
        <v>0</v>
      </c>
      <c r="E660" s="56">
        <f ca="1">IF(PV[[#This Row],[Business Date]]=Control!$C$6, PV[[#This Row],[Notional Value Local Cur]], -PV[[#This Row],[Notional Value Local Cur]])</f>
        <v>0</v>
      </c>
    </row>
    <row r="661" spans="1:5" x14ac:dyDescent="0.25">
      <c r="A661" s="36" t="b">
        <v>0</v>
      </c>
      <c r="B661" s="56" t="b">
        <v>0</v>
      </c>
      <c r="C661" s="56" t="b">
        <v>0</v>
      </c>
      <c r="D661" s="56" t="b">
        <v>0</v>
      </c>
      <c r="E661" s="56">
        <f ca="1">IF(PV[[#This Row],[Business Date]]=Control!$C$6, PV[[#This Row],[Notional Value Local Cur]], -PV[[#This Row],[Notional Value Local Cur]])</f>
        <v>0</v>
      </c>
    </row>
    <row r="662" spans="1:5" x14ac:dyDescent="0.25">
      <c r="A662" s="36" t="b">
        <v>0</v>
      </c>
      <c r="B662" s="56" t="b">
        <v>0</v>
      </c>
      <c r="C662" s="56" t="b">
        <v>0</v>
      </c>
      <c r="D662" s="56" t="b">
        <v>0</v>
      </c>
      <c r="E662" s="56">
        <f ca="1">IF(PV[[#This Row],[Business Date]]=Control!$C$6, PV[[#This Row],[Notional Value Local Cur]], -PV[[#This Row],[Notional Value Local Cur]])</f>
        <v>0</v>
      </c>
    </row>
    <row r="663" spans="1:5" x14ac:dyDescent="0.25">
      <c r="A663" s="36" t="b">
        <v>0</v>
      </c>
      <c r="B663" s="56" t="b">
        <v>0</v>
      </c>
      <c r="C663" s="56" t="b">
        <v>0</v>
      </c>
      <c r="D663" s="56" t="b">
        <v>0</v>
      </c>
      <c r="E663" s="56">
        <f ca="1">IF(PV[[#This Row],[Business Date]]=Control!$C$6, PV[[#This Row],[Notional Value Local Cur]], -PV[[#This Row],[Notional Value Local Cur]])</f>
        <v>0</v>
      </c>
    </row>
    <row r="664" spans="1:5" x14ac:dyDescent="0.25">
      <c r="A664" s="36" t="b">
        <v>0</v>
      </c>
      <c r="B664" s="56" t="b">
        <v>0</v>
      </c>
      <c r="C664" s="56" t="b">
        <v>0</v>
      </c>
      <c r="D664" s="56" t="b">
        <v>0</v>
      </c>
      <c r="E664" s="56">
        <f ca="1">IF(PV[[#This Row],[Business Date]]=Control!$C$6, PV[[#This Row],[Notional Value Local Cur]], -PV[[#This Row],[Notional Value Local Cur]])</f>
        <v>0</v>
      </c>
    </row>
    <row r="665" spans="1:5" x14ac:dyDescent="0.25">
      <c r="A665" s="36" t="b">
        <v>0</v>
      </c>
      <c r="B665" s="56" t="b">
        <v>0</v>
      </c>
      <c r="C665" s="56" t="b">
        <v>0</v>
      </c>
      <c r="D665" s="56" t="b">
        <v>0</v>
      </c>
      <c r="E665" s="56">
        <f ca="1">IF(PV[[#This Row],[Business Date]]=Control!$C$6, PV[[#This Row],[Notional Value Local Cur]], -PV[[#This Row],[Notional Value Local Cur]])</f>
        <v>0</v>
      </c>
    </row>
    <row r="666" spans="1:5" x14ac:dyDescent="0.25">
      <c r="A666" s="36" t="b">
        <v>0</v>
      </c>
      <c r="B666" s="56" t="b">
        <v>0</v>
      </c>
      <c r="C666" s="56" t="b">
        <v>0</v>
      </c>
      <c r="D666" s="56" t="b">
        <v>0</v>
      </c>
      <c r="E666" s="56">
        <f ca="1">IF(PV[[#This Row],[Business Date]]=Control!$C$6, PV[[#This Row],[Notional Value Local Cur]], -PV[[#This Row],[Notional Value Local Cur]])</f>
        <v>0</v>
      </c>
    </row>
    <row r="667" spans="1:5" x14ac:dyDescent="0.25">
      <c r="A667" s="36" t="b">
        <v>0</v>
      </c>
      <c r="B667" s="56" t="b">
        <v>0</v>
      </c>
      <c r="C667" s="56" t="b">
        <v>0</v>
      </c>
      <c r="D667" s="56" t="b">
        <v>0</v>
      </c>
      <c r="E667" s="56">
        <f ca="1">IF(PV[[#This Row],[Business Date]]=Control!$C$6, PV[[#This Row],[Notional Value Local Cur]], -PV[[#This Row],[Notional Value Local Cur]])</f>
        <v>0</v>
      </c>
    </row>
    <row r="668" spans="1:5" x14ac:dyDescent="0.25">
      <c r="A668" s="36" t="b">
        <v>0</v>
      </c>
      <c r="B668" s="56" t="b">
        <v>0</v>
      </c>
      <c r="C668" s="56" t="b">
        <v>0</v>
      </c>
      <c r="D668" s="56" t="b">
        <v>0</v>
      </c>
      <c r="E668" s="56">
        <f ca="1">IF(PV[[#This Row],[Business Date]]=Control!$C$6, PV[[#This Row],[Notional Value Local Cur]], -PV[[#This Row],[Notional Value Local Cur]])</f>
        <v>0</v>
      </c>
    </row>
    <row r="669" spans="1:5" x14ac:dyDescent="0.25">
      <c r="A669" s="36" t="b">
        <v>0</v>
      </c>
      <c r="B669" s="56" t="b">
        <v>0</v>
      </c>
      <c r="C669" s="56" t="b">
        <v>0</v>
      </c>
      <c r="D669" s="56" t="b">
        <v>0</v>
      </c>
      <c r="E669" s="56">
        <f ca="1">IF(PV[[#This Row],[Business Date]]=Control!$C$6, PV[[#This Row],[Notional Value Local Cur]], -PV[[#This Row],[Notional Value Local Cur]])</f>
        <v>0</v>
      </c>
    </row>
    <row r="670" spans="1:5" x14ac:dyDescent="0.25">
      <c r="A670" s="36" t="b">
        <v>0</v>
      </c>
      <c r="B670" s="56" t="b">
        <v>0</v>
      </c>
      <c r="C670" s="56" t="b">
        <v>0</v>
      </c>
      <c r="D670" s="56" t="b">
        <v>0</v>
      </c>
      <c r="E670" s="56">
        <f ca="1">IF(PV[[#This Row],[Business Date]]=Control!$C$6, PV[[#This Row],[Notional Value Local Cur]], -PV[[#This Row],[Notional Value Local Cur]])</f>
        <v>0</v>
      </c>
    </row>
    <row r="671" spans="1:5" x14ac:dyDescent="0.25">
      <c r="A671" s="36" t="b">
        <v>0</v>
      </c>
      <c r="B671" s="56" t="b">
        <v>0</v>
      </c>
      <c r="C671" s="56" t="b">
        <v>0</v>
      </c>
      <c r="D671" s="56" t="b">
        <v>0</v>
      </c>
      <c r="E671" s="56">
        <f ca="1">IF(PV[[#This Row],[Business Date]]=Control!$C$6, PV[[#This Row],[Notional Value Local Cur]], -PV[[#This Row],[Notional Value Local Cur]])</f>
        <v>0</v>
      </c>
    </row>
    <row r="672" spans="1:5" x14ac:dyDescent="0.25">
      <c r="A672" s="36" t="b">
        <v>0</v>
      </c>
      <c r="B672" s="56" t="b">
        <v>0</v>
      </c>
      <c r="C672" s="56" t="b">
        <v>0</v>
      </c>
      <c r="D672" s="56" t="b">
        <v>0</v>
      </c>
      <c r="E672" s="56">
        <f ca="1">IF(PV[[#This Row],[Business Date]]=Control!$C$6, PV[[#This Row],[Notional Value Local Cur]], -PV[[#This Row],[Notional Value Local Cur]])</f>
        <v>0</v>
      </c>
    </row>
    <row r="673" spans="1:5" x14ac:dyDescent="0.25">
      <c r="A673" s="36" t="b">
        <v>0</v>
      </c>
      <c r="B673" s="56" t="b">
        <v>0</v>
      </c>
      <c r="C673" s="56" t="b">
        <v>0</v>
      </c>
      <c r="D673" s="56" t="b">
        <v>0</v>
      </c>
      <c r="E673" s="56">
        <f ca="1">IF(PV[[#This Row],[Business Date]]=Control!$C$6, PV[[#This Row],[Notional Value Local Cur]], -PV[[#This Row],[Notional Value Local Cur]])</f>
        <v>0</v>
      </c>
    </row>
    <row r="674" spans="1:5" x14ac:dyDescent="0.25">
      <c r="A674" s="36" t="b">
        <v>0</v>
      </c>
      <c r="B674" s="56" t="b">
        <v>0</v>
      </c>
      <c r="C674" s="56" t="b">
        <v>0</v>
      </c>
      <c r="D674" s="56" t="b">
        <v>0</v>
      </c>
      <c r="E674" s="56">
        <f ca="1">IF(PV[[#This Row],[Business Date]]=Control!$C$6, PV[[#This Row],[Notional Value Local Cur]], -PV[[#This Row],[Notional Value Local Cur]])</f>
        <v>0</v>
      </c>
    </row>
    <row r="675" spans="1:5" x14ac:dyDescent="0.25">
      <c r="A675" s="36" t="b">
        <v>0</v>
      </c>
      <c r="B675" s="56" t="b">
        <v>0</v>
      </c>
      <c r="C675" s="56" t="b">
        <v>0</v>
      </c>
      <c r="D675" s="56" t="b">
        <v>0</v>
      </c>
      <c r="E675" s="56">
        <f ca="1">IF(PV[[#This Row],[Business Date]]=Control!$C$6, PV[[#This Row],[Notional Value Local Cur]], -PV[[#This Row],[Notional Value Local Cur]])</f>
        <v>0</v>
      </c>
    </row>
    <row r="676" spans="1:5" x14ac:dyDescent="0.25">
      <c r="A676" s="36" t="b">
        <v>0</v>
      </c>
      <c r="B676" s="56" t="b">
        <v>0</v>
      </c>
      <c r="C676" s="56" t="b">
        <v>0</v>
      </c>
      <c r="D676" s="56" t="b">
        <v>0</v>
      </c>
      <c r="E676" s="56">
        <f ca="1">IF(PV[[#This Row],[Business Date]]=Control!$C$6, PV[[#This Row],[Notional Value Local Cur]], -PV[[#This Row],[Notional Value Local Cur]])</f>
        <v>0</v>
      </c>
    </row>
    <row r="677" spans="1:5" x14ac:dyDescent="0.25">
      <c r="A677" s="36" t="b">
        <v>0</v>
      </c>
      <c r="B677" s="56" t="b">
        <v>0</v>
      </c>
      <c r="C677" s="56" t="b">
        <v>0</v>
      </c>
      <c r="D677" s="56" t="b">
        <v>0</v>
      </c>
      <c r="E677" s="56">
        <f ca="1">IF(PV[[#This Row],[Business Date]]=Control!$C$6, PV[[#This Row],[Notional Value Local Cur]], -PV[[#This Row],[Notional Value Local Cur]])</f>
        <v>0</v>
      </c>
    </row>
    <row r="678" spans="1:5" x14ac:dyDescent="0.25">
      <c r="A678" s="36" t="b">
        <v>0</v>
      </c>
      <c r="B678" s="56" t="b">
        <v>0</v>
      </c>
      <c r="C678" s="56" t="b">
        <v>0</v>
      </c>
      <c r="D678" s="56" t="b">
        <v>0</v>
      </c>
      <c r="E678" s="56">
        <f ca="1">IF(PV[[#This Row],[Business Date]]=Control!$C$6, PV[[#This Row],[Notional Value Local Cur]], -PV[[#This Row],[Notional Value Local Cur]])</f>
        <v>0</v>
      </c>
    </row>
    <row r="679" spans="1:5" x14ac:dyDescent="0.25">
      <c r="A679" s="36" t="b">
        <v>0</v>
      </c>
      <c r="B679" s="56" t="b">
        <v>0</v>
      </c>
      <c r="C679" s="56" t="b">
        <v>0</v>
      </c>
      <c r="D679" s="56" t="b">
        <v>0</v>
      </c>
      <c r="E679" s="56">
        <f ca="1">IF(PV[[#This Row],[Business Date]]=Control!$C$6, PV[[#This Row],[Notional Value Local Cur]], -PV[[#This Row],[Notional Value Local Cur]])</f>
        <v>0</v>
      </c>
    </row>
    <row r="680" spans="1:5" x14ac:dyDescent="0.25">
      <c r="A680" s="36" t="b">
        <v>0</v>
      </c>
      <c r="B680" s="56" t="b">
        <v>0</v>
      </c>
      <c r="C680" s="56" t="b">
        <v>0</v>
      </c>
      <c r="D680" s="56" t="b">
        <v>0</v>
      </c>
      <c r="E680" s="56">
        <f ca="1">IF(PV[[#This Row],[Business Date]]=Control!$C$6, PV[[#This Row],[Notional Value Local Cur]], -PV[[#This Row],[Notional Value Local Cur]])</f>
        <v>0</v>
      </c>
    </row>
    <row r="681" spans="1:5" x14ac:dyDescent="0.25">
      <c r="A681" s="36" t="b">
        <v>0</v>
      </c>
      <c r="B681" s="56" t="b">
        <v>0</v>
      </c>
      <c r="C681" s="56" t="b">
        <v>0</v>
      </c>
      <c r="D681" s="56" t="b">
        <v>0</v>
      </c>
      <c r="E681" s="56">
        <f ca="1">IF(PV[[#This Row],[Business Date]]=Control!$C$6, PV[[#This Row],[Notional Value Local Cur]], -PV[[#This Row],[Notional Value Local Cur]])</f>
        <v>0</v>
      </c>
    </row>
    <row r="682" spans="1:5" x14ac:dyDescent="0.25">
      <c r="A682" s="36" t="b">
        <v>0</v>
      </c>
      <c r="B682" s="56" t="b">
        <v>0</v>
      </c>
      <c r="C682" s="56" t="b">
        <v>0</v>
      </c>
      <c r="D682" s="56" t="b">
        <v>0</v>
      </c>
      <c r="E682" s="56">
        <f ca="1">IF(PV[[#This Row],[Business Date]]=Control!$C$6, PV[[#This Row],[Notional Value Local Cur]], -PV[[#This Row],[Notional Value Local Cur]])</f>
        <v>0</v>
      </c>
    </row>
    <row r="683" spans="1:5" x14ac:dyDescent="0.25">
      <c r="A683" s="36" t="b">
        <v>0</v>
      </c>
      <c r="B683" s="56" t="b">
        <v>0</v>
      </c>
      <c r="C683" s="56" t="b">
        <v>0</v>
      </c>
      <c r="D683" s="56" t="b">
        <v>0</v>
      </c>
      <c r="E683" s="56">
        <f ca="1">IF(PV[[#This Row],[Business Date]]=Control!$C$6, PV[[#This Row],[Notional Value Local Cur]], -PV[[#This Row],[Notional Value Local Cur]])</f>
        <v>0</v>
      </c>
    </row>
    <row r="684" spans="1:5" x14ac:dyDescent="0.25">
      <c r="A684" s="36" t="b">
        <v>0</v>
      </c>
      <c r="B684" s="56" t="b">
        <v>0</v>
      </c>
      <c r="C684" s="56" t="b">
        <v>0</v>
      </c>
      <c r="D684" s="56" t="b">
        <v>0</v>
      </c>
      <c r="E684" s="56">
        <f ca="1">IF(PV[[#This Row],[Business Date]]=Control!$C$6, PV[[#This Row],[Notional Value Local Cur]], -PV[[#This Row],[Notional Value Local Cur]])</f>
        <v>0</v>
      </c>
    </row>
    <row r="685" spans="1:5" x14ac:dyDescent="0.25">
      <c r="A685" s="36" t="b">
        <v>0</v>
      </c>
      <c r="B685" s="56" t="b">
        <v>0</v>
      </c>
      <c r="C685" s="56" t="b">
        <v>0</v>
      </c>
      <c r="D685" s="56" t="b">
        <v>0</v>
      </c>
      <c r="E685" s="56">
        <f ca="1">IF(PV[[#This Row],[Business Date]]=Control!$C$6, PV[[#This Row],[Notional Value Local Cur]], -PV[[#This Row],[Notional Value Local Cur]])</f>
        <v>0</v>
      </c>
    </row>
    <row r="686" spans="1:5" x14ac:dyDescent="0.25">
      <c r="A686" s="36" t="b">
        <v>0</v>
      </c>
      <c r="B686" s="56" t="b">
        <v>0</v>
      </c>
      <c r="C686" s="56" t="b">
        <v>0</v>
      </c>
      <c r="D686" s="56" t="b">
        <v>0</v>
      </c>
      <c r="E686" s="56">
        <f ca="1">IF(PV[[#This Row],[Business Date]]=Control!$C$6, PV[[#This Row],[Notional Value Local Cur]], -PV[[#This Row],[Notional Value Local Cur]])</f>
        <v>0</v>
      </c>
    </row>
    <row r="687" spans="1:5" x14ac:dyDescent="0.25">
      <c r="A687" s="36" t="b">
        <v>0</v>
      </c>
      <c r="B687" s="56" t="b">
        <v>0</v>
      </c>
      <c r="C687" s="56" t="b">
        <v>0</v>
      </c>
      <c r="D687" s="56" t="b">
        <v>0</v>
      </c>
      <c r="E687" s="56">
        <f ca="1">IF(PV[[#This Row],[Business Date]]=Control!$C$6, PV[[#This Row],[Notional Value Local Cur]], -PV[[#This Row],[Notional Value Local Cur]])</f>
        <v>0</v>
      </c>
    </row>
    <row r="688" spans="1:5" x14ac:dyDescent="0.25">
      <c r="A688" s="36" t="b">
        <v>0</v>
      </c>
      <c r="B688" s="56" t="b">
        <v>0</v>
      </c>
      <c r="C688" s="56" t="b">
        <v>0</v>
      </c>
      <c r="D688" s="56" t="b">
        <v>0</v>
      </c>
      <c r="E688" s="56">
        <f ca="1">IF(PV[[#This Row],[Business Date]]=Control!$C$6, PV[[#This Row],[Notional Value Local Cur]], -PV[[#This Row],[Notional Value Local Cur]])</f>
        <v>0</v>
      </c>
    </row>
    <row r="689" spans="1:5" x14ac:dyDescent="0.25">
      <c r="A689" s="36" t="b">
        <v>0</v>
      </c>
      <c r="B689" s="56" t="b">
        <v>0</v>
      </c>
      <c r="C689" s="56" t="b">
        <v>0</v>
      </c>
      <c r="D689" s="56" t="b">
        <v>0</v>
      </c>
      <c r="E689" s="56">
        <f ca="1">IF(PV[[#This Row],[Business Date]]=Control!$C$6, PV[[#This Row],[Notional Value Local Cur]], -PV[[#This Row],[Notional Value Local Cur]])</f>
        <v>0</v>
      </c>
    </row>
    <row r="690" spans="1:5" x14ac:dyDescent="0.25">
      <c r="A690" s="36" t="b">
        <v>0</v>
      </c>
      <c r="B690" s="56" t="b">
        <v>0</v>
      </c>
      <c r="C690" s="56" t="b">
        <v>0</v>
      </c>
      <c r="D690" s="56" t="b">
        <v>0</v>
      </c>
      <c r="E690" s="56">
        <f ca="1">IF(PV[[#This Row],[Business Date]]=Control!$C$6, PV[[#This Row],[Notional Value Local Cur]], -PV[[#This Row],[Notional Value Local Cur]])</f>
        <v>0</v>
      </c>
    </row>
    <row r="691" spans="1:5" x14ac:dyDescent="0.25">
      <c r="A691" s="36" t="b">
        <v>0</v>
      </c>
      <c r="B691" s="56" t="b">
        <v>0</v>
      </c>
      <c r="C691" s="56" t="b">
        <v>0</v>
      </c>
      <c r="D691" s="56" t="b">
        <v>0</v>
      </c>
      <c r="E691" s="56">
        <f ca="1">IF(PV[[#This Row],[Business Date]]=Control!$C$6, PV[[#This Row],[Notional Value Local Cur]], -PV[[#This Row],[Notional Value Local Cur]])</f>
        <v>0</v>
      </c>
    </row>
    <row r="692" spans="1:5" x14ac:dyDescent="0.25">
      <c r="A692" s="36" t="b">
        <v>0</v>
      </c>
      <c r="B692" s="56" t="b">
        <v>0</v>
      </c>
      <c r="C692" s="56" t="b">
        <v>0</v>
      </c>
      <c r="D692" s="56" t="b">
        <v>0</v>
      </c>
      <c r="E692" s="56">
        <f ca="1">IF(PV[[#This Row],[Business Date]]=Control!$C$6, PV[[#This Row],[Notional Value Local Cur]], -PV[[#This Row],[Notional Value Local Cur]])</f>
        <v>0</v>
      </c>
    </row>
    <row r="693" spans="1:5" x14ac:dyDescent="0.25">
      <c r="A693" s="36" t="b">
        <v>0</v>
      </c>
      <c r="B693" s="56" t="b">
        <v>0</v>
      </c>
      <c r="C693" s="56" t="b">
        <v>0</v>
      </c>
      <c r="D693" s="56" t="b">
        <v>0</v>
      </c>
      <c r="E693" s="56">
        <f ca="1">IF(PV[[#This Row],[Business Date]]=Control!$C$6, PV[[#This Row],[Notional Value Local Cur]], -PV[[#This Row],[Notional Value Local Cur]])</f>
        <v>0</v>
      </c>
    </row>
    <row r="694" spans="1:5" x14ac:dyDescent="0.25">
      <c r="A694" s="36" t="b">
        <v>0</v>
      </c>
      <c r="B694" s="56" t="b">
        <v>0</v>
      </c>
      <c r="C694" s="56" t="b">
        <v>0</v>
      </c>
      <c r="D694" s="56" t="b">
        <v>0</v>
      </c>
      <c r="E694" s="56">
        <f ca="1">IF(PV[[#This Row],[Business Date]]=Control!$C$6, PV[[#This Row],[Notional Value Local Cur]], -PV[[#This Row],[Notional Value Local Cur]])</f>
        <v>0</v>
      </c>
    </row>
    <row r="695" spans="1:5" x14ac:dyDescent="0.25">
      <c r="A695" s="36" t="b">
        <v>0</v>
      </c>
      <c r="B695" s="56" t="b">
        <v>0</v>
      </c>
      <c r="C695" s="56" t="b">
        <v>0</v>
      </c>
      <c r="D695" s="56" t="b">
        <v>0</v>
      </c>
      <c r="E695" s="56">
        <f ca="1">IF(PV[[#This Row],[Business Date]]=Control!$C$6, PV[[#This Row],[Notional Value Local Cur]], -PV[[#This Row],[Notional Value Local Cur]])</f>
        <v>0</v>
      </c>
    </row>
    <row r="696" spans="1:5" x14ac:dyDescent="0.25">
      <c r="A696" s="36" t="b">
        <v>0</v>
      </c>
      <c r="B696" s="56" t="b">
        <v>0</v>
      </c>
      <c r="C696" s="56" t="b">
        <v>0</v>
      </c>
      <c r="D696" s="56" t="b">
        <v>0</v>
      </c>
      <c r="E696" s="56">
        <f ca="1">IF(PV[[#This Row],[Business Date]]=Control!$C$6, PV[[#This Row],[Notional Value Local Cur]], -PV[[#This Row],[Notional Value Local Cur]])</f>
        <v>0</v>
      </c>
    </row>
    <row r="697" spans="1:5" x14ac:dyDescent="0.25">
      <c r="A697" s="36" t="b">
        <v>0</v>
      </c>
      <c r="B697" s="56" t="b">
        <v>0</v>
      </c>
      <c r="C697" s="56" t="b">
        <v>0</v>
      </c>
      <c r="D697" s="56" t="b">
        <v>0</v>
      </c>
      <c r="E697" s="56">
        <f ca="1">IF(PV[[#This Row],[Business Date]]=Control!$C$6, PV[[#This Row],[Notional Value Local Cur]], -PV[[#This Row],[Notional Value Local Cur]])</f>
        <v>0</v>
      </c>
    </row>
    <row r="698" spans="1:5" x14ac:dyDescent="0.25">
      <c r="A698" s="36" t="b">
        <v>0</v>
      </c>
      <c r="B698" s="56" t="b">
        <v>0</v>
      </c>
      <c r="C698" s="56" t="b">
        <v>0</v>
      </c>
      <c r="D698" s="56" t="b">
        <v>0</v>
      </c>
      <c r="E698" s="56">
        <f ca="1">IF(PV[[#This Row],[Business Date]]=Control!$C$6, PV[[#This Row],[Notional Value Local Cur]], -PV[[#This Row],[Notional Value Local Cur]])</f>
        <v>0</v>
      </c>
    </row>
    <row r="699" spans="1:5" x14ac:dyDescent="0.25">
      <c r="A699" s="36" t="b">
        <v>0</v>
      </c>
      <c r="B699" s="56" t="b">
        <v>0</v>
      </c>
      <c r="C699" s="56" t="b">
        <v>0</v>
      </c>
      <c r="D699" s="56" t="b">
        <v>0</v>
      </c>
      <c r="E699" s="56">
        <f ca="1">IF(PV[[#This Row],[Business Date]]=Control!$C$6, PV[[#This Row],[Notional Value Local Cur]], -PV[[#This Row],[Notional Value Local Cur]])</f>
        <v>0</v>
      </c>
    </row>
    <row r="700" spans="1:5" x14ac:dyDescent="0.25">
      <c r="A700" s="36" t="b">
        <v>0</v>
      </c>
      <c r="B700" s="56" t="b">
        <v>0</v>
      </c>
      <c r="C700" s="56" t="b">
        <v>0</v>
      </c>
      <c r="D700" s="56" t="b">
        <v>0</v>
      </c>
      <c r="E700" s="56">
        <f ca="1">IF(PV[[#This Row],[Business Date]]=Control!$C$6, PV[[#This Row],[Notional Value Local Cur]], -PV[[#This Row],[Notional Value Local Cur]])</f>
        <v>0</v>
      </c>
    </row>
    <row r="701" spans="1:5" x14ac:dyDescent="0.25">
      <c r="A701" s="36" t="b">
        <v>0</v>
      </c>
      <c r="B701" s="56" t="b">
        <v>0</v>
      </c>
      <c r="C701" s="56" t="b">
        <v>0</v>
      </c>
      <c r="D701" s="56" t="b">
        <v>0</v>
      </c>
      <c r="E701" s="56">
        <f ca="1">IF(PV[[#This Row],[Business Date]]=Control!$C$6, PV[[#This Row],[Notional Value Local Cur]], -PV[[#This Row],[Notional Value Local Cur]])</f>
        <v>0</v>
      </c>
    </row>
    <row r="702" spans="1:5" x14ac:dyDescent="0.25">
      <c r="A702" s="36" t="b">
        <v>0</v>
      </c>
      <c r="B702" s="56" t="b">
        <v>0</v>
      </c>
      <c r="C702" s="56" t="b">
        <v>0</v>
      </c>
      <c r="D702" s="56" t="b">
        <v>0</v>
      </c>
      <c r="E702" s="56">
        <f ca="1">IF(PV[[#This Row],[Business Date]]=Control!$C$6, PV[[#This Row],[Notional Value Local Cur]], -PV[[#This Row],[Notional Value Local Cur]])</f>
        <v>0</v>
      </c>
    </row>
    <row r="703" spans="1:5" x14ac:dyDescent="0.25">
      <c r="A703" s="36" t="b">
        <v>0</v>
      </c>
      <c r="B703" s="56" t="b">
        <v>0</v>
      </c>
      <c r="C703" s="56" t="b">
        <v>0</v>
      </c>
      <c r="D703" s="56" t="b">
        <v>0</v>
      </c>
      <c r="E703" s="56">
        <f ca="1">IF(PV[[#This Row],[Business Date]]=Control!$C$6, PV[[#This Row],[Notional Value Local Cur]], -PV[[#This Row],[Notional Value Local Cur]])</f>
        <v>0</v>
      </c>
    </row>
    <row r="704" spans="1:5" x14ac:dyDescent="0.25">
      <c r="A704" s="36" t="b">
        <v>0</v>
      </c>
      <c r="B704" s="56" t="b">
        <v>0</v>
      </c>
      <c r="C704" s="56" t="b">
        <v>0</v>
      </c>
      <c r="D704" s="56" t="b">
        <v>0</v>
      </c>
      <c r="E704" s="56">
        <f ca="1">IF(PV[[#This Row],[Business Date]]=Control!$C$6, PV[[#This Row],[Notional Value Local Cur]], -PV[[#This Row],[Notional Value Local Cur]])</f>
        <v>0</v>
      </c>
    </row>
    <row r="705" spans="1:5" x14ac:dyDescent="0.25">
      <c r="A705" s="36" t="b">
        <v>0</v>
      </c>
      <c r="B705" s="56" t="b">
        <v>0</v>
      </c>
      <c r="C705" s="56" t="b">
        <v>0</v>
      </c>
      <c r="D705" s="56" t="b">
        <v>0</v>
      </c>
      <c r="E705" s="56">
        <f ca="1">IF(PV[[#This Row],[Business Date]]=Control!$C$6, PV[[#This Row],[Notional Value Local Cur]], -PV[[#This Row],[Notional Value Local Cur]])</f>
        <v>0</v>
      </c>
    </row>
    <row r="706" spans="1:5" x14ac:dyDescent="0.25">
      <c r="A706" s="36" t="b">
        <v>0</v>
      </c>
      <c r="B706" s="56" t="b">
        <v>0</v>
      </c>
      <c r="C706" s="56" t="b">
        <v>0</v>
      </c>
      <c r="D706" s="56" t="b">
        <v>0</v>
      </c>
      <c r="E706" s="56">
        <f ca="1">IF(PV[[#This Row],[Business Date]]=Control!$C$6, PV[[#This Row],[Notional Value Local Cur]], -PV[[#This Row],[Notional Value Local Cur]])</f>
        <v>0</v>
      </c>
    </row>
    <row r="707" spans="1:5" x14ac:dyDescent="0.25">
      <c r="A707" s="36" t="b">
        <v>0</v>
      </c>
      <c r="B707" s="56" t="b">
        <v>0</v>
      </c>
      <c r="C707" s="56" t="b">
        <v>0</v>
      </c>
      <c r="D707" s="56" t="b">
        <v>0</v>
      </c>
      <c r="E707" s="56">
        <f ca="1">IF(PV[[#This Row],[Business Date]]=Control!$C$6, PV[[#This Row],[Notional Value Local Cur]], -PV[[#This Row],[Notional Value Local Cur]])</f>
        <v>0</v>
      </c>
    </row>
    <row r="708" spans="1:5" x14ac:dyDescent="0.25">
      <c r="A708" s="36" t="b">
        <v>0</v>
      </c>
      <c r="B708" s="56" t="b">
        <v>0</v>
      </c>
      <c r="C708" s="56" t="b">
        <v>0</v>
      </c>
      <c r="D708" s="56" t="b">
        <v>0</v>
      </c>
      <c r="E708" s="56">
        <f ca="1">IF(PV[[#This Row],[Business Date]]=Control!$C$6, PV[[#This Row],[Notional Value Local Cur]], -PV[[#This Row],[Notional Value Local Cur]])</f>
        <v>0</v>
      </c>
    </row>
    <row r="709" spans="1:5" x14ac:dyDescent="0.25">
      <c r="A709" s="36" t="b">
        <v>0</v>
      </c>
      <c r="B709" s="56" t="b">
        <v>0</v>
      </c>
      <c r="C709" s="56" t="b">
        <v>0</v>
      </c>
      <c r="D709" s="56" t="b">
        <v>0</v>
      </c>
      <c r="E709" s="56">
        <f ca="1">IF(PV[[#This Row],[Business Date]]=Control!$C$6, PV[[#This Row],[Notional Value Local Cur]], -PV[[#This Row],[Notional Value Local Cur]])</f>
        <v>0</v>
      </c>
    </row>
    <row r="710" spans="1:5" x14ac:dyDescent="0.25">
      <c r="A710" s="36" t="b">
        <v>0</v>
      </c>
      <c r="B710" s="56" t="b">
        <v>0</v>
      </c>
      <c r="C710" s="56" t="b">
        <v>0</v>
      </c>
      <c r="D710" s="56" t="b">
        <v>0</v>
      </c>
      <c r="E710" s="56">
        <f ca="1">IF(PV[[#This Row],[Business Date]]=Control!$C$6, PV[[#This Row],[Notional Value Local Cur]], -PV[[#This Row],[Notional Value Local Cur]])</f>
        <v>0</v>
      </c>
    </row>
    <row r="711" spans="1:5" x14ac:dyDescent="0.25">
      <c r="A711" s="36" t="b">
        <v>0</v>
      </c>
      <c r="B711" s="56" t="b">
        <v>0</v>
      </c>
      <c r="C711" s="56" t="b">
        <v>0</v>
      </c>
      <c r="D711" s="56" t="b">
        <v>0</v>
      </c>
      <c r="E711" s="56">
        <f ca="1">IF(PV[[#This Row],[Business Date]]=Control!$C$6, PV[[#This Row],[Notional Value Local Cur]], -PV[[#This Row],[Notional Value Local Cur]])</f>
        <v>0</v>
      </c>
    </row>
    <row r="712" spans="1:5" x14ac:dyDescent="0.25">
      <c r="A712" s="36" t="b">
        <v>0</v>
      </c>
      <c r="B712" s="56" t="b">
        <v>0</v>
      </c>
      <c r="C712" s="56" t="b">
        <v>0</v>
      </c>
      <c r="D712" s="56" t="b">
        <v>0</v>
      </c>
      <c r="E712" s="56">
        <f ca="1">IF(PV[[#This Row],[Business Date]]=Control!$C$6, PV[[#This Row],[Notional Value Local Cur]], -PV[[#This Row],[Notional Value Local Cur]])</f>
        <v>0</v>
      </c>
    </row>
    <row r="713" spans="1:5" x14ac:dyDescent="0.25">
      <c r="A713" s="36" t="b">
        <v>0</v>
      </c>
      <c r="B713" s="56" t="b">
        <v>0</v>
      </c>
      <c r="C713" s="56" t="b">
        <v>0</v>
      </c>
      <c r="D713" s="56" t="b">
        <v>0</v>
      </c>
      <c r="E713" s="56">
        <f ca="1">IF(PV[[#This Row],[Business Date]]=Control!$C$6, PV[[#This Row],[Notional Value Local Cur]], -PV[[#This Row],[Notional Value Local Cur]])</f>
        <v>0</v>
      </c>
    </row>
    <row r="714" spans="1:5" x14ac:dyDescent="0.25">
      <c r="A714" s="36" t="b">
        <v>0</v>
      </c>
      <c r="B714" s="56" t="b">
        <v>0</v>
      </c>
      <c r="C714" s="56" t="b">
        <v>0</v>
      </c>
      <c r="D714" s="56" t="b">
        <v>0</v>
      </c>
      <c r="E714" s="56">
        <f ca="1">IF(PV[[#This Row],[Business Date]]=Control!$C$6, PV[[#This Row],[Notional Value Local Cur]], -PV[[#This Row],[Notional Value Local Cur]])</f>
        <v>0</v>
      </c>
    </row>
    <row r="715" spans="1:5" x14ac:dyDescent="0.25">
      <c r="A715" s="36" t="b">
        <v>0</v>
      </c>
      <c r="B715" s="56" t="b">
        <v>0</v>
      </c>
      <c r="C715" s="56" t="b">
        <v>0</v>
      </c>
      <c r="D715" s="56" t="b">
        <v>0</v>
      </c>
      <c r="E715" s="56">
        <f ca="1">IF(PV[[#This Row],[Business Date]]=Control!$C$6, PV[[#This Row],[Notional Value Local Cur]], -PV[[#This Row],[Notional Value Local Cur]])</f>
        <v>0</v>
      </c>
    </row>
    <row r="716" spans="1:5" x14ac:dyDescent="0.25">
      <c r="A716" s="36" t="b">
        <v>0</v>
      </c>
      <c r="B716" s="56" t="b">
        <v>0</v>
      </c>
      <c r="C716" s="56" t="b">
        <v>0</v>
      </c>
      <c r="D716" s="56" t="b">
        <v>0</v>
      </c>
      <c r="E716" s="56">
        <f ca="1">IF(PV[[#This Row],[Business Date]]=Control!$C$6, PV[[#This Row],[Notional Value Local Cur]], -PV[[#This Row],[Notional Value Local Cur]])</f>
        <v>0</v>
      </c>
    </row>
    <row r="717" spans="1:5" x14ac:dyDescent="0.25">
      <c r="A717" s="36" t="b">
        <v>0</v>
      </c>
      <c r="B717" s="56" t="b">
        <v>0</v>
      </c>
      <c r="C717" s="56" t="b">
        <v>0</v>
      </c>
      <c r="D717" s="56" t="b">
        <v>0</v>
      </c>
      <c r="E717" s="56">
        <f ca="1">IF(PV[[#This Row],[Business Date]]=Control!$C$6, PV[[#This Row],[Notional Value Local Cur]], -PV[[#This Row],[Notional Value Local Cur]])</f>
        <v>0</v>
      </c>
    </row>
    <row r="718" spans="1:5" x14ac:dyDescent="0.25">
      <c r="A718" s="36" t="b">
        <v>0</v>
      </c>
      <c r="B718" s="56" t="b">
        <v>0</v>
      </c>
      <c r="C718" s="56" t="b">
        <v>0</v>
      </c>
      <c r="D718" s="56" t="b">
        <v>0</v>
      </c>
      <c r="E718" s="56">
        <f ca="1">IF(PV[[#This Row],[Business Date]]=Control!$C$6, PV[[#This Row],[Notional Value Local Cur]], -PV[[#This Row],[Notional Value Local Cur]])</f>
        <v>0</v>
      </c>
    </row>
    <row r="719" spans="1:5" x14ac:dyDescent="0.25">
      <c r="A719" s="36" t="b">
        <v>0</v>
      </c>
      <c r="B719" s="56" t="b">
        <v>0</v>
      </c>
      <c r="C719" s="56" t="b">
        <v>0</v>
      </c>
      <c r="D719" s="56" t="b">
        <v>0</v>
      </c>
      <c r="E719" s="56">
        <f ca="1">IF(PV[[#This Row],[Business Date]]=Control!$C$6, PV[[#This Row],[Notional Value Local Cur]], -PV[[#This Row],[Notional Value Local Cur]])</f>
        <v>0</v>
      </c>
    </row>
    <row r="720" spans="1:5" x14ac:dyDescent="0.25">
      <c r="A720" s="36" t="b">
        <v>0</v>
      </c>
      <c r="B720" s="56" t="b">
        <v>0</v>
      </c>
      <c r="C720" s="56" t="b">
        <v>0</v>
      </c>
      <c r="D720" s="56" t="b">
        <v>0</v>
      </c>
      <c r="E720" s="56">
        <f ca="1">IF(PV[[#This Row],[Business Date]]=Control!$C$6, PV[[#This Row],[Notional Value Local Cur]], -PV[[#This Row],[Notional Value Local Cur]])</f>
        <v>0</v>
      </c>
    </row>
    <row r="721" spans="1:5" x14ac:dyDescent="0.25">
      <c r="A721" s="36" t="b">
        <v>0</v>
      </c>
      <c r="B721" s="56" t="b">
        <v>0</v>
      </c>
      <c r="C721" s="56" t="b">
        <v>0</v>
      </c>
      <c r="D721" s="56" t="b">
        <v>0</v>
      </c>
      <c r="E721" s="56">
        <f ca="1">IF(PV[[#This Row],[Business Date]]=Control!$C$6, PV[[#This Row],[Notional Value Local Cur]], -PV[[#This Row],[Notional Value Local Cur]])</f>
        <v>0</v>
      </c>
    </row>
    <row r="722" spans="1:5" x14ac:dyDescent="0.25">
      <c r="A722" s="36" t="b">
        <v>0</v>
      </c>
      <c r="B722" s="56" t="b">
        <v>0</v>
      </c>
      <c r="C722" s="56" t="b">
        <v>0</v>
      </c>
      <c r="D722" s="56" t="b">
        <v>0</v>
      </c>
      <c r="E722" s="56">
        <f ca="1">IF(PV[[#This Row],[Business Date]]=Control!$C$6, PV[[#This Row],[Notional Value Local Cur]], -PV[[#This Row],[Notional Value Local Cur]])</f>
        <v>0</v>
      </c>
    </row>
    <row r="723" spans="1:5" x14ac:dyDescent="0.25">
      <c r="A723" s="36" t="b">
        <v>0</v>
      </c>
      <c r="B723" s="56" t="b">
        <v>0</v>
      </c>
      <c r="C723" s="56" t="b">
        <v>0</v>
      </c>
      <c r="D723" s="56" t="b">
        <v>0</v>
      </c>
      <c r="E723" s="56">
        <f ca="1">IF(PV[[#This Row],[Business Date]]=Control!$C$6, PV[[#This Row],[Notional Value Local Cur]], -PV[[#This Row],[Notional Value Local Cur]])</f>
        <v>0</v>
      </c>
    </row>
    <row r="724" spans="1:5" x14ac:dyDescent="0.25">
      <c r="A724" s="36" t="b">
        <v>0</v>
      </c>
      <c r="B724" s="56" t="b">
        <v>0</v>
      </c>
      <c r="C724" s="56" t="b">
        <v>0</v>
      </c>
      <c r="D724" s="56" t="b">
        <v>0</v>
      </c>
      <c r="E724" s="56">
        <f ca="1">IF(PV[[#This Row],[Business Date]]=Control!$C$6, PV[[#This Row],[Notional Value Local Cur]], -PV[[#This Row],[Notional Value Local Cur]])</f>
        <v>0</v>
      </c>
    </row>
    <row r="725" spans="1:5" x14ac:dyDescent="0.25">
      <c r="A725" s="36" t="b">
        <v>0</v>
      </c>
      <c r="B725" s="56" t="b">
        <v>0</v>
      </c>
      <c r="C725" s="56" t="b">
        <v>0</v>
      </c>
      <c r="D725" s="56" t="b">
        <v>0</v>
      </c>
      <c r="E725" s="56">
        <f ca="1">IF(PV[[#This Row],[Business Date]]=Control!$C$6, PV[[#This Row],[Notional Value Local Cur]], -PV[[#This Row],[Notional Value Local Cur]])</f>
        <v>0</v>
      </c>
    </row>
    <row r="726" spans="1:5" x14ac:dyDescent="0.25">
      <c r="A726" s="36" t="b">
        <v>0</v>
      </c>
      <c r="B726" s="56" t="b">
        <v>0</v>
      </c>
      <c r="C726" s="56" t="b">
        <v>0</v>
      </c>
      <c r="D726" s="56" t="b">
        <v>0</v>
      </c>
      <c r="E726" s="56">
        <f ca="1">IF(PV[[#This Row],[Business Date]]=Control!$C$6, PV[[#This Row],[Notional Value Local Cur]], -PV[[#This Row],[Notional Value Local Cur]])</f>
        <v>0</v>
      </c>
    </row>
    <row r="727" spans="1:5" x14ac:dyDescent="0.25">
      <c r="A727" s="36" t="b">
        <v>0</v>
      </c>
      <c r="B727" s="56" t="b">
        <v>0</v>
      </c>
      <c r="C727" s="56" t="b">
        <v>0</v>
      </c>
      <c r="D727" s="56" t="b">
        <v>0</v>
      </c>
      <c r="E727" s="56">
        <f ca="1">IF(PV[[#This Row],[Business Date]]=Control!$C$6, PV[[#This Row],[Notional Value Local Cur]], -PV[[#This Row],[Notional Value Local Cur]])</f>
        <v>0</v>
      </c>
    </row>
    <row r="728" spans="1:5" x14ac:dyDescent="0.25">
      <c r="A728" s="36" t="b">
        <v>0</v>
      </c>
      <c r="B728" s="56" t="b">
        <v>0</v>
      </c>
      <c r="C728" s="56" t="b">
        <v>0</v>
      </c>
      <c r="D728" s="56" t="b">
        <v>0</v>
      </c>
      <c r="E728" s="56">
        <f ca="1">IF(PV[[#This Row],[Business Date]]=Control!$C$6, PV[[#This Row],[Notional Value Local Cur]], -PV[[#This Row],[Notional Value Local Cur]])</f>
        <v>0</v>
      </c>
    </row>
    <row r="729" spans="1:5" x14ac:dyDescent="0.25">
      <c r="A729" s="36" t="b">
        <v>0</v>
      </c>
      <c r="B729" s="56" t="b">
        <v>0</v>
      </c>
      <c r="C729" s="56" t="b">
        <v>0</v>
      </c>
      <c r="D729" s="56" t="b">
        <v>0</v>
      </c>
      <c r="E729" s="56">
        <f ca="1">IF(PV[[#This Row],[Business Date]]=Control!$C$6, PV[[#This Row],[Notional Value Local Cur]], -PV[[#This Row],[Notional Value Local Cur]])</f>
        <v>0</v>
      </c>
    </row>
    <row r="730" spans="1:5" x14ac:dyDescent="0.25">
      <c r="A730" s="36" t="b">
        <v>0</v>
      </c>
      <c r="B730" s="56" t="b">
        <v>0</v>
      </c>
      <c r="C730" s="56" t="b">
        <v>0</v>
      </c>
      <c r="D730" s="56" t="b">
        <v>0</v>
      </c>
      <c r="E730" s="56">
        <f ca="1">IF(PV[[#This Row],[Business Date]]=Control!$C$6, PV[[#This Row],[Notional Value Local Cur]], -PV[[#This Row],[Notional Value Local Cur]])</f>
        <v>0</v>
      </c>
    </row>
    <row r="731" spans="1:5" x14ac:dyDescent="0.25">
      <c r="A731" s="36" t="b">
        <v>0</v>
      </c>
      <c r="B731" s="56" t="b">
        <v>0</v>
      </c>
      <c r="C731" s="56" t="b">
        <v>0</v>
      </c>
      <c r="D731" s="56" t="b">
        <v>0</v>
      </c>
      <c r="E731" s="56">
        <f ca="1">IF(PV[[#This Row],[Business Date]]=Control!$C$6, PV[[#This Row],[Notional Value Local Cur]], -PV[[#This Row],[Notional Value Local Cur]])</f>
        <v>0</v>
      </c>
    </row>
    <row r="732" spans="1:5" x14ac:dyDescent="0.25">
      <c r="A732" s="36" t="b">
        <v>0</v>
      </c>
      <c r="B732" s="56" t="b">
        <v>0</v>
      </c>
      <c r="C732" s="56" t="b">
        <v>0</v>
      </c>
      <c r="D732" s="56" t="b">
        <v>0</v>
      </c>
      <c r="E732" s="56">
        <f ca="1">IF(PV[[#This Row],[Business Date]]=Control!$C$6, PV[[#This Row],[Notional Value Local Cur]], -PV[[#This Row],[Notional Value Local Cur]])</f>
        <v>0</v>
      </c>
    </row>
    <row r="733" spans="1:5" x14ac:dyDescent="0.25">
      <c r="A733" s="36" t="b">
        <v>0</v>
      </c>
      <c r="B733" s="56" t="b">
        <v>0</v>
      </c>
      <c r="C733" s="56" t="b">
        <v>0</v>
      </c>
      <c r="D733" s="56" t="b">
        <v>0</v>
      </c>
      <c r="E733" s="56">
        <f ca="1">IF(PV[[#This Row],[Business Date]]=Control!$C$6, PV[[#This Row],[Notional Value Local Cur]], -PV[[#This Row],[Notional Value Local Cur]])</f>
        <v>0</v>
      </c>
    </row>
    <row r="734" spans="1:5" x14ac:dyDescent="0.25">
      <c r="A734" s="36" t="b">
        <v>0</v>
      </c>
      <c r="B734" s="56" t="b">
        <v>0</v>
      </c>
      <c r="C734" s="56" t="b">
        <v>0</v>
      </c>
      <c r="D734" s="56" t="b">
        <v>0</v>
      </c>
      <c r="E734" s="56">
        <f ca="1">IF(PV[[#This Row],[Business Date]]=Control!$C$6, PV[[#This Row],[Notional Value Local Cur]], -PV[[#This Row],[Notional Value Local Cur]])</f>
        <v>0</v>
      </c>
    </row>
    <row r="735" spans="1:5" x14ac:dyDescent="0.25">
      <c r="A735" s="36" t="b">
        <v>0</v>
      </c>
      <c r="B735" s="56" t="b">
        <v>0</v>
      </c>
      <c r="C735" s="56" t="b">
        <v>0</v>
      </c>
      <c r="D735" s="56" t="b">
        <v>0</v>
      </c>
      <c r="E735" s="56">
        <f ca="1">IF(PV[[#This Row],[Business Date]]=Control!$C$6, PV[[#This Row],[Notional Value Local Cur]], -PV[[#This Row],[Notional Value Local Cur]])</f>
        <v>0</v>
      </c>
    </row>
    <row r="736" spans="1:5" x14ac:dyDescent="0.25">
      <c r="A736" s="36" t="b">
        <v>0</v>
      </c>
      <c r="B736" s="56" t="b">
        <v>0</v>
      </c>
      <c r="C736" s="56" t="b">
        <v>0</v>
      </c>
      <c r="D736" s="56" t="b">
        <v>0</v>
      </c>
      <c r="E736" s="56">
        <f ca="1">IF(PV[[#This Row],[Business Date]]=Control!$C$6, PV[[#This Row],[Notional Value Local Cur]], -PV[[#This Row],[Notional Value Local Cur]])</f>
        <v>0</v>
      </c>
    </row>
    <row r="737" spans="1:5" x14ac:dyDescent="0.25">
      <c r="A737" s="36" t="b">
        <v>0</v>
      </c>
      <c r="B737" s="56" t="b">
        <v>0</v>
      </c>
      <c r="C737" s="56" t="b">
        <v>0</v>
      </c>
      <c r="D737" s="56" t="b">
        <v>0</v>
      </c>
      <c r="E737" s="56">
        <f ca="1">IF(PV[[#This Row],[Business Date]]=Control!$C$6, PV[[#This Row],[Notional Value Local Cur]], -PV[[#This Row],[Notional Value Local Cur]])</f>
        <v>0</v>
      </c>
    </row>
    <row r="738" spans="1:5" x14ac:dyDescent="0.25">
      <c r="A738" s="36" t="b">
        <v>0</v>
      </c>
      <c r="B738" s="56" t="b">
        <v>0</v>
      </c>
      <c r="C738" s="56" t="b">
        <v>0</v>
      </c>
      <c r="D738" s="56" t="b">
        <v>0</v>
      </c>
      <c r="E738" s="56">
        <f ca="1">IF(PV[[#This Row],[Business Date]]=Control!$C$6, PV[[#This Row],[Notional Value Local Cur]], -PV[[#This Row],[Notional Value Local Cur]])</f>
        <v>0</v>
      </c>
    </row>
    <row r="739" spans="1:5" x14ac:dyDescent="0.25">
      <c r="A739" s="36" t="b">
        <v>0</v>
      </c>
      <c r="B739" s="56" t="b">
        <v>0</v>
      </c>
      <c r="C739" s="56" t="b">
        <v>0</v>
      </c>
      <c r="D739" s="56" t="b">
        <v>0</v>
      </c>
      <c r="E739" s="56">
        <f ca="1">IF(PV[[#This Row],[Business Date]]=Control!$C$6, PV[[#This Row],[Notional Value Local Cur]], -PV[[#This Row],[Notional Value Local Cur]])</f>
        <v>0</v>
      </c>
    </row>
    <row r="740" spans="1:5" x14ac:dyDescent="0.25">
      <c r="A740" s="36" t="b">
        <v>0</v>
      </c>
      <c r="B740" s="56" t="b">
        <v>0</v>
      </c>
      <c r="C740" s="56" t="b">
        <v>0</v>
      </c>
      <c r="D740" s="56" t="b">
        <v>0</v>
      </c>
      <c r="E740" s="56">
        <f ca="1">IF(PV[[#This Row],[Business Date]]=Control!$C$6, PV[[#This Row],[Notional Value Local Cur]], -PV[[#This Row],[Notional Value Local Cur]])</f>
        <v>0</v>
      </c>
    </row>
    <row r="741" spans="1:5" x14ac:dyDescent="0.25">
      <c r="A741" s="36" t="b">
        <v>0</v>
      </c>
      <c r="B741" s="56" t="b">
        <v>0</v>
      </c>
      <c r="C741" s="56" t="b">
        <v>0</v>
      </c>
      <c r="D741" s="56" t="b">
        <v>0</v>
      </c>
      <c r="E741" s="56">
        <f ca="1">IF(PV[[#This Row],[Business Date]]=Control!$C$6, PV[[#This Row],[Notional Value Local Cur]], -PV[[#This Row],[Notional Value Local Cur]])</f>
        <v>0</v>
      </c>
    </row>
    <row r="742" spans="1:5" x14ac:dyDescent="0.25">
      <c r="A742" s="36" t="b">
        <v>0</v>
      </c>
      <c r="B742" s="56" t="b">
        <v>0</v>
      </c>
      <c r="C742" s="56" t="b">
        <v>0</v>
      </c>
      <c r="D742" s="56" t="b">
        <v>0</v>
      </c>
      <c r="E742" s="56">
        <f ca="1">IF(PV[[#This Row],[Business Date]]=Control!$C$6, PV[[#This Row],[Notional Value Local Cur]], -PV[[#This Row],[Notional Value Local Cur]])</f>
        <v>0</v>
      </c>
    </row>
    <row r="743" spans="1:5" x14ac:dyDescent="0.25">
      <c r="A743" s="36" t="b">
        <v>0</v>
      </c>
      <c r="B743" s="56" t="b">
        <v>0</v>
      </c>
      <c r="C743" s="56" t="b">
        <v>0</v>
      </c>
      <c r="D743" s="56" t="b">
        <v>0</v>
      </c>
      <c r="E743" s="56">
        <f ca="1">IF(PV[[#This Row],[Business Date]]=Control!$C$6, PV[[#This Row],[Notional Value Local Cur]], -PV[[#This Row],[Notional Value Local Cur]])</f>
        <v>0</v>
      </c>
    </row>
    <row r="744" spans="1:5" x14ac:dyDescent="0.25">
      <c r="A744" s="36" t="b">
        <v>0</v>
      </c>
      <c r="B744" s="56" t="b">
        <v>0</v>
      </c>
      <c r="C744" s="56" t="b">
        <v>0</v>
      </c>
      <c r="D744" s="56" t="b">
        <v>0</v>
      </c>
      <c r="E744" s="56">
        <f ca="1">IF(PV[[#This Row],[Business Date]]=Control!$C$6, PV[[#This Row],[Notional Value Local Cur]], -PV[[#This Row],[Notional Value Local Cur]])</f>
        <v>0</v>
      </c>
    </row>
    <row r="745" spans="1:5" x14ac:dyDescent="0.25">
      <c r="A745" s="36" t="b">
        <v>0</v>
      </c>
      <c r="B745" s="56" t="b">
        <v>0</v>
      </c>
      <c r="C745" s="56" t="b">
        <v>0</v>
      </c>
      <c r="D745" s="56" t="b">
        <v>0</v>
      </c>
      <c r="E745" s="56">
        <f ca="1">IF(PV[[#This Row],[Business Date]]=Control!$C$6, PV[[#This Row],[Notional Value Local Cur]], -PV[[#This Row],[Notional Value Local Cur]])</f>
        <v>0</v>
      </c>
    </row>
    <row r="746" spans="1:5" x14ac:dyDescent="0.25">
      <c r="A746" s="36" t="b">
        <v>0</v>
      </c>
      <c r="B746" s="56" t="b">
        <v>0</v>
      </c>
      <c r="C746" s="56" t="b">
        <v>0</v>
      </c>
      <c r="D746" s="56" t="b">
        <v>0</v>
      </c>
      <c r="E746" s="56">
        <f ca="1">IF(PV[[#This Row],[Business Date]]=Control!$C$6, PV[[#This Row],[Notional Value Local Cur]], -PV[[#This Row],[Notional Value Local Cur]])</f>
        <v>0</v>
      </c>
    </row>
    <row r="747" spans="1:5" x14ac:dyDescent="0.25">
      <c r="A747" s="36" t="b">
        <v>0</v>
      </c>
      <c r="B747" s="56" t="b">
        <v>0</v>
      </c>
      <c r="C747" s="56" t="b">
        <v>0</v>
      </c>
      <c r="D747" s="56" t="b">
        <v>0</v>
      </c>
      <c r="E747" s="56">
        <f ca="1">IF(PV[[#This Row],[Business Date]]=Control!$C$6, PV[[#This Row],[Notional Value Local Cur]], -PV[[#This Row],[Notional Value Local Cur]])</f>
        <v>0</v>
      </c>
    </row>
    <row r="748" spans="1:5" x14ac:dyDescent="0.25">
      <c r="A748" s="36" t="b">
        <v>0</v>
      </c>
      <c r="B748" s="56" t="b">
        <v>0</v>
      </c>
      <c r="C748" s="56" t="b">
        <v>0</v>
      </c>
      <c r="D748" s="56" t="b">
        <v>0</v>
      </c>
      <c r="E748" s="56">
        <f ca="1">IF(PV[[#This Row],[Business Date]]=Control!$C$6, PV[[#This Row],[Notional Value Local Cur]], -PV[[#This Row],[Notional Value Local Cur]])</f>
        <v>0</v>
      </c>
    </row>
    <row r="749" spans="1:5" x14ac:dyDescent="0.25">
      <c r="A749" s="36" t="b">
        <v>0</v>
      </c>
      <c r="B749" s="56" t="b">
        <v>0</v>
      </c>
      <c r="C749" s="56" t="b">
        <v>0</v>
      </c>
      <c r="D749" s="56" t="b">
        <v>0</v>
      </c>
      <c r="E749" s="56">
        <f ca="1">IF(PV[[#This Row],[Business Date]]=Control!$C$6, PV[[#This Row],[Notional Value Local Cur]], -PV[[#This Row],[Notional Value Local Cur]])</f>
        <v>0</v>
      </c>
    </row>
    <row r="750" spans="1:5" x14ac:dyDescent="0.25">
      <c r="A750" s="36" t="b">
        <v>0</v>
      </c>
      <c r="B750" s="56" t="b">
        <v>0</v>
      </c>
      <c r="C750" s="56" t="b">
        <v>0</v>
      </c>
      <c r="D750" s="56" t="b">
        <v>0</v>
      </c>
      <c r="E750" s="56">
        <f ca="1">IF(PV[[#This Row],[Business Date]]=Control!$C$6, PV[[#This Row],[Notional Value Local Cur]], -PV[[#This Row],[Notional Value Local Cur]])</f>
        <v>0</v>
      </c>
    </row>
    <row r="751" spans="1:5" x14ac:dyDescent="0.25">
      <c r="A751" s="36" t="b">
        <v>0</v>
      </c>
      <c r="B751" s="56" t="b">
        <v>0</v>
      </c>
      <c r="C751" s="56" t="b">
        <v>0</v>
      </c>
      <c r="D751" s="56" t="b">
        <v>0</v>
      </c>
      <c r="E751" s="56">
        <f ca="1">IF(PV[[#This Row],[Business Date]]=Control!$C$6, PV[[#This Row],[Notional Value Local Cur]], -PV[[#This Row],[Notional Value Local Cur]])</f>
        <v>0</v>
      </c>
    </row>
    <row r="752" spans="1:5" x14ac:dyDescent="0.25">
      <c r="A752" s="36" t="b">
        <v>0</v>
      </c>
      <c r="B752" s="56" t="b">
        <v>0</v>
      </c>
      <c r="C752" s="56" t="b">
        <v>0</v>
      </c>
      <c r="D752" s="56" t="b">
        <v>0</v>
      </c>
      <c r="E752" s="56">
        <f ca="1">IF(PV[[#This Row],[Business Date]]=Control!$C$6, PV[[#This Row],[Notional Value Local Cur]], -PV[[#This Row],[Notional Value Local Cur]])</f>
        <v>0</v>
      </c>
    </row>
    <row r="753" spans="1:5" x14ac:dyDescent="0.25">
      <c r="A753" s="36" t="b">
        <v>0</v>
      </c>
      <c r="B753" s="56" t="b">
        <v>0</v>
      </c>
      <c r="C753" s="56" t="b">
        <v>0</v>
      </c>
      <c r="D753" s="56" t="b">
        <v>0</v>
      </c>
      <c r="E753" s="56">
        <f ca="1">IF(PV[[#This Row],[Business Date]]=Control!$C$6, PV[[#This Row],[Notional Value Local Cur]], -PV[[#This Row],[Notional Value Local Cur]])</f>
        <v>0</v>
      </c>
    </row>
    <row r="754" spans="1:5" x14ac:dyDescent="0.25">
      <c r="A754" s="36" t="b">
        <v>0</v>
      </c>
      <c r="B754" s="56" t="b">
        <v>0</v>
      </c>
      <c r="C754" s="56" t="b">
        <v>0</v>
      </c>
      <c r="D754" s="56" t="b">
        <v>0</v>
      </c>
      <c r="E754" s="56">
        <f ca="1">IF(PV[[#This Row],[Business Date]]=Control!$C$6, PV[[#This Row],[Notional Value Local Cur]], -PV[[#This Row],[Notional Value Local Cur]])</f>
        <v>0</v>
      </c>
    </row>
    <row r="755" spans="1:5" x14ac:dyDescent="0.25">
      <c r="A755" s="36" t="b">
        <v>0</v>
      </c>
      <c r="B755" s="56" t="b">
        <v>0</v>
      </c>
      <c r="C755" s="56" t="b">
        <v>0</v>
      </c>
      <c r="D755" s="56" t="b">
        <v>0</v>
      </c>
      <c r="E755" s="56">
        <f ca="1">IF(PV[[#This Row],[Business Date]]=Control!$C$6, PV[[#This Row],[Notional Value Local Cur]], -PV[[#This Row],[Notional Value Local Cur]])</f>
        <v>0</v>
      </c>
    </row>
    <row r="756" spans="1:5" x14ac:dyDescent="0.25">
      <c r="A756" s="36" t="b">
        <v>0</v>
      </c>
      <c r="B756" s="56" t="b">
        <v>0</v>
      </c>
      <c r="C756" s="56" t="b">
        <v>0</v>
      </c>
      <c r="D756" s="56" t="b">
        <v>0</v>
      </c>
      <c r="E756" s="56">
        <f ca="1">IF(PV[[#This Row],[Business Date]]=Control!$C$6, PV[[#This Row],[Notional Value Local Cur]], -PV[[#This Row],[Notional Value Local Cur]])</f>
        <v>0</v>
      </c>
    </row>
    <row r="757" spans="1:5" x14ac:dyDescent="0.25">
      <c r="A757" s="36" t="b">
        <v>0</v>
      </c>
      <c r="B757" s="56" t="b">
        <v>0</v>
      </c>
      <c r="C757" s="56" t="b">
        <v>0</v>
      </c>
      <c r="D757" s="56" t="b">
        <v>0</v>
      </c>
      <c r="E757" s="56">
        <f ca="1">IF(PV[[#This Row],[Business Date]]=Control!$C$6, PV[[#This Row],[Notional Value Local Cur]], -PV[[#This Row],[Notional Value Local Cur]])</f>
        <v>0</v>
      </c>
    </row>
    <row r="758" spans="1:5" x14ac:dyDescent="0.25">
      <c r="A758" s="36" t="b">
        <v>0</v>
      </c>
      <c r="B758" s="56" t="b">
        <v>0</v>
      </c>
      <c r="C758" s="56" t="b">
        <v>0</v>
      </c>
      <c r="D758" s="56" t="b">
        <v>0</v>
      </c>
      <c r="E758" s="56">
        <f ca="1">IF(PV[[#This Row],[Business Date]]=Control!$C$6, PV[[#This Row],[Notional Value Local Cur]], -PV[[#This Row],[Notional Value Local Cur]])</f>
        <v>0</v>
      </c>
    </row>
    <row r="759" spans="1:5" x14ac:dyDescent="0.25">
      <c r="A759" s="36" t="b">
        <v>0</v>
      </c>
      <c r="B759" s="56" t="b">
        <v>0</v>
      </c>
      <c r="C759" s="56" t="b">
        <v>0</v>
      </c>
      <c r="D759" s="56" t="b">
        <v>0</v>
      </c>
      <c r="E759" s="56">
        <f ca="1">IF(PV[[#This Row],[Business Date]]=Control!$C$6, PV[[#This Row],[Notional Value Local Cur]], -PV[[#This Row],[Notional Value Local Cur]])</f>
        <v>0</v>
      </c>
    </row>
    <row r="760" spans="1:5" x14ac:dyDescent="0.25">
      <c r="A760" s="36" t="b">
        <v>0</v>
      </c>
      <c r="B760" s="56" t="b">
        <v>0</v>
      </c>
      <c r="C760" s="56" t="b">
        <v>0</v>
      </c>
      <c r="D760" s="56" t="b">
        <v>0</v>
      </c>
      <c r="E760" s="56">
        <f ca="1">IF(PV[[#This Row],[Business Date]]=Control!$C$6, PV[[#This Row],[Notional Value Local Cur]], -PV[[#This Row],[Notional Value Local Cur]])</f>
        <v>0</v>
      </c>
    </row>
    <row r="761" spans="1:5" x14ac:dyDescent="0.25">
      <c r="A761" s="36" t="b">
        <v>0</v>
      </c>
      <c r="B761" s="56" t="b">
        <v>0</v>
      </c>
      <c r="C761" s="56" t="b">
        <v>0</v>
      </c>
      <c r="D761" s="56" t="b">
        <v>0</v>
      </c>
      <c r="E761" s="56">
        <f ca="1">IF(PV[[#This Row],[Business Date]]=Control!$C$6, PV[[#This Row],[Notional Value Local Cur]], -PV[[#This Row],[Notional Value Local Cur]])</f>
        <v>0</v>
      </c>
    </row>
    <row r="762" spans="1:5" x14ac:dyDescent="0.25">
      <c r="A762" s="36" t="b">
        <v>0</v>
      </c>
      <c r="B762" s="56" t="b">
        <v>0</v>
      </c>
      <c r="C762" s="56" t="b">
        <v>0</v>
      </c>
      <c r="D762" s="56" t="b">
        <v>0</v>
      </c>
      <c r="E762" s="56">
        <f ca="1">IF(PV[[#This Row],[Business Date]]=Control!$C$6, PV[[#This Row],[Notional Value Local Cur]], -PV[[#This Row],[Notional Value Local Cur]])</f>
        <v>0</v>
      </c>
    </row>
    <row r="763" spans="1:5" x14ac:dyDescent="0.25">
      <c r="A763" s="36" t="b">
        <v>0</v>
      </c>
      <c r="B763" s="56" t="b">
        <v>0</v>
      </c>
      <c r="C763" s="56" t="b">
        <v>0</v>
      </c>
      <c r="D763" s="56" t="b">
        <v>0</v>
      </c>
      <c r="E763" s="56">
        <f ca="1">IF(PV[[#This Row],[Business Date]]=Control!$C$6, PV[[#This Row],[Notional Value Local Cur]], -PV[[#This Row],[Notional Value Local Cur]])</f>
        <v>0</v>
      </c>
    </row>
    <row r="764" spans="1:5" x14ac:dyDescent="0.25">
      <c r="A764" s="36" t="b">
        <v>0</v>
      </c>
      <c r="B764" s="56" t="b">
        <v>0</v>
      </c>
      <c r="C764" s="56" t="b">
        <v>0</v>
      </c>
      <c r="D764" s="56" t="b">
        <v>0</v>
      </c>
      <c r="E764" s="56">
        <f ca="1">IF(PV[[#This Row],[Business Date]]=Control!$C$6, PV[[#This Row],[Notional Value Local Cur]], -PV[[#This Row],[Notional Value Local Cur]])</f>
        <v>0</v>
      </c>
    </row>
    <row r="765" spans="1:5" x14ac:dyDescent="0.25">
      <c r="A765" s="36" t="b">
        <v>0</v>
      </c>
      <c r="B765" s="56" t="b">
        <v>0</v>
      </c>
      <c r="C765" s="56" t="b">
        <v>0</v>
      </c>
      <c r="D765" s="56" t="b">
        <v>0</v>
      </c>
      <c r="E765" s="56">
        <f ca="1">IF(PV[[#This Row],[Business Date]]=Control!$C$6, PV[[#This Row],[Notional Value Local Cur]], -PV[[#This Row],[Notional Value Local Cur]])</f>
        <v>0</v>
      </c>
    </row>
    <row r="766" spans="1:5" x14ac:dyDescent="0.25">
      <c r="A766" s="36" t="b">
        <v>0</v>
      </c>
      <c r="B766" s="56" t="b">
        <v>0</v>
      </c>
      <c r="C766" s="56" t="b">
        <v>0</v>
      </c>
      <c r="D766" s="56" t="b">
        <v>0</v>
      </c>
      <c r="E766" s="56">
        <f ca="1">IF(PV[[#This Row],[Business Date]]=Control!$C$6, PV[[#This Row],[Notional Value Local Cur]], -PV[[#This Row],[Notional Value Local Cur]])</f>
        <v>0</v>
      </c>
    </row>
    <row r="767" spans="1:5" x14ac:dyDescent="0.25">
      <c r="A767" s="36" t="b">
        <v>0</v>
      </c>
      <c r="B767" s="56" t="b">
        <v>0</v>
      </c>
      <c r="C767" s="56" t="b">
        <v>0</v>
      </c>
      <c r="D767" s="56" t="b">
        <v>0</v>
      </c>
      <c r="E767" s="56">
        <f ca="1">IF(PV[[#This Row],[Business Date]]=Control!$C$6, PV[[#This Row],[Notional Value Local Cur]], -PV[[#This Row],[Notional Value Local Cur]])</f>
        <v>0</v>
      </c>
    </row>
    <row r="768" spans="1:5" x14ac:dyDescent="0.25">
      <c r="A768" s="36" t="b">
        <v>0</v>
      </c>
      <c r="B768" s="56" t="b">
        <v>0</v>
      </c>
      <c r="C768" s="56" t="b">
        <v>0</v>
      </c>
      <c r="D768" s="56" t="b">
        <v>0</v>
      </c>
      <c r="E768" s="56">
        <f ca="1">IF(PV[[#This Row],[Business Date]]=Control!$C$6, PV[[#This Row],[Notional Value Local Cur]], -PV[[#This Row],[Notional Value Local Cur]])</f>
        <v>0</v>
      </c>
    </row>
    <row r="769" spans="1:5" x14ac:dyDescent="0.25">
      <c r="A769" s="36" t="b">
        <v>0</v>
      </c>
      <c r="B769" s="56" t="b">
        <v>0</v>
      </c>
      <c r="C769" s="56" t="b">
        <v>0</v>
      </c>
      <c r="D769" s="56" t="b">
        <v>0</v>
      </c>
      <c r="E769" s="56">
        <f ca="1">IF(PV[[#This Row],[Business Date]]=Control!$C$6, PV[[#This Row],[Notional Value Local Cur]], -PV[[#This Row],[Notional Value Local Cur]])</f>
        <v>0</v>
      </c>
    </row>
    <row r="770" spans="1:5" x14ac:dyDescent="0.25">
      <c r="A770" s="36" t="b">
        <v>0</v>
      </c>
      <c r="B770" s="56" t="b">
        <v>0</v>
      </c>
      <c r="C770" s="56" t="b">
        <v>0</v>
      </c>
      <c r="D770" s="56" t="b">
        <v>0</v>
      </c>
      <c r="E770" s="56">
        <f ca="1">IF(PV[[#This Row],[Business Date]]=Control!$C$6, PV[[#This Row],[Notional Value Local Cur]], -PV[[#This Row],[Notional Value Local Cur]])</f>
        <v>0</v>
      </c>
    </row>
    <row r="771" spans="1:5" x14ac:dyDescent="0.25">
      <c r="A771" s="36" t="b">
        <v>0</v>
      </c>
      <c r="B771" s="56" t="b">
        <v>0</v>
      </c>
      <c r="C771" s="56" t="b">
        <v>0</v>
      </c>
      <c r="D771" s="56" t="b">
        <v>0</v>
      </c>
      <c r="E771" s="56">
        <f ca="1">IF(PV[[#This Row],[Business Date]]=Control!$C$6, PV[[#This Row],[Notional Value Local Cur]], -PV[[#This Row],[Notional Value Local Cur]])</f>
        <v>0</v>
      </c>
    </row>
    <row r="772" spans="1:5" x14ac:dyDescent="0.25">
      <c r="A772" s="36" t="b">
        <v>0</v>
      </c>
      <c r="B772" s="56" t="b">
        <v>0</v>
      </c>
      <c r="C772" s="56" t="b">
        <v>0</v>
      </c>
      <c r="D772" s="56" t="b">
        <v>0</v>
      </c>
      <c r="E772" s="56">
        <f ca="1">IF(PV[[#This Row],[Business Date]]=Control!$C$6, PV[[#This Row],[Notional Value Local Cur]], -PV[[#This Row],[Notional Value Local Cur]])</f>
        <v>0</v>
      </c>
    </row>
    <row r="773" spans="1:5" x14ac:dyDescent="0.25">
      <c r="A773" s="36" t="b">
        <v>0</v>
      </c>
      <c r="B773" s="56" t="b">
        <v>0</v>
      </c>
      <c r="C773" s="56" t="b">
        <v>0</v>
      </c>
      <c r="D773" s="56" t="b">
        <v>0</v>
      </c>
      <c r="E773" s="56">
        <f ca="1">IF(PV[[#This Row],[Business Date]]=Control!$C$6, PV[[#This Row],[Notional Value Local Cur]], -PV[[#This Row],[Notional Value Local Cur]])</f>
        <v>0</v>
      </c>
    </row>
    <row r="774" spans="1:5" x14ac:dyDescent="0.25">
      <c r="A774" s="36" t="b">
        <v>0</v>
      </c>
      <c r="B774" s="56" t="b">
        <v>0</v>
      </c>
      <c r="C774" s="56" t="b">
        <v>0</v>
      </c>
      <c r="D774" s="56" t="b">
        <v>0</v>
      </c>
      <c r="E774" s="56">
        <f ca="1">IF(PV[[#This Row],[Business Date]]=Control!$C$6, PV[[#This Row],[Notional Value Local Cur]], -PV[[#This Row],[Notional Value Local Cur]])</f>
        <v>0</v>
      </c>
    </row>
    <row r="775" spans="1:5" x14ac:dyDescent="0.25">
      <c r="A775" s="36" t="b">
        <v>0</v>
      </c>
      <c r="B775" s="56" t="b">
        <v>0</v>
      </c>
      <c r="C775" s="56" t="b">
        <v>0</v>
      </c>
      <c r="D775" s="56" t="b">
        <v>0</v>
      </c>
      <c r="E775" s="56">
        <f ca="1">IF(PV[[#This Row],[Business Date]]=Control!$C$6, PV[[#This Row],[Notional Value Local Cur]], -PV[[#This Row],[Notional Value Local Cur]])</f>
        <v>0</v>
      </c>
    </row>
    <row r="776" spans="1:5" x14ac:dyDescent="0.25">
      <c r="A776" s="36" t="b">
        <v>0</v>
      </c>
      <c r="B776" s="56" t="b">
        <v>0</v>
      </c>
      <c r="C776" s="56" t="b">
        <v>0</v>
      </c>
      <c r="D776" s="56" t="b">
        <v>0</v>
      </c>
      <c r="E776" s="56">
        <f ca="1">IF(PV[[#This Row],[Business Date]]=Control!$C$6, PV[[#This Row],[Notional Value Local Cur]], -PV[[#This Row],[Notional Value Local Cur]])</f>
        <v>0</v>
      </c>
    </row>
    <row r="777" spans="1:5" x14ac:dyDescent="0.25">
      <c r="A777" s="36" t="b">
        <v>0</v>
      </c>
      <c r="B777" s="56" t="b">
        <v>0</v>
      </c>
      <c r="C777" s="56" t="b">
        <v>0</v>
      </c>
      <c r="D777" s="56" t="b">
        <v>0</v>
      </c>
      <c r="E777" s="56">
        <f ca="1">IF(PV[[#This Row],[Business Date]]=Control!$C$6, PV[[#This Row],[Notional Value Local Cur]], -PV[[#This Row],[Notional Value Local Cur]])</f>
        <v>0</v>
      </c>
    </row>
    <row r="778" spans="1:5" x14ac:dyDescent="0.25">
      <c r="A778" s="36" t="b">
        <v>0</v>
      </c>
      <c r="B778" s="56" t="b">
        <v>0</v>
      </c>
      <c r="C778" s="56" t="b">
        <v>0</v>
      </c>
      <c r="D778" s="56" t="b">
        <v>0</v>
      </c>
      <c r="E778" s="56">
        <f ca="1">IF(PV[[#This Row],[Business Date]]=Control!$C$6, PV[[#This Row],[Notional Value Local Cur]], -PV[[#This Row],[Notional Value Local Cur]])</f>
        <v>0</v>
      </c>
    </row>
    <row r="779" spans="1:5" x14ac:dyDescent="0.25">
      <c r="A779" s="36" t="b">
        <v>0</v>
      </c>
      <c r="B779" s="56" t="b">
        <v>0</v>
      </c>
      <c r="C779" s="56" t="b">
        <v>0</v>
      </c>
      <c r="D779" s="56" t="b">
        <v>0</v>
      </c>
      <c r="E779" s="56">
        <f ca="1">IF(PV[[#This Row],[Business Date]]=Control!$C$6, PV[[#This Row],[Notional Value Local Cur]], -PV[[#This Row],[Notional Value Local Cur]])</f>
        <v>0</v>
      </c>
    </row>
    <row r="780" spans="1:5" x14ac:dyDescent="0.25">
      <c r="A780" s="36" t="b">
        <v>0</v>
      </c>
      <c r="B780" s="56" t="b">
        <v>0</v>
      </c>
      <c r="C780" s="56" t="b">
        <v>0</v>
      </c>
      <c r="D780" s="56" t="b">
        <v>0</v>
      </c>
      <c r="E780" s="56">
        <f ca="1">IF(PV[[#This Row],[Business Date]]=Control!$C$6, PV[[#This Row],[Notional Value Local Cur]], -PV[[#This Row],[Notional Value Local Cur]])</f>
        <v>0</v>
      </c>
    </row>
    <row r="781" spans="1:5" x14ac:dyDescent="0.25">
      <c r="A781" s="36" t="b">
        <v>0</v>
      </c>
      <c r="B781" s="56" t="b">
        <v>0</v>
      </c>
      <c r="C781" s="56" t="b">
        <v>0</v>
      </c>
      <c r="D781" s="56" t="b">
        <v>0</v>
      </c>
      <c r="E781" s="56">
        <f ca="1">IF(PV[[#This Row],[Business Date]]=Control!$C$6, PV[[#This Row],[Notional Value Local Cur]], -PV[[#This Row],[Notional Value Local Cur]])</f>
        <v>0</v>
      </c>
    </row>
    <row r="782" spans="1:5" x14ac:dyDescent="0.25">
      <c r="A782" s="36" t="b">
        <v>0</v>
      </c>
      <c r="B782" s="56" t="b">
        <v>0</v>
      </c>
      <c r="C782" s="56" t="b">
        <v>0</v>
      </c>
      <c r="D782" s="56" t="b">
        <v>0</v>
      </c>
      <c r="E782" s="56">
        <f ca="1">IF(PV[[#This Row],[Business Date]]=Control!$C$6, PV[[#This Row],[Notional Value Local Cur]], -PV[[#This Row],[Notional Value Local Cur]])</f>
        <v>0</v>
      </c>
    </row>
    <row r="783" spans="1:5" x14ac:dyDescent="0.25">
      <c r="A783" s="36" t="b">
        <v>0</v>
      </c>
      <c r="B783" s="56" t="b">
        <v>0</v>
      </c>
      <c r="C783" s="56" t="b">
        <v>0</v>
      </c>
      <c r="D783" s="56" t="b">
        <v>0</v>
      </c>
      <c r="E783" s="56">
        <f ca="1">IF(PV[[#This Row],[Business Date]]=Control!$C$6, PV[[#This Row],[Notional Value Local Cur]], -PV[[#This Row],[Notional Value Local Cur]])</f>
        <v>0</v>
      </c>
    </row>
    <row r="784" spans="1:5" x14ac:dyDescent="0.25">
      <c r="A784" s="36" t="b">
        <v>0</v>
      </c>
      <c r="B784" s="56" t="b">
        <v>0</v>
      </c>
      <c r="C784" s="56" t="b">
        <v>0</v>
      </c>
      <c r="D784" s="56" t="b">
        <v>0</v>
      </c>
      <c r="E784" s="56">
        <f ca="1">IF(PV[[#This Row],[Business Date]]=Control!$C$6, PV[[#This Row],[Notional Value Local Cur]], -PV[[#This Row],[Notional Value Local Cur]])</f>
        <v>0</v>
      </c>
    </row>
    <row r="785" spans="1:5" x14ac:dyDescent="0.25">
      <c r="A785" s="36" t="b">
        <v>0</v>
      </c>
      <c r="B785" s="56" t="b">
        <v>0</v>
      </c>
      <c r="C785" s="56" t="b">
        <v>0</v>
      </c>
      <c r="D785" s="56" t="b">
        <v>0</v>
      </c>
      <c r="E785" s="56">
        <f ca="1">IF(PV[[#This Row],[Business Date]]=Control!$C$6, PV[[#This Row],[Notional Value Local Cur]], -PV[[#This Row],[Notional Value Local Cur]])</f>
        <v>0</v>
      </c>
    </row>
    <row r="786" spans="1:5" x14ac:dyDescent="0.25">
      <c r="A786" s="36" t="b">
        <v>0</v>
      </c>
      <c r="B786" s="56" t="b">
        <v>0</v>
      </c>
      <c r="C786" s="56" t="b">
        <v>0</v>
      </c>
      <c r="D786" s="56" t="b">
        <v>0</v>
      </c>
      <c r="E786" s="56">
        <f ca="1">IF(PV[[#This Row],[Business Date]]=Control!$C$6, PV[[#This Row],[Notional Value Local Cur]], -PV[[#This Row],[Notional Value Local Cur]])</f>
        <v>0</v>
      </c>
    </row>
    <row r="787" spans="1:5" x14ac:dyDescent="0.25">
      <c r="A787" s="36" t="b">
        <v>0</v>
      </c>
      <c r="B787" s="56" t="b">
        <v>0</v>
      </c>
      <c r="C787" s="56" t="b">
        <v>0</v>
      </c>
      <c r="D787" s="56" t="b">
        <v>0</v>
      </c>
      <c r="E787" s="56">
        <f ca="1">IF(PV[[#This Row],[Business Date]]=Control!$C$6, PV[[#This Row],[Notional Value Local Cur]], -PV[[#This Row],[Notional Value Local Cur]])</f>
        <v>0</v>
      </c>
    </row>
    <row r="788" spans="1:5" x14ac:dyDescent="0.25">
      <c r="A788" s="36" t="b">
        <v>0</v>
      </c>
      <c r="B788" s="56" t="b">
        <v>0</v>
      </c>
      <c r="C788" s="56" t="b">
        <v>0</v>
      </c>
      <c r="D788" s="56" t="b">
        <v>0</v>
      </c>
      <c r="E788" s="56">
        <f ca="1">IF(PV[[#This Row],[Business Date]]=Control!$C$6, PV[[#This Row],[Notional Value Local Cur]], -PV[[#This Row],[Notional Value Local Cur]])</f>
        <v>0</v>
      </c>
    </row>
    <row r="789" spans="1:5" x14ac:dyDescent="0.25">
      <c r="A789" s="36" t="b">
        <v>0</v>
      </c>
      <c r="B789" s="56" t="b">
        <v>0</v>
      </c>
      <c r="C789" s="56" t="b">
        <v>0</v>
      </c>
      <c r="D789" s="56" t="b">
        <v>0</v>
      </c>
      <c r="E789" s="56">
        <f ca="1">IF(PV[[#This Row],[Business Date]]=Control!$C$6, PV[[#This Row],[Notional Value Local Cur]], -PV[[#This Row],[Notional Value Local Cur]])</f>
        <v>0</v>
      </c>
    </row>
    <row r="790" spans="1:5" x14ac:dyDescent="0.25">
      <c r="A790" s="36" t="b">
        <v>0</v>
      </c>
      <c r="B790" s="56" t="b">
        <v>0</v>
      </c>
      <c r="C790" s="56" t="b">
        <v>0</v>
      </c>
      <c r="D790" s="56" t="b">
        <v>0</v>
      </c>
      <c r="E790" s="56">
        <f ca="1">IF(PV[[#This Row],[Business Date]]=Control!$C$6, PV[[#This Row],[Notional Value Local Cur]], -PV[[#This Row],[Notional Value Local Cur]])</f>
        <v>0</v>
      </c>
    </row>
    <row r="791" spans="1:5" x14ac:dyDescent="0.25">
      <c r="A791" s="36" t="b">
        <v>0</v>
      </c>
      <c r="B791" s="56" t="b">
        <v>0</v>
      </c>
      <c r="C791" s="56" t="b">
        <v>0</v>
      </c>
      <c r="D791" s="56" t="b">
        <v>0</v>
      </c>
      <c r="E791" s="56">
        <f ca="1">IF(PV[[#This Row],[Business Date]]=Control!$C$6, PV[[#This Row],[Notional Value Local Cur]], -PV[[#This Row],[Notional Value Local Cur]])</f>
        <v>0</v>
      </c>
    </row>
    <row r="792" spans="1:5" x14ac:dyDescent="0.25">
      <c r="A792" s="36" t="b">
        <v>0</v>
      </c>
      <c r="B792" s="56" t="b">
        <v>0</v>
      </c>
      <c r="C792" s="56" t="b">
        <v>0</v>
      </c>
      <c r="D792" s="56" t="b">
        <v>0</v>
      </c>
      <c r="E792" s="56">
        <f ca="1">IF(PV[[#This Row],[Business Date]]=Control!$C$6, PV[[#This Row],[Notional Value Local Cur]], -PV[[#This Row],[Notional Value Local Cur]])</f>
        <v>0</v>
      </c>
    </row>
    <row r="793" spans="1:5" x14ac:dyDescent="0.25">
      <c r="A793" s="36" t="b">
        <v>0</v>
      </c>
      <c r="B793" s="56" t="b">
        <v>0</v>
      </c>
      <c r="C793" s="56" t="b">
        <v>0</v>
      </c>
      <c r="D793" s="56" t="b">
        <v>0</v>
      </c>
      <c r="E793" s="56">
        <f ca="1">IF(PV[[#This Row],[Business Date]]=Control!$C$6, PV[[#This Row],[Notional Value Local Cur]], -PV[[#This Row],[Notional Value Local Cur]])</f>
        <v>0</v>
      </c>
    </row>
    <row r="794" spans="1:5" x14ac:dyDescent="0.25">
      <c r="A794" s="36" t="b">
        <v>0</v>
      </c>
      <c r="B794" s="56" t="b">
        <v>0</v>
      </c>
      <c r="C794" s="56" t="b">
        <v>0</v>
      </c>
      <c r="D794" s="56" t="b">
        <v>0</v>
      </c>
      <c r="E794" s="56">
        <f ca="1">IF(PV[[#This Row],[Business Date]]=Control!$C$6, PV[[#This Row],[Notional Value Local Cur]], -PV[[#This Row],[Notional Value Local Cur]])</f>
        <v>0</v>
      </c>
    </row>
    <row r="795" spans="1:5" x14ac:dyDescent="0.25">
      <c r="A795" s="36" t="b">
        <v>0</v>
      </c>
      <c r="B795" s="56" t="b">
        <v>0</v>
      </c>
      <c r="C795" s="56" t="b">
        <v>0</v>
      </c>
      <c r="D795" s="56" t="b">
        <v>0</v>
      </c>
      <c r="E795" s="56">
        <f ca="1">IF(PV[[#This Row],[Business Date]]=Control!$C$6, PV[[#This Row],[Notional Value Local Cur]], -PV[[#This Row],[Notional Value Local Cur]])</f>
        <v>0</v>
      </c>
    </row>
    <row r="796" spans="1:5" x14ac:dyDescent="0.25">
      <c r="A796" s="36" t="b">
        <v>0</v>
      </c>
      <c r="B796" s="56" t="b">
        <v>0</v>
      </c>
      <c r="C796" s="56" t="b">
        <v>0</v>
      </c>
      <c r="D796" s="56" t="b">
        <v>0</v>
      </c>
      <c r="E796" s="56">
        <f ca="1">IF(PV[[#This Row],[Business Date]]=Control!$C$6, PV[[#This Row],[Notional Value Local Cur]], -PV[[#This Row],[Notional Value Local Cur]])</f>
        <v>0</v>
      </c>
    </row>
    <row r="797" spans="1:5" x14ac:dyDescent="0.25">
      <c r="A797" s="36" t="b">
        <v>0</v>
      </c>
      <c r="B797" s="56" t="b">
        <v>0</v>
      </c>
      <c r="C797" s="56" t="b">
        <v>0</v>
      </c>
      <c r="D797" s="56" t="b">
        <v>0</v>
      </c>
      <c r="E797" s="56">
        <f ca="1">IF(PV[[#This Row],[Business Date]]=Control!$C$6, PV[[#This Row],[Notional Value Local Cur]], -PV[[#This Row],[Notional Value Local Cur]])</f>
        <v>0</v>
      </c>
    </row>
    <row r="798" spans="1:5" x14ac:dyDescent="0.25">
      <c r="A798" s="36" t="b">
        <v>0</v>
      </c>
      <c r="B798" s="56" t="b">
        <v>0</v>
      </c>
      <c r="C798" s="56" t="b">
        <v>0</v>
      </c>
      <c r="D798" s="56" t="b">
        <v>0</v>
      </c>
      <c r="E798" s="56">
        <f ca="1">IF(PV[[#This Row],[Business Date]]=Control!$C$6, PV[[#This Row],[Notional Value Local Cur]], -PV[[#This Row],[Notional Value Local Cur]])</f>
        <v>0</v>
      </c>
    </row>
    <row r="799" spans="1:5" x14ac:dyDescent="0.25">
      <c r="A799" s="36" t="b">
        <v>0</v>
      </c>
      <c r="B799" s="56" t="b">
        <v>0</v>
      </c>
      <c r="C799" s="56" t="b">
        <v>0</v>
      </c>
      <c r="D799" s="56" t="b">
        <v>0</v>
      </c>
      <c r="E799" s="56">
        <f ca="1">IF(PV[[#This Row],[Business Date]]=Control!$C$6, PV[[#This Row],[Notional Value Local Cur]], -PV[[#This Row],[Notional Value Local Cur]])</f>
        <v>0</v>
      </c>
    </row>
    <row r="800" spans="1:5" x14ac:dyDescent="0.25">
      <c r="A800" s="36" t="b">
        <v>0</v>
      </c>
      <c r="B800" s="56" t="b">
        <v>0</v>
      </c>
      <c r="C800" s="56" t="b">
        <v>0</v>
      </c>
      <c r="D800" s="56" t="b">
        <v>0</v>
      </c>
      <c r="E800" s="56">
        <f ca="1">IF(PV[[#This Row],[Business Date]]=Control!$C$6, PV[[#This Row],[Notional Value Local Cur]], -PV[[#This Row],[Notional Value Local Cur]])</f>
        <v>0</v>
      </c>
    </row>
    <row r="801" spans="1:5" x14ac:dyDescent="0.25">
      <c r="A801" s="36" t="b">
        <v>0</v>
      </c>
      <c r="B801" s="56" t="b">
        <v>0</v>
      </c>
      <c r="C801" s="56" t="b">
        <v>0</v>
      </c>
      <c r="D801" s="56" t="b">
        <v>0</v>
      </c>
      <c r="E801" s="56">
        <f ca="1">IF(PV[[#This Row],[Business Date]]=Control!$C$6, PV[[#This Row],[Notional Value Local Cur]], -PV[[#This Row],[Notional Value Local Cur]])</f>
        <v>0</v>
      </c>
    </row>
    <row r="802" spans="1:5" x14ac:dyDescent="0.25">
      <c r="A802" s="36" t="b">
        <v>0</v>
      </c>
      <c r="B802" s="56" t="b">
        <v>0</v>
      </c>
      <c r="C802" s="56" t="b">
        <v>0</v>
      </c>
      <c r="D802" s="56" t="b">
        <v>0</v>
      </c>
      <c r="E802" s="56">
        <f ca="1">IF(PV[[#This Row],[Business Date]]=Control!$C$6, PV[[#This Row],[Notional Value Local Cur]], -PV[[#This Row],[Notional Value Local Cur]])</f>
        <v>0</v>
      </c>
    </row>
    <row r="803" spans="1:5" x14ac:dyDescent="0.25">
      <c r="A803" s="36" t="b">
        <v>0</v>
      </c>
      <c r="B803" s="56" t="b">
        <v>0</v>
      </c>
      <c r="C803" s="56" t="b">
        <v>0</v>
      </c>
      <c r="D803" s="56" t="b">
        <v>0</v>
      </c>
      <c r="E803" s="56">
        <f ca="1">IF(PV[[#This Row],[Business Date]]=Control!$C$6, PV[[#This Row],[Notional Value Local Cur]], -PV[[#This Row],[Notional Value Local Cur]])</f>
        <v>0</v>
      </c>
    </row>
    <row r="804" spans="1:5" x14ac:dyDescent="0.25">
      <c r="A804" s="36" t="b">
        <v>0</v>
      </c>
      <c r="B804" s="56" t="b">
        <v>0</v>
      </c>
      <c r="C804" s="56" t="b">
        <v>0</v>
      </c>
      <c r="D804" s="56" t="b">
        <v>0</v>
      </c>
      <c r="E804" s="56">
        <f ca="1">IF(PV[[#This Row],[Business Date]]=Control!$C$6, PV[[#This Row],[Notional Value Local Cur]], -PV[[#This Row],[Notional Value Local Cur]])</f>
        <v>0</v>
      </c>
    </row>
    <row r="805" spans="1:5" x14ac:dyDescent="0.25">
      <c r="A805" s="36" t="b">
        <v>0</v>
      </c>
      <c r="B805" s="56" t="b">
        <v>0</v>
      </c>
      <c r="C805" s="56" t="b">
        <v>0</v>
      </c>
      <c r="D805" s="56" t="b">
        <v>0</v>
      </c>
      <c r="E805" s="56">
        <f ca="1">IF(PV[[#This Row],[Business Date]]=Control!$C$6, PV[[#This Row],[Notional Value Local Cur]], -PV[[#This Row],[Notional Value Local Cur]])</f>
        <v>0</v>
      </c>
    </row>
    <row r="806" spans="1:5" x14ac:dyDescent="0.25">
      <c r="A806" s="36" t="b">
        <v>0</v>
      </c>
      <c r="B806" s="56" t="b">
        <v>0</v>
      </c>
      <c r="C806" s="56" t="b">
        <v>0</v>
      </c>
      <c r="D806" s="56" t="b">
        <v>0</v>
      </c>
      <c r="E806" s="56">
        <f ca="1">IF(PV[[#This Row],[Business Date]]=Control!$C$6, PV[[#This Row],[Notional Value Local Cur]], -PV[[#This Row],[Notional Value Local Cur]])</f>
        <v>0</v>
      </c>
    </row>
    <row r="807" spans="1:5" x14ac:dyDescent="0.25">
      <c r="A807" s="36" t="b">
        <v>0</v>
      </c>
      <c r="B807" s="56" t="b">
        <v>0</v>
      </c>
      <c r="C807" s="56" t="b">
        <v>0</v>
      </c>
      <c r="D807" s="56" t="b">
        <v>0</v>
      </c>
      <c r="E807" s="56">
        <f ca="1">IF(PV[[#This Row],[Business Date]]=Control!$C$6, PV[[#This Row],[Notional Value Local Cur]], -PV[[#This Row],[Notional Value Local Cur]])</f>
        <v>0</v>
      </c>
    </row>
    <row r="808" spans="1:5" x14ac:dyDescent="0.25">
      <c r="A808" s="36" t="b">
        <v>0</v>
      </c>
      <c r="B808" s="56" t="b">
        <v>0</v>
      </c>
      <c r="C808" s="56" t="b">
        <v>0</v>
      </c>
      <c r="D808" s="56" t="b">
        <v>0</v>
      </c>
      <c r="E808" s="56">
        <f ca="1">IF(PV[[#This Row],[Business Date]]=Control!$C$6, PV[[#This Row],[Notional Value Local Cur]], -PV[[#This Row],[Notional Value Local Cur]])</f>
        <v>0</v>
      </c>
    </row>
    <row r="809" spans="1:5" x14ac:dyDescent="0.25">
      <c r="A809" s="36" t="b">
        <v>0</v>
      </c>
      <c r="B809" s="56" t="b">
        <v>0</v>
      </c>
      <c r="C809" s="56" t="b">
        <v>0</v>
      </c>
      <c r="D809" s="56" t="b">
        <v>0</v>
      </c>
      <c r="E809" s="56">
        <f ca="1">IF(PV[[#This Row],[Business Date]]=Control!$C$6, PV[[#This Row],[Notional Value Local Cur]], -PV[[#This Row],[Notional Value Local Cur]])</f>
        <v>0</v>
      </c>
    </row>
    <row r="810" spans="1:5" x14ac:dyDescent="0.25">
      <c r="A810" s="36" t="b">
        <v>0</v>
      </c>
      <c r="B810" s="56" t="b">
        <v>0</v>
      </c>
      <c r="C810" s="56" t="b">
        <v>0</v>
      </c>
      <c r="D810" s="56" t="b">
        <v>0</v>
      </c>
      <c r="E810" s="56">
        <f ca="1">IF(PV[[#This Row],[Business Date]]=Control!$C$6, PV[[#This Row],[Notional Value Local Cur]], -PV[[#This Row],[Notional Value Local Cur]])</f>
        <v>0</v>
      </c>
    </row>
    <row r="811" spans="1:5" x14ac:dyDescent="0.25">
      <c r="A811" s="36" t="b">
        <v>0</v>
      </c>
      <c r="B811" s="56" t="b">
        <v>0</v>
      </c>
      <c r="C811" s="56" t="b">
        <v>0</v>
      </c>
      <c r="D811" s="56" t="b">
        <v>0</v>
      </c>
      <c r="E811" s="56">
        <f ca="1">IF(PV[[#This Row],[Business Date]]=Control!$C$6, PV[[#This Row],[Notional Value Local Cur]], -PV[[#This Row],[Notional Value Local Cur]])</f>
        <v>0</v>
      </c>
    </row>
    <row r="812" spans="1:5" x14ac:dyDescent="0.25">
      <c r="A812" s="36" t="b">
        <v>0</v>
      </c>
      <c r="B812" s="56" t="b">
        <v>0</v>
      </c>
      <c r="C812" s="56" t="b">
        <v>0</v>
      </c>
      <c r="D812" s="56" t="b">
        <v>0</v>
      </c>
      <c r="E812" s="56">
        <f ca="1">IF(PV[[#This Row],[Business Date]]=Control!$C$6, PV[[#This Row],[Notional Value Local Cur]], -PV[[#This Row],[Notional Value Local Cur]])</f>
        <v>0</v>
      </c>
    </row>
    <row r="813" spans="1:5" x14ac:dyDescent="0.25">
      <c r="A813" s="36" t="b">
        <v>0</v>
      </c>
      <c r="B813" s="56" t="b">
        <v>0</v>
      </c>
      <c r="C813" s="56" t="b">
        <v>0</v>
      </c>
      <c r="D813" s="56" t="b">
        <v>0</v>
      </c>
      <c r="E813" s="56">
        <f ca="1">IF(PV[[#This Row],[Business Date]]=Control!$C$6, PV[[#This Row],[Notional Value Local Cur]], -PV[[#This Row],[Notional Value Local Cur]])</f>
        <v>0</v>
      </c>
    </row>
    <row r="814" spans="1:5" x14ac:dyDescent="0.25">
      <c r="A814" s="36" t="b">
        <v>0</v>
      </c>
      <c r="B814" s="56" t="b">
        <v>0</v>
      </c>
      <c r="C814" s="56" t="b">
        <v>0</v>
      </c>
      <c r="D814" s="56" t="b">
        <v>0</v>
      </c>
      <c r="E814" s="56">
        <f ca="1">IF(PV[[#This Row],[Business Date]]=Control!$C$6, PV[[#This Row],[Notional Value Local Cur]], -PV[[#This Row],[Notional Value Local Cur]])</f>
        <v>0</v>
      </c>
    </row>
    <row r="815" spans="1:5" x14ac:dyDescent="0.25">
      <c r="A815" s="36" t="b">
        <v>0</v>
      </c>
      <c r="B815" s="56" t="b">
        <v>0</v>
      </c>
      <c r="C815" s="56" t="b">
        <v>0</v>
      </c>
      <c r="D815" s="56" t="b">
        <v>0</v>
      </c>
      <c r="E815" s="56">
        <f ca="1">IF(PV[[#This Row],[Business Date]]=Control!$C$6, PV[[#This Row],[Notional Value Local Cur]], -PV[[#This Row],[Notional Value Local Cur]])</f>
        <v>0</v>
      </c>
    </row>
    <row r="816" spans="1:5" x14ac:dyDescent="0.25">
      <c r="A816" s="36" t="b">
        <v>0</v>
      </c>
      <c r="B816" s="56" t="b">
        <v>0</v>
      </c>
      <c r="C816" s="56" t="b">
        <v>0</v>
      </c>
      <c r="D816" s="56" t="b">
        <v>0</v>
      </c>
      <c r="E816" s="56">
        <f ca="1">IF(PV[[#This Row],[Business Date]]=Control!$C$6, PV[[#This Row],[Notional Value Local Cur]], -PV[[#This Row],[Notional Value Local Cur]])</f>
        <v>0</v>
      </c>
    </row>
    <row r="817" spans="1:5" x14ac:dyDescent="0.25">
      <c r="A817" s="36" t="b">
        <v>0</v>
      </c>
      <c r="B817" s="56" t="b">
        <v>0</v>
      </c>
      <c r="C817" s="56" t="b">
        <v>0</v>
      </c>
      <c r="D817" s="56" t="b">
        <v>0</v>
      </c>
      <c r="E817" s="56">
        <f ca="1">IF(PV[[#This Row],[Business Date]]=Control!$C$6, PV[[#This Row],[Notional Value Local Cur]], -PV[[#This Row],[Notional Value Local Cur]])</f>
        <v>0</v>
      </c>
    </row>
    <row r="818" spans="1:5" x14ac:dyDescent="0.25">
      <c r="A818" s="36" t="b">
        <v>0</v>
      </c>
      <c r="B818" s="56" t="b">
        <v>0</v>
      </c>
      <c r="C818" s="56" t="b">
        <v>0</v>
      </c>
      <c r="D818" s="56" t="b">
        <v>0</v>
      </c>
      <c r="E818" s="56">
        <f ca="1">IF(PV[[#This Row],[Business Date]]=Control!$C$6, PV[[#This Row],[Notional Value Local Cur]], -PV[[#This Row],[Notional Value Local Cur]])</f>
        <v>0</v>
      </c>
    </row>
    <row r="819" spans="1:5" x14ac:dyDescent="0.25">
      <c r="A819" s="36" t="b">
        <v>0</v>
      </c>
      <c r="B819" s="56" t="b">
        <v>0</v>
      </c>
      <c r="C819" s="56" t="b">
        <v>0</v>
      </c>
      <c r="D819" s="56" t="b">
        <v>0</v>
      </c>
      <c r="E819" s="56">
        <f ca="1">IF(PV[[#This Row],[Business Date]]=Control!$C$6, PV[[#This Row],[Notional Value Local Cur]], -PV[[#This Row],[Notional Value Local Cur]])</f>
        <v>0</v>
      </c>
    </row>
    <row r="820" spans="1:5" x14ac:dyDescent="0.25">
      <c r="A820" s="36" t="b">
        <v>0</v>
      </c>
      <c r="B820" s="56" t="b">
        <v>0</v>
      </c>
      <c r="C820" s="56" t="b">
        <v>0</v>
      </c>
      <c r="D820" s="56" t="b">
        <v>0</v>
      </c>
      <c r="E820" s="56">
        <f ca="1">IF(PV[[#This Row],[Business Date]]=Control!$C$6, PV[[#This Row],[Notional Value Local Cur]], -PV[[#This Row],[Notional Value Local Cur]])</f>
        <v>0</v>
      </c>
    </row>
    <row r="821" spans="1:5" x14ac:dyDescent="0.25">
      <c r="A821" s="36" t="b">
        <v>0</v>
      </c>
      <c r="B821" s="56" t="b">
        <v>0</v>
      </c>
      <c r="C821" s="56" t="b">
        <v>0</v>
      </c>
      <c r="D821" s="56" t="b">
        <v>0</v>
      </c>
      <c r="E821" s="56">
        <f ca="1">IF(PV[[#This Row],[Business Date]]=Control!$C$6, PV[[#This Row],[Notional Value Local Cur]], -PV[[#This Row],[Notional Value Local Cur]])</f>
        <v>0</v>
      </c>
    </row>
    <row r="822" spans="1:5" x14ac:dyDescent="0.25">
      <c r="A822" s="36" t="b">
        <v>0</v>
      </c>
      <c r="B822" s="56" t="b">
        <v>0</v>
      </c>
      <c r="C822" s="56" t="b">
        <v>0</v>
      </c>
      <c r="D822" s="56" t="b">
        <v>0</v>
      </c>
      <c r="E822" s="56">
        <f ca="1">IF(PV[[#This Row],[Business Date]]=Control!$C$6, PV[[#This Row],[Notional Value Local Cur]], -PV[[#This Row],[Notional Value Local Cur]])</f>
        <v>0</v>
      </c>
    </row>
    <row r="823" spans="1:5" x14ac:dyDescent="0.25">
      <c r="A823" s="36" t="b">
        <v>0</v>
      </c>
      <c r="B823" s="56" t="b">
        <v>0</v>
      </c>
      <c r="C823" s="56" t="b">
        <v>0</v>
      </c>
      <c r="D823" s="56" t="b">
        <v>0</v>
      </c>
      <c r="E823" s="56">
        <f ca="1">IF(PV[[#This Row],[Business Date]]=Control!$C$6, PV[[#This Row],[Notional Value Local Cur]], -PV[[#This Row],[Notional Value Local Cur]])</f>
        <v>0</v>
      </c>
    </row>
    <row r="824" spans="1:5" x14ac:dyDescent="0.25">
      <c r="A824" s="36" t="b">
        <v>0</v>
      </c>
      <c r="B824" s="56" t="b">
        <v>0</v>
      </c>
      <c r="C824" s="56" t="b">
        <v>0</v>
      </c>
      <c r="D824" s="56" t="b">
        <v>0</v>
      </c>
      <c r="E824" s="56">
        <f ca="1">IF(PV[[#This Row],[Business Date]]=Control!$C$6, PV[[#This Row],[Notional Value Local Cur]], -PV[[#This Row],[Notional Value Local Cur]])</f>
        <v>0</v>
      </c>
    </row>
    <row r="825" spans="1:5" x14ac:dyDescent="0.25">
      <c r="A825" s="36" t="b">
        <v>0</v>
      </c>
      <c r="B825" s="56" t="b">
        <v>0</v>
      </c>
      <c r="C825" s="56" t="b">
        <v>0</v>
      </c>
      <c r="D825" s="56" t="b">
        <v>0</v>
      </c>
      <c r="E825" s="56">
        <f ca="1">IF(PV[[#This Row],[Business Date]]=Control!$C$6, PV[[#This Row],[Notional Value Local Cur]], -PV[[#This Row],[Notional Value Local Cur]])</f>
        <v>0</v>
      </c>
    </row>
    <row r="826" spans="1:5" x14ac:dyDescent="0.25">
      <c r="A826" s="36" t="b">
        <v>0</v>
      </c>
      <c r="B826" s="56" t="b">
        <v>0</v>
      </c>
      <c r="C826" s="56" t="b">
        <v>0</v>
      </c>
      <c r="D826" s="56" t="b">
        <v>0</v>
      </c>
      <c r="E826" s="56">
        <f ca="1">IF(PV[[#This Row],[Business Date]]=Control!$C$6, PV[[#This Row],[Notional Value Local Cur]], -PV[[#This Row],[Notional Value Local Cur]])</f>
        <v>0</v>
      </c>
    </row>
    <row r="827" spans="1:5" x14ac:dyDescent="0.25">
      <c r="A827" s="36" t="b">
        <v>0</v>
      </c>
      <c r="B827" s="56" t="b">
        <v>0</v>
      </c>
      <c r="C827" s="56" t="b">
        <v>0</v>
      </c>
      <c r="D827" s="56" t="b">
        <v>0</v>
      </c>
      <c r="E827" s="56">
        <f ca="1">IF(PV[[#This Row],[Business Date]]=Control!$C$6, PV[[#This Row],[Notional Value Local Cur]], -PV[[#This Row],[Notional Value Local Cur]])</f>
        <v>0</v>
      </c>
    </row>
    <row r="828" spans="1:5" x14ac:dyDescent="0.25">
      <c r="A828" s="36" t="b">
        <v>0</v>
      </c>
      <c r="B828" s="56" t="b">
        <v>0</v>
      </c>
      <c r="C828" s="56" t="b">
        <v>0</v>
      </c>
      <c r="D828" s="56" t="b">
        <v>0</v>
      </c>
      <c r="E828" s="56">
        <f ca="1">IF(PV[[#This Row],[Business Date]]=Control!$C$6, PV[[#This Row],[Notional Value Local Cur]], -PV[[#This Row],[Notional Value Local Cur]])</f>
        <v>0</v>
      </c>
    </row>
    <row r="829" spans="1:5" x14ac:dyDescent="0.25">
      <c r="A829" s="36" t="b">
        <v>0</v>
      </c>
      <c r="B829" s="56" t="b">
        <v>0</v>
      </c>
      <c r="C829" s="56" t="b">
        <v>0</v>
      </c>
      <c r="D829" s="56" t="b">
        <v>0</v>
      </c>
      <c r="E829" s="56">
        <f ca="1">IF(PV[[#This Row],[Business Date]]=Control!$C$6, PV[[#This Row],[Notional Value Local Cur]], -PV[[#This Row],[Notional Value Local Cur]])</f>
        <v>0</v>
      </c>
    </row>
    <row r="830" spans="1:5" x14ac:dyDescent="0.25">
      <c r="A830" s="36" t="b">
        <v>0</v>
      </c>
      <c r="B830" s="56" t="b">
        <v>0</v>
      </c>
      <c r="C830" s="56" t="b">
        <v>0</v>
      </c>
      <c r="D830" s="56" t="b">
        <v>0</v>
      </c>
      <c r="E830" s="56">
        <f ca="1">IF(PV[[#This Row],[Business Date]]=Control!$C$6, PV[[#This Row],[Notional Value Local Cur]], -PV[[#This Row],[Notional Value Local Cur]])</f>
        <v>0</v>
      </c>
    </row>
    <row r="831" spans="1:5" x14ac:dyDescent="0.25">
      <c r="A831" s="36" t="b">
        <v>0</v>
      </c>
      <c r="B831" s="56" t="b">
        <v>0</v>
      </c>
      <c r="C831" s="56" t="b">
        <v>0</v>
      </c>
      <c r="D831" s="56" t="b">
        <v>0</v>
      </c>
      <c r="E831" s="56">
        <f ca="1">IF(PV[[#This Row],[Business Date]]=Control!$C$6, PV[[#This Row],[Notional Value Local Cur]], -PV[[#This Row],[Notional Value Local Cur]])</f>
        <v>0</v>
      </c>
    </row>
    <row r="832" spans="1:5" x14ac:dyDescent="0.25">
      <c r="A832" s="36" t="b">
        <v>0</v>
      </c>
      <c r="B832" s="56" t="b">
        <v>0</v>
      </c>
      <c r="C832" s="56" t="b">
        <v>0</v>
      </c>
      <c r="D832" s="56" t="b">
        <v>0</v>
      </c>
      <c r="E832" s="56">
        <f ca="1">IF(PV[[#This Row],[Business Date]]=Control!$C$6, PV[[#This Row],[Notional Value Local Cur]], -PV[[#This Row],[Notional Value Local Cur]])</f>
        <v>0</v>
      </c>
    </row>
    <row r="833" spans="1:5" x14ac:dyDescent="0.25">
      <c r="A833" s="36" t="b">
        <v>0</v>
      </c>
      <c r="B833" s="56" t="b">
        <v>0</v>
      </c>
      <c r="C833" s="56" t="b">
        <v>0</v>
      </c>
      <c r="D833" s="56" t="b">
        <v>0</v>
      </c>
      <c r="E833" s="56">
        <f ca="1">IF(PV[[#This Row],[Business Date]]=Control!$C$6, PV[[#This Row],[Notional Value Local Cur]], -PV[[#This Row],[Notional Value Local Cur]])</f>
        <v>0</v>
      </c>
    </row>
    <row r="834" spans="1:5" x14ac:dyDescent="0.25">
      <c r="A834" s="36" t="b">
        <v>0</v>
      </c>
      <c r="B834" s="56" t="b">
        <v>0</v>
      </c>
      <c r="C834" s="56" t="b">
        <v>0</v>
      </c>
      <c r="D834" s="56" t="b">
        <v>0</v>
      </c>
      <c r="E834" s="56">
        <f ca="1">IF(PV[[#This Row],[Business Date]]=Control!$C$6, PV[[#This Row],[Notional Value Local Cur]], -PV[[#This Row],[Notional Value Local Cur]])</f>
        <v>0</v>
      </c>
    </row>
    <row r="835" spans="1:5" x14ac:dyDescent="0.25">
      <c r="A835" s="36" t="b">
        <v>0</v>
      </c>
      <c r="B835" s="56" t="b">
        <v>0</v>
      </c>
      <c r="C835" s="56" t="b">
        <v>0</v>
      </c>
      <c r="D835" s="56" t="b">
        <v>0</v>
      </c>
      <c r="E835" s="56">
        <f ca="1">IF(PV[[#This Row],[Business Date]]=Control!$C$6, PV[[#This Row],[Notional Value Local Cur]], -PV[[#This Row],[Notional Value Local Cur]])</f>
        <v>0</v>
      </c>
    </row>
    <row r="836" spans="1:5" x14ac:dyDescent="0.25">
      <c r="A836" s="36" t="b">
        <v>0</v>
      </c>
      <c r="B836" s="56" t="b">
        <v>0</v>
      </c>
      <c r="C836" s="56" t="b">
        <v>0</v>
      </c>
      <c r="D836" s="56" t="b">
        <v>0</v>
      </c>
      <c r="E836" s="56">
        <f ca="1">IF(PV[[#This Row],[Business Date]]=Control!$C$6, PV[[#This Row],[Notional Value Local Cur]], -PV[[#This Row],[Notional Value Local Cur]])</f>
        <v>0</v>
      </c>
    </row>
    <row r="837" spans="1:5" x14ac:dyDescent="0.25">
      <c r="A837" s="36" t="b">
        <v>0</v>
      </c>
      <c r="B837" s="56" t="b">
        <v>0</v>
      </c>
      <c r="C837" s="56" t="b">
        <v>0</v>
      </c>
      <c r="D837" s="56" t="b">
        <v>0</v>
      </c>
      <c r="E837" s="56">
        <f ca="1">IF(PV[[#This Row],[Business Date]]=Control!$C$6, PV[[#This Row],[Notional Value Local Cur]], -PV[[#This Row],[Notional Value Local Cur]])</f>
        <v>0</v>
      </c>
    </row>
    <row r="838" spans="1:5" x14ac:dyDescent="0.25">
      <c r="A838" s="36" t="b">
        <v>0</v>
      </c>
      <c r="B838" s="56" t="b">
        <v>0</v>
      </c>
      <c r="C838" s="56" t="b">
        <v>0</v>
      </c>
      <c r="D838" s="56" t="b">
        <v>0</v>
      </c>
      <c r="E838" s="56">
        <f ca="1">IF(PV[[#This Row],[Business Date]]=Control!$C$6, PV[[#This Row],[Notional Value Local Cur]], -PV[[#This Row],[Notional Value Local Cur]])</f>
        <v>0</v>
      </c>
    </row>
    <row r="839" spans="1:5" x14ac:dyDescent="0.25">
      <c r="A839" s="36" t="b">
        <v>0</v>
      </c>
      <c r="B839" s="56" t="b">
        <v>0</v>
      </c>
      <c r="C839" s="56" t="b">
        <v>0</v>
      </c>
      <c r="D839" s="56" t="b">
        <v>0</v>
      </c>
      <c r="E839" s="56">
        <f ca="1">IF(PV[[#This Row],[Business Date]]=Control!$C$6, PV[[#This Row],[Notional Value Local Cur]], -PV[[#This Row],[Notional Value Local Cur]])</f>
        <v>0</v>
      </c>
    </row>
    <row r="840" spans="1:5" x14ac:dyDescent="0.25">
      <c r="A840" s="36" t="b">
        <v>0</v>
      </c>
      <c r="B840" s="56" t="b">
        <v>0</v>
      </c>
      <c r="C840" s="56" t="b">
        <v>0</v>
      </c>
      <c r="D840" s="56" t="b">
        <v>0</v>
      </c>
      <c r="E840" s="56">
        <f ca="1">IF(PV[[#This Row],[Business Date]]=Control!$C$6, PV[[#This Row],[Notional Value Local Cur]], -PV[[#This Row],[Notional Value Local Cur]])</f>
        <v>0</v>
      </c>
    </row>
    <row r="841" spans="1:5" x14ac:dyDescent="0.25">
      <c r="A841" s="36" t="b">
        <v>0</v>
      </c>
      <c r="B841" s="56" t="b">
        <v>0</v>
      </c>
      <c r="C841" s="56" t="b">
        <v>0</v>
      </c>
      <c r="D841" s="56" t="b">
        <v>0</v>
      </c>
      <c r="E841" s="56">
        <f ca="1">IF(PV[[#This Row],[Business Date]]=Control!$C$6, PV[[#This Row],[Notional Value Local Cur]], -PV[[#This Row],[Notional Value Local Cur]])</f>
        <v>0</v>
      </c>
    </row>
    <row r="842" spans="1:5" x14ac:dyDescent="0.25">
      <c r="A842" s="36" t="b">
        <v>0</v>
      </c>
      <c r="B842" s="56" t="b">
        <v>0</v>
      </c>
      <c r="C842" s="56" t="b">
        <v>0</v>
      </c>
      <c r="D842" s="56" t="b">
        <v>0</v>
      </c>
      <c r="E842" s="56">
        <f ca="1">IF(PV[[#This Row],[Business Date]]=Control!$C$6, PV[[#This Row],[Notional Value Local Cur]], -PV[[#This Row],[Notional Value Local Cur]])</f>
        <v>0</v>
      </c>
    </row>
    <row r="843" spans="1:5" x14ac:dyDescent="0.25">
      <c r="A843" s="36" t="b">
        <v>0</v>
      </c>
      <c r="B843" s="56" t="b">
        <v>0</v>
      </c>
      <c r="C843" s="56" t="b">
        <v>0</v>
      </c>
      <c r="D843" s="56" t="b">
        <v>0</v>
      </c>
      <c r="E843" s="56">
        <f ca="1">IF(PV[[#This Row],[Business Date]]=Control!$C$6, PV[[#This Row],[Notional Value Local Cur]], -PV[[#This Row],[Notional Value Local Cur]])</f>
        <v>0</v>
      </c>
    </row>
    <row r="844" spans="1:5" x14ac:dyDescent="0.25">
      <c r="A844" s="36" t="b">
        <v>0</v>
      </c>
      <c r="B844" s="56" t="b">
        <v>0</v>
      </c>
      <c r="C844" s="56" t="b">
        <v>0</v>
      </c>
      <c r="D844" s="56" t="b">
        <v>0</v>
      </c>
      <c r="E844" s="56">
        <f ca="1">IF(PV[[#This Row],[Business Date]]=Control!$C$6, PV[[#This Row],[Notional Value Local Cur]], -PV[[#This Row],[Notional Value Local Cur]])</f>
        <v>0</v>
      </c>
    </row>
    <row r="845" spans="1:5" x14ac:dyDescent="0.25">
      <c r="A845" s="36" t="b">
        <v>0</v>
      </c>
      <c r="B845" s="56" t="b">
        <v>0</v>
      </c>
      <c r="C845" s="56" t="b">
        <v>0</v>
      </c>
      <c r="D845" s="56" t="b">
        <v>0</v>
      </c>
      <c r="E845" s="56">
        <f ca="1">IF(PV[[#This Row],[Business Date]]=Control!$C$6, PV[[#This Row],[Notional Value Local Cur]], -PV[[#This Row],[Notional Value Local Cur]])</f>
        <v>0</v>
      </c>
    </row>
    <row r="846" spans="1:5" x14ac:dyDescent="0.25">
      <c r="A846" s="36" t="b">
        <v>0</v>
      </c>
      <c r="B846" s="56" t="b">
        <v>0</v>
      </c>
      <c r="C846" s="56" t="b">
        <v>0</v>
      </c>
      <c r="D846" s="56" t="b">
        <v>0</v>
      </c>
      <c r="E846" s="56">
        <f ca="1">IF(PV[[#This Row],[Business Date]]=Control!$C$6, PV[[#This Row],[Notional Value Local Cur]], -PV[[#This Row],[Notional Value Local Cur]])</f>
        <v>0</v>
      </c>
    </row>
    <row r="847" spans="1:5" x14ac:dyDescent="0.25">
      <c r="A847" s="36" t="b">
        <v>0</v>
      </c>
      <c r="B847" s="56" t="b">
        <v>0</v>
      </c>
      <c r="C847" s="56" t="b">
        <v>0</v>
      </c>
      <c r="D847" s="56" t="b">
        <v>0</v>
      </c>
      <c r="E847" s="56">
        <f ca="1">IF(PV[[#This Row],[Business Date]]=Control!$C$6, PV[[#This Row],[Notional Value Local Cur]], -PV[[#This Row],[Notional Value Local Cur]])</f>
        <v>0</v>
      </c>
    </row>
    <row r="848" spans="1:5" x14ac:dyDescent="0.25">
      <c r="A848" s="36" t="b">
        <v>0</v>
      </c>
      <c r="B848" s="56" t="b">
        <v>0</v>
      </c>
      <c r="C848" s="56" t="b">
        <v>0</v>
      </c>
      <c r="D848" s="56" t="b">
        <v>0</v>
      </c>
      <c r="E848" s="56">
        <f ca="1">IF(PV[[#This Row],[Business Date]]=Control!$C$6, PV[[#This Row],[Notional Value Local Cur]], -PV[[#This Row],[Notional Value Local Cur]])</f>
        <v>0</v>
      </c>
    </row>
    <row r="849" spans="1:5" x14ac:dyDescent="0.25">
      <c r="A849" s="36" t="b">
        <v>0</v>
      </c>
      <c r="B849" s="56" t="b">
        <v>0</v>
      </c>
      <c r="C849" s="56" t="b">
        <v>0</v>
      </c>
      <c r="D849" s="56" t="b">
        <v>0</v>
      </c>
      <c r="E849" s="56">
        <f ca="1">IF(PV[[#This Row],[Business Date]]=Control!$C$6, PV[[#This Row],[Notional Value Local Cur]], -PV[[#This Row],[Notional Value Local Cur]])</f>
        <v>0</v>
      </c>
    </row>
    <row r="850" spans="1:5" x14ac:dyDescent="0.25">
      <c r="A850" s="36" t="b">
        <v>0</v>
      </c>
      <c r="B850" s="56" t="b">
        <v>0</v>
      </c>
      <c r="C850" s="56" t="b">
        <v>0</v>
      </c>
      <c r="D850" s="56" t="b">
        <v>0</v>
      </c>
      <c r="E850" s="56">
        <f ca="1">IF(PV[[#This Row],[Business Date]]=Control!$C$6, PV[[#This Row],[Notional Value Local Cur]], -PV[[#This Row],[Notional Value Local Cur]])</f>
        <v>0</v>
      </c>
    </row>
    <row r="851" spans="1:5" x14ac:dyDescent="0.25">
      <c r="A851" s="36" t="b">
        <v>0</v>
      </c>
      <c r="B851" s="56" t="b">
        <v>0</v>
      </c>
      <c r="C851" s="56" t="b">
        <v>0</v>
      </c>
      <c r="D851" s="56" t="b">
        <v>0</v>
      </c>
      <c r="E851" s="56">
        <f ca="1">IF(PV[[#This Row],[Business Date]]=Control!$C$6, PV[[#This Row],[Notional Value Local Cur]], -PV[[#This Row],[Notional Value Local Cur]])</f>
        <v>0</v>
      </c>
    </row>
    <row r="852" spans="1:5" x14ac:dyDescent="0.25">
      <c r="A852" s="36" t="b">
        <v>0</v>
      </c>
      <c r="B852" s="56" t="b">
        <v>0</v>
      </c>
      <c r="C852" s="56" t="b">
        <v>0</v>
      </c>
      <c r="D852" s="56" t="b">
        <v>0</v>
      </c>
      <c r="E852" s="56">
        <f ca="1">IF(PV[[#This Row],[Business Date]]=Control!$C$6, PV[[#This Row],[Notional Value Local Cur]], -PV[[#This Row],[Notional Value Local Cur]])</f>
        <v>0</v>
      </c>
    </row>
    <row r="853" spans="1:5" x14ac:dyDescent="0.25">
      <c r="A853" s="36" t="b">
        <v>0</v>
      </c>
      <c r="B853" s="56" t="b">
        <v>0</v>
      </c>
      <c r="C853" s="56" t="b">
        <v>0</v>
      </c>
      <c r="D853" s="56" t="b">
        <v>0</v>
      </c>
      <c r="E853" s="56">
        <f ca="1">IF(PV[[#This Row],[Business Date]]=Control!$C$6, PV[[#This Row],[Notional Value Local Cur]], -PV[[#This Row],[Notional Value Local Cur]])</f>
        <v>0</v>
      </c>
    </row>
    <row r="854" spans="1:5" x14ac:dyDescent="0.25">
      <c r="A854" s="36" t="b">
        <v>0</v>
      </c>
      <c r="B854" s="56" t="b">
        <v>0</v>
      </c>
      <c r="C854" s="56" t="b">
        <v>0</v>
      </c>
      <c r="D854" s="56" t="b">
        <v>0</v>
      </c>
      <c r="E854" s="56">
        <f ca="1">IF(PV[[#This Row],[Business Date]]=Control!$C$6, PV[[#This Row],[Notional Value Local Cur]], -PV[[#This Row],[Notional Value Local Cur]])</f>
        <v>0</v>
      </c>
    </row>
    <row r="855" spans="1:5" x14ac:dyDescent="0.25">
      <c r="A855" s="36" t="b">
        <v>0</v>
      </c>
      <c r="B855" s="56" t="b">
        <v>0</v>
      </c>
      <c r="C855" s="56" t="b">
        <v>0</v>
      </c>
      <c r="D855" s="56" t="b">
        <v>0</v>
      </c>
      <c r="E855" s="56">
        <f ca="1">IF(PV[[#This Row],[Business Date]]=Control!$C$6, PV[[#This Row],[Notional Value Local Cur]], -PV[[#This Row],[Notional Value Local Cur]])</f>
        <v>0</v>
      </c>
    </row>
    <row r="856" spans="1:5" x14ac:dyDescent="0.25">
      <c r="A856" s="36" t="b">
        <v>0</v>
      </c>
      <c r="B856" s="56" t="b">
        <v>0</v>
      </c>
      <c r="C856" s="56" t="b">
        <v>0</v>
      </c>
      <c r="D856" s="56" t="b">
        <v>0</v>
      </c>
      <c r="E856" s="56">
        <f ca="1">IF(PV[[#This Row],[Business Date]]=Control!$C$6, PV[[#This Row],[Notional Value Local Cur]], -PV[[#This Row],[Notional Value Local Cur]])</f>
        <v>0</v>
      </c>
    </row>
    <row r="857" spans="1:5" x14ac:dyDescent="0.25">
      <c r="A857" s="36" t="b">
        <v>0</v>
      </c>
      <c r="B857" s="56" t="b">
        <v>0</v>
      </c>
      <c r="C857" s="56" t="b">
        <v>0</v>
      </c>
      <c r="D857" s="56" t="b">
        <v>0</v>
      </c>
      <c r="E857" s="56">
        <f ca="1">IF(PV[[#This Row],[Business Date]]=Control!$C$6, PV[[#This Row],[Notional Value Local Cur]], -PV[[#This Row],[Notional Value Local Cur]])</f>
        <v>0</v>
      </c>
    </row>
    <row r="858" spans="1:5" x14ac:dyDescent="0.25">
      <c r="A858" s="36" t="b">
        <v>0</v>
      </c>
      <c r="B858" s="56" t="b">
        <v>0</v>
      </c>
      <c r="C858" s="56" t="b">
        <v>0</v>
      </c>
      <c r="D858" s="56" t="b">
        <v>0</v>
      </c>
      <c r="E858" s="56">
        <f ca="1">IF(PV[[#This Row],[Business Date]]=Control!$C$6, PV[[#This Row],[Notional Value Local Cur]], -PV[[#This Row],[Notional Value Local Cur]])</f>
        <v>0</v>
      </c>
    </row>
    <row r="859" spans="1:5" x14ac:dyDescent="0.25">
      <c r="A859" s="36" t="b">
        <v>0</v>
      </c>
      <c r="B859" s="56" t="b">
        <v>0</v>
      </c>
      <c r="C859" s="56" t="b">
        <v>0</v>
      </c>
      <c r="D859" s="56" t="b">
        <v>0</v>
      </c>
      <c r="E859" s="56">
        <f ca="1">IF(PV[[#This Row],[Business Date]]=Control!$C$6, PV[[#This Row],[Notional Value Local Cur]], -PV[[#This Row],[Notional Value Local Cur]])</f>
        <v>0</v>
      </c>
    </row>
    <row r="860" spans="1:5" x14ac:dyDescent="0.25">
      <c r="A860" s="36" t="b">
        <v>0</v>
      </c>
      <c r="B860" s="56" t="b">
        <v>0</v>
      </c>
      <c r="C860" s="56" t="b">
        <v>0</v>
      </c>
      <c r="D860" s="56" t="b">
        <v>0</v>
      </c>
      <c r="E860" s="56">
        <f ca="1">IF(PV[[#This Row],[Business Date]]=Control!$C$6, PV[[#This Row],[Notional Value Local Cur]], -PV[[#This Row],[Notional Value Local Cur]])</f>
        <v>0</v>
      </c>
    </row>
    <row r="861" spans="1:5" x14ac:dyDescent="0.25">
      <c r="A861" s="36" t="b">
        <v>0</v>
      </c>
      <c r="B861" s="56" t="b">
        <v>0</v>
      </c>
      <c r="C861" s="56" t="b">
        <v>0</v>
      </c>
      <c r="D861" s="56" t="b">
        <v>0</v>
      </c>
      <c r="E861" s="56">
        <f ca="1">IF(PV[[#This Row],[Business Date]]=Control!$C$6, PV[[#This Row],[Notional Value Local Cur]], -PV[[#This Row],[Notional Value Local Cur]])</f>
        <v>0</v>
      </c>
    </row>
    <row r="862" spans="1:5" x14ac:dyDescent="0.25">
      <c r="A862" s="36" t="b">
        <v>0</v>
      </c>
      <c r="B862" s="56" t="b">
        <v>0</v>
      </c>
      <c r="C862" s="56" t="b">
        <v>0</v>
      </c>
      <c r="D862" s="56" t="b">
        <v>0</v>
      </c>
      <c r="E862" s="56">
        <f ca="1">IF(PV[[#This Row],[Business Date]]=Control!$C$6, PV[[#This Row],[Notional Value Local Cur]], -PV[[#This Row],[Notional Value Local Cur]])</f>
        <v>0</v>
      </c>
    </row>
    <row r="863" spans="1:5" x14ac:dyDescent="0.25">
      <c r="A863" s="36" t="b">
        <v>0</v>
      </c>
      <c r="B863" s="56" t="b">
        <v>0</v>
      </c>
      <c r="C863" s="56" t="b">
        <v>0</v>
      </c>
      <c r="D863" s="56" t="b">
        <v>0</v>
      </c>
      <c r="E863" s="56">
        <f ca="1">IF(PV[[#This Row],[Business Date]]=Control!$C$6, PV[[#This Row],[Notional Value Local Cur]], -PV[[#This Row],[Notional Value Local Cur]])</f>
        <v>0</v>
      </c>
    </row>
    <row r="864" spans="1:5" x14ac:dyDescent="0.25">
      <c r="A864" s="36" t="b">
        <v>0</v>
      </c>
      <c r="B864" s="56" t="b">
        <v>0</v>
      </c>
      <c r="C864" s="56" t="b">
        <v>0</v>
      </c>
      <c r="D864" s="56" t="b">
        <v>0</v>
      </c>
      <c r="E864" s="56">
        <f ca="1">IF(PV[[#This Row],[Business Date]]=Control!$C$6, PV[[#This Row],[Notional Value Local Cur]], -PV[[#This Row],[Notional Value Local Cur]])</f>
        <v>0</v>
      </c>
    </row>
    <row r="865" spans="1:5" x14ac:dyDescent="0.25">
      <c r="A865" s="36" t="b">
        <v>0</v>
      </c>
      <c r="B865" s="56" t="b">
        <v>0</v>
      </c>
      <c r="C865" s="56" t="b">
        <v>0</v>
      </c>
      <c r="D865" s="56" t="b">
        <v>0</v>
      </c>
      <c r="E865" s="56">
        <f ca="1">IF(PV[[#This Row],[Business Date]]=Control!$C$6, PV[[#This Row],[Notional Value Local Cur]], -PV[[#This Row],[Notional Value Local Cur]])</f>
        <v>0</v>
      </c>
    </row>
    <row r="866" spans="1:5" x14ac:dyDescent="0.25">
      <c r="A866" s="36" t="b">
        <v>0</v>
      </c>
      <c r="B866" s="56" t="b">
        <v>0</v>
      </c>
      <c r="C866" s="56" t="b">
        <v>0</v>
      </c>
      <c r="D866" s="56" t="b">
        <v>0</v>
      </c>
      <c r="E866" s="56">
        <f ca="1">IF(PV[[#This Row],[Business Date]]=Control!$C$6, PV[[#This Row],[Notional Value Local Cur]], -PV[[#This Row],[Notional Value Local Cur]])</f>
        <v>0</v>
      </c>
    </row>
    <row r="867" spans="1:5" x14ac:dyDescent="0.25">
      <c r="A867" s="36" t="b">
        <v>0</v>
      </c>
      <c r="B867" s="56" t="b">
        <v>0</v>
      </c>
      <c r="C867" s="56" t="b">
        <v>0</v>
      </c>
      <c r="D867" s="56" t="b">
        <v>0</v>
      </c>
      <c r="E867" s="56">
        <f ca="1">IF(PV[[#This Row],[Business Date]]=Control!$C$6, PV[[#This Row],[Notional Value Local Cur]], -PV[[#This Row],[Notional Value Local Cur]])</f>
        <v>0</v>
      </c>
    </row>
    <row r="868" spans="1:5" x14ac:dyDescent="0.25">
      <c r="A868" s="36" t="b">
        <v>0</v>
      </c>
      <c r="B868" s="56" t="b">
        <v>0</v>
      </c>
      <c r="C868" s="56" t="b">
        <v>0</v>
      </c>
      <c r="D868" s="56" t="b">
        <v>0</v>
      </c>
      <c r="E868" s="56">
        <f ca="1">IF(PV[[#This Row],[Business Date]]=Control!$C$6, PV[[#This Row],[Notional Value Local Cur]], -PV[[#This Row],[Notional Value Local Cur]])</f>
        <v>0</v>
      </c>
    </row>
    <row r="869" spans="1:5" x14ac:dyDescent="0.25">
      <c r="A869" s="36" t="b">
        <v>0</v>
      </c>
      <c r="B869" s="56" t="b">
        <v>0</v>
      </c>
      <c r="C869" s="56" t="b">
        <v>0</v>
      </c>
      <c r="D869" s="56" t="b">
        <v>0</v>
      </c>
      <c r="E869" s="56">
        <f ca="1">IF(PV[[#This Row],[Business Date]]=Control!$C$6, PV[[#This Row],[Notional Value Local Cur]], -PV[[#This Row],[Notional Value Local Cur]])</f>
        <v>0</v>
      </c>
    </row>
    <row r="870" spans="1:5" x14ac:dyDescent="0.25">
      <c r="A870" s="36" t="b">
        <v>0</v>
      </c>
      <c r="B870" s="56" t="b">
        <v>0</v>
      </c>
      <c r="C870" s="56" t="b">
        <v>0</v>
      </c>
      <c r="D870" s="56" t="b">
        <v>0</v>
      </c>
      <c r="E870" s="56">
        <f ca="1">IF(PV[[#This Row],[Business Date]]=Control!$C$6, PV[[#This Row],[Notional Value Local Cur]], -PV[[#This Row],[Notional Value Local Cur]])</f>
        <v>0</v>
      </c>
    </row>
    <row r="871" spans="1:5" x14ac:dyDescent="0.25">
      <c r="A871" s="36" t="b">
        <v>0</v>
      </c>
      <c r="B871" s="56" t="b">
        <v>0</v>
      </c>
      <c r="C871" s="56" t="b">
        <v>0</v>
      </c>
      <c r="D871" s="56" t="b">
        <v>0</v>
      </c>
      <c r="E871" s="56">
        <f ca="1">IF(PV[[#This Row],[Business Date]]=Control!$C$6, PV[[#This Row],[Notional Value Local Cur]], -PV[[#This Row],[Notional Value Local Cur]])</f>
        <v>0</v>
      </c>
    </row>
    <row r="872" spans="1:5" x14ac:dyDescent="0.25">
      <c r="A872" s="36" t="b">
        <v>0</v>
      </c>
      <c r="B872" s="56" t="b">
        <v>0</v>
      </c>
      <c r="C872" s="56" t="b">
        <v>0</v>
      </c>
      <c r="D872" s="56" t="b">
        <v>0</v>
      </c>
      <c r="E872" s="56">
        <f ca="1">IF(PV[[#This Row],[Business Date]]=Control!$C$6, PV[[#This Row],[Notional Value Local Cur]], -PV[[#This Row],[Notional Value Local Cur]])</f>
        <v>0</v>
      </c>
    </row>
    <row r="873" spans="1:5" x14ac:dyDescent="0.25">
      <c r="A873" s="36" t="b">
        <v>0</v>
      </c>
      <c r="B873" s="56" t="b">
        <v>0</v>
      </c>
      <c r="C873" s="56" t="b">
        <v>0</v>
      </c>
      <c r="D873" s="56" t="b">
        <v>0</v>
      </c>
      <c r="E873" s="56">
        <f ca="1">IF(PV[[#This Row],[Business Date]]=Control!$C$6, PV[[#This Row],[Notional Value Local Cur]], -PV[[#This Row],[Notional Value Local Cur]])</f>
        <v>0</v>
      </c>
    </row>
    <row r="874" spans="1:5" x14ac:dyDescent="0.25">
      <c r="A874" s="36" t="b">
        <v>0</v>
      </c>
      <c r="B874" s="56" t="b">
        <v>0</v>
      </c>
      <c r="C874" s="56" t="b">
        <v>0</v>
      </c>
      <c r="D874" s="56" t="b">
        <v>0</v>
      </c>
      <c r="E874" s="56">
        <f ca="1">IF(PV[[#This Row],[Business Date]]=Control!$C$6, PV[[#This Row],[Notional Value Local Cur]], -PV[[#This Row],[Notional Value Local Cur]])</f>
        <v>0</v>
      </c>
    </row>
    <row r="875" spans="1:5" x14ac:dyDescent="0.25">
      <c r="A875" s="36" t="b">
        <v>0</v>
      </c>
      <c r="B875" s="56" t="b">
        <v>0</v>
      </c>
      <c r="C875" s="56" t="b">
        <v>0</v>
      </c>
      <c r="D875" s="56" t="b">
        <v>0</v>
      </c>
      <c r="E875" s="56">
        <f ca="1">IF(PV[[#This Row],[Business Date]]=Control!$C$6, PV[[#This Row],[Notional Value Local Cur]], -PV[[#This Row],[Notional Value Local Cur]])</f>
        <v>0</v>
      </c>
    </row>
    <row r="876" spans="1:5" x14ac:dyDescent="0.25">
      <c r="A876" s="36" t="b">
        <v>0</v>
      </c>
      <c r="B876" s="56" t="b">
        <v>0</v>
      </c>
      <c r="C876" s="56" t="b">
        <v>0</v>
      </c>
      <c r="D876" s="56" t="b">
        <v>0</v>
      </c>
      <c r="E876" s="56">
        <f ca="1">IF(PV[[#This Row],[Business Date]]=Control!$C$6, PV[[#This Row],[Notional Value Local Cur]], -PV[[#This Row],[Notional Value Local Cur]])</f>
        <v>0</v>
      </c>
    </row>
    <row r="877" spans="1:5" x14ac:dyDescent="0.25">
      <c r="A877" s="36" t="b">
        <v>0</v>
      </c>
      <c r="B877" s="56" t="b">
        <v>0</v>
      </c>
      <c r="C877" s="56" t="b">
        <v>0</v>
      </c>
      <c r="D877" s="56" t="b">
        <v>0</v>
      </c>
      <c r="E877" s="56">
        <f ca="1">IF(PV[[#This Row],[Business Date]]=Control!$C$6, PV[[#This Row],[Notional Value Local Cur]], -PV[[#This Row],[Notional Value Local Cur]])</f>
        <v>0</v>
      </c>
    </row>
    <row r="878" spans="1:5" x14ac:dyDescent="0.25">
      <c r="A878" s="36" t="b">
        <v>0</v>
      </c>
      <c r="B878" s="56" t="b">
        <v>0</v>
      </c>
      <c r="C878" s="56" t="b">
        <v>0</v>
      </c>
      <c r="D878" s="56" t="b">
        <v>0</v>
      </c>
      <c r="E878" s="56">
        <f ca="1">IF(PV[[#This Row],[Business Date]]=Control!$C$6, PV[[#This Row],[Notional Value Local Cur]], -PV[[#This Row],[Notional Value Local Cur]])</f>
        <v>0</v>
      </c>
    </row>
    <row r="879" spans="1:5" x14ac:dyDescent="0.25">
      <c r="A879" s="36" t="b">
        <v>0</v>
      </c>
      <c r="B879" s="56" t="b">
        <v>0</v>
      </c>
      <c r="C879" s="56" t="b">
        <v>0</v>
      </c>
      <c r="D879" s="56" t="b">
        <v>0</v>
      </c>
      <c r="E879" s="56">
        <f ca="1">IF(PV[[#This Row],[Business Date]]=Control!$C$6, PV[[#This Row],[Notional Value Local Cur]], -PV[[#This Row],[Notional Value Local Cur]])</f>
        <v>0</v>
      </c>
    </row>
    <row r="880" spans="1:5" x14ac:dyDescent="0.25">
      <c r="A880" s="36" t="b">
        <v>0</v>
      </c>
      <c r="B880" s="56" t="b">
        <v>0</v>
      </c>
      <c r="C880" s="56" t="b">
        <v>0</v>
      </c>
      <c r="D880" s="56" t="b">
        <v>0</v>
      </c>
      <c r="E880" s="56">
        <f ca="1">IF(PV[[#This Row],[Business Date]]=Control!$C$6, PV[[#This Row],[Notional Value Local Cur]], -PV[[#This Row],[Notional Value Local Cur]])</f>
        <v>0</v>
      </c>
    </row>
    <row r="881" spans="1:5" x14ac:dyDescent="0.25">
      <c r="A881" s="36" t="b">
        <v>0</v>
      </c>
      <c r="B881" s="56" t="b">
        <v>0</v>
      </c>
      <c r="C881" s="56" t="b">
        <v>0</v>
      </c>
      <c r="D881" s="56" t="b">
        <v>0</v>
      </c>
      <c r="E881" s="56">
        <f ca="1">IF(PV[[#This Row],[Business Date]]=Control!$C$6, PV[[#This Row],[Notional Value Local Cur]], -PV[[#This Row],[Notional Value Local Cur]])</f>
        <v>0</v>
      </c>
    </row>
    <row r="882" spans="1:5" x14ac:dyDescent="0.25">
      <c r="A882" s="36" t="b">
        <v>0</v>
      </c>
      <c r="B882" s="56" t="b">
        <v>0</v>
      </c>
      <c r="C882" s="56" t="b">
        <v>0</v>
      </c>
      <c r="D882" s="56" t="b">
        <v>0</v>
      </c>
      <c r="E882" s="56">
        <f ca="1">IF(PV[[#This Row],[Business Date]]=Control!$C$6, PV[[#This Row],[Notional Value Local Cur]], -PV[[#This Row],[Notional Value Local Cur]])</f>
        <v>0</v>
      </c>
    </row>
    <row r="883" spans="1:5" x14ac:dyDescent="0.25">
      <c r="A883" s="36" t="b">
        <v>0</v>
      </c>
      <c r="B883" s="56" t="b">
        <v>0</v>
      </c>
      <c r="C883" s="56" t="b">
        <v>0</v>
      </c>
      <c r="D883" s="56" t="b">
        <v>0</v>
      </c>
      <c r="E883" s="56">
        <f ca="1">IF(PV[[#This Row],[Business Date]]=Control!$C$6, PV[[#This Row],[Notional Value Local Cur]], -PV[[#This Row],[Notional Value Local Cur]])</f>
        <v>0</v>
      </c>
    </row>
    <row r="884" spans="1:5" x14ac:dyDescent="0.25">
      <c r="A884" s="36" t="b">
        <v>0</v>
      </c>
      <c r="B884" s="56" t="b">
        <v>0</v>
      </c>
      <c r="C884" s="56" t="b">
        <v>0</v>
      </c>
      <c r="D884" s="56" t="b">
        <v>0</v>
      </c>
      <c r="E884" s="56">
        <f ca="1">IF(PV[[#This Row],[Business Date]]=Control!$C$6, PV[[#This Row],[Notional Value Local Cur]], -PV[[#This Row],[Notional Value Local Cur]])</f>
        <v>0</v>
      </c>
    </row>
    <row r="885" spans="1:5" x14ac:dyDescent="0.25">
      <c r="A885" s="36" t="b">
        <v>0</v>
      </c>
      <c r="B885" s="56" t="b">
        <v>0</v>
      </c>
      <c r="C885" s="56" t="b">
        <v>0</v>
      </c>
      <c r="D885" s="56" t="b">
        <v>0</v>
      </c>
      <c r="E885" s="56">
        <f ca="1">IF(PV[[#This Row],[Business Date]]=Control!$C$6, PV[[#This Row],[Notional Value Local Cur]], -PV[[#This Row],[Notional Value Local Cur]])</f>
        <v>0</v>
      </c>
    </row>
    <row r="886" spans="1:5" x14ac:dyDescent="0.25">
      <c r="A886" s="36" t="b">
        <v>0</v>
      </c>
      <c r="B886" s="56" t="b">
        <v>0</v>
      </c>
      <c r="C886" s="56" t="b">
        <v>0</v>
      </c>
      <c r="D886" s="56" t="b">
        <v>0</v>
      </c>
      <c r="E886" s="56">
        <f ca="1">IF(PV[[#This Row],[Business Date]]=Control!$C$6, PV[[#This Row],[Notional Value Local Cur]], -PV[[#This Row],[Notional Value Local Cur]])</f>
        <v>0</v>
      </c>
    </row>
    <row r="887" spans="1:5" x14ac:dyDescent="0.25">
      <c r="A887" s="36" t="b">
        <v>0</v>
      </c>
      <c r="B887" s="56" t="b">
        <v>0</v>
      </c>
      <c r="C887" s="56" t="b">
        <v>0</v>
      </c>
      <c r="D887" s="56" t="b">
        <v>0</v>
      </c>
      <c r="E887" s="56">
        <f ca="1">IF(PV[[#This Row],[Business Date]]=Control!$C$6, PV[[#This Row],[Notional Value Local Cur]], -PV[[#This Row],[Notional Value Local Cur]])</f>
        <v>0</v>
      </c>
    </row>
    <row r="888" spans="1:5" x14ac:dyDescent="0.25">
      <c r="A888" s="36" t="b">
        <v>0</v>
      </c>
      <c r="B888" s="56" t="b">
        <v>0</v>
      </c>
      <c r="C888" s="56" t="b">
        <v>0</v>
      </c>
      <c r="D888" s="56" t="b">
        <v>0</v>
      </c>
      <c r="E888" s="56">
        <f ca="1">IF(PV[[#This Row],[Business Date]]=Control!$C$6, PV[[#This Row],[Notional Value Local Cur]], -PV[[#This Row],[Notional Value Local Cur]])</f>
        <v>0</v>
      </c>
    </row>
    <row r="889" spans="1:5" x14ac:dyDescent="0.25">
      <c r="A889" s="36" t="b">
        <v>0</v>
      </c>
      <c r="B889" s="56" t="b">
        <v>0</v>
      </c>
      <c r="C889" s="56" t="b">
        <v>0</v>
      </c>
      <c r="D889" s="56" t="b">
        <v>0</v>
      </c>
      <c r="E889" s="56">
        <f ca="1">IF(PV[[#This Row],[Business Date]]=Control!$C$6, PV[[#This Row],[Notional Value Local Cur]], -PV[[#This Row],[Notional Value Local Cur]])</f>
        <v>0</v>
      </c>
    </row>
    <row r="890" spans="1:5" x14ac:dyDescent="0.25">
      <c r="A890" s="36" t="b">
        <v>0</v>
      </c>
      <c r="B890" s="56" t="b">
        <v>0</v>
      </c>
      <c r="C890" s="56" t="b">
        <v>0</v>
      </c>
      <c r="D890" s="56" t="b">
        <v>0</v>
      </c>
      <c r="E890" s="56">
        <f ca="1">IF(PV[[#This Row],[Business Date]]=Control!$C$6, PV[[#This Row],[Notional Value Local Cur]], -PV[[#This Row],[Notional Value Local Cur]])</f>
        <v>0</v>
      </c>
    </row>
    <row r="891" spans="1:5" x14ac:dyDescent="0.25">
      <c r="A891" s="36" t="b">
        <v>0</v>
      </c>
      <c r="B891" s="56" t="b">
        <v>0</v>
      </c>
      <c r="C891" s="56" t="b">
        <v>0</v>
      </c>
      <c r="D891" s="56" t="b">
        <v>0</v>
      </c>
      <c r="E891" s="56">
        <f ca="1">IF(PV[[#This Row],[Business Date]]=Control!$C$6, PV[[#This Row],[Notional Value Local Cur]], -PV[[#This Row],[Notional Value Local Cur]])</f>
        <v>0</v>
      </c>
    </row>
    <row r="892" spans="1:5" x14ac:dyDescent="0.25">
      <c r="A892" s="36" t="b">
        <v>0</v>
      </c>
      <c r="B892" s="56" t="b">
        <v>0</v>
      </c>
      <c r="C892" s="56" t="b">
        <v>0</v>
      </c>
      <c r="D892" s="56" t="b">
        <v>0</v>
      </c>
      <c r="E892" s="56">
        <f ca="1">IF(PV[[#This Row],[Business Date]]=Control!$C$6, PV[[#This Row],[Notional Value Local Cur]], -PV[[#This Row],[Notional Value Local Cur]])</f>
        <v>0</v>
      </c>
    </row>
    <row r="893" spans="1:5" x14ac:dyDescent="0.25">
      <c r="A893" s="36" t="b">
        <v>0</v>
      </c>
      <c r="B893" s="56" t="b">
        <v>0</v>
      </c>
      <c r="C893" s="56" t="b">
        <v>0</v>
      </c>
      <c r="D893" s="56" t="b">
        <v>0</v>
      </c>
      <c r="E893" s="56">
        <f ca="1">IF(PV[[#This Row],[Business Date]]=Control!$C$6, PV[[#This Row],[Notional Value Local Cur]], -PV[[#This Row],[Notional Value Local Cur]])</f>
        <v>0</v>
      </c>
    </row>
    <row r="894" spans="1:5" x14ac:dyDescent="0.25">
      <c r="A894" s="36" t="b">
        <v>0</v>
      </c>
      <c r="B894" s="56" t="b">
        <v>0</v>
      </c>
      <c r="C894" s="56" t="b">
        <v>0</v>
      </c>
      <c r="D894" s="56" t="b">
        <v>0</v>
      </c>
      <c r="E894" s="56">
        <f ca="1">IF(PV[[#This Row],[Business Date]]=Control!$C$6, PV[[#This Row],[Notional Value Local Cur]], -PV[[#This Row],[Notional Value Local Cur]])</f>
        <v>0</v>
      </c>
    </row>
    <row r="895" spans="1:5" x14ac:dyDescent="0.25">
      <c r="A895" s="36" t="b">
        <v>0</v>
      </c>
      <c r="B895" s="56" t="b">
        <v>0</v>
      </c>
      <c r="C895" s="56" t="b">
        <v>0</v>
      </c>
      <c r="D895" s="56" t="b">
        <v>0</v>
      </c>
      <c r="E895" s="56">
        <f ca="1">IF(PV[[#This Row],[Business Date]]=Control!$C$6, PV[[#This Row],[Notional Value Local Cur]], -PV[[#This Row],[Notional Value Local Cur]])</f>
        <v>0</v>
      </c>
    </row>
    <row r="896" spans="1:5" x14ac:dyDescent="0.25">
      <c r="A896" s="36" t="b">
        <v>0</v>
      </c>
      <c r="B896" s="56" t="b">
        <v>0</v>
      </c>
      <c r="C896" s="56" t="b">
        <v>0</v>
      </c>
      <c r="D896" s="56" t="b">
        <v>0</v>
      </c>
      <c r="E896" s="56">
        <f ca="1">IF(PV[[#This Row],[Business Date]]=Control!$C$6, PV[[#This Row],[Notional Value Local Cur]], -PV[[#This Row],[Notional Value Local Cur]])</f>
        <v>0</v>
      </c>
    </row>
    <row r="897" spans="1:5" x14ac:dyDescent="0.25">
      <c r="A897" s="36" t="b">
        <v>0</v>
      </c>
      <c r="B897" s="56" t="b">
        <v>0</v>
      </c>
      <c r="C897" s="56" t="b">
        <v>0</v>
      </c>
      <c r="D897" s="56" t="b">
        <v>0</v>
      </c>
      <c r="E897" s="56">
        <f ca="1">IF(PV[[#This Row],[Business Date]]=Control!$C$6, PV[[#This Row],[Notional Value Local Cur]], -PV[[#This Row],[Notional Value Local Cur]])</f>
        <v>0</v>
      </c>
    </row>
    <row r="898" spans="1:5" x14ac:dyDescent="0.25">
      <c r="A898" s="36" t="b">
        <v>0</v>
      </c>
      <c r="B898" s="56" t="b">
        <v>0</v>
      </c>
      <c r="C898" s="56" t="b">
        <v>0</v>
      </c>
      <c r="D898" s="56" t="b">
        <v>0</v>
      </c>
      <c r="E898" s="56">
        <f ca="1">IF(PV[[#This Row],[Business Date]]=Control!$C$6, PV[[#This Row],[Notional Value Local Cur]], -PV[[#This Row],[Notional Value Local Cur]])</f>
        <v>0</v>
      </c>
    </row>
    <row r="899" spans="1:5" x14ac:dyDescent="0.25">
      <c r="A899" s="36" t="b">
        <v>0</v>
      </c>
      <c r="B899" s="56" t="b">
        <v>0</v>
      </c>
      <c r="C899" s="56" t="b">
        <v>0</v>
      </c>
      <c r="D899" s="56" t="b">
        <v>0</v>
      </c>
      <c r="E899" s="56">
        <f ca="1">IF(PV[[#This Row],[Business Date]]=Control!$C$6, PV[[#This Row],[Notional Value Local Cur]], -PV[[#This Row],[Notional Value Local Cur]])</f>
        <v>0</v>
      </c>
    </row>
    <row r="900" spans="1:5" x14ac:dyDescent="0.25">
      <c r="A900" s="36" t="b">
        <v>0</v>
      </c>
      <c r="B900" s="56" t="b">
        <v>0</v>
      </c>
      <c r="C900" s="56" t="b">
        <v>0</v>
      </c>
      <c r="D900" s="56" t="b">
        <v>0</v>
      </c>
      <c r="E900" s="56">
        <f ca="1">IF(PV[[#This Row],[Business Date]]=Control!$C$6, PV[[#This Row],[Notional Value Local Cur]], -PV[[#This Row],[Notional Value Local Cur]])</f>
        <v>0</v>
      </c>
    </row>
    <row r="901" spans="1:5" x14ac:dyDescent="0.25">
      <c r="A901" s="36" t="b">
        <v>0</v>
      </c>
      <c r="B901" s="56" t="b">
        <v>0</v>
      </c>
      <c r="C901" s="56" t="b">
        <v>0</v>
      </c>
      <c r="D901" s="56" t="b">
        <v>0</v>
      </c>
      <c r="E901" s="56">
        <f ca="1">IF(PV[[#This Row],[Business Date]]=Control!$C$6, PV[[#This Row],[Notional Value Local Cur]], -PV[[#This Row],[Notional Value Local Cur]])</f>
        <v>0</v>
      </c>
    </row>
    <row r="902" spans="1:5" x14ac:dyDescent="0.25">
      <c r="A902" s="36" t="b">
        <v>0</v>
      </c>
      <c r="B902" s="56" t="b">
        <v>0</v>
      </c>
      <c r="C902" s="56" t="b">
        <v>0</v>
      </c>
      <c r="D902" s="56" t="b">
        <v>0</v>
      </c>
      <c r="E902" s="56">
        <f ca="1">IF(PV[[#This Row],[Business Date]]=Control!$C$6, PV[[#This Row],[Notional Value Local Cur]], -PV[[#This Row],[Notional Value Local Cur]])</f>
        <v>0</v>
      </c>
    </row>
    <row r="903" spans="1:5" x14ac:dyDescent="0.25">
      <c r="A903" s="36" t="b">
        <v>0</v>
      </c>
      <c r="B903" s="56" t="b">
        <v>0</v>
      </c>
      <c r="C903" s="56" t="b">
        <v>0</v>
      </c>
      <c r="D903" s="56" t="b">
        <v>0</v>
      </c>
      <c r="E903" s="56">
        <f ca="1">IF(PV[[#This Row],[Business Date]]=Control!$C$6, PV[[#This Row],[Notional Value Local Cur]], -PV[[#This Row],[Notional Value Local Cur]])</f>
        <v>0</v>
      </c>
    </row>
    <row r="904" spans="1:5" x14ac:dyDescent="0.25">
      <c r="A904" s="36" t="b">
        <v>0</v>
      </c>
      <c r="B904" s="56" t="b">
        <v>0</v>
      </c>
      <c r="C904" s="56" t="b">
        <v>0</v>
      </c>
      <c r="D904" s="56" t="b">
        <v>0</v>
      </c>
      <c r="E904" s="56">
        <f ca="1">IF(PV[[#This Row],[Business Date]]=Control!$C$6, PV[[#This Row],[Notional Value Local Cur]], -PV[[#This Row],[Notional Value Local Cur]])</f>
        <v>0</v>
      </c>
    </row>
    <row r="905" spans="1:5" x14ac:dyDescent="0.25">
      <c r="A905" s="36" t="b">
        <v>0</v>
      </c>
      <c r="B905" s="56" t="b">
        <v>0</v>
      </c>
      <c r="C905" s="56" t="b">
        <v>0</v>
      </c>
      <c r="D905" s="56" t="b">
        <v>0</v>
      </c>
      <c r="E905" s="56">
        <f ca="1">IF(PV[[#This Row],[Business Date]]=Control!$C$6, PV[[#This Row],[Notional Value Local Cur]], -PV[[#This Row],[Notional Value Local Cur]])</f>
        <v>0</v>
      </c>
    </row>
    <row r="906" spans="1:5" x14ac:dyDescent="0.25">
      <c r="A906" s="36" t="b">
        <v>0</v>
      </c>
      <c r="B906" s="56" t="b">
        <v>0</v>
      </c>
      <c r="C906" s="56" t="b">
        <v>0</v>
      </c>
      <c r="D906" s="56" t="b">
        <v>0</v>
      </c>
      <c r="E906" s="56">
        <f ca="1">IF(PV[[#This Row],[Business Date]]=Control!$C$6, PV[[#This Row],[Notional Value Local Cur]], -PV[[#This Row],[Notional Value Local Cur]])</f>
        <v>0</v>
      </c>
    </row>
    <row r="907" spans="1:5" x14ac:dyDescent="0.25">
      <c r="A907" s="36" t="b">
        <v>0</v>
      </c>
      <c r="B907" s="56" t="b">
        <v>0</v>
      </c>
      <c r="C907" s="56" t="b">
        <v>0</v>
      </c>
      <c r="D907" s="56" t="b">
        <v>0</v>
      </c>
      <c r="E907" s="56">
        <f ca="1">IF(PV[[#This Row],[Business Date]]=Control!$C$6, PV[[#This Row],[Notional Value Local Cur]], -PV[[#This Row],[Notional Value Local Cur]])</f>
        <v>0</v>
      </c>
    </row>
    <row r="908" spans="1:5" x14ac:dyDescent="0.25">
      <c r="A908" s="36" t="b">
        <v>0</v>
      </c>
      <c r="B908" s="56" t="b">
        <v>0</v>
      </c>
      <c r="C908" s="56" t="b">
        <v>0</v>
      </c>
      <c r="D908" s="56" t="b">
        <v>0</v>
      </c>
      <c r="E908" s="56">
        <f ca="1">IF(PV[[#This Row],[Business Date]]=Control!$C$6, PV[[#This Row],[Notional Value Local Cur]], -PV[[#This Row],[Notional Value Local Cur]])</f>
        <v>0</v>
      </c>
    </row>
    <row r="909" spans="1:5" x14ac:dyDescent="0.25">
      <c r="A909" s="36" t="b">
        <v>0</v>
      </c>
      <c r="B909" s="56" t="b">
        <v>0</v>
      </c>
      <c r="C909" s="56" t="b">
        <v>0</v>
      </c>
      <c r="D909" s="56" t="b">
        <v>0</v>
      </c>
      <c r="E909" s="56">
        <f ca="1">IF(PV[[#This Row],[Business Date]]=Control!$C$6, PV[[#This Row],[Notional Value Local Cur]], -PV[[#This Row],[Notional Value Local Cur]])</f>
        <v>0</v>
      </c>
    </row>
    <row r="910" spans="1:5" x14ac:dyDescent="0.25">
      <c r="A910" s="36" t="b">
        <v>0</v>
      </c>
      <c r="B910" s="56" t="b">
        <v>0</v>
      </c>
      <c r="C910" s="56" t="b">
        <v>0</v>
      </c>
      <c r="D910" s="56" t="b">
        <v>0</v>
      </c>
      <c r="E910" s="56">
        <f ca="1">IF(PV[[#This Row],[Business Date]]=Control!$C$6, PV[[#This Row],[Notional Value Local Cur]], -PV[[#This Row],[Notional Value Local Cur]])</f>
        <v>0</v>
      </c>
    </row>
    <row r="911" spans="1:5" x14ac:dyDescent="0.25">
      <c r="A911" s="36" t="b">
        <v>0</v>
      </c>
      <c r="B911" s="56" t="b">
        <v>0</v>
      </c>
      <c r="C911" s="56" t="b">
        <v>0</v>
      </c>
      <c r="D911" s="56" t="b">
        <v>0</v>
      </c>
      <c r="E911" s="56">
        <f ca="1">IF(PV[[#This Row],[Business Date]]=Control!$C$6, PV[[#This Row],[Notional Value Local Cur]], -PV[[#This Row],[Notional Value Local Cur]])</f>
        <v>0</v>
      </c>
    </row>
    <row r="912" spans="1:5" x14ac:dyDescent="0.25">
      <c r="A912" s="36" t="b">
        <v>0</v>
      </c>
      <c r="B912" s="56" t="b">
        <v>0</v>
      </c>
      <c r="C912" s="56" t="b">
        <v>0</v>
      </c>
      <c r="D912" s="56" t="b">
        <v>0</v>
      </c>
      <c r="E912" s="56">
        <f ca="1">IF(PV[[#This Row],[Business Date]]=Control!$C$6, PV[[#This Row],[Notional Value Local Cur]], -PV[[#This Row],[Notional Value Local Cur]])</f>
        <v>0</v>
      </c>
    </row>
    <row r="913" spans="1:5" x14ac:dyDescent="0.25">
      <c r="A913" s="36" t="b">
        <v>0</v>
      </c>
      <c r="B913" s="56" t="b">
        <v>0</v>
      </c>
      <c r="C913" s="56" t="b">
        <v>0</v>
      </c>
      <c r="D913" s="56" t="b">
        <v>0</v>
      </c>
      <c r="E913" s="56">
        <f ca="1">IF(PV[[#This Row],[Business Date]]=Control!$C$6, PV[[#This Row],[Notional Value Local Cur]], -PV[[#This Row],[Notional Value Local Cur]])</f>
        <v>0</v>
      </c>
    </row>
    <row r="914" spans="1:5" x14ac:dyDescent="0.25">
      <c r="A914" s="36" t="b">
        <v>0</v>
      </c>
      <c r="B914" s="56" t="b">
        <v>0</v>
      </c>
      <c r="C914" s="56" t="b">
        <v>0</v>
      </c>
      <c r="D914" s="56" t="b">
        <v>0</v>
      </c>
      <c r="E914" s="56">
        <f ca="1">IF(PV[[#This Row],[Business Date]]=Control!$C$6, PV[[#This Row],[Notional Value Local Cur]], -PV[[#This Row],[Notional Value Local Cur]])</f>
        <v>0</v>
      </c>
    </row>
    <row r="915" spans="1:5" x14ac:dyDescent="0.25">
      <c r="A915" s="36" t="b">
        <v>0</v>
      </c>
      <c r="B915" s="56" t="b">
        <v>0</v>
      </c>
      <c r="C915" s="56" t="b">
        <v>0</v>
      </c>
      <c r="D915" s="56" t="b">
        <v>0</v>
      </c>
      <c r="E915" s="56">
        <f ca="1">IF(PV[[#This Row],[Business Date]]=Control!$C$6, PV[[#This Row],[Notional Value Local Cur]], -PV[[#This Row],[Notional Value Local Cur]])</f>
        <v>0</v>
      </c>
    </row>
    <row r="916" spans="1:5" x14ac:dyDescent="0.25">
      <c r="A916" s="36" t="b">
        <v>0</v>
      </c>
      <c r="B916" s="56" t="b">
        <v>0</v>
      </c>
      <c r="C916" s="56" t="b">
        <v>0</v>
      </c>
      <c r="D916" s="56" t="b">
        <v>0</v>
      </c>
      <c r="E916" s="56">
        <f ca="1">IF(PV[[#This Row],[Business Date]]=Control!$C$6, PV[[#This Row],[Notional Value Local Cur]], -PV[[#This Row],[Notional Value Local Cur]])</f>
        <v>0</v>
      </c>
    </row>
    <row r="917" spans="1:5" x14ac:dyDescent="0.25">
      <c r="A917" s="36" t="b">
        <v>0</v>
      </c>
      <c r="B917" s="56" t="b">
        <v>0</v>
      </c>
      <c r="C917" s="56" t="b">
        <v>0</v>
      </c>
      <c r="D917" s="56" t="b">
        <v>0</v>
      </c>
      <c r="E917" s="56">
        <f ca="1">IF(PV[[#This Row],[Business Date]]=Control!$C$6, PV[[#This Row],[Notional Value Local Cur]], -PV[[#This Row],[Notional Value Local Cur]])</f>
        <v>0</v>
      </c>
    </row>
    <row r="918" spans="1:5" x14ac:dyDescent="0.25">
      <c r="A918" s="36" t="b">
        <v>0</v>
      </c>
      <c r="B918" s="56" t="b">
        <v>0</v>
      </c>
      <c r="C918" s="56" t="b">
        <v>0</v>
      </c>
      <c r="D918" s="56" t="b">
        <v>0</v>
      </c>
      <c r="E918" s="56">
        <f ca="1">IF(PV[[#This Row],[Business Date]]=Control!$C$6, PV[[#This Row],[Notional Value Local Cur]], -PV[[#This Row],[Notional Value Local Cur]])</f>
        <v>0</v>
      </c>
    </row>
    <row r="919" spans="1:5" x14ac:dyDescent="0.25">
      <c r="A919" s="36" t="b">
        <v>0</v>
      </c>
      <c r="B919" s="56" t="b">
        <v>0</v>
      </c>
      <c r="C919" s="56" t="b">
        <v>0</v>
      </c>
      <c r="D919" s="56" t="b">
        <v>0</v>
      </c>
      <c r="E919" s="56">
        <f ca="1">IF(PV[[#This Row],[Business Date]]=Control!$C$6, PV[[#This Row],[Notional Value Local Cur]], -PV[[#This Row],[Notional Value Local Cur]])</f>
        <v>0</v>
      </c>
    </row>
    <row r="920" spans="1:5" x14ac:dyDescent="0.25">
      <c r="A920" s="36" t="b">
        <v>0</v>
      </c>
      <c r="B920" s="56" t="b">
        <v>0</v>
      </c>
      <c r="C920" s="56" t="b">
        <v>0</v>
      </c>
      <c r="D920" s="56" t="b">
        <v>0</v>
      </c>
      <c r="E920" s="56">
        <f ca="1">IF(PV[[#This Row],[Business Date]]=Control!$C$6, PV[[#This Row],[Notional Value Local Cur]], -PV[[#This Row],[Notional Value Local Cur]])</f>
        <v>0</v>
      </c>
    </row>
    <row r="921" spans="1:5" x14ac:dyDescent="0.25">
      <c r="A921" s="36" t="b">
        <v>0</v>
      </c>
      <c r="B921" s="56" t="b">
        <v>0</v>
      </c>
      <c r="C921" s="56" t="b">
        <v>0</v>
      </c>
      <c r="D921" s="56" t="b">
        <v>0</v>
      </c>
      <c r="E921" s="56">
        <f ca="1">IF(PV[[#This Row],[Business Date]]=Control!$C$6, PV[[#This Row],[Notional Value Local Cur]], -PV[[#This Row],[Notional Value Local Cur]])</f>
        <v>0</v>
      </c>
    </row>
    <row r="922" spans="1:5" x14ac:dyDescent="0.25">
      <c r="A922" s="36" t="b">
        <v>0</v>
      </c>
      <c r="B922" s="56" t="b">
        <v>0</v>
      </c>
      <c r="C922" s="56" t="b">
        <v>0</v>
      </c>
      <c r="D922" s="56" t="b">
        <v>0</v>
      </c>
      <c r="E922" s="56">
        <f ca="1">IF(PV[[#This Row],[Business Date]]=Control!$C$6, PV[[#This Row],[Notional Value Local Cur]], -PV[[#This Row],[Notional Value Local Cur]])</f>
        <v>0</v>
      </c>
    </row>
    <row r="923" spans="1:5" x14ac:dyDescent="0.25">
      <c r="A923" s="36" t="b">
        <v>0</v>
      </c>
      <c r="B923" s="56" t="b">
        <v>0</v>
      </c>
      <c r="C923" s="56" t="b">
        <v>0</v>
      </c>
      <c r="D923" s="56" t="b">
        <v>0</v>
      </c>
      <c r="E923" s="56">
        <f ca="1">IF(PV[[#This Row],[Business Date]]=Control!$C$6, PV[[#This Row],[Notional Value Local Cur]], -PV[[#This Row],[Notional Value Local Cur]])</f>
        <v>0</v>
      </c>
    </row>
    <row r="924" spans="1:5" x14ac:dyDescent="0.25">
      <c r="A924" s="36" t="b">
        <v>0</v>
      </c>
      <c r="B924" s="56" t="b">
        <v>0</v>
      </c>
      <c r="C924" s="56" t="b">
        <v>0</v>
      </c>
      <c r="D924" s="56" t="b">
        <v>0</v>
      </c>
      <c r="E924" s="56">
        <f ca="1">IF(PV[[#This Row],[Business Date]]=Control!$C$6, PV[[#This Row],[Notional Value Local Cur]], -PV[[#This Row],[Notional Value Local Cur]])</f>
        <v>0</v>
      </c>
    </row>
    <row r="925" spans="1:5" x14ac:dyDescent="0.25">
      <c r="A925" s="36" t="b">
        <v>0</v>
      </c>
      <c r="B925" s="56" t="b">
        <v>0</v>
      </c>
      <c r="C925" s="56" t="b">
        <v>0</v>
      </c>
      <c r="D925" s="56" t="b">
        <v>0</v>
      </c>
      <c r="E925" s="56">
        <f ca="1">IF(PV[[#This Row],[Business Date]]=Control!$C$6, PV[[#This Row],[Notional Value Local Cur]], -PV[[#This Row],[Notional Value Local Cur]])</f>
        <v>0</v>
      </c>
    </row>
    <row r="926" spans="1:5" x14ac:dyDescent="0.25">
      <c r="A926" s="36" t="b">
        <v>0</v>
      </c>
      <c r="B926" s="56" t="b">
        <v>0</v>
      </c>
      <c r="C926" s="56" t="b">
        <v>0</v>
      </c>
      <c r="D926" s="56" t="b">
        <v>0</v>
      </c>
      <c r="E926" s="56">
        <f ca="1">IF(PV[[#This Row],[Business Date]]=Control!$C$6, PV[[#This Row],[Notional Value Local Cur]], -PV[[#This Row],[Notional Value Local Cur]])</f>
        <v>0</v>
      </c>
    </row>
    <row r="927" spans="1:5" x14ac:dyDescent="0.25">
      <c r="A927" s="36" t="b">
        <v>0</v>
      </c>
      <c r="B927" s="56" t="b">
        <v>0</v>
      </c>
      <c r="C927" s="56" t="b">
        <v>0</v>
      </c>
      <c r="D927" s="56" t="b">
        <v>0</v>
      </c>
      <c r="E927" s="56">
        <f ca="1">IF(PV[[#This Row],[Business Date]]=Control!$C$6, PV[[#This Row],[Notional Value Local Cur]], -PV[[#This Row],[Notional Value Local Cur]])</f>
        <v>0</v>
      </c>
    </row>
    <row r="928" spans="1:5" x14ac:dyDescent="0.25">
      <c r="A928" s="36" t="b">
        <v>0</v>
      </c>
      <c r="B928" s="56" t="b">
        <v>0</v>
      </c>
      <c r="C928" s="56" t="b">
        <v>0</v>
      </c>
      <c r="D928" s="56" t="b">
        <v>0</v>
      </c>
      <c r="E928" s="56">
        <f ca="1">IF(PV[[#This Row],[Business Date]]=Control!$C$6, PV[[#This Row],[Notional Value Local Cur]], -PV[[#This Row],[Notional Value Local Cur]])</f>
        <v>0</v>
      </c>
    </row>
    <row r="929" spans="1:5" x14ac:dyDescent="0.25">
      <c r="A929" s="36" t="b">
        <v>0</v>
      </c>
      <c r="B929" s="56" t="b">
        <v>0</v>
      </c>
      <c r="C929" s="56" t="b">
        <v>0</v>
      </c>
      <c r="D929" s="56" t="b">
        <v>0</v>
      </c>
      <c r="E929" s="56">
        <f ca="1">IF(PV[[#This Row],[Business Date]]=Control!$C$6, PV[[#This Row],[Notional Value Local Cur]], -PV[[#This Row],[Notional Value Local Cur]])</f>
        <v>0</v>
      </c>
    </row>
    <row r="930" spans="1:5" x14ac:dyDescent="0.25">
      <c r="A930" s="36" t="b">
        <v>0</v>
      </c>
      <c r="B930" s="56" t="b">
        <v>0</v>
      </c>
      <c r="C930" s="56" t="b">
        <v>0</v>
      </c>
      <c r="D930" s="56" t="b">
        <v>0</v>
      </c>
      <c r="E930" s="56">
        <f ca="1">IF(PV[[#This Row],[Business Date]]=Control!$C$6, PV[[#This Row],[Notional Value Local Cur]], -PV[[#This Row],[Notional Value Local Cur]])</f>
        <v>0</v>
      </c>
    </row>
    <row r="931" spans="1:5" x14ac:dyDescent="0.25">
      <c r="A931" s="36" t="b">
        <v>0</v>
      </c>
      <c r="B931" s="56" t="b">
        <v>0</v>
      </c>
      <c r="C931" s="56" t="b">
        <v>0</v>
      </c>
      <c r="D931" s="56" t="b">
        <v>0</v>
      </c>
      <c r="E931" s="56">
        <f ca="1">IF(PV[[#This Row],[Business Date]]=Control!$C$6, PV[[#This Row],[Notional Value Local Cur]], -PV[[#This Row],[Notional Value Local Cur]])</f>
        <v>0</v>
      </c>
    </row>
    <row r="932" spans="1:5" x14ac:dyDescent="0.25">
      <c r="A932" s="36" t="b">
        <v>0</v>
      </c>
      <c r="B932" s="56" t="b">
        <v>0</v>
      </c>
      <c r="C932" s="56" t="b">
        <v>0</v>
      </c>
      <c r="D932" s="56" t="b">
        <v>0</v>
      </c>
      <c r="E932" s="56">
        <f ca="1">IF(PV[[#This Row],[Business Date]]=Control!$C$6, PV[[#This Row],[Notional Value Local Cur]], -PV[[#This Row],[Notional Value Local Cur]])</f>
        <v>0</v>
      </c>
    </row>
    <row r="933" spans="1:5" x14ac:dyDescent="0.25">
      <c r="A933" s="36" t="b">
        <v>0</v>
      </c>
      <c r="B933" s="56" t="b">
        <v>0</v>
      </c>
      <c r="C933" s="56" t="b">
        <v>0</v>
      </c>
      <c r="D933" s="56" t="b">
        <v>0</v>
      </c>
      <c r="E933" s="56">
        <f ca="1">IF(PV[[#This Row],[Business Date]]=Control!$C$6, PV[[#This Row],[Notional Value Local Cur]], -PV[[#This Row],[Notional Value Local Cur]])</f>
        <v>0</v>
      </c>
    </row>
    <row r="934" spans="1:5" x14ac:dyDescent="0.25">
      <c r="A934" s="36" t="b">
        <v>0</v>
      </c>
      <c r="B934" s="56" t="b">
        <v>0</v>
      </c>
      <c r="C934" s="56" t="b">
        <v>0</v>
      </c>
      <c r="D934" s="56" t="b">
        <v>0</v>
      </c>
      <c r="E934" s="56">
        <f ca="1">IF(PV[[#This Row],[Business Date]]=Control!$C$6, PV[[#This Row],[Notional Value Local Cur]], -PV[[#This Row],[Notional Value Local Cur]])</f>
        <v>0</v>
      </c>
    </row>
    <row r="935" spans="1:5" x14ac:dyDescent="0.25">
      <c r="A935" s="36" t="b">
        <v>0</v>
      </c>
      <c r="B935" s="56" t="b">
        <v>0</v>
      </c>
      <c r="C935" s="56" t="b">
        <v>0</v>
      </c>
      <c r="D935" s="56" t="b">
        <v>0</v>
      </c>
      <c r="E935" s="56">
        <f ca="1">IF(PV[[#This Row],[Business Date]]=Control!$C$6, PV[[#This Row],[Notional Value Local Cur]], -PV[[#This Row],[Notional Value Local Cur]])</f>
        <v>0</v>
      </c>
    </row>
    <row r="936" spans="1:5" x14ac:dyDescent="0.25">
      <c r="A936" s="36" t="b">
        <v>0</v>
      </c>
      <c r="B936" s="56" t="b">
        <v>0</v>
      </c>
      <c r="C936" s="56" t="b">
        <v>0</v>
      </c>
      <c r="D936" s="56" t="b">
        <v>0</v>
      </c>
      <c r="E936" s="56">
        <f ca="1">IF(PV[[#This Row],[Business Date]]=Control!$C$6, PV[[#This Row],[Notional Value Local Cur]], -PV[[#This Row],[Notional Value Local Cur]])</f>
        <v>0</v>
      </c>
    </row>
    <row r="937" spans="1:5" x14ac:dyDescent="0.25">
      <c r="A937" s="36" t="b">
        <v>0</v>
      </c>
      <c r="B937" s="56" t="b">
        <v>0</v>
      </c>
      <c r="C937" s="56" t="b">
        <v>0</v>
      </c>
      <c r="D937" s="56" t="b">
        <v>0</v>
      </c>
      <c r="E937" s="56">
        <f ca="1">IF(PV[[#This Row],[Business Date]]=Control!$C$6, PV[[#This Row],[Notional Value Local Cur]], -PV[[#This Row],[Notional Value Local Cur]])</f>
        <v>0</v>
      </c>
    </row>
    <row r="938" spans="1:5" x14ac:dyDescent="0.25">
      <c r="A938" s="36" t="b">
        <v>0</v>
      </c>
      <c r="B938" s="56" t="b">
        <v>0</v>
      </c>
      <c r="C938" s="56" t="b">
        <v>0</v>
      </c>
      <c r="D938" s="56" t="b">
        <v>0</v>
      </c>
      <c r="E938" s="56">
        <f ca="1">IF(PV[[#This Row],[Business Date]]=Control!$C$6, PV[[#This Row],[Notional Value Local Cur]], -PV[[#This Row],[Notional Value Local Cur]])</f>
        <v>0</v>
      </c>
    </row>
    <row r="939" spans="1:5" x14ac:dyDescent="0.25">
      <c r="A939" s="36" t="b">
        <v>0</v>
      </c>
      <c r="B939" s="56" t="b">
        <v>0</v>
      </c>
      <c r="C939" s="56" t="b">
        <v>0</v>
      </c>
      <c r="D939" s="56" t="b">
        <v>0</v>
      </c>
      <c r="E939" s="56">
        <f ca="1">IF(PV[[#This Row],[Business Date]]=Control!$C$6, PV[[#This Row],[Notional Value Local Cur]], -PV[[#This Row],[Notional Value Local Cur]])</f>
        <v>0</v>
      </c>
    </row>
    <row r="940" spans="1:5" x14ac:dyDescent="0.25">
      <c r="A940" s="36" t="b">
        <v>0</v>
      </c>
      <c r="B940" s="56" t="b">
        <v>0</v>
      </c>
      <c r="C940" s="56" t="b">
        <v>0</v>
      </c>
      <c r="D940" s="56" t="b">
        <v>0</v>
      </c>
      <c r="E940" s="56">
        <f ca="1">IF(PV[[#This Row],[Business Date]]=Control!$C$6, PV[[#This Row],[Notional Value Local Cur]], -PV[[#This Row],[Notional Value Local Cur]])</f>
        <v>0</v>
      </c>
    </row>
    <row r="941" spans="1:5" x14ac:dyDescent="0.25">
      <c r="A941" s="36" t="b">
        <v>0</v>
      </c>
      <c r="B941" s="56" t="b">
        <v>0</v>
      </c>
      <c r="C941" s="56" t="b">
        <v>0</v>
      </c>
      <c r="D941" s="56" t="b">
        <v>0</v>
      </c>
      <c r="E941" s="56">
        <f ca="1">IF(PV[[#This Row],[Business Date]]=Control!$C$6, PV[[#This Row],[Notional Value Local Cur]], -PV[[#This Row],[Notional Value Local Cur]])</f>
        <v>0</v>
      </c>
    </row>
    <row r="942" spans="1:5" x14ac:dyDescent="0.25">
      <c r="A942" s="36" t="b">
        <v>0</v>
      </c>
      <c r="B942" s="56" t="b">
        <v>0</v>
      </c>
      <c r="C942" s="56" t="b">
        <v>0</v>
      </c>
      <c r="D942" s="56" t="b">
        <v>0</v>
      </c>
      <c r="E942" s="56">
        <f ca="1">IF(PV[[#This Row],[Business Date]]=Control!$C$6, PV[[#This Row],[Notional Value Local Cur]], -PV[[#This Row],[Notional Value Local Cur]])</f>
        <v>0</v>
      </c>
    </row>
    <row r="943" spans="1:5" x14ac:dyDescent="0.25">
      <c r="A943" s="36" t="b">
        <v>0</v>
      </c>
      <c r="B943" s="56" t="b">
        <v>0</v>
      </c>
      <c r="C943" s="56" t="b">
        <v>0</v>
      </c>
      <c r="D943" s="56" t="b">
        <v>0</v>
      </c>
      <c r="E943" s="56">
        <f ca="1">IF(PV[[#This Row],[Business Date]]=Control!$C$6, PV[[#This Row],[Notional Value Local Cur]], -PV[[#This Row],[Notional Value Local Cur]])</f>
        <v>0</v>
      </c>
    </row>
    <row r="944" spans="1:5" x14ac:dyDescent="0.25">
      <c r="A944" s="36" t="b">
        <v>0</v>
      </c>
      <c r="B944" s="56" t="b">
        <v>0</v>
      </c>
      <c r="C944" s="56" t="b">
        <v>0</v>
      </c>
      <c r="D944" s="56" t="b">
        <v>0</v>
      </c>
      <c r="E944" s="56">
        <f ca="1">IF(PV[[#This Row],[Business Date]]=Control!$C$6, PV[[#This Row],[Notional Value Local Cur]], -PV[[#This Row],[Notional Value Local Cur]])</f>
        <v>0</v>
      </c>
    </row>
    <row r="945" spans="1:5" x14ac:dyDescent="0.25">
      <c r="A945" s="36" t="b">
        <v>0</v>
      </c>
      <c r="B945" s="56" t="b">
        <v>0</v>
      </c>
      <c r="C945" s="56" t="b">
        <v>0</v>
      </c>
      <c r="D945" s="56" t="b">
        <v>0</v>
      </c>
      <c r="E945" s="56">
        <f ca="1">IF(PV[[#This Row],[Business Date]]=Control!$C$6, PV[[#This Row],[Notional Value Local Cur]], -PV[[#This Row],[Notional Value Local Cur]])</f>
        <v>0</v>
      </c>
    </row>
    <row r="946" spans="1:5" x14ac:dyDescent="0.25">
      <c r="A946" s="36" t="b">
        <v>0</v>
      </c>
      <c r="B946" s="56" t="b">
        <v>0</v>
      </c>
      <c r="C946" s="56" t="b">
        <v>0</v>
      </c>
      <c r="D946" s="56" t="b">
        <v>0</v>
      </c>
      <c r="E946" s="56">
        <f ca="1">IF(PV[[#This Row],[Business Date]]=Control!$C$6, PV[[#This Row],[Notional Value Local Cur]], -PV[[#This Row],[Notional Value Local Cur]])</f>
        <v>0</v>
      </c>
    </row>
    <row r="947" spans="1:5" x14ac:dyDescent="0.25">
      <c r="A947" s="36" t="b">
        <v>0</v>
      </c>
      <c r="B947" s="56" t="b">
        <v>0</v>
      </c>
      <c r="C947" s="56" t="b">
        <v>0</v>
      </c>
      <c r="D947" s="56" t="b">
        <v>0</v>
      </c>
      <c r="E947" s="56">
        <f ca="1">IF(PV[[#This Row],[Business Date]]=Control!$C$6, PV[[#This Row],[Notional Value Local Cur]], -PV[[#This Row],[Notional Value Local Cur]])</f>
        <v>0</v>
      </c>
    </row>
    <row r="948" spans="1:5" x14ac:dyDescent="0.25">
      <c r="A948" s="36" t="b">
        <v>0</v>
      </c>
      <c r="B948" s="56" t="b">
        <v>0</v>
      </c>
      <c r="C948" s="56" t="b">
        <v>0</v>
      </c>
      <c r="D948" s="56" t="b">
        <v>0</v>
      </c>
      <c r="E948" s="56">
        <f ca="1">IF(PV[[#This Row],[Business Date]]=Control!$C$6, PV[[#This Row],[Notional Value Local Cur]], -PV[[#This Row],[Notional Value Local Cur]])</f>
        <v>0</v>
      </c>
    </row>
    <row r="949" spans="1:5" x14ac:dyDescent="0.25">
      <c r="A949" s="36" t="b">
        <v>0</v>
      </c>
      <c r="B949" s="56" t="b">
        <v>0</v>
      </c>
      <c r="C949" s="56" t="b">
        <v>0</v>
      </c>
      <c r="D949" s="56" t="b">
        <v>0</v>
      </c>
      <c r="E949" s="56">
        <f ca="1">IF(PV[[#This Row],[Business Date]]=Control!$C$6, PV[[#This Row],[Notional Value Local Cur]], -PV[[#This Row],[Notional Value Local Cur]])</f>
        <v>0</v>
      </c>
    </row>
    <row r="950" spans="1:5" x14ac:dyDescent="0.25">
      <c r="A950" s="36" t="b">
        <v>0</v>
      </c>
      <c r="B950" s="56" t="b">
        <v>0</v>
      </c>
      <c r="C950" s="56" t="b">
        <v>0</v>
      </c>
      <c r="D950" s="56" t="b">
        <v>0</v>
      </c>
      <c r="E950" s="56">
        <f ca="1">IF(PV[[#This Row],[Business Date]]=Control!$C$6, PV[[#This Row],[Notional Value Local Cur]], -PV[[#This Row],[Notional Value Local Cur]])</f>
        <v>0</v>
      </c>
    </row>
    <row r="951" spans="1:5" x14ac:dyDescent="0.25">
      <c r="A951" s="36" t="b">
        <v>0</v>
      </c>
      <c r="B951" s="56" t="b">
        <v>0</v>
      </c>
      <c r="C951" s="56" t="b">
        <v>0</v>
      </c>
      <c r="D951" s="56" t="b">
        <v>0</v>
      </c>
      <c r="E951" s="56">
        <f ca="1">IF(PV[[#This Row],[Business Date]]=Control!$C$6, PV[[#This Row],[Notional Value Local Cur]], -PV[[#This Row],[Notional Value Local Cur]])</f>
        <v>0</v>
      </c>
    </row>
    <row r="952" spans="1:5" x14ac:dyDescent="0.25">
      <c r="A952" s="36" t="b">
        <v>0</v>
      </c>
      <c r="B952" s="56" t="b">
        <v>0</v>
      </c>
      <c r="C952" s="56" t="b">
        <v>0</v>
      </c>
      <c r="D952" s="56" t="b">
        <v>0</v>
      </c>
      <c r="E952" s="56">
        <f ca="1">IF(PV[[#This Row],[Business Date]]=Control!$C$6, PV[[#This Row],[Notional Value Local Cur]], -PV[[#This Row],[Notional Value Local Cur]])</f>
        <v>0</v>
      </c>
    </row>
    <row r="953" spans="1:5" x14ac:dyDescent="0.25">
      <c r="A953" s="36" t="b">
        <v>0</v>
      </c>
      <c r="B953" s="56" t="b">
        <v>0</v>
      </c>
      <c r="C953" s="56" t="b">
        <v>0</v>
      </c>
      <c r="D953" s="56" t="b">
        <v>0</v>
      </c>
      <c r="E953" s="56">
        <f ca="1">IF(PV[[#This Row],[Business Date]]=Control!$C$6, PV[[#This Row],[Notional Value Local Cur]], -PV[[#This Row],[Notional Value Local Cur]])</f>
        <v>0</v>
      </c>
    </row>
    <row r="954" spans="1:5" x14ac:dyDescent="0.25">
      <c r="A954" s="36" t="b">
        <v>0</v>
      </c>
      <c r="B954" s="56" t="b">
        <v>0</v>
      </c>
      <c r="C954" s="56" t="b">
        <v>0</v>
      </c>
      <c r="D954" s="56" t="b">
        <v>0</v>
      </c>
      <c r="E954" s="56">
        <f ca="1">IF(PV[[#This Row],[Business Date]]=Control!$C$6, PV[[#This Row],[Notional Value Local Cur]], -PV[[#This Row],[Notional Value Local Cur]])</f>
        <v>0</v>
      </c>
    </row>
    <row r="955" spans="1:5" x14ac:dyDescent="0.25">
      <c r="A955" s="36" t="b">
        <v>0</v>
      </c>
      <c r="B955" s="56" t="b">
        <v>0</v>
      </c>
      <c r="C955" s="56" t="b">
        <v>0</v>
      </c>
      <c r="D955" s="56" t="b">
        <v>0</v>
      </c>
      <c r="E955" s="56">
        <f ca="1">IF(PV[[#This Row],[Business Date]]=Control!$C$6, PV[[#This Row],[Notional Value Local Cur]], -PV[[#This Row],[Notional Value Local Cur]])</f>
        <v>0</v>
      </c>
    </row>
    <row r="956" spans="1:5" x14ac:dyDescent="0.25">
      <c r="A956" s="36" t="b">
        <v>0</v>
      </c>
      <c r="B956" s="56" t="b">
        <v>0</v>
      </c>
      <c r="C956" s="56" t="b">
        <v>0</v>
      </c>
      <c r="D956" s="56" t="b">
        <v>0</v>
      </c>
      <c r="E956" s="56">
        <f ca="1">IF(PV[[#This Row],[Business Date]]=Control!$C$6, PV[[#This Row],[Notional Value Local Cur]], -PV[[#This Row],[Notional Value Local Cur]])</f>
        <v>0</v>
      </c>
    </row>
    <row r="957" spans="1:5" x14ac:dyDescent="0.25">
      <c r="A957" s="36" t="b">
        <v>0</v>
      </c>
      <c r="B957" s="56" t="b">
        <v>0</v>
      </c>
      <c r="C957" s="56" t="b">
        <v>0</v>
      </c>
      <c r="D957" s="56" t="b">
        <v>0</v>
      </c>
      <c r="E957" s="56">
        <f ca="1">IF(PV[[#This Row],[Business Date]]=Control!$C$6, PV[[#This Row],[Notional Value Local Cur]], -PV[[#This Row],[Notional Value Local Cur]])</f>
        <v>0</v>
      </c>
    </row>
    <row r="958" spans="1:5" x14ac:dyDescent="0.25">
      <c r="A958" s="36" t="b">
        <v>0</v>
      </c>
      <c r="B958" s="56" t="b">
        <v>0</v>
      </c>
      <c r="C958" s="56" t="b">
        <v>0</v>
      </c>
      <c r="D958" s="56" t="b">
        <v>0</v>
      </c>
      <c r="E958" s="56">
        <f ca="1">IF(PV[[#This Row],[Business Date]]=Control!$C$6, PV[[#This Row],[Notional Value Local Cur]], -PV[[#This Row],[Notional Value Local Cur]])</f>
        <v>0</v>
      </c>
    </row>
    <row r="959" spans="1:5" x14ac:dyDescent="0.25">
      <c r="A959" s="36" t="b">
        <v>0</v>
      </c>
      <c r="B959" s="56" t="b">
        <v>0</v>
      </c>
      <c r="C959" s="56" t="b">
        <v>0</v>
      </c>
      <c r="D959" s="56" t="b">
        <v>0</v>
      </c>
      <c r="E959" s="56">
        <f ca="1">IF(PV[[#This Row],[Business Date]]=Control!$C$6, PV[[#This Row],[Notional Value Local Cur]], -PV[[#This Row],[Notional Value Local Cur]])</f>
        <v>0</v>
      </c>
    </row>
    <row r="960" spans="1:5" x14ac:dyDescent="0.25">
      <c r="A960" s="36" t="b">
        <v>0</v>
      </c>
      <c r="B960" s="56" t="b">
        <v>0</v>
      </c>
      <c r="C960" s="56" t="b">
        <v>0</v>
      </c>
      <c r="D960" s="56" t="b">
        <v>0</v>
      </c>
      <c r="E960" s="56">
        <f ca="1">IF(PV[[#This Row],[Business Date]]=Control!$C$6, PV[[#This Row],[Notional Value Local Cur]], -PV[[#This Row],[Notional Value Local Cur]])</f>
        <v>0</v>
      </c>
    </row>
    <row r="961" spans="1:5" x14ac:dyDescent="0.25">
      <c r="A961" s="36" t="b">
        <v>0</v>
      </c>
      <c r="B961" s="56" t="b">
        <v>0</v>
      </c>
      <c r="C961" s="56" t="b">
        <v>0</v>
      </c>
      <c r="D961" s="56" t="b">
        <v>0</v>
      </c>
      <c r="E961" s="56">
        <f ca="1">IF(PV[[#This Row],[Business Date]]=Control!$C$6, PV[[#This Row],[Notional Value Local Cur]], -PV[[#This Row],[Notional Value Local Cur]])</f>
        <v>0</v>
      </c>
    </row>
    <row r="962" spans="1:5" x14ac:dyDescent="0.25">
      <c r="A962" s="36" t="b">
        <v>0</v>
      </c>
      <c r="B962" s="56" t="b">
        <v>0</v>
      </c>
      <c r="C962" s="56" t="b">
        <v>0</v>
      </c>
      <c r="D962" s="56" t="b">
        <v>0</v>
      </c>
      <c r="E962" s="56">
        <f ca="1">IF(PV[[#This Row],[Business Date]]=Control!$C$6, PV[[#This Row],[Notional Value Local Cur]], -PV[[#This Row],[Notional Value Local Cur]])</f>
        <v>0</v>
      </c>
    </row>
    <row r="963" spans="1:5" x14ac:dyDescent="0.25">
      <c r="A963" s="36" t="b">
        <v>0</v>
      </c>
      <c r="B963" s="56" t="b">
        <v>0</v>
      </c>
      <c r="C963" s="56" t="b">
        <v>0</v>
      </c>
      <c r="D963" s="56" t="b">
        <v>0</v>
      </c>
      <c r="E963" s="56">
        <f ca="1">IF(PV[[#This Row],[Business Date]]=Control!$C$6, PV[[#This Row],[Notional Value Local Cur]], -PV[[#This Row],[Notional Value Local Cur]])</f>
        <v>0</v>
      </c>
    </row>
    <row r="964" spans="1:5" x14ac:dyDescent="0.25">
      <c r="A964" s="36" t="b">
        <v>0</v>
      </c>
      <c r="B964" s="56" t="b">
        <v>0</v>
      </c>
      <c r="C964" s="56" t="b">
        <v>0</v>
      </c>
      <c r="D964" s="56" t="b">
        <v>0</v>
      </c>
      <c r="E964" s="56">
        <f ca="1">IF(PV[[#This Row],[Business Date]]=Control!$C$6, PV[[#This Row],[Notional Value Local Cur]], -PV[[#This Row],[Notional Value Local Cur]])</f>
        <v>0</v>
      </c>
    </row>
    <row r="965" spans="1:5" x14ac:dyDescent="0.25">
      <c r="A965" s="36" t="b">
        <v>0</v>
      </c>
      <c r="B965" s="56" t="b">
        <v>0</v>
      </c>
      <c r="C965" s="56" t="b">
        <v>0</v>
      </c>
      <c r="D965" s="56" t="b">
        <v>0</v>
      </c>
      <c r="E965" s="56">
        <f ca="1">IF(PV[[#This Row],[Business Date]]=Control!$C$6, PV[[#This Row],[Notional Value Local Cur]], -PV[[#This Row],[Notional Value Local Cur]])</f>
        <v>0</v>
      </c>
    </row>
    <row r="966" spans="1:5" x14ac:dyDescent="0.25">
      <c r="A966" s="36" t="b">
        <v>0</v>
      </c>
      <c r="B966" s="56" t="b">
        <v>0</v>
      </c>
      <c r="C966" s="56" t="b">
        <v>0</v>
      </c>
      <c r="D966" s="56" t="b">
        <v>0</v>
      </c>
      <c r="E966" s="56">
        <f ca="1">IF(PV[[#This Row],[Business Date]]=Control!$C$6, PV[[#This Row],[Notional Value Local Cur]], -PV[[#This Row],[Notional Value Local Cur]])</f>
        <v>0</v>
      </c>
    </row>
    <row r="967" spans="1:5" x14ac:dyDescent="0.25">
      <c r="A967" s="36" t="b">
        <v>0</v>
      </c>
      <c r="B967" s="56" t="b">
        <v>0</v>
      </c>
      <c r="C967" s="56" t="b">
        <v>0</v>
      </c>
      <c r="D967" s="56" t="b">
        <v>0</v>
      </c>
      <c r="E967" s="56">
        <f ca="1">IF(PV[[#This Row],[Business Date]]=Control!$C$6, PV[[#This Row],[Notional Value Local Cur]], -PV[[#This Row],[Notional Value Local Cur]])</f>
        <v>0</v>
      </c>
    </row>
    <row r="968" spans="1:5" x14ac:dyDescent="0.25">
      <c r="A968" s="36" t="b">
        <v>0</v>
      </c>
      <c r="B968" s="56" t="b">
        <v>0</v>
      </c>
      <c r="C968" s="56" t="b">
        <v>0</v>
      </c>
      <c r="D968" s="56" t="b">
        <v>0</v>
      </c>
      <c r="E968" s="56">
        <f ca="1">IF(PV[[#This Row],[Business Date]]=Control!$C$6, PV[[#This Row],[Notional Value Local Cur]], -PV[[#This Row],[Notional Value Local Cur]])</f>
        <v>0</v>
      </c>
    </row>
    <row r="969" spans="1:5" x14ac:dyDescent="0.25">
      <c r="A969" s="36" t="b">
        <v>0</v>
      </c>
      <c r="B969" s="56" t="b">
        <v>0</v>
      </c>
      <c r="C969" s="56" t="b">
        <v>0</v>
      </c>
      <c r="D969" s="56" t="b">
        <v>0</v>
      </c>
      <c r="E969" s="56">
        <f ca="1">IF(PV[[#This Row],[Business Date]]=Control!$C$6, PV[[#This Row],[Notional Value Local Cur]], -PV[[#This Row],[Notional Value Local Cur]])</f>
        <v>0</v>
      </c>
    </row>
    <row r="970" spans="1:5" x14ac:dyDescent="0.25">
      <c r="A970" s="36" t="b">
        <v>0</v>
      </c>
      <c r="B970" s="56" t="b">
        <v>0</v>
      </c>
      <c r="C970" s="56" t="b">
        <v>0</v>
      </c>
      <c r="D970" s="56" t="b">
        <v>0</v>
      </c>
      <c r="E970" s="56">
        <f ca="1">IF(PV[[#This Row],[Business Date]]=Control!$C$6, PV[[#This Row],[Notional Value Local Cur]], -PV[[#This Row],[Notional Value Local Cur]])</f>
        <v>0</v>
      </c>
    </row>
    <row r="971" spans="1:5" x14ac:dyDescent="0.25">
      <c r="A971" s="36" t="b">
        <v>0</v>
      </c>
      <c r="B971" s="56" t="b">
        <v>0</v>
      </c>
      <c r="C971" s="56" t="b">
        <v>0</v>
      </c>
      <c r="D971" s="56" t="b">
        <v>0</v>
      </c>
      <c r="E971" s="56">
        <f ca="1">IF(PV[[#This Row],[Business Date]]=Control!$C$6, PV[[#This Row],[Notional Value Local Cur]], -PV[[#This Row],[Notional Value Local Cur]])</f>
        <v>0</v>
      </c>
    </row>
    <row r="972" spans="1:5" x14ac:dyDescent="0.25">
      <c r="A972" s="36" t="b">
        <v>0</v>
      </c>
      <c r="B972" s="56" t="b">
        <v>0</v>
      </c>
      <c r="C972" s="56" t="b">
        <v>0</v>
      </c>
      <c r="D972" s="56" t="b">
        <v>0</v>
      </c>
      <c r="E972" s="56">
        <f ca="1">IF(PV[[#This Row],[Business Date]]=Control!$C$6, PV[[#This Row],[Notional Value Local Cur]], -PV[[#This Row],[Notional Value Local Cur]])</f>
        <v>0</v>
      </c>
    </row>
    <row r="973" spans="1:5" x14ac:dyDescent="0.25">
      <c r="A973" s="36" t="b">
        <v>0</v>
      </c>
      <c r="B973" s="56" t="b">
        <v>0</v>
      </c>
      <c r="C973" s="56" t="b">
        <v>0</v>
      </c>
      <c r="D973" s="56" t="b">
        <v>0</v>
      </c>
      <c r="E973" s="56">
        <f ca="1">IF(PV[[#This Row],[Business Date]]=Control!$C$6, PV[[#This Row],[Notional Value Local Cur]], -PV[[#This Row],[Notional Value Local Cur]])</f>
        <v>0</v>
      </c>
    </row>
    <row r="974" spans="1:5" x14ac:dyDescent="0.25">
      <c r="A974" s="36" t="b">
        <v>0</v>
      </c>
      <c r="B974" s="56" t="b">
        <v>0</v>
      </c>
      <c r="C974" s="56" t="b">
        <v>0</v>
      </c>
      <c r="D974" s="56" t="b">
        <v>0</v>
      </c>
      <c r="E974" s="56">
        <f ca="1">IF(PV[[#This Row],[Business Date]]=Control!$C$6, PV[[#This Row],[Notional Value Local Cur]], -PV[[#This Row],[Notional Value Local Cur]])</f>
        <v>0</v>
      </c>
    </row>
    <row r="975" spans="1:5" x14ac:dyDescent="0.25">
      <c r="A975" s="36" t="b">
        <v>0</v>
      </c>
      <c r="B975" s="56" t="b">
        <v>0</v>
      </c>
      <c r="C975" s="56" t="b">
        <v>0</v>
      </c>
      <c r="D975" s="56" t="b">
        <v>0</v>
      </c>
      <c r="E975" s="56">
        <f ca="1">IF(PV[[#This Row],[Business Date]]=Control!$C$6, PV[[#This Row],[Notional Value Local Cur]], -PV[[#This Row],[Notional Value Local Cur]])</f>
        <v>0</v>
      </c>
    </row>
    <row r="976" spans="1:5" x14ac:dyDescent="0.25">
      <c r="A976" s="36" t="b">
        <v>0</v>
      </c>
      <c r="B976" s="56" t="b">
        <v>0</v>
      </c>
      <c r="C976" s="56" t="b">
        <v>0</v>
      </c>
      <c r="D976" s="56" t="b">
        <v>0</v>
      </c>
      <c r="E976" s="56">
        <f ca="1">IF(PV[[#This Row],[Business Date]]=Control!$C$6, PV[[#This Row],[Notional Value Local Cur]], -PV[[#This Row],[Notional Value Local Cur]])</f>
        <v>0</v>
      </c>
    </row>
    <row r="977" spans="1:5" x14ac:dyDescent="0.25">
      <c r="A977" s="36" t="b">
        <v>0</v>
      </c>
      <c r="B977" s="56" t="b">
        <v>0</v>
      </c>
      <c r="C977" s="56" t="b">
        <v>0</v>
      </c>
      <c r="D977" s="56" t="b">
        <v>0</v>
      </c>
      <c r="E977" s="56">
        <f ca="1">IF(PV[[#This Row],[Business Date]]=Control!$C$6, PV[[#This Row],[Notional Value Local Cur]], -PV[[#This Row],[Notional Value Local Cur]])</f>
        <v>0</v>
      </c>
    </row>
    <row r="978" spans="1:5" x14ac:dyDescent="0.25">
      <c r="A978" s="36" t="b">
        <v>0</v>
      </c>
      <c r="B978" s="56" t="b">
        <v>0</v>
      </c>
      <c r="C978" s="56" t="b">
        <v>0</v>
      </c>
      <c r="D978" s="56" t="b">
        <v>0</v>
      </c>
      <c r="E978" s="56">
        <f ca="1">IF(PV[[#This Row],[Business Date]]=Control!$C$6, PV[[#This Row],[Notional Value Local Cur]], -PV[[#This Row],[Notional Value Local Cur]])</f>
        <v>0</v>
      </c>
    </row>
    <row r="979" spans="1:5" x14ac:dyDescent="0.25">
      <c r="A979" s="36" t="b">
        <v>0</v>
      </c>
      <c r="B979" s="56" t="b">
        <v>0</v>
      </c>
      <c r="C979" s="56" t="b">
        <v>0</v>
      </c>
      <c r="D979" s="56" t="b">
        <v>0</v>
      </c>
      <c r="E979" s="56">
        <f ca="1">IF(PV[[#This Row],[Business Date]]=Control!$C$6, PV[[#This Row],[Notional Value Local Cur]], -PV[[#This Row],[Notional Value Local Cur]])</f>
        <v>0</v>
      </c>
    </row>
    <row r="980" spans="1:5" x14ac:dyDescent="0.25">
      <c r="A980" s="36" t="b">
        <v>0</v>
      </c>
      <c r="B980" s="56" t="b">
        <v>0</v>
      </c>
      <c r="C980" s="56" t="b">
        <v>0</v>
      </c>
      <c r="D980" s="56" t="b">
        <v>0</v>
      </c>
      <c r="E980" s="56">
        <f ca="1">IF(PV[[#This Row],[Business Date]]=Control!$C$6, PV[[#This Row],[Notional Value Local Cur]], -PV[[#This Row],[Notional Value Local Cur]])</f>
        <v>0</v>
      </c>
    </row>
    <row r="981" spans="1:5" x14ac:dyDescent="0.25">
      <c r="A981" s="36" t="b">
        <v>0</v>
      </c>
      <c r="B981" s="56" t="b">
        <v>0</v>
      </c>
      <c r="C981" s="56" t="b">
        <v>0</v>
      </c>
      <c r="D981" s="56" t="b">
        <v>0</v>
      </c>
      <c r="E981" s="56">
        <f ca="1">IF(PV[[#This Row],[Business Date]]=Control!$C$6, PV[[#This Row],[Notional Value Local Cur]], -PV[[#This Row],[Notional Value Local Cur]])</f>
        <v>0</v>
      </c>
    </row>
    <row r="982" spans="1:5" x14ac:dyDescent="0.25">
      <c r="A982" s="36" t="b">
        <v>0</v>
      </c>
      <c r="B982" s="56" t="b">
        <v>0</v>
      </c>
      <c r="C982" s="56" t="b">
        <v>0</v>
      </c>
      <c r="D982" s="56" t="b">
        <v>0</v>
      </c>
      <c r="E982" s="56">
        <f ca="1">IF(PV[[#This Row],[Business Date]]=Control!$C$6, PV[[#This Row],[Notional Value Local Cur]], -PV[[#This Row],[Notional Value Local Cur]])</f>
        <v>0</v>
      </c>
    </row>
    <row r="983" spans="1:5" x14ac:dyDescent="0.25">
      <c r="A983" s="36" t="b">
        <v>0</v>
      </c>
      <c r="B983" s="56" t="b">
        <v>0</v>
      </c>
      <c r="C983" s="56" t="b">
        <v>0</v>
      </c>
      <c r="D983" s="56" t="b">
        <v>0</v>
      </c>
      <c r="E983" s="56">
        <f ca="1">IF(PV[[#This Row],[Business Date]]=Control!$C$6, PV[[#This Row],[Notional Value Local Cur]], -PV[[#This Row],[Notional Value Local Cur]])</f>
        <v>0</v>
      </c>
    </row>
    <row r="984" spans="1:5" x14ac:dyDescent="0.25">
      <c r="A984" s="36" t="b">
        <v>0</v>
      </c>
      <c r="B984" s="56" t="b">
        <v>0</v>
      </c>
      <c r="C984" s="56" t="b">
        <v>0</v>
      </c>
      <c r="D984" s="56" t="b">
        <v>0</v>
      </c>
      <c r="E984" s="56">
        <f ca="1">IF(PV[[#This Row],[Business Date]]=Control!$C$6, PV[[#This Row],[Notional Value Local Cur]], -PV[[#This Row],[Notional Value Local Cur]])</f>
        <v>0</v>
      </c>
    </row>
    <row r="985" spans="1:5" x14ac:dyDescent="0.25">
      <c r="A985" s="36" t="b">
        <v>0</v>
      </c>
      <c r="B985" s="56" t="b">
        <v>0</v>
      </c>
      <c r="C985" s="56" t="b">
        <v>0</v>
      </c>
      <c r="D985" s="56" t="b">
        <v>0</v>
      </c>
      <c r="E985" s="56">
        <f ca="1">IF(PV[[#This Row],[Business Date]]=Control!$C$6, PV[[#This Row],[Notional Value Local Cur]], -PV[[#This Row],[Notional Value Local Cur]])</f>
        <v>0</v>
      </c>
    </row>
    <row r="986" spans="1:5" x14ac:dyDescent="0.25">
      <c r="A986" s="36" t="b">
        <v>0</v>
      </c>
      <c r="B986" s="56" t="b">
        <v>0</v>
      </c>
      <c r="C986" s="56" t="b">
        <v>0</v>
      </c>
      <c r="D986" s="56" t="b">
        <v>0</v>
      </c>
      <c r="E986" s="56">
        <f ca="1">IF(PV[[#This Row],[Business Date]]=Control!$C$6, PV[[#This Row],[Notional Value Local Cur]], -PV[[#This Row],[Notional Value Local Cur]])</f>
        <v>0</v>
      </c>
    </row>
    <row r="987" spans="1:5" x14ac:dyDescent="0.25">
      <c r="A987" s="36" t="b">
        <v>0</v>
      </c>
      <c r="B987" s="56" t="b">
        <v>0</v>
      </c>
      <c r="C987" s="56" t="b">
        <v>0</v>
      </c>
      <c r="D987" s="56" t="b">
        <v>0</v>
      </c>
      <c r="E987" s="56">
        <f ca="1">IF(PV[[#This Row],[Business Date]]=Control!$C$6, PV[[#This Row],[Notional Value Local Cur]], -PV[[#This Row],[Notional Value Local Cur]])</f>
        <v>0</v>
      </c>
    </row>
    <row r="988" spans="1:5" x14ac:dyDescent="0.25">
      <c r="A988" s="36" t="b">
        <v>0</v>
      </c>
      <c r="B988" s="56" t="b">
        <v>0</v>
      </c>
      <c r="C988" s="56" t="b">
        <v>0</v>
      </c>
      <c r="D988" s="56" t="b">
        <v>0</v>
      </c>
      <c r="E988" s="56">
        <f ca="1">IF(PV[[#This Row],[Business Date]]=Control!$C$6, PV[[#This Row],[Notional Value Local Cur]], -PV[[#This Row],[Notional Value Local Cur]])</f>
        <v>0</v>
      </c>
    </row>
    <row r="989" spans="1:5" x14ac:dyDescent="0.25">
      <c r="A989" s="36" t="b">
        <v>0</v>
      </c>
      <c r="B989" s="56" t="b">
        <v>0</v>
      </c>
      <c r="C989" s="56" t="b">
        <v>0</v>
      </c>
      <c r="D989" s="56" t="b">
        <v>0</v>
      </c>
      <c r="E989" s="56">
        <f ca="1">IF(PV[[#This Row],[Business Date]]=Control!$C$6, PV[[#This Row],[Notional Value Local Cur]], -PV[[#This Row],[Notional Value Local Cur]])</f>
        <v>0</v>
      </c>
    </row>
    <row r="990" spans="1:5" x14ac:dyDescent="0.25">
      <c r="A990" s="36" t="b">
        <v>0</v>
      </c>
      <c r="B990" s="56" t="b">
        <v>0</v>
      </c>
      <c r="C990" s="56" t="b">
        <v>0</v>
      </c>
      <c r="D990" s="56" t="b">
        <v>0</v>
      </c>
      <c r="E990" s="56">
        <f ca="1">IF(PV[[#This Row],[Business Date]]=Control!$C$6, PV[[#This Row],[Notional Value Local Cur]], -PV[[#This Row],[Notional Value Local Cur]])</f>
        <v>0</v>
      </c>
    </row>
    <row r="991" spans="1:5" x14ac:dyDescent="0.25">
      <c r="A991" s="36" t="b">
        <v>0</v>
      </c>
      <c r="B991" s="56" t="b">
        <v>0</v>
      </c>
      <c r="C991" s="56" t="b">
        <v>0</v>
      </c>
      <c r="D991" s="56" t="b">
        <v>0</v>
      </c>
      <c r="E991" s="56">
        <f ca="1">IF(PV[[#This Row],[Business Date]]=Control!$C$6, PV[[#This Row],[Notional Value Local Cur]], -PV[[#This Row],[Notional Value Local Cur]])</f>
        <v>0</v>
      </c>
    </row>
    <row r="992" spans="1:5" x14ac:dyDescent="0.25">
      <c r="A992" s="36" t="b">
        <v>0</v>
      </c>
      <c r="B992" s="56" t="b">
        <v>0</v>
      </c>
      <c r="C992" s="56" t="b">
        <v>0</v>
      </c>
      <c r="D992" s="56" t="b">
        <v>0</v>
      </c>
      <c r="E992" s="56">
        <f ca="1">IF(PV[[#This Row],[Business Date]]=Control!$C$6, PV[[#This Row],[Notional Value Local Cur]], -PV[[#This Row],[Notional Value Local Cur]])</f>
        <v>0</v>
      </c>
    </row>
    <row r="993" spans="1:5" x14ac:dyDescent="0.25">
      <c r="A993" s="36" t="b">
        <v>0</v>
      </c>
      <c r="B993" s="56" t="b">
        <v>0</v>
      </c>
      <c r="C993" s="56" t="b">
        <v>0</v>
      </c>
      <c r="D993" s="56" t="b">
        <v>0</v>
      </c>
      <c r="E993" s="56">
        <f ca="1">IF(PV[[#This Row],[Business Date]]=Control!$C$6, PV[[#This Row],[Notional Value Local Cur]], -PV[[#This Row],[Notional Value Local Cur]])</f>
        <v>0</v>
      </c>
    </row>
    <row r="994" spans="1:5" x14ac:dyDescent="0.25">
      <c r="A994" s="36" t="b">
        <v>0</v>
      </c>
      <c r="B994" s="56" t="b">
        <v>0</v>
      </c>
      <c r="C994" s="56" t="b">
        <v>0</v>
      </c>
      <c r="D994" s="56" t="b">
        <v>0</v>
      </c>
      <c r="E994" s="56">
        <f ca="1">IF(PV[[#This Row],[Business Date]]=Control!$C$6, PV[[#This Row],[Notional Value Local Cur]], -PV[[#This Row],[Notional Value Local Cur]])</f>
        <v>0</v>
      </c>
    </row>
    <row r="995" spans="1:5" x14ac:dyDescent="0.25">
      <c r="A995" s="36" t="b">
        <v>0</v>
      </c>
      <c r="B995" s="56" t="b">
        <v>0</v>
      </c>
      <c r="C995" s="56" t="b">
        <v>0</v>
      </c>
      <c r="D995" s="56" t="b">
        <v>0</v>
      </c>
      <c r="E995" s="56">
        <f ca="1">IF(PV[[#This Row],[Business Date]]=Control!$C$6, PV[[#This Row],[Notional Value Local Cur]], -PV[[#This Row],[Notional Value Local Cur]])</f>
        <v>0</v>
      </c>
    </row>
    <row r="996" spans="1:5" x14ac:dyDescent="0.25">
      <c r="A996" s="36" t="b">
        <v>0</v>
      </c>
      <c r="B996" s="56" t="b">
        <v>0</v>
      </c>
      <c r="C996" s="56" t="b">
        <v>0</v>
      </c>
      <c r="D996" s="56" t="b">
        <v>0</v>
      </c>
      <c r="E996" s="56">
        <f ca="1">IF(PV[[#This Row],[Business Date]]=Control!$C$6, PV[[#This Row],[Notional Value Local Cur]], -PV[[#This Row],[Notional Value Local Cur]])</f>
        <v>0</v>
      </c>
    </row>
    <row r="997" spans="1:5" x14ac:dyDescent="0.25">
      <c r="A997" s="36" t="b">
        <v>0</v>
      </c>
      <c r="B997" s="56" t="b">
        <v>0</v>
      </c>
      <c r="C997" s="56" t="b">
        <v>0</v>
      </c>
      <c r="D997" s="56" t="b">
        <v>0</v>
      </c>
      <c r="E997" s="56">
        <f ca="1">IF(PV[[#This Row],[Business Date]]=Control!$C$6, PV[[#This Row],[Notional Value Local Cur]], -PV[[#This Row],[Notional Value Local Cur]])</f>
        <v>0</v>
      </c>
    </row>
    <row r="998" spans="1:5" x14ac:dyDescent="0.25">
      <c r="A998" s="36" t="b">
        <v>0</v>
      </c>
      <c r="B998" s="56" t="b">
        <v>0</v>
      </c>
      <c r="C998" s="56" t="b">
        <v>0</v>
      </c>
      <c r="D998" s="56" t="b">
        <v>0</v>
      </c>
      <c r="E998" s="56">
        <f ca="1">IF(PV[[#This Row],[Business Date]]=Control!$C$6, PV[[#This Row],[Notional Value Local Cur]], -PV[[#This Row],[Notional Value Local Cur]])</f>
        <v>0</v>
      </c>
    </row>
    <row r="999" spans="1:5" x14ac:dyDescent="0.25">
      <c r="A999" s="36" t="b">
        <v>0</v>
      </c>
      <c r="B999" s="56" t="b">
        <v>0</v>
      </c>
      <c r="C999" s="56" t="b">
        <v>0</v>
      </c>
      <c r="D999" s="56" t="b">
        <v>0</v>
      </c>
      <c r="E999" s="56">
        <f ca="1">IF(PV[[#This Row],[Business Date]]=Control!$C$6, PV[[#This Row],[Notional Value Local Cur]], -PV[[#This Row],[Notional Value Local Cur]])</f>
        <v>0</v>
      </c>
    </row>
    <row r="1000" spans="1:5" x14ac:dyDescent="0.25">
      <c r="A1000" s="36" t="b">
        <v>0</v>
      </c>
      <c r="B1000" s="56" t="b">
        <v>0</v>
      </c>
      <c r="C1000" s="56" t="b">
        <v>0</v>
      </c>
      <c r="D1000" s="56" t="b">
        <v>0</v>
      </c>
      <c r="E1000" s="56">
        <f ca="1">IF(PV[[#This Row],[Business Date]]=Control!$C$6, PV[[#This Row],[Notional Value Local Cur]], -PV[[#This Row],[Notional Value Local Cur]])</f>
        <v>0</v>
      </c>
    </row>
    <row r="1001" spans="1:5" x14ac:dyDescent="0.25">
      <c r="A1001" s="36" t="b">
        <v>0</v>
      </c>
      <c r="B1001" s="56" t="b">
        <v>0</v>
      </c>
      <c r="C1001" s="56" t="b">
        <v>0</v>
      </c>
      <c r="D1001" s="56" t="b">
        <v>0</v>
      </c>
      <c r="E1001" s="56">
        <f ca="1">IF(PV[[#This Row],[Business Date]]=Control!$C$6, PV[[#This Row],[Notional Value Local Cur]], -PV[[#This Row],[Notional Value Local Cur]])</f>
        <v>0</v>
      </c>
    </row>
    <row r="1002" spans="1:5" x14ac:dyDescent="0.25">
      <c r="A1002" s="36" t="b">
        <v>0</v>
      </c>
      <c r="B1002" s="56" t="b">
        <v>0</v>
      </c>
      <c r="C1002" s="56" t="b">
        <v>0</v>
      </c>
      <c r="D1002" s="56" t="b">
        <v>0</v>
      </c>
      <c r="E1002" s="56">
        <f ca="1">IF(PV[[#This Row],[Business Date]]=Control!$C$6, PV[[#This Row],[Notional Value Local Cur]], -PV[[#This Row],[Notional Value Local Cur]])</f>
        <v>0</v>
      </c>
    </row>
    <row r="1003" spans="1:5" x14ac:dyDescent="0.25">
      <c r="A1003" s="36" t="b">
        <v>0</v>
      </c>
      <c r="B1003" s="56" t="b">
        <v>0</v>
      </c>
      <c r="C1003" s="56" t="b">
        <v>0</v>
      </c>
      <c r="D1003" s="56" t="b">
        <v>0</v>
      </c>
      <c r="E1003" s="56">
        <f ca="1">IF(PV[[#This Row],[Business Date]]=Control!$C$6, PV[[#This Row],[Notional Value Local Cur]], -PV[[#This Row],[Notional Value Local Cur]])</f>
        <v>0</v>
      </c>
    </row>
    <row r="1004" spans="1:5" x14ac:dyDescent="0.25">
      <c r="A1004" s="36" t="b">
        <v>0</v>
      </c>
      <c r="B1004" s="56" t="b">
        <v>0</v>
      </c>
      <c r="C1004" s="56" t="b">
        <v>0</v>
      </c>
      <c r="D1004" s="56" t="b">
        <v>0</v>
      </c>
      <c r="E1004" s="56">
        <f ca="1">IF(PV[[#This Row],[Business Date]]=Control!$C$6, PV[[#This Row],[Notional Value Local Cur]], -PV[[#This Row],[Notional Value Local Cur]])</f>
        <v>0</v>
      </c>
    </row>
    <row r="1005" spans="1:5" x14ac:dyDescent="0.25">
      <c r="A1005" s="36" t="b">
        <v>0</v>
      </c>
      <c r="B1005" s="56" t="b">
        <v>0</v>
      </c>
      <c r="C1005" s="56" t="b">
        <v>0</v>
      </c>
      <c r="D1005" s="56" t="b">
        <v>0</v>
      </c>
      <c r="E1005" s="56">
        <f ca="1">IF(PV[[#This Row],[Business Date]]=Control!$C$6, PV[[#This Row],[Notional Value Local Cur]], -PV[[#This Row],[Notional Value Local Cur]])</f>
        <v>0</v>
      </c>
    </row>
    <row r="1006" spans="1:5" x14ac:dyDescent="0.25">
      <c r="A1006" s="36" t="b">
        <v>0</v>
      </c>
      <c r="B1006" s="56" t="b">
        <v>0</v>
      </c>
      <c r="C1006" s="56" t="b">
        <v>0</v>
      </c>
      <c r="D1006" s="56" t="b">
        <v>0</v>
      </c>
      <c r="E1006" s="56">
        <f ca="1">IF(PV[[#This Row],[Business Date]]=Control!$C$6, PV[[#This Row],[Notional Value Local Cur]], -PV[[#This Row],[Notional Value Local Cur]])</f>
        <v>0</v>
      </c>
    </row>
    <row r="1007" spans="1:5" x14ac:dyDescent="0.25">
      <c r="A1007" s="36" t="b">
        <v>0</v>
      </c>
      <c r="B1007" s="56" t="b">
        <v>0</v>
      </c>
      <c r="C1007" s="56" t="b">
        <v>0</v>
      </c>
      <c r="D1007" s="56" t="b">
        <v>0</v>
      </c>
      <c r="E1007" s="56">
        <f ca="1">IF(PV[[#This Row],[Business Date]]=Control!$C$6, PV[[#This Row],[Notional Value Local Cur]], -PV[[#This Row],[Notional Value Local Cur]])</f>
        <v>0</v>
      </c>
    </row>
    <row r="1008" spans="1:5" x14ac:dyDescent="0.25">
      <c r="A1008" s="36" t="b">
        <v>0</v>
      </c>
      <c r="B1008" s="56" t="b">
        <v>0</v>
      </c>
      <c r="C1008" s="56" t="b">
        <v>0</v>
      </c>
      <c r="D1008" s="56" t="b">
        <v>0</v>
      </c>
      <c r="E1008" s="56">
        <f ca="1">IF(PV[[#This Row],[Business Date]]=Control!$C$6, PV[[#This Row],[Notional Value Local Cur]], -PV[[#This Row],[Notional Value Local Cur]])</f>
        <v>0</v>
      </c>
    </row>
    <row r="1009" spans="1:5" x14ac:dyDescent="0.25">
      <c r="A1009" s="36" t="b">
        <v>0</v>
      </c>
      <c r="B1009" s="56" t="b">
        <v>0</v>
      </c>
      <c r="C1009" s="56" t="b">
        <v>0</v>
      </c>
      <c r="D1009" s="56" t="b">
        <v>0</v>
      </c>
      <c r="E1009" s="56">
        <f ca="1">IF(PV[[#This Row],[Business Date]]=Control!$C$6, PV[[#This Row],[Notional Value Local Cur]], -PV[[#This Row],[Notional Value Local Cur]])</f>
        <v>0</v>
      </c>
    </row>
    <row r="1010" spans="1:5" x14ac:dyDescent="0.25">
      <c r="A1010" s="36" t="b">
        <v>0</v>
      </c>
      <c r="B1010" s="56" t="b">
        <v>0</v>
      </c>
      <c r="C1010" s="56" t="b">
        <v>0</v>
      </c>
      <c r="D1010" s="56" t="b">
        <v>0</v>
      </c>
      <c r="E1010" s="56">
        <f ca="1">IF(PV[[#This Row],[Business Date]]=Control!$C$6, PV[[#This Row],[Notional Value Local Cur]], -PV[[#This Row],[Notional Value Local Cur]])</f>
        <v>0</v>
      </c>
    </row>
    <row r="1011" spans="1:5" x14ac:dyDescent="0.25">
      <c r="A1011" s="36" t="b">
        <v>0</v>
      </c>
      <c r="B1011" s="56" t="b">
        <v>0</v>
      </c>
      <c r="C1011" s="56" t="b">
        <v>0</v>
      </c>
      <c r="D1011" s="56" t="b">
        <v>0</v>
      </c>
      <c r="E1011" s="56">
        <f ca="1">IF(PV[[#This Row],[Business Date]]=Control!$C$6, PV[[#This Row],[Notional Value Local Cur]], -PV[[#This Row],[Notional Value Local Cur]])</f>
        <v>0</v>
      </c>
    </row>
    <row r="1012" spans="1:5" x14ac:dyDescent="0.25">
      <c r="A1012" s="36" t="b">
        <v>0</v>
      </c>
      <c r="B1012" s="56" t="b">
        <v>0</v>
      </c>
      <c r="C1012" s="56" t="b">
        <v>0</v>
      </c>
      <c r="D1012" s="56" t="b">
        <v>0</v>
      </c>
      <c r="E1012" s="56">
        <f ca="1">IF(PV[[#This Row],[Business Date]]=Control!$C$6, PV[[#This Row],[Notional Value Local Cur]], -PV[[#This Row],[Notional Value Local Cur]])</f>
        <v>0</v>
      </c>
    </row>
    <row r="1013" spans="1:5" x14ac:dyDescent="0.25">
      <c r="A1013" s="36" t="b">
        <v>0</v>
      </c>
      <c r="B1013" s="56" t="b">
        <v>0</v>
      </c>
      <c r="C1013" s="56" t="b">
        <v>0</v>
      </c>
      <c r="D1013" s="56" t="b">
        <v>0</v>
      </c>
      <c r="E1013" s="56">
        <f ca="1">IF(PV[[#This Row],[Business Date]]=Control!$C$6, PV[[#This Row],[Notional Value Local Cur]], -PV[[#This Row],[Notional Value Local Cur]])</f>
        <v>0</v>
      </c>
    </row>
    <row r="1014" spans="1:5" x14ac:dyDescent="0.25">
      <c r="A1014" s="36" t="b">
        <v>0</v>
      </c>
      <c r="B1014" s="56" t="b">
        <v>0</v>
      </c>
      <c r="C1014" s="56" t="b">
        <v>0</v>
      </c>
      <c r="D1014" s="56" t="b">
        <v>0</v>
      </c>
      <c r="E1014" s="56">
        <f ca="1">IF(PV[[#This Row],[Business Date]]=Control!$C$6, PV[[#This Row],[Notional Value Local Cur]], -PV[[#This Row],[Notional Value Local Cur]])</f>
        <v>0</v>
      </c>
    </row>
    <row r="1015" spans="1:5" x14ac:dyDescent="0.25">
      <c r="A1015" s="36" t="b">
        <v>0</v>
      </c>
      <c r="B1015" s="56" t="b">
        <v>0</v>
      </c>
      <c r="C1015" s="56" t="b">
        <v>0</v>
      </c>
      <c r="D1015" s="56" t="b">
        <v>0</v>
      </c>
      <c r="E1015" s="56">
        <f ca="1">IF(PV[[#This Row],[Business Date]]=Control!$C$6, PV[[#This Row],[Notional Value Local Cur]], -PV[[#This Row],[Notional Value Local Cur]])</f>
        <v>0</v>
      </c>
    </row>
    <row r="1016" spans="1:5" x14ac:dyDescent="0.25">
      <c r="A1016" s="36" t="b">
        <v>0</v>
      </c>
      <c r="B1016" s="56" t="b">
        <v>0</v>
      </c>
      <c r="C1016" s="56" t="b">
        <v>0</v>
      </c>
      <c r="D1016" s="56" t="b">
        <v>0</v>
      </c>
      <c r="E1016" s="56">
        <f ca="1">IF(PV[[#This Row],[Business Date]]=Control!$C$6, PV[[#This Row],[Notional Value Local Cur]], -PV[[#This Row],[Notional Value Local Cur]])</f>
        <v>0</v>
      </c>
    </row>
    <row r="1017" spans="1:5" x14ac:dyDescent="0.25">
      <c r="A1017" s="36" t="b">
        <v>0</v>
      </c>
      <c r="B1017" s="56" t="b">
        <v>0</v>
      </c>
      <c r="C1017" s="56" t="b">
        <v>0</v>
      </c>
      <c r="D1017" s="56" t="b">
        <v>0</v>
      </c>
      <c r="E1017" s="56">
        <f ca="1">IF(PV[[#This Row],[Business Date]]=Control!$C$6, PV[[#This Row],[Notional Value Local Cur]], -PV[[#This Row],[Notional Value Local Cur]])</f>
        <v>0</v>
      </c>
    </row>
    <row r="1018" spans="1:5" x14ac:dyDescent="0.25">
      <c r="A1018" s="36" t="b">
        <v>0</v>
      </c>
      <c r="B1018" s="56" t="b">
        <v>0</v>
      </c>
      <c r="C1018" s="56" t="b">
        <v>0</v>
      </c>
      <c r="D1018" s="56" t="b">
        <v>0</v>
      </c>
      <c r="E1018" s="56">
        <f ca="1">IF(PV[[#This Row],[Business Date]]=Control!$C$6, PV[[#This Row],[Notional Value Local Cur]], -PV[[#This Row],[Notional Value Local Cur]])</f>
        <v>0</v>
      </c>
    </row>
    <row r="1019" spans="1:5" x14ac:dyDescent="0.25">
      <c r="A1019" s="36" t="b">
        <v>0</v>
      </c>
      <c r="B1019" s="56" t="b">
        <v>0</v>
      </c>
      <c r="C1019" s="56" t="b">
        <v>0</v>
      </c>
      <c r="D1019" s="56" t="b">
        <v>0</v>
      </c>
      <c r="E1019" s="56">
        <f ca="1">IF(PV[[#This Row],[Business Date]]=Control!$C$6, PV[[#This Row],[Notional Value Local Cur]], -PV[[#This Row],[Notional Value Local Cur]])</f>
        <v>0</v>
      </c>
    </row>
    <row r="1020" spans="1:5" x14ac:dyDescent="0.25">
      <c r="A1020" s="36" t="b">
        <v>0</v>
      </c>
      <c r="B1020" s="56" t="b">
        <v>0</v>
      </c>
      <c r="C1020" s="56" t="b">
        <v>0</v>
      </c>
      <c r="D1020" s="56" t="b">
        <v>0</v>
      </c>
      <c r="E1020" s="56">
        <f ca="1">IF(PV[[#This Row],[Business Date]]=Control!$C$6, PV[[#This Row],[Notional Value Local Cur]], -PV[[#This Row],[Notional Value Local Cur]])</f>
        <v>0</v>
      </c>
    </row>
    <row r="1021" spans="1:5" x14ac:dyDescent="0.25">
      <c r="A1021" s="36" t="b">
        <v>0</v>
      </c>
      <c r="B1021" s="56" t="b">
        <v>0</v>
      </c>
      <c r="C1021" s="56" t="b">
        <v>0</v>
      </c>
      <c r="D1021" s="56" t="b">
        <v>0</v>
      </c>
      <c r="E1021" s="56">
        <f ca="1">IF(PV[[#This Row],[Business Date]]=Control!$C$6, PV[[#This Row],[Notional Value Local Cur]], -PV[[#This Row],[Notional Value Local Cur]])</f>
        <v>0</v>
      </c>
    </row>
    <row r="1022" spans="1:5" x14ac:dyDescent="0.25">
      <c r="A1022" s="36" t="b">
        <v>0</v>
      </c>
      <c r="B1022" s="56" t="b">
        <v>0</v>
      </c>
      <c r="C1022" s="56" t="b">
        <v>0</v>
      </c>
      <c r="D1022" s="56" t="b">
        <v>0</v>
      </c>
      <c r="E1022" s="56">
        <f ca="1">IF(PV[[#This Row],[Business Date]]=Control!$C$6, PV[[#This Row],[Notional Value Local Cur]], -PV[[#This Row],[Notional Value Local Cur]])</f>
        <v>0</v>
      </c>
    </row>
    <row r="1023" spans="1:5" x14ac:dyDescent="0.25">
      <c r="A1023" s="36" t="b">
        <v>0</v>
      </c>
      <c r="B1023" s="56" t="b">
        <v>0</v>
      </c>
      <c r="C1023" s="56" t="b">
        <v>0</v>
      </c>
      <c r="D1023" s="56" t="b">
        <v>0</v>
      </c>
      <c r="E1023" s="56">
        <f ca="1">IF(PV[[#This Row],[Business Date]]=Control!$C$6, PV[[#This Row],[Notional Value Local Cur]], -PV[[#This Row],[Notional Value Local Cur]])</f>
        <v>0</v>
      </c>
    </row>
    <row r="1024" spans="1:5" x14ac:dyDescent="0.25">
      <c r="A1024" s="36" t="b">
        <v>0</v>
      </c>
      <c r="B1024" s="56" t="b">
        <v>0</v>
      </c>
      <c r="C1024" s="56" t="b">
        <v>0</v>
      </c>
      <c r="D1024" s="56" t="b">
        <v>0</v>
      </c>
      <c r="E1024" s="56">
        <f ca="1">IF(PV[[#This Row],[Business Date]]=Control!$C$6, PV[[#This Row],[Notional Value Local Cur]], -PV[[#This Row],[Notional Value Local Cur]])</f>
        <v>0</v>
      </c>
    </row>
    <row r="1025" spans="1:5" x14ac:dyDescent="0.25">
      <c r="A1025" s="36" t="b">
        <v>0</v>
      </c>
      <c r="B1025" s="56" t="b">
        <v>0</v>
      </c>
      <c r="C1025" s="56" t="b">
        <v>0</v>
      </c>
      <c r="D1025" s="56" t="b">
        <v>0</v>
      </c>
      <c r="E1025" s="56">
        <f ca="1">IF(PV[[#This Row],[Business Date]]=Control!$C$6, PV[[#This Row],[Notional Value Local Cur]], -PV[[#This Row],[Notional Value Local Cur]])</f>
        <v>0</v>
      </c>
    </row>
    <row r="1026" spans="1:5" x14ac:dyDescent="0.25">
      <c r="A1026" s="36" t="b">
        <v>0</v>
      </c>
      <c r="B1026" s="56" t="b">
        <v>0</v>
      </c>
      <c r="C1026" s="56" t="b">
        <v>0</v>
      </c>
      <c r="D1026" s="56" t="b">
        <v>0</v>
      </c>
      <c r="E1026" s="56">
        <f ca="1">IF(PV[[#This Row],[Business Date]]=Control!$C$6, PV[[#This Row],[Notional Value Local Cur]], -PV[[#This Row],[Notional Value Local Cur]])</f>
        <v>0</v>
      </c>
    </row>
    <row r="1027" spans="1:5" x14ac:dyDescent="0.25">
      <c r="A1027" s="36" t="b">
        <v>0</v>
      </c>
      <c r="B1027" s="56" t="b">
        <v>0</v>
      </c>
      <c r="C1027" s="56" t="b">
        <v>0</v>
      </c>
      <c r="D1027" s="56" t="b">
        <v>0</v>
      </c>
      <c r="E1027" s="56">
        <f ca="1">IF(PV[[#This Row],[Business Date]]=Control!$C$6, PV[[#This Row],[Notional Value Local Cur]], -PV[[#This Row],[Notional Value Local Cur]])</f>
        <v>0</v>
      </c>
    </row>
    <row r="1028" spans="1:5" x14ac:dyDescent="0.25">
      <c r="A1028" s="36" t="b">
        <v>0</v>
      </c>
      <c r="B1028" s="56" t="b">
        <v>0</v>
      </c>
      <c r="C1028" s="56" t="b">
        <v>0</v>
      </c>
      <c r="D1028" s="56" t="b">
        <v>0</v>
      </c>
      <c r="E1028" s="56">
        <f ca="1">IF(PV[[#This Row],[Business Date]]=Control!$C$6, PV[[#This Row],[Notional Value Local Cur]], -PV[[#This Row],[Notional Value Local Cur]])</f>
        <v>0</v>
      </c>
    </row>
    <row r="1029" spans="1:5" x14ac:dyDescent="0.25">
      <c r="A1029" s="36" t="b">
        <v>0</v>
      </c>
      <c r="B1029" s="56" t="b">
        <v>0</v>
      </c>
      <c r="C1029" s="56" t="b">
        <v>0</v>
      </c>
      <c r="D1029" s="56" t="b">
        <v>0</v>
      </c>
      <c r="E1029" s="56">
        <f ca="1">IF(PV[[#This Row],[Business Date]]=Control!$C$6, PV[[#This Row],[Notional Value Local Cur]], -PV[[#This Row],[Notional Value Local Cur]])</f>
        <v>0</v>
      </c>
    </row>
    <row r="1030" spans="1:5" x14ac:dyDescent="0.25">
      <c r="A1030" s="36" t="b">
        <v>0</v>
      </c>
      <c r="B1030" s="56" t="b">
        <v>0</v>
      </c>
      <c r="C1030" s="56" t="b">
        <v>0</v>
      </c>
      <c r="D1030" s="56" t="b">
        <v>0</v>
      </c>
      <c r="E1030" s="56">
        <f ca="1">IF(PV[[#This Row],[Business Date]]=Control!$C$6, PV[[#This Row],[Notional Value Local Cur]], -PV[[#This Row],[Notional Value Local Cur]])</f>
        <v>0</v>
      </c>
    </row>
    <row r="1031" spans="1:5" x14ac:dyDescent="0.25">
      <c r="A1031" s="36" t="b">
        <v>0</v>
      </c>
      <c r="B1031" s="56" t="b">
        <v>0</v>
      </c>
      <c r="C1031" s="56" t="b">
        <v>0</v>
      </c>
      <c r="D1031" s="56" t="b">
        <v>0</v>
      </c>
      <c r="E1031" s="56">
        <f ca="1">IF(PV[[#This Row],[Business Date]]=Control!$C$6, PV[[#This Row],[Notional Value Local Cur]], -PV[[#This Row],[Notional Value Local Cur]])</f>
        <v>0</v>
      </c>
    </row>
    <row r="1032" spans="1:5" x14ac:dyDescent="0.25">
      <c r="A1032" s="36" t="b">
        <v>0</v>
      </c>
      <c r="B1032" s="56" t="b">
        <v>0</v>
      </c>
      <c r="C1032" s="56" t="b">
        <v>0</v>
      </c>
      <c r="D1032" s="56" t="b">
        <v>0</v>
      </c>
      <c r="E1032" s="56">
        <f ca="1">IF(PV[[#This Row],[Business Date]]=Control!$C$6, PV[[#This Row],[Notional Value Local Cur]], -PV[[#This Row],[Notional Value Local Cur]])</f>
        <v>0</v>
      </c>
    </row>
    <row r="1033" spans="1:5" x14ac:dyDescent="0.25">
      <c r="A1033" s="36" t="b">
        <v>0</v>
      </c>
      <c r="B1033" s="56" t="b">
        <v>0</v>
      </c>
      <c r="C1033" s="56" t="b">
        <v>0</v>
      </c>
      <c r="D1033" s="56" t="b">
        <v>0</v>
      </c>
      <c r="E1033" s="56">
        <f ca="1">IF(PV[[#This Row],[Business Date]]=Control!$C$6, PV[[#This Row],[Notional Value Local Cur]], -PV[[#This Row],[Notional Value Local Cur]])</f>
        <v>0</v>
      </c>
    </row>
    <row r="1034" spans="1:5" x14ac:dyDescent="0.25">
      <c r="A1034" s="36" t="b">
        <v>0</v>
      </c>
      <c r="B1034" s="56" t="b">
        <v>0</v>
      </c>
      <c r="C1034" s="56" t="b">
        <v>0</v>
      </c>
      <c r="D1034" s="56" t="b">
        <v>0</v>
      </c>
      <c r="E1034" s="56">
        <f ca="1">IF(PV[[#This Row],[Business Date]]=Control!$C$6, PV[[#This Row],[Notional Value Local Cur]], -PV[[#This Row],[Notional Value Local Cur]])</f>
        <v>0</v>
      </c>
    </row>
    <row r="1035" spans="1:5" x14ac:dyDescent="0.25">
      <c r="A1035" s="36" t="b">
        <v>0</v>
      </c>
      <c r="B1035" s="56" t="b">
        <v>0</v>
      </c>
      <c r="C1035" s="56" t="b">
        <v>0</v>
      </c>
      <c r="D1035" s="56" t="b">
        <v>0</v>
      </c>
      <c r="E1035" s="56">
        <f ca="1">IF(PV[[#This Row],[Business Date]]=Control!$C$6, PV[[#This Row],[Notional Value Local Cur]], -PV[[#This Row],[Notional Value Local Cur]])</f>
        <v>0</v>
      </c>
    </row>
    <row r="1036" spans="1:5" x14ac:dyDescent="0.25">
      <c r="A1036" s="36" t="b">
        <v>0</v>
      </c>
      <c r="B1036" s="56" t="b">
        <v>0</v>
      </c>
      <c r="C1036" s="56" t="b">
        <v>0</v>
      </c>
      <c r="D1036" s="56" t="b">
        <v>0</v>
      </c>
      <c r="E1036" s="56">
        <f ca="1">IF(PV[[#This Row],[Business Date]]=Control!$C$6, PV[[#This Row],[Notional Value Local Cur]], -PV[[#This Row],[Notional Value Local Cur]])</f>
        <v>0</v>
      </c>
    </row>
    <row r="1037" spans="1:5" x14ac:dyDescent="0.25">
      <c r="A1037" s="36" t="b">
        <v>0</v>
      </c>
      <c r="B1037" s="56" t="b">
        <v>0</v>
      </c>
      <c r="C1037" s="56" t="b">
        <v>0</v>
      </c>
      <c r="D1037" s="56" t="b">
        <v>0</v>
      </c>
      <c r="E1037" s="56">
        <f ca="1">IF(PV[[#This Row],[Business Date]]=Control!$C$6, PV[[#This Row],[Notional Value Local Cur]], -PV[[#This Row],[Notional Value Local Cur]])</f>
        <v>0</v>
      </c>
    </row>
    <row r="1038" spans="1:5" x14ac:dyDescent="0.25">
      <c r="A1038" s="36" t="b">
        <v>0</v>
      </c>
      <c r="B1038" s="56" t="b">
        <v>0</v>
      </c>
      <c r="C1038" s="56" t="b">
        <v>0</v>
      </c>
      <c r="D1038" s="56" t="b">
        <v>0</v>
      </c>
      <c r="E1038" s="56">
        <f ca="1">IF(PV[[#This Row],[Business Date]]=Control!$C$6, PV[[#This Row],[Notional Value Local Cur]], -PV[[#This Row],[Notional Value Local Cur]])</f>
        <v>0</v>
      </c>
    </row>
    <row r="1039" spans="1:5" x14ac:dyDescent="0.25">
      <c r="A1039" s="36" t="b">
        <v>0</v>
      </c>
      <c r="B1039" s="56" t="b">
        <v>0</v>
      </c>
      <c r="C1039" s="56" t="b">
        <v>0</v>
      </c>
      <c r="D1039" s="56" t="b">
        <v>0</v>
      </c>
      <c r="E1039" s="56">
        <f ca="1">IF(PV[[#This Row],[Business Date]]=Control!$C$6, PV[[#This Row],[Notional Value Local Cur]], -PV[[#This Row],[Notional Value Local Cur]])</f>
        <v>0</v>
      </c>
    </row>
    <row r="1040" spans="1:5" x14ac:dyDescent="0.25">
      <c r="A1040" s="36" t="b">
        <v>0</v>
      </c>
      <c r="B1040" s="56" t="b">
        <v>0</v>
      </c>
      <c r="C1040" s="56" t="b">
        <v>0</v>
      </c>
      <c r="D1040" s="56" t="b">
        <v>0</v>
      </c>
      <c r="E1040" s="56">
        <f ca="1">IF(PV[[#This Row],[Business Date]]=Control!$C$6, PV[[#This Row],[Notional Value Local Cur]], -PV[[#This Row],[Notional Value Local Cur]])</f>
        <v>0</v>
      </c>
    </row>
    <row r="1041" spans="1:5" x14ac:dyDescent="0.25">
      <c r="A1041" s="36" t="b">
        <v>0</v>
      </c>
      <c r="B1041" s="56" t="b">
        <v>0</v>
      </c>
      <c r="C1041" s="56" t="b">
        <v>0</v>
      </c>
      <c r="D1041" s="56" t="b">
        <v>0</v>
      </c>
      <c r="E1041" s="56">
        <f ca="1">IF(PV[[#This Row],[Business Date]]=Control!$C$6, PV[[#This Row],[Notional Value Local Cur]], -PV[[#This Row],[Notional Value Local Cur]])</f>
        <v>0</v>
      </c>
    </row>
    <row r="1042" spans="1:5" x14ac:dyDescent="0.25">
      <c r="A1042" s="36" t="b">
        <v>0</v>
      </c>
      <c r="B1042" s="56" t="b">
        <v>0</v>
      </c>
      <c r="C1042" s="56" t="b">
        <v>0</v>
      </c>
      <c r="D1042" s="56" t="b">
        <v>0</v>
      </c>
      <c r="E1042" s="56">
        <f ca="1">IF(PV[[#This Row],[Business Date]]=Control!$C$6, PV[[#This Row],[Notional Value Local Cur]], -PV[[#This Row],[Notional Value Local Cur]])</f>
        <v>0</v>
      </c>
    </row>
    <row r="1043" spans="1:5" x14ac:dyDescent="0.25">
      <c r="A1043" s="36" t="b">
        <v>0</v>
      </c>
      <c r="B1043" s="56" t="b">
        <v>0</v>
      </c>
      <c r="C1043" s="56" t="b">
        <v>0</v>
      </c>
      <c r="D1043" s="56" t="b">
        <v>0</v>
      </c>
      <c r="E1043" s="56">
        <f ca="1">IF(PV[[#This Row],[Business Date]]=Control!$C$6, PV[[#This Row],[Notional Value Local Cur]], -PV[[#This Row],[Notional Value Local Cur]])</f>
        <v>0</v>
      </c>
    </row>
    <row r="1044" spans="1:5" x14ac:dyDescent="0.25">
      <c r="A1044" s="36" t="b">
        <v>0</v>
      </c>
      <c r="B1044" s="56" t="b">
        <v>0</v>
      </c>
      <c r="C1044" s="56" t="b">
        <v>0</v>
      </c>
      <c r="D1044" s="56" t="b">
        <v>0</v>
      </c>
      <c r="E1044" s="56">
        <f ca="1">IF(PV[[#This Row],[Business Date]]=Control!$C$6, PV[[#This Row],[Notional Value Local Cur]], -PV[[#This Row],[Notional Value Local Cur]])</f>
        <v>0</v>
      </c>
    </row>
    <row r="1045" spans="1:5" x14ac:dyDescent="0.25">
      <c r="A1045" s="36" t="b">
        <v>0</v>
      </c>
      <c r="B1045" s="56" t="b">
        <v>0</v>
      </c>
      <c r="C1045" s="56" t="b">
        <v>0</v>
      </c>
      <c r="D1045" s="56" t="b">
        <v>0</v>
      </c>
      <c r="E1045" s="56">
        <f ca="1">IF(PV[[#This Row],[Business Date]]=Control!$C$6, PV[[#This Row],[Notional Value Local Cur]], -PV[[#This Row],[Notional Value Local Cur]])</f>
        <v>0</v>
      </c>
    </row>
    <row r="1046" spans="1:5" x14ac:dyDescent="0.25">
      <c r="A1046" s="36" t="b">
        <v>0</v>
      </c>
      <c r="B1046" s="56" t="b">
        <v>0</v>
      </c>
      <c r="C1046" s="56" t="b">
        <v>0</v>
      </c>
      <c r="D1046" s="56" t="b">
        <v>0</v>
      </c>
      <c r="E1046" s="56">
        <f ca="1">IF(PV[[#This Row],[Business Date]]=Control!$C$6, PV[[#This Row],[Notional Value Local Cur]], -PV[[#This Row],[Notional Value Local Cur]])</f>
        <v>0</v>
      </c>
    </row>
    <row r="1047" spans="1:5" x14ac:dyDescent="0.25">
      <c r="A1047" s="36" t="b">
        <v>0</v>
      </c>
      <c r="B1047" s="56" t="b">
        <v>0</v>
      </c>
      <c r="C1047" s="56" t="b">
        <v>0</v>
      </c>
      <c r="D1047" s="56" t="b">
        <v>0</v>
      </c>
      <c r="E1047" s="56">
        <f ca="1">IF(PV[[#This Row],[Business Date]]=Control!$C$6, PV[[#This Row],[Notional Value Local Cur]], -PV[[#This Row],[Notional Value Local Cur]])</f>
        <v>0</v>
      </c>
    </row>
    <row r="1048" spans="1:5" x14ac:dyDescent="0.25">
      <c r="A1048" s="36" t="b">
        <v>0</v>
      </c>
      <c r="B1048" s="56" t="b">
        <v>0</v>
      </c>
      <c r="C1048" s="56" t="b">
        <v>0</v>
      </c>
      <c r="D1048" s="56" t="b">
        <v>0</v>
      </c>
      <c r="E1048" s="56">
        <f ca="1">IF(PV[[#This Row],[Business Date]]=Control!$C$6, PV[[#This Row],[Notional Value Local Cur]], -PV[[#This Row],[Notional Value Local Cur]])</f>
        <v>0</v>
      </c>
    </row>
    <row r="1049" spans="1:5" x14ac:dyDescent="0.25">
      <c r="A1049" s="36" t="b">
        <v>0</v>
      </c>
      <c r="B1049" s="56" t="b">
        <v>0</v>
      </c>
      <c r="C1049" s="56" t="b">
        <v>0</v>
      </c>
      <c r="D1049" s="56" t="b">
        <v>0</v>
      </c>
      <c r="E1049" s="56">
        <f ca="1">IF(PV[[#This Row],[Business Date]]=Control!$C$6, PV[[#This Row],[Notional Value Local Cur]], -PV[[#This Row],[Notional Value Local Cur]])</f>
        <v>0</v>
      </c>
    </row>
    <row r="1050" spans="1:5" x14ac:dyDescent="0.25">
      <c r="A1050" s="36" t="b">
        <v>0</v>
      </c>
      <c r="B1050" s="56" t="b">
        <v>0</v>
      </c>
      <c r="C1050" s="56" t="b">
        <v>0</v>
      </c>
      <c r="D1050" s="56" t="b">
        <v>0</v>
      </c>
      <c r="E1050" s="56">
        <f ca="1">IF(PV[[#This Row],[Business Date]]=Control!$C$6, PV[[#This Row],[Notional Value Local Cur]], -PV[[#This Row],[Notional Value Local Cur]])</f>
        <v>0</v>
      </c>
    </row>
    <row r="1051" spans="1:5" x14ac:dyDescent="0.25">
      <c r="A1051" s="36" t="b">
        <v>0</v>
      </c>
      <c r="B1051" s="56" t="b">
        <v>0</v>
      </c>
      <c r="C1051" s="56" t="b">
        <v>0</v>
      </c>
      <c r="D1051" s="56" t="b">
        <v>0</v>
      </c>
      <c r="E1051" s="56">
        <f ca="1">IF(PV[[#This Row],[Business Date]]=Control!$C$6, PV[[#This Row],[Notional Value Local Cur]], -PV[[#This Row],[Notional Value Local Cur]])</f>
        <v>0</v>
      </c>
    </row>
    <row r="1052" spans="1:5" x14ac:dyDescent="0.25">
      <c r="A1052" s="36" t="b">
        <v>0</v>
      </c>
      <c r="B1052" s="56" t="b">
        <v>0</v>
      </c>
      <c r="C1052" s="56" t="b">
        <v>0</v>
      </c>
      <c r="D1052" s="56" t="b">
        <v>0</v>
      </c>
      <c r="E1052" s="56">
        <f ca="1">IF(PV[[#This Row],[Business Date]]=Control!$C$6, PV[[#This Row],[Notional Value Local Cur]], -PV[[#This Row],[Notional Value Local Cur]])</f>
        <v>0</v>
      </c>
    </row>
    <row r="1053" spans="1:5" x14ac:dyDescent="0.25">
      <c r="A1053" s="36" t="b">
        <v>0</v>
      </c>
      <c r="B1053" s="56" t="b">
        <v>0</v>
      </c>
      <c r="C1053" s="56" t="b">
        <v>0</v>
      </c>
      <c r="D1053" s="56" t="b">
        <v>0</v>
      </c>
      <c r="E1053" s="56">
        <f ca="1">IF(PV[[#This Row],[Business Date]]=Control!$C$6, PV[[#This Row],[Notional Value Local Cur]], -PV[[#This Row],[Notional Value Local Cur]])</f>
        <v>0</v>
      </c>
    </row>
    <row r="1054" spans="1:5" x14ac:dyDescent="0.25">
      <c r="A1054" s="36" t="b">
        <v>0</v>
      </c>
      <c r="B1054" s="56" t="b">
        <v>0</v>
      </c>
      <c r="C1054" s="56" t="b">
        <v>0</v>
      </c>
      <c r="D1054" s="56" t="b">
        <v>0</v>
      </c>
      <c r="E1054" s="56">
        <f ca="1">IF(PV[[#This Row],[Business Date]]=Control!$C$6, PV[[#This Row],[Notional Value Local Cur]], -PV[[#This Row],[Notional Value Local Cur]])</f>
        <v>0</v>
      </c>
    </row>
    <row r="1055" spans="1:5" x14ac:dyDescent="0.25">
      <c r="A1055" s="36" t="b">
        <v>0</v>
      </c>
      <c r="B1055" s="56" t="b">
        <v>0</v>
      </c>
      <c r="C1055" s="56" t="b">
        <v>0</v>
      </c>
      <c r="D1055" s="56" t="b">
        <v>0</v>
      </c>
      <c r="E1055" s="56">
        <f ca="1">IF(PV[[#This Row],[Business Date]]=Control!$C$6, PV[[#This Row],[Notional Value Local Cur]], -PV[[#This Row],[Notional Value Local Cur]])</f>
        <v>0</v>
      </c>
    </row>
    <row r="1056" spans="1:5" x14ac:dyDescent="0.25">
      <c r="A1056" s="36" t="b">
        <v>0</v>
      </c>
      <c r="B1056" s="56" t="b">
        <v>0</v>
      </c>
      <c r="C1056" s="56" t="b">
        <v>0</v>
      </c>
      <c r="D1056" s="56" t="b">
        <v>0</v>
      </c>
      <c r="E1056" s="56">
        <f ca="1">IF(PV[[#This Row],[Business Date]]=Control!$C$6, PV[[#This Row],[Notional Value Local Cur]], -PV[[#This Row],[Notional Value Local Cur]])</f>
        <v>0</v>
      </c>
    </row>
    <row r="1057" spans="1:5" x14ac:dyDescent="0.25">
      <c r="A1057" s="36" t="b">
        <v>0</v>
      </c>
      <c r="B1057" s="56" t="b">
        <v>0</v>
      </c>
      <c r="C1057" s="56" t="b">
        <v>0</v>
      </c>
      <c r="D1057" s="56" t="b">
        <v>0</v>
      </c>
      <c r="E1057" s="56">
        <f ca="1">IF(PV[[#This Row],[Business Date]]=Control!$C$6, PV[[#This Row],[Notional Value Local Cur]], -PV[[#This Row],[Notional Value Local Cur]])</f>
        <v>0</v>
      </c>
    </row>
    <row r="1058" spans="1:5" x14ac:dyDescent="0.25">
      <c r="A1058" s="36" t="b">
        <v>0</v>
      </c>
      <c r="B1058" s="56" t="b">
        <v>0</v>
      </c>
      <c r="C1058" s="56" t="b">
        <v>0</v>
      </c>
      <c r="D1058" s="56" t="b">
        <v>0</v>
      </c>
      <c r="E1058" s="56">
        <f ca="1">IF(PV[[#This Row],[Business Date]]=Control!$C$6, PV[[#This Row],[Notional Value Local Cur]], -PV[[#This Row],[Notional Value Local Cur]])</f>
        <v>0</v>
      </c>
    </row>
    <row r="1059" spans="1:5" x14ac:dyDescent="0.25">
      <c r="A1059" s="36" t="b">
        <v>0</v>
      </c>
      <c r="B1059" s="56" t="b">
        <v>0</v>
      </c>
      <c r="C1059" s="56" t="b">
        <v>0</v>
      </c>
      <c r="D1059" s="56" t="b">
        <v>0</v>
      </c>
      <c r="E1059" s="56">
        <f ca="1">IF(PV[[#This Row],[Business Date]]=Control!$C$6, PV[[#This Row],[Notional Value Local Cur]], -PV[[#This Row],[Notional Value Local Cur]])</f>
        <v>0</v>
      </c>
    </row>
    <row r="1060" spans="1:5" x14ac:dyDescent="0.25">
      <c r="A1060" s="36" t="b">
        <v>0</v>
      </c>
      <c r="B1060" s="56" t="b">
        <v>0</v>
      </c>
      <c r="C1060" s="56" t="b">
        <v>0</v>
      </c>
      <c r="D1060" s="56" t="b">
        <v>0</v>
      </c>
      <c r="E1060" s="56">
        <f ca="1">IF(PV[[#This Row],[Business Date]]=Control!$C$6, PV[[#This Row],[Notional Value Local Cur]], -PV[[#This Row],[Notional Value Local Cur]])</f>
        <v>0</v>
      </c>
    </row>
    <row r="1061" spans="1:5" x14ac:dyDescent="0.25">
      <c r="A1061" s="36" t="b">
        <v>0</v>
      </c>
      <c r="B1061" s="56" t="b">
        <v>0</v>
      </c>
      <c r="C1061" s="56" t="b">
        <v>0</v>
      </c>
      <c r="D1061" s="56" t="b">
        <v>0</v>
      </c>
      <c r="E1061" s="56">
        <f ca="1">IF(PV[[#This Row],[Business Date]]=Control!$C$6, PV[[#This Row],[Notional Value Local Cur]], -PV[[#This Row],[Notional Value Local Cur]])</f>
        <v>0</v>
      </c>
    </row>
    <row r="1062" spans="1:5" x14ac:dyDescent="0.25">
      <c r="A1062" s="36" t="b">
        <v>0</v>
      </c>
      <c r="B1062" s="56" t="b">
        <v>0</v>
      </c>
      <c r="C1062" s="56" t="b">
        <v>0</v>
      </c>
      <c r="D1062" s="56" t="b">
        <v>0</v>
      </c>
      <c r="E1062" s="56">
        <f ca="1">IF(PV[[#This Row],[Business Date]]=Control!$C$6, PV[[#This Row],[Notional Value Local Cur]], -PV[[#This Row],[Notional Value Local Cur]])</f>
        <v>0</v>
      </c>
    </row>
    <row r="1063" spans="1:5" x14ac:dyDescent="0.25">
      <c r="A1063" s="36" t="b">
        <v>0</v>
      </c>
      <c r="B1063" s="56" t="b">
        <v>0</v>
      </c>
      <c r="C1063" s="56" t="b">
        <v>0</v>
      </c>
      <c r="D1063" s="56" t="b">
        <v>0</v>
      </c>
      <c r="E1063" s="56">
        <f ca="1">IF(PV[[#This Row],[Business Date]]=Control!$C$6, PV[[#This Row],[Notional Value Local Cur]], -PV[[#This Row],[Notional Value Local Cur]])</f>
        <v>0</v>
      </c>
    </row>
    <row r="1064" spans="1:5" x14ac:dyDescent="0.25">
      <c r="A1064" s="36" t="b">
        <v>0</v>
      </c>
      <c r="B1064" s="56" t="b">
        <v>0</v>
      </c>
      <c r="C1064" s="56" t="b">
        <v>0</v>
      </c>
      <c r="D1064" s="56" t="b">
        <v>0</v>
      </c>
      <c r="E1064" s="56">
        <f ca="1">IF(PV[[#This Row],[Business Date]]=Control!$C$6, PV[[#This Row],[Notional Value Local Cur]], -PV[[#This Row],[Notional Value Local Cur]])</f>
        <v>0</v>
      </c>
    </row>
    <row r="1065" spans="1:5" x14ac:dyDescent="0.25">
      <c r="A1065" s="36" t="b">
        <v>0</v>
      </c>
      <c r="B1065" s="56" t="b">
        <v>0</v>
      </c>
      <c r="C1065" s="56" t="b">
        <v>0</v>
      </c>
      <c r="D1065" s="56" t="b">
        <v>0</v>
      </c>
      <c r="E1065" s="56">
        <f ca="1">IF(PV[[#This Row],[Business Date]]=Control!$C$6, PV[[#This Row],[Notional Value Local Cur]], -PV[[#This Row],[Notional Value Local Cur]])</f>
        <v>0</v>
      </c>
    </row>
    <row r="1066" spans="1:5" x14ac:dyDescent="0.25">
      <c r="A1066" s="36" t="b">
        <v>0</v>
      </c>
      <c r="B1066" s="56" t="b">
        <v>0</v>
      </c>
      <c r="C1066" s="56" t="b">
        <v>0</v>
      </c>
      <c r="D1066" s="56" t="b">
        <v>0</v>
      </c>
      <c r="E1066" s="56">
        <f ca="1">IF(PV[[#This Row],[Business Date]]=Control!$C$6, PV[[#This Row],[Notional Value Local Cur]], -PV[[#This Row],[Notional Value Local Cur]])</f>
        <v>0</v>
      </c>
    </row>
    <row r="1067" spans="1:5" x14ac:dyDescent="0.25">
      <c r="A1067" s="36" t="b">
        <v>0</v>
      </c>
      <c r="B1067" s="56" t="b">
        <v>0</v>
      </c>
      <c r="C1067" s="56" t="b">
        <v>0</v>
      </c>
      <c r="D1067" s="56" t="b">
        <v>0</v>
      </c>
      <c r="E1067" s="56">
        <f ca="1">IF(PV[[#This Row],[Business Date]]=Control!$C$6, PV[[#This Row],[Notional Value Local Cur]], -PV[[#This Row],[Notional Value Local Cur]])</f>
        <v>0</v>
      </c>
    </row>
    <row r="1068" spans="1:5" x14ac:dyDescent="0.25">
      <c r="A1068" s="36" t="b">
        <v>0</v>
      </c>
      <c r="B1068" s="56" t="b">
        <v>0</v>
      </c>
      <c r="C1068" s="56" t="b">
        <v>0</v>
      </c>
      <c r="D1068" s="56" t="b">
        <v>0</v>
      </c>
      <c r="E1068" s="56">
        <f ca="1">IF(PV[[#This Row],[Business Date]]=Control!$C$6, PV[[#This Row],[Notional Value Local Cur]], -PV[[#This Row],[Notional Value Local Cur]])</f>
        <v>0</v>
      </c>
    </row>
    <row r="1069" spans="1:5" x14ac:dyDescent="0.25">
      <c r="A1069" s="36" t="b">
        <v>0</v>
      </c>
      <c r="B1069" s="56" t="b">
        <v>0</v>
      </c>
      <c r="C1069" s="56" t="b">
        <v>0</v>
      </c>
      <c r="D1069" s="56" t="b">
        <v>0</v>
      </c>
      <c r="E1069" s="56">
        <f ca="1">IF(PV[[#This Row],[Business Date]]=Control!$C$6, PV[[#This Row],[Notional Value Local Cur]], -PV[[#This Row],[Notional Value Local Cur]])</f>
        <v>0</v>
      </c>
    </row>
    <row r="1070" spans="1:5" x14ac:dyDescent="0.25">
      <c r="A1070" s="36" t="b">
        <v>0</v>
      </c>
      <c r="B1070" s="56" t="b">
        <v>0</v>
      </c>
      <c r="C1070" s="56" t="b">
        <v>0</v>
      </c>
      <c r="D1070" s="56" t="b">
        <v>0</v>
      </c>
      <c r="E1070" s="56">
        <f ca="1">IF(PV[[#This Row],[Business Date]]=Control!$C$6, PV[[#This Row],[Notional Value Local Cur]], -PV[[#This Row],[Notional Value Local Cur]])</f>
        <v>0</v>
      </c>
    </row>
    <row r="1071" spans="1:5" x14ac:dyDescent="0.25">
      <c r="A1071" s="36" t="b">
        <v>0</v>
      </c>
      <c r="B1071" s="56" t="b">
        <v>0</v>
      </c>
      <c r="C1071" s="56" t="b">
        <v>0</v>
      </c>
      <c r="D1071" s="56" t="b">
        <v>0</v>
      </c>
      <c r="E1071" s="56">
        <f ca="1">IF(PV[[#This Row],[Business Date]]=Control!$C$6, PV[[#This Row],[Notional Value Local Cur]], -PV[[#This Row],[Notional Value Local Cur]])</f>
        <v>0</v>
      </c>
    </row>
    <row r="1072" spans="1:5" x14ac:dyDescent="0.25">
      <c r="A1072" s="36" t="b">
        <v>0</v>
      </c>
      <c r="B1072" s="56" t="b">
        <v>0</v>
      </c>
      <c r="C1072" s="56" t="b">
        <v>0</v>
      </c>
      <c r="D1072" s="56" t="b">
        <v>0</v>
      </c>
      <c r="E1072" s="56">
        <f ca="1">IF(PV[[#This Row],[Business Date]]=Control!$C$6, PV[[#This Row],[Notional Value Local Cur]], -PV[[#This Row],[Notional Value Local Cur]])</f>
        <v>0</v>
      </c>
    </row>
    <row r="1073" spans="1:5" x14ac:dyDescent="0.25">
      <c r="A1073" s="36" t="b">
        <v>0</v>
      </c>
      <c r="B1073" s="56" t="b">
        <v>0</v>
      </c>
      <c r="C1073" s="56" t="b">
        <v>0</v>
      </c>
      <c r="D1073" s="56" t="b">
        <v>0</v>
      </c>
      <c r="E1073" s="56">
        <f ca="1">IF(PV[[#This Row],[Business Date]]=Control!$C$6, PV[[#This Row],[Notional Value Local Cur]], -PV[[#This Row],[Notional Value Local Cur]])</f>
        <v>0</v>
      </c>
    </row>
    <row r="1074" spans="1:5" x14ac:dyDescent="0.25">
      <c r="A1074" s="36" t="b">
        <v>0</v>
      </c>
      <c r="B1074" s="56" t="b">
        <v>0</v>
      </c>
      <c r="C1074" s="56" t="b">
        <v>0</v>
      </c>
      <c r="D1074" s="56" t="b">
        <v>0</v>
      </c>
      <c r="E1074" s="56">
        <f ca="1">IF(PV[[#This Row],[Business Date]]=Control!$C$6, PV[[#This Row],[Notional Value Local Cur]], -PV[[#This Row],[Notional Value Local Cur]])</f>
        <v>0</v>
      </c>
    </row>
    <row r="1075" spans="1:5" x14ac:dyDescent="0.25">
      <c r="A1075" s="36" t="b">
        <v>0</v>
      </c>
      <c r="B1075" s="56" t="b">
        <v>0</v>
      </c>
      <c r="C1075" s="56" t="b">
        <v>0</v>
      </c>
      <c r="D1075" s="56" t="b">
        <v>0</v>
      </c>
      <c r="E1075" s="56">
        <f ca="1">IF(PV[[#This Row],[Business Date]]=Control!$C$6, PV[[#This Row],[Notional Value Local Cur]], -PV[[#This Row],[Notional Value Local Cur]])</f>
        <v>0</v>
      </c>
    </row>
    <row r="1076" spans="1:5" x14ac:dyDescent="0.25">
      <c r="A1076" s="36" t="b">
        <v>0</v>
      </c>
      <c r="B1076" s="56" t="b">
        <v>0</v>
      </c>
      <c r="C1076" s="56" t="b">
        <v>0</v>
      </c>
      <c r="D1076" s="56" t="b">
        <v>0</v>
      </c>
      <c r="E1076" s="56">
        <f ca="1">IF(PV[[#This Row],[Business Date]]=Control!$C$6, PV[[#This Row],[Notional Value Local Cur]], -PV[[#This Row],[Notional Value Local Cur]])</f>
        <v>0</v>
      </c>
    </row>
    <row r="1077" spans="1:5" x14ac:dyDescent="0.25">
      <c r="A1077" s="36" t="b">
        <v>0</v>
      </c>
      <c r="B1077" s="56" t="b">
        <v>0</v>
      </c>
      <c r="C1077" s="56" t="b">
        <v>0</v>
      </c>
      <c r="D1077" s="56" t="b">
        <v>0</v>
      </c>
      <c r="E1077" s="56">
        <f ca="1">IF(PV[[#This Row],[Business Date]]=Control!$C$6, PV[[#This Row],[Notional Value Local Cur]], -PV[[#This Row],[Notional Value Local Cur]])</f>
        <v>0</v>
      </c>
    </row>
    <row r="1078" spans="1:5" x14ac:dyDescent="0.25">
      <c r="A1078" s="36" t="b">
        <v>0</v>
      </c>
      <c r="B1078" s="56" t="b">
        <v>0</v>
      </c>
      <c r="C1078" s="56" t="b">
        <v>0</v>
      </c>
      <c r="D1078" s="56" t="b">
        <v>0</v>
      </c>
      <c r="E1078" s="56">
        <f ca="1">IF(PV[[#This Row],[Business Date]]=Control!$C$6, PV[[#This Row],[Notional Value Local Cur]], -PV[[#This Row],[Notional Value Local Cur]])</f>
        <v>0</v>
      </c>
    </row>
    <row r="1079" spans="1:5" x14ac:dyDescent="0.25">
      <c r="A1079" s="36" t="b">
        <v>0</v>
      </c>
      <c r="B1079" s="56" t="b">
        <v>0</v>
      </c>
      <c r="C1079" s="56" t="b">
        <v>0</v>
      </c>
      <c r="D1079" s="56" t="b">
        <v>0</v>
      </c>
      <c r="E1079" s="56">
        <f ca="1">IF(PV[[#This Row],[Business Date]]=Control!$C$6, PV[[#This Row],[Notional Value Local Cur]], -PV[[#This Row],[Notional Value Local Cur]])</f>
        <v>0</v>
      </c>
    </row>
    <row r="1080" spans="1:5" x14ac:dyDescent="0.25">
      <c r="A1080" s="36" t="b">
        <v>0</v>
      </c>
      <c r="B1080" s="56" t="b">
        <v>0</v>
      </c>
      <c r="C1080" s="56" t="b">
        <v>0</v>
      </c>
      <c r="D1080" s="56" t="b">
        <v>0</v>
      </c>
      <c r="E1080" s="56">
        <f ca="1">IF(PV[[#This Row],[Business Date]]=Control!$C$6, PV[[#This Row],[Notional Value Local Cur]], -PV[[#This Row],[Notional Value Local Cur]])</f>
        <v>0</v>
      </c>
    </row>
    <row r="1081" spans="1:5" x14ac:dyDescent="0.25">
      <c r="A1081" s="36" t="b">
        <v>0</v>
      </c>
      <c r="B1081" s="56" t="b">
        <v>0</v>
      </c>
      <c r="C1081" s="56" t="b">
        <v>0</v>
      </c>
      <c r="D1081" s="56" t="b">
        <v>0</v>
      </c>
      <c r="E1081" s="56">
        <f ca="1">IF(PV[[#This Row],[Business Date]]=Control!$C$6, PV[[#This Row],[Notional Value Local Cur]], -PV[[#This Row],[Notional Value Local Cur]])</f>
        <v>0</v>
      </c>
    </row>
    <row r="1082" spans="1:5" x14ac:dyDescent="0.25">
      <c r="A1082" s="36" t="b">
        <v>0</v>
      </c>
      <c r="B1082" s="56" t="b">
        <v>0</v>
      </c>
      <c r="C1082" s="56" t="b">
        <v>0</v>
      </c>
      <c r="D1082" s="56" t="b">
        <v>0</v>
      </c>
      <c r="E1082" s="56">
        <f ca="1">IF(PV[[#This Row],[Business Date]]=Control!$C$6, PV[[#This Row],[Notional Value Local Cur]], -PV[[#This Row],[Notional Value Local Cur]])</f>
        <v>0</v>
      </c>
    </row>
    <row r="1083" spans="1:5" x14ac:dyDescent="0.25">
      <c r="A1083" s="36" t="b">
        <v>0</v>
      </c>
      <c r="B1083" s="56" t="b">
        <v>0</v>
      </c>
      <c r="C1083" s="56" t="b">
        <v>0</v>
      </c>
      <c r="D1083" s="56" t="b">
        <v>0</v>
      </c>
      <c r="E1083" s="56">
        <f ca="1">IF(PV[[#This Row],[Business Date]]=Control!$C$6, PV[[#This Row],[Notional Value Local Cur]], -PV[[#This Row],[Notional Value Local Cur]])</f>
        <v>0</v>
      </c>
    </row>
    <row r="1084" spans="1:5" x14ac:dyDescent="0.25">
      <c r="A1084" s="36" t="b">
        <v>0</v>
      </c>
      <c r="B1084" s="56" t="b">
        <v>0</v>
      </c>
      <c r="C1084" s="56" t="b">
        <v>0</v>
      </c>
      <c r="D1084" s="56" t="b">
        <v>0</v>
      </c>
      <c r="E1084" s="56">
        <f ca="1">IF(PV[[#This Row],[Business Date]]=Control!$C$6, PV[[#This Row],[Notional Value Local Cur]], -PV[[#This Row],[Notional Value Local Cur]])</f>
        <v>0</v>
      </c>
    </row>
    <row r="1085" spans="1:5" x14ac:dyDescent="0.25">
      <c r="A1085" s="36" t="b">
        <v>0</v>
      </c>
      <c r="B1085" s="56" t="b">
        <v>0</v>
      </c>
      <c r="C1085" s="56" t="b">
        <v>0</v>
      </c>
      <c r="D1085" s="56" t="b">
        <v>0</v>
      </c>
      <c r="E1085" s="56">
        <f ca="1">IF(PV[[#This Row],[Business Date]]=Control!$C$6, PV[[#This Row],[Notional Value Local Cur]], -PV[[#This Row],[Notional Value Local Cur]])</f>
        <v>0</v>
      </c>
    </row>
    <row r="1086" spans="1:5" x14ac:dyDescent="0.25">
      <c r="A1086" s="36" t="b">
        <v>0</v>
      </c>
      <c r="B1086" s="56" t="b">
        <v>0</v>
      </c>
      <c r="C1086" s="56" t="b">
        <v>0</v>
      </c>
      <c r="D1086" s="56" t="b">
        <v>0</v>
      </c>
      <c r="E1086" s="56">
        <f ca="1">IF(PV[[#This Row],[Business Date]]=Control!$C$6, PV[[#This Row],[Notional Value Local Cur]], -PV[[#This Row],[Notional Value Local Cur]])</f>
        <v>0</v>
      </c>
    </row>
    <row r="1087" spans="1:5" x14ac:dyDescent="0.25">
      <c r="A1087" s="36" t="b">
        <v>0</v>
      </c>
      <c r="B1087" s="56" t="b">
        <v>0</v>
      </c>
      <c r="C1087" s="56" t="b">
        <v>0</v>
      </c>
      <c r="D1087" s="56" t="b">
        <v>0</v>
      </c>
      <c r="E1087" s="56">
        <f ca="1">IF(PV[[#This Row],[Business Date]]=Control!$C$6, PV[[#This Row],[Notional Value Local Cur]], -PV[[#This Row],[Notional Value Local Cur]])</f>
        <v>0</v>
      </c>
    </row>
    <row r="1088" spans="1:5" x14ac:dyDescent="0.25">
      <c r="A1088" s="36" t="b">
        <v>0</v>
      </c>
      <c r="B1088" s="56" t="b">
        <v>0</v>
      </c>
      <c r="C1088" s="56" t="b">
        <v>0</v>
      </c>
      <c r="D1088" s="56" t="b">
        <v>0</v>
      </c>
      <c r="E1088" s="56">
        <f ca="1">IF(PV[[#This Row],[Business Date]]=Control!$C$6, PV[[#This Row],[Notional Value Local Cur]], -PV[[#This Row],[Notional Value Local Cur]])</f>
        <v>0</v>
      </c>
    </row>
    <row r="1089" spans="1:5" x14ac:dyDescent="0.25">
      <c r="A1089" s="36" t="b">
        <v>0</v>
      </c>
      <c r="B1089" s="56" t="b">
        <v>0</v>
      </c>
      <c r="C1089" s="56" t="b">
        <v>0</v>
      </c>
      <c r="D1089" s="56" t="b">
        <v>0</v>
      </c>
      <c r="E1089" s="56">
        <f ca="1">IF(PV[[#This Row],[Business Date]]=Control!$C$6, PV[[#This Row],[Notional Value Local Cur]], -PV[[#This Row],[Notional Value Local Cur]])</f>
        <v>0</v>
      </c>
    </row>
    <row r="1090" spans="1:5" x14ac:dyDescent="0.25">
      <c r="A1090" s="36" t="b">
        <v>0</v>
      </c>
      <c r="B1090" s="56" t="b">
        <v>0</v>
      </c>
      <c r="C1090" s="56" t="b">
        <v>0</v>
      </c>
      <c r="D1090" s="56" t="b">
        <v>0</v>
      </c>
      <c r="E1090" s="56">
        <f ca="1">IF(PV[[#This Row],[Business Date]]=Control!$C$6, PV[[#This Row],[Notional Value Local Cur]], -PV[[#This Row],[Notional Value Local Cur]])</f>
        <v>0</v>
      </c>
    </row>
    <row r="1091" spans="1:5" x14ac:dyDescent="0.25">
      <c r="A1091" s="36" t="b">
        <v>0</v>
      </c>
      <c r="B1091" s="56" t="b">
        <v>0</v>
      </c>
      <c r="C1091" s="56" t="b">
        <v>0</v>
      </c>
      <c r="D1091" s="56" t="b">
        <v>0</v>
      </c>
      <c r="E1091" s="56">
        <f ca="1">IF(PV[[#This Row],[Business Date]]=Control!$C$6, PV[[#This Row],[Notional Value Local Cur]], -PV[[#This Row],[Notional Value Local Cur]])</f>
        <v>0</v>
      </c>
    </row>
    <row r="1092" spans="1:5" x14ac:dyDescent="0.25">
      <c r="A1092" s="36" t="b">
        <v>0</v>
      </c>
      <c r="B1092" s="56" t="b">
        <v>0</v>
      </c>
      <c r="C1092" s="56" t="b">
        <v>0</v>
      </c>
      <c r="D1092" s="56" t="b">
        <v>0</v>
      </c>
      <c r="E1092" s="56">
        <f ca="1">IF(PV[[#This Row],[Business Date]]=Control!$C$6, PV[[#This Row],[Notional Value Local Cur]], -PV[[#This Row],[Notional Value Local Cur]])</f>
        <v>0</v>
      </c>
    </row>
    <row r="1093" spans="1:5" x14ac:dyDescent="0.25">
      <c r="A1093" s="36" t="b">
        <v>0</v>
      </c>
      <c r="B1093" s="56" t="b">
        <v>0</v>
      </c>
      <c r="C1093" s="56" t="b">
        <v>0</v>
      </c>
      <c r="D1093" s="56" t="b">
        <v>0</v>
      </c>
      <c r="E1093" s="56">
        <f ca="1">IF(PV[[#This Row],[Business Date]]=Control!$C$6, PV[[#This Row],[Notional Value Local Cur]], -PV[[#This Row],[Notional Value Local Cur]])</f>
        <v>0</v>
      </c>
    </row>
    <row r="1094" spans="1:5" x14ac:dyDescent="0.25">
      <c r="A1094" s="36" t="b">
        <v>0</v>
      </c>
      <c r="B1094" s="56" t="b">
        <v>0</v>
      </c>
      <c r="C1094" s="56" t="b">
        <v>0</v>
      </c>
      <c r="D1094" s="56" t="b">
        <v>0</v>
      </c>
      <c r="E1094" s="56">
        <f ca="1">IF(PV[[#This Row],[Business Date]]=Control!$C$6, PV[[#This Row],[Notional Value Local Cur]], -PV[[#This Row],[Notional Value Local Cur]])</f>
        <v>0</v>
      </c>
    </row>
    <row r="1095" spans="1:5" x14ac:dyDescent="0.25">
      <c r="A1095" s="36" t="b">
        <v>0</v>
      </c>
      <c r="B1095" s="56" t="b">
        <v>0</v>
      </c>
      <c r="C1095" s="56" t="b">
        <v>0</v>
      </c>
      <c r="D1095" s="56" t="b">
        <v>0</v>
      </c>
      <c r="E1095" s="56">
        <f ca="1">IF(PV[[#This Row],[Business Date]]=Control!$C$6, PV[[#This Row],[Notional Value Local Cur]], -PV[[#This Row],[Notional Value Local Cur]])</f>
        <v>0</v>
      </c>
    </row>
    <row r="1096" spans="1:5" x14ac:dyDescent="0.25">
      <c r="A1096" s="36" t="b">
        <v>0</v>
      </c>
      <c r="B1096" s="56" t="b">
        <v>0</v>
      </c>
      <c r="C1096" s="56" t="b">
        <v>0</v>
      </c>
      <c r="D1096" s="56" t="b">
        <v>0</v>
      </c>
      <c r="E1096" s="56">
        <f ca="1">IF(PV[[#This Row],[Business Date]]=Control!$C$6, PV[[#This Row],[Notional Value Local Cur]], -PV[[#This Row],[Notional Value Local Cur]])</f>
        <v>0</v>
      </c>
    </row>
    <row r="1097" spans="1:5" x14ac:dyDescent="0.25">
      <c r="A1097" s="36" t="b">
        <v>0</v>
      </c>
      <c r="B1097" s="56" t="b">
        <v>0</v>
      </c>
      <c r="C1097" s="56" t="b">
        <v>0</v>
      </c>
      <c r="D1097" s="56" t="b">
        <v>0</v>
      </c>
      <c r="E1097" s="56">
        <f ca="1">IF(PV[[#This Row],[Business Date]]=Control!$C$6, PV[[#This Row],[Notional Value Local Cur]], -PV[[#This Row],[Notional Value Local Cur]])</f>
        <v>0</v>
      </c>
    </row>
    <row r="1098" spans="1:5" x14ac:dyDescent="0.25">
      <c r="A1098" s="36" t="b">
        <v>0</v>
      </c>
      <c r="B1098" s="56" t="b">
        <v>0</v>
      </c>
      <c r="C1098" s="56" t="b">
        <v>0</v>
      </c>
      <c r="D1098" s="56" t="b">
        <v>0</v>
      </c>
      <c r="E1098" s="56">
        <f ca="1">IF(PV[[#This Row],[Business Date]]=Control!$C$6, PV[[#This Row],[Notional Value Local Cur]], -PV[[#This Row],[Notional Value Local Cur]])</f>
        <v>0</v>
      </c>
    </row>
    <row r="1099" spans="1:5" x14ac:dyDescent="0.25">
      <c r="A1099" s="36" t="b">
        <v>0</v>
      </c>
      <c r="B1099" s="56" t="b">
        <v>0</v>
      </c>
      <c r="C1099" s="56" t="b">
        <v>0</v>
      </c>
      <c r="D1099" s="56" t="b">
        <v>0</v>
      </c>
      <c r="E1099" s="56">
        <f ca="1">IF(PV[[#This Row],[Business Date]]=Control!$C$6, PV[[#This Row],[Notional Value Local Cur]], -PV[[#This Row],[Notional Value Local Cur]])</f>
        <v>0</v>
      </c>
    </row>
    <row r="1100" spans="1:5" x14ac:dyDescent="0.25">
      <c r="A1100" s="36" t="b">
        <v>0</v>
      </c>
      <c r="B1100" s="56" t="b">
        <v>0</v>
      </c>
      <c r="C1100" s="56" t="b">
        <v>0</v>
      </c>
      <c r="D1100" s="56" t="b">
        <v>0</v>
      </c>
      <c r="E1100" s="56">
        <f ca="1">IF(PV[[#This Row],[Business Date]]=Control!$C$6, PV[[#This Row],[Notional Value Local Cur]], -PV[[#This Row],[Notional Value Local Cur]])</f>
        <v>0</v>
      </c>
    </row>
    <row r="1101" spans="1:5" x14ac:dyDescent="0.25">
      <c r="A1101" s="36" t="b">
        <v>0</v>
      </c>
      <c r="B1101" s="56" t="b">
        <v>0</v>
      </c>
      <c r="C1101" s="56" t="b">
        <v>0</v>
      </c>
      <c r="D1101" s="56" t="b">
        <v>0</v>
      </c>
      <c r="E1101" s="56">
        <f ca="1">IF(PV[[#This Row],[Business Date]]=Control!$C$6, PV[[#This Row],[Notional Value Local Cur]], -PV[[#This Row],[Notional Value Local Cur]])</f>
        <v>0</v>
      </c>
    </row>
    <row r="1102" spans="1:5" x14ac:dyDescent="0.25">
      <c r="A1102" s="36" t="b">
        <v>0</v>
      </c>
      <c r="B1102" s="56" t="b">
        <v>0</v>
      </c>
      <c r="C1102" s="56" t="b">
        <v>0</v>
      </c>
      <c r="D1102" s="56" t="b">
        <v>0</v>
      </c>
      <c r="E1102" s="56">
        <f ca="1">IF(PV[[#This Row],[Business Date]]=Control!$C$6, PV[[#This Row],[Notional Value Local Cur]], -PV[[#This Row],[Notional Value Local Cur]])</f>
        <v>0</v>
      </c>
    </row>
    <row r="1103" spans="1:5" x14ac:dyDescent="0.25">
      <c r="A1103" s="36" t="b">
        <v>0</v>
      </c>
      <c r="B1103" s="56" t="b">
        <v>0</v>
      </c>
      <c r="C1103" s="56" t="b">
        <v>0</v>
      </c>
      <c r="D1103" s="56" t="b">
        <v>0</v>
      </c>
      <c r="E1103" s="56">
        <f ca="1">IF(PV[[#This Row],[Business Date]]=Control!$C$6, PV[[#This Row],[Notional Value Local Cur]], -PV[[#This Row],[Notional Value Local Cur]])</f>
        <v>0</v>
      </c>
    </row>
    <row r="1104" spans="1:5" x14ac:dyDescent="0.25">
      <c r="A1104" s="36" t="b">
        <v>0</v>
      </c>
      <c r="B1104" s="56" t="b">
        <v>0</v>
      </c>
      <c r="C1104" s="56" t="b">
        <v>0</v>
      </c>
      <c r="D1104" s="56" t="b">
        <v>0</v>
      </c>
      <c r="E1104" s="56">
        <f ca="1">IF(PV[[#This Row],[Business Date]]=Control!$C$6, PV[[#This Row],[Notional Value Local Cur]], -PV[[#This Row],[Notional Value Local Cur]])</f>
        <v>0</v>
      </c>
    </row>
    <row r="1105" spans="1:5" x14ac:dyDescent="0.25">
      <c r="A1105" s="36" t="b">
        <v>0</v>
      </c>
      <c r="B1105" s="56" t="b">
        <v>0</v>
      </c>
      <c r="C1105" s="56" t="b">
        <v>0</v>
      </c>
      <c r="D1105" s="56" t="b">
        <v>0</v>
      </c>
      <c r="E1105" s="56">
        <f ca="1">IF(PV[[#This Row],[Business Date]]=Control!$C$6, PV[[#This Row],[Notional Value Local Cur]], -PV[[#This Row],[Notional Value Local Cur]])</f>
        <v>0</v>
      </c>
    </row>
    <row r="1106" spans="1:5" x14ac:dyDescent="0.25">
      <c r="A1106" s="36" t="b">
        <v>0</v>
      </c>
      <c r="B1106" s="56" t="b">
        <v>0</v>
      </c>
      <c r="C1106" s="56" t="b">
        <v>0</v>
      </c>
      <c r="D1106" s="56" t="b">
        <v>0</v>
      </c>
      <c r="E1106" s="56">
        <f ca="1">IF(PV[[#This Row],[Business Date]]=Control!$C$6, PV[[#This Row],[Notional Value Local Cur]], -PV[[#This Row],[Notional Value Local Cur]])</f>
        <v>0</v>
      </c>
    </row>
    <row r="1107" spans="1:5" x14ac:dyDescent="0.25">
      <c r="A1107" s="36" t="b">
        <v>0</v>
      </c>
      <c r="B1107" s="56" t="b">
        <v>0</v>
      </c>
      <c r="C1107" s="56" t="b">
        <v>0</v>
      </c>
      <c r="D1107" s="56" t="b">
        <v>0</v>
      </c>
      <c r="E1107" s="56">
        <f ca="1">IF(PV[[#This Row],[Business Date]]=Control!$C$6, PV[[#This Row],[Notional Value Local Cur]], -PV[[#This Row],[Notional Value Local Cur]])</f>
        <v>0</v>
      </c>
    </row>
    <row r="1108" spans="1:5" x14ac:dyDescent="0.25">
      <c r="A1108" s="36" t="b">
        <v>0</v>
      </c>
      <c r="B1108" s="56" t="b">
        <v>0</v>
      </c>
      <c r="C1108" s="56" t="b">
        <v>0</v>
      </c>
      <c r="D1108" s="56" t="b">
        <v>0</v>
      </c>
      <c r="E1108" s="56">
        <f ca="1">IF(PV[[#This Row],[Business Date]]=Control!$C$6, PV[[#This Row],[Notional Value Local Cur]], -PV[[#This Row],[Notional Value Local Cur]])</f>
        <v>0</v>
      </c>
    </row>
    <row r="1109" spans="1:5" x14ac:dyDescent="0.25">
      <c r="A1109" s="36" t="b">
        <v>0</v>
      </c>
      <c r="B1109" s="56" t="b">
        <v>0</v>
      </c>
      <c r="C1109" s="56" t="b">
        <v>0</v>
      </c>
      <c r="D1109" s="56" t="b">
        <v>0</v>
      </c>
      <c r="E1109" s="56">
        <f ca="1">IF(PV[[#This Row],[Business Date]]=Control!$C$6, PV[[#This Row],[Notional Value Local Cur]], -PV[[#This Row],[Notional Value Local Cur]])</f>
        <v>0</v>
      </c>
    </row>
    <row r="1110" spans="1:5" x14ac:dyDescent="0.25">
      <c r="A1110" s="36" t="b">
        <v>0</v>
      </c>
      <c r="B1110" s="56" t="b">
        <v>0</v>
      </c>
      <c r="C1110" s="56" t="b">
        <v>0</v>
      </c>
      <c r="D1110" s="56" t="b">
        <v>0</v>
      </c>
      <c r="E1110" s="56">
        <f ca="1">IF(PV[[#This Row],[Business Date]]=Control!$C$6, PV[[#This Row],[Notional Value Local Cur]], -PV[[#This Row],[Notional Value Local Cur]])</f>
        <v>0</v>
      </c>
    </row>
    <row r="1111" spans="1:5" x14ac:dyDescent="0.25">
      <c r="A1111" s="36" t="b">
        <v>0</v>
      </c>
      <c r="B1111" s="56" t="b">
        <v>0</v>
      </c>
      <c r="C1111" s="56" t="b">
        <v>0</v>
      </c>
      <c r="D1111" s="56" t="b">
        <v>0</v>
      </c>
      <c r="E1111" s="56">
        <f ca="1">IF(PV[[#This Row],[Business Date]]=Control!$C$6, PV[[#This Row],[Notional Value Local Cur]], -PV[[#This Row],[Notional Value Local Cur]])</f>
        <v>0</v>
      </c>
    </row>
    <row r="1112" spans="1:5" x14ac:dyDescent="0.25">
      <c r="A1112" s="36" t="b">
        <v>0</v>
      </c>
      <c r="B1112" s="56" t="b">
        <v>0</v>
      </c>
      <c r="C1112" s="56" t="b">
        <v>0</v>
      </c>
      <c r="D1112" s="56" t="b">
        <v>0</v>
      </c>
      <c r="E1112" s="56">
        <f ca="1">IF(PV[[#This Row],[Business Date]]=Control!$C$6, PV[[#This Row],[Notional Value Local Cur]], -PV[[#This Row],[Notional Value Local Cur]])</f>
        <v>0</v>
      </c>
    </row>
    <row r="1113" spans="1:5" x14ac:dyDescent="0.25">
      <c r="A1113" s="36" t="b">
        <v>0</v>
      </c>
      <c r="B1113" s="56" t="b">
        <v>0</v>
      </c>
      <c r="C1113" s="56" t="b">
        <v>0</v>
      </c>
      <c r="D1113" s="56" t="b">
        <v>0</v>
      </c>
      <c r="E1113" s="56">
        <f ca="1">IF(PV[[#This Row],[Business Date]]=Control!$C$6, PV[[#This Row],[Notional Value Local Cur]], -PV[[#This Row],[Notional Value Local Cur]])</f>
        <v>0</v>
      </c>
    </row>
    <row r="1114" spans="1:5" x14ac:dyDescent="0.25">
      <c r="A1114" s="36" t="b">
        <v>0</v>
      </c>
      <c r="B1114" s="56" t="b">
        <v>0</v>
      </c>
      <c r="C1114" s="56" t="b">
        <v>0</v>
      </c>
      <c r="D1114" s="56" t="b">
        <v>0</v>
      </c>
      <c r="E1114" s="56">
        <f ca="1">IF(PV[[#This Row],[Business Date]]=Control!$C$6, PV[[#This Row],[Notional Value Local Cur]], -PV[[#This Row],[Notional Value Local Cur]])</f>
        <v>0</v>
      </c>
    </row>
    <row r="1115" spans="1:5" x14ac:dyDescent="0.25">
      <c r="A1115" s="36" t="b">
        <v>0</v>
      </c>
      <c r="B1115" s="56" t="b">
        <v>0</v>
      </c>
      <c r="C1115" s="56" t="b">
        <v>0</v>
      </c>
      <c r="D1115" s="56" t="b">
        <v>0</v>
      </c>
      <c r="E1115" s="56">
        <f ca="1">IF(PV[[#This Row],[Business Date]]=Control!$C$6, PV[[#This Row],[Notional Value Local Cur]], -PV[[#This Row],[Notional Value Local Cur]])</f>
        <v>0</v>
      </c>
    </row>
    <row r="1116" spans="1:5" x14ac:dyDescent="0.25">
      <c r="A1116" s="36" t="b">
        <v>0</v>
      </c>
      <c r="B1116" s="56" t="b">
        <v>0</v>
      </c>
      <c r="C1116" s="56" t="b">
        <v>0</v>
      </c>
      <c r="D1116" s="56" t="b">
        <v>0</v>
      </c>
      <c r="E1116" s="56">
        <f ca="1">IF(PV[[#This Row],[Business Date]]=Control!$C$6, PV[[#This Row],[Notional Value Local Cur]], -PV[[#This Row],[Notional Value Local Cur]])</f>
        <v>0</v>
      </c>
    </row>
    <row r="1117" spans="1:5" x14ac:dyDescent="0.25">
      <c r="A1117" s="36" t="b">
        <v>0</v>
      </c>
      <c r="B1117" s="56" t="b">
        <v>0</v>
      </c>
      <c r="C1117" s="56" t="b">
        <v>0</v>
      </c>
      <c r="D1117" s="56" t="b">
        <v>0</v>
      </c>
      <c r="E1117" s="56">
        <f ca="1">IF(PV[[#This Row],[Business Date]]=Control!$C$6, PV[[#This Row],[Notional Value Local Cur]], -PV[[#This Row],[Notional Value Local Cur]])</f>
        <v>0</v>
      </c>
    </row>
    <row r="1118" spans="1:5" x14ac:dyDescent="0.25">
      <c r="A1118" s="36" t="b">
        <v>0</v>
      </c>
      <c r="B1118" s="56" t="b">
        <v>0</v>
      </c>
      <c r="C1118" s="56" t="b">
        <v>0</v>
      </c>
      <c r="D1118" s="56" t="b">
        <v>0</v>
      </c>
      <c r="E1118" s="56">
        <f ca="1">IF(PV[[#This Row],[Business Date]]=Control!$C$6, PV[[#This Row],[Notional Value Local Cur]], -PV[[#This Row],[Notional Value Local Cur]])</f>
        <v>0</v>
      </c>
    </row>
    <row r="1119" spans="1:5" x14ac:dyDescent="0.25">
      <c r="A1119" s="36" t="b">
        <v>0</v>
      </c>
      <c r="B1119" s="56" t="b">
        <v>0</v>
      </c>
      <c r="C1119" s="56" t="b">
        <v>0</v>
      </c>
      <c r="D1119" s="56" t="b">
        <v>0</v>
      </c>
      <c r="E1119" s="56">
        <f ca="1">IF(PV[[#This Row],[Business Date]]=Control!$C$6, PV[[#This Row],[Notional Value Local Cur]], -PV[[#This Row],[Notional Value Local Cur]])</f>
        <v>0</v>
      </c>
    </row>
    <row r="1120" spans="1:5" x14ac:dyDescent="0.25">
      <c r="A1120" s="36" t="b">
        <v>0</v>
      </c>
      <c r="B1120" s="56" t="b">
        <v>0</v>
      </c>
      <c r="C1120" s="56" t="b">
        <v>0</v>
      </c>
      <c r="D1120" s="56" t="b">
        <v>0</v>
      </c>
      <c r="E1120" s="56">
        <f ca="1">IF(PV[[#This Row],[Business Date]]=Control!$C$6, PV[[#This Row],[Notional Value Local Cur]], -PV[[#This Row],[Notional Value Local Cur]])</f>
        <v>0</v>
      </c>
    </row>
    <row r="1121" spans="1:5" x14ac:dyDescent="0.25">
      <c r="A1121" s="36" t="b">
        <v>0</v>
      </c>
      <c r="B1121" s="56" t="b">
        <v>0</v>
      </c>
      <c r="C1121" s="56" t="b">
        <v>0</v>
      </c>
      <c r="D1121" s="56" t="b">
        <v>0</v>
      </c>
      <c r="E1121" s="56">
        <f ca="1">IF(PV[[#This Row],[Business Date]]=Control!$C$6, PV[[#This Row],[Notional Value Local Cur]], -PV[[#This Row],[Notional Value Local Cur]])</f>
        <v>0</v>
      </c>
    </row>
    <row r="1122" spans="1:5" x14ac:dyDescent="0.25">
      <c r="A1122" s="36" t="b">
        <v>0</v>
      </c>
      <c r="B1122" s="56" t="b">
        <v>0</v>
      </c>
      <c r="C1122" s="56" t="b">
        <v>0</v>
      </c>
      <c r="D1122" s="56" t="b">
        <v>0</v>
      </c>
      <c r="E1122" s="56">
        <f ca="1">IF(PV[[#This Row],[Business Date]]=Control!$C$6, PV[[#This Row],[Notional Value Local Cur]], -PV[[#This Row],[Notional Value Local Cur]])</f>
        <v>0</v>
      </c>
    </row>
    <row r="1123" spans="1:5" x14ac:dyDescent="0.25">
      <c r="A1123" s="36" t="b">
        <v>0</v>
      </c>
      <c r="B1123" s="56" t="b">
        <v>0</v>
      </c>
      <c r="C1123" s="56" t="b">
        <v>0</v>
      </c>
      <c r="D1123" s="56" t="b">
        <v>0</v>
      </c>
      <c r="E1123" s="56">
        <f ca="1">IF(PV[[#This Row],[Business Date]]=Control!$C$6, PV[[#This Row],[Notional Value Local Cur]], -PV[[#This Row],[Notional Value Local Cur]])</f>
        <v>0</v>
      </c>
    </row>
    <row r="1124" spans="1:5" x14ac:dyDescent="0.25">
      <c r="A1124" s="36" t="b">
        <v>0</v>
      </c>
      <c r="B1124" s="56" t="b">
        <v>0</v>
      </c>
      <c r="C1124" s="56" t="b">
        <v>0</v>
      </c>
      <c r="D1124" s="56" t="b">
        <v>0</v>
      </c>
      <c r="E1124" s="56">
        <f ca="1">IF(PV[[#This Row],[Business Date]]=Control!$C$6, PV[[#This Row],[Notional Value Local Cur]], -PV[[#This Row],[Notional Value Local Cur]])</f>
        <v>0</v>
      </c>
    </row>
    <row r="1125" spans="1:5" x14ac:dyDescent="0.25">
      <c r="A1125" s="36" t="b">
        <v>0</v>
      </c>
      <c r="B1125" s="56" t="b">
        <v>0</v>
      </c>
      <c r="C1125" s="56" t="b">
        <v>0</v>
      </c>
      <c r="D1125" s="56" t="b">
        <v>0</v>
      </c>
      <c r="E1125" s="56">
        <f ca="1">IF(PV[[#This Row],[Business Date]]=Control!$C$6, PV[[#This Row],[Notional Value Local Cur]], -PV[[#This Row],[Notional Value Local Cur]])</f>
        <v>0</v>
      </c>
    </row>
    <row r="1126" spans="1:5" x14ac:dyDescent="0.25">
      <c r="A1126" s="36" t="b">
        <v>0</v>
      </c>
      <c r="B1126" s="56" t="b">
        <v>0</v>
      </c>
      <c r="C1126" s="56" t="b">
        <v>0</v>
      </c>
      <c r="D1126" s="56" t="b">
        <v>0</v>
      </c>
      <c r="E1126" s="56">
        <f ca="1">IF(PV[[#This Row],[Business Date]]=Control!$C$6, PV[[#This Row],[Notional Value Local Cur]], -PV[[#This Row],[Notional Value Local Cur]])</f>
        <v>0</v>
      </c>
    </row>
    <row r="1127" spans="1:5" x14ac:dyDescent="0.25">
      <c r="A1127" s="36" t="b">
        <v>0</v>
      </c>
      <c r="B1127" s="56" t="b">
        <v>0</v>
      </c>
      <c r="C1127" s="56" t="b">
        <v>0</v>
      </c>
      <c r="D1127" s="56" t="b">
        <v>0</v>
      </c>
      <c r="E1127" s="56">
        <f ca="1">IF(PV[[#This Row],[Business Date]]=Control!$C$6, PV[[#This Row],[Notional Value Local Cur]], -PV[[#This Row],[Notional Value Local Cur]])</f>
        <v>0</v>
      </c>
    </row>
    <row r="1128" spans="1:5" x14ac:dyDescent="0.25">
      <c r="A1128" s="36" t="b">
        <v>0</v>
      </c>
      <c r="B1128" s="56" t="b">
        <v>0</v>
      </c>
      <c r="C1128" s="56" t="b">
        <v>0</v>
      </c>
      <c r="D1128" s="56" t="b">
        <v>0</v>
      </c>
      <c r="E1128" s="56">
        <f ca="1">IF(PV[[#This Row],[Business Date]]=Control!$C$6, PV[[#This Row],[Notional Value Local Cur]], -PV[[#This Row],[Notional Value Local Cur]])</f>
        <v>0</v>
      </c>
    </row>
    <row r="1129" spans="1:5" x14ac:dyDescent="0.25">
      <c r="A1129" s="36" t="b">
        <v>0</v>
      </c>
      <c r="B1129" s="56" t="b">
        <v>0</v>
      </c>
      <c r="C1129" s="56" t="b">
        <v>0</v>
      </c>
      <c r="D1129" s="56" t="b">
        <v>0</v>
      </c>
      <c r="E1129" s="56">
        <f ca="1">IF(PV[[#This Row],[Business Date]]=Control!$C$6, PV[[#This Row],[Notional Value Local Cur]], -PV[[#This Row],[Notional Value Local Cur]])</f>
        <v>0</v>
      </c>
    </row>
    <row r="1130" spans="1:5" x14ac:dyDescent="0.25">
      <c r="A1130" s="36" t="b">
        <v>0</v>
      </c>
      <c r="B1130" s="56" t="b">
        <v>0</v>
      </c>
      <c r="C1130" s="56" t="b">
        <v>0</v>
      </c>
      <c r="D1130" s="56" t="b">
        <v>0</v>
      </c>
      <c r="E1130" s="56">
        <f ca="1">IF(PV[[#This Row],[Business Date]]=Control!$C$6, PV[[#This Row],[Notional Value Local Cur]], -PV[[#This Row],[Notional Value Local Cur]])</f>
        <v>0</v>
      </c>
    </row>
    <row r="1131" spans="1:5" x14ac:dyDescent="0.25">
      <c r="A1131" s="36" t="b">
        <v>0</v>
      </c>
      <c r="B1131" s="56" t="b">
        <v>0</v>
      </c>
      <c r="C1131" s="56" t="b">
        <v>0</v>
      </c>
      <c r="D1131" s="56" t="b">
        <v>0</v>
      </c>
      <c r="E1131" s="56">
        <f ca="1">IF(PV[[#This Row],[Business Date]]=Control!$C$6, PV[[#This Row],[Notional Value Local Cur]], -PV[[#This Row],[Notional Value Local Cur]])</f>
        <v>0</v>
      </c>
    </row>
    <row r="1132" spans="1:5" x14ac:dyDescent="0.25">
      <c r="A1132" s="36" t="b">
        <v>0</v>
      </c>
      <c r="B1132" s="56" t="b">
        <v>0</v>
      </c>
      <c r="C1132" s="56" t="b">
        <v>0</v>
      </c>
      <c r="D1132" s="56" t="b">
        <v>0</v>
      </c>
      <c r="E1132" s="56">
        <f ca="1">IF(PV[[#This Row],[Business Date]]=Control!$C$6, PV[[#This Row],[Notional Value Local Cur]], -PV[[#This Row],[Notional Value Local Cur]])</f>
        <v>0</v>
      </c>
    </row>
    <row r="1133" spans="1:5" x14ac:dyDescent="0.25">
      <c r="A1133" s="36" t="b">
        <v>0</v>
      </c>
      <c r="B1133" s="56" t="b">
        <v>0</v>
      </c>
      <c r="C1133" s="56" t="b">
        <v>0</v>
      </c>
      <c r="D1133" s="56" t="b">
        <v>0</v>
      </c>
      <c r="E1133" s="56">
        <f ca="1">IF(PV[[#This Row],[Business Date]]=Control!$C$6, PV[[#This Row],[Notional Value Local Cur]], -PV[[#This Row],[Notional Value Local Cur]])</f>
        <v>0</v>
      </c>
    </row>
    <row r="1134" spans="1:5" x14ac:dyDescent="0.25">
      <c r="A1134" s="36" t="b">
        <v>0</v>
      </c>
      <c r="B1134" s="56" t="b">
        <v>0</v>
      </c>
      <c r="C1134" s="56" t="b">
        <v>0</v>
      </c>
      <c r="D1134" s="56" t="b">
        <v>0</v>
      </c>
      <c r="E1134" s="56">
        <f ca="1">IF(PV[[#This Row],[Business Date]]=Control!$C$6, PV[[#This Row],[Notional Value Local Cur]], -PV[[#This Row],[Notional Value Local Cur]])</f>
        <v>0</v>
      </c>
    </row>
    <row r="1135" spans="1:5" x14ac:dyDescent="0.25">
      <c r="A1135" s="36" t="b">
        <v>0</v>
      </c>
      <c r="B1135" s="56" t="b">
        <v>0</v>
      </c>
      <c r="C1135" s="56" t="b">
        <v>0</v>
      </c>
      <c r="D1135" s="56" t="b">
        <v>0</v>
      </c>
      <c r="E1135" s="56">
        <f ca="1">IF(PV[[#This Row],[Business Date]]=Control!$C$6, PV[[#This Row],[Notional Value Local Cur]], -PV[[#This Row],[Notional Value Local Cur]])</f>
        <v>0</v>
      </c>
    </row>
    <row r="1136" spans="1:5" x14ac:dyDescent="0.25">
      <c r="A1136" s="36" t="b">
        <v>0</v>
      </c>
      <c r="B1136" s="56" t="b">
        <v>0</v>
      </c>
      <c r="C1136" s="56" t="b">
        <v>0</v>
      </c>
      <c r="D1136" s="56" t="b">
        <v>0</v>
      </c>
      <c r="E1136" s="56">
        <f ca="1">IF(PV[[#This Row],[Business Date]]=Control!$C$6, PV[[#This Row],[Notional Value Local Cur]], -PV[[#This Row],[Notional Value Local Cur]])</f>
        <v>0</v>
      </c>
    </row>
    <row r="1137" spans="1:5" x14ac:dyDescent="0.25">
      <c r="A1137" s="36" t="b">
        <v>0</v>
      </c>
      <c r="B1137" s="56" t="b">
        <v>0</v>
      </c>
      <c r="C1137" s="56" t="b">
        <v>0</v>
      </c>
      <c r="D1137" s="56" t="b">
        <v>0</v>
      </c>
      <c r="E1137" s="56">
        <f ca="1">IF(PV[[#This Row],[Business Date]]=Control!$C$6, PV[[#This Row],[Notional Value Local Cur]], -PV[[#This Row],[Notional Value Local Cur]])</f>
        <v>0</v>
      </c>
    </row>
    <row r="1138" spans="1:5" x14ac:dyDescent="0.25">
      <c r="A1138" s="36" t="b">
        <v>0</v>
      </c>
      <c r="B1138" s="56" t="b">
        <v>0</v>
      </c>
      <c r="C1138" s="56" t="b">
        <v>0</v>
      </c>
      <c r="D1138" s="56" t="b">
        <v>0</v>
      </c>
      <c r="E1138" s="56">
        <f ca="1">IF(PV[[#This Row],[Business Date]]=Control!$C$6, PV[[#This Row],[Notional Value Local Cur]], -PV[[#This Row],[Notional Value Local Cur]])</f>
        <v>0</v>
      </c>
    </row>
    <row r="1139" spans="1:5" x14ac:dyDescent="0.25">
      <c r="A1139" s="36" t="b">
        <v>0</v>
      </c>
      <c r="B1139" s="56" t="b">
        <v>0</v>
      </c>
      <c r="C1139" s="56" t="b">
        <v>0</v>
      </c>
      <c r="D1139" s="56" t="b">
        <v>0</v>
      </c>
      <c r="E1139" s="56">
        <f ca="1">IF(PV[[#This Row],[Business Date]]=Control!$C$6, PV[[#This Row],[Notional Value Local Cur]], -PV[[#This Row],[Notional Value Local Cur]])</f>
        <v>0</v>
      </c>
    </row>
    <row r="1140" spans="1:5" x14ac:dyDescent="0.25">
      <c r="A1140" s="36" t="b">
        <v>0</v>
      </c>
      <c r="B1140" s="56" t="b">
        <v>0</v>
      </c>
      <c r="C1140" s="56" t="b">
        <v>0</v>
      </c>
      <c r="D1140" s="56" t="b">
        <v>0</v>
      </c>
      <c r="E1140" s="56">
        <f ca="1">IF(PV[[#This Row],[Business Date]]=Control!$C$6, PV[[#This Row],[Notional Value Local Cur]], -PV[[#This Row],[Notional Value Local Cur]])</f>
        <v>0</v>
      </c>
    </row>
    <row r="1141" spans="1:5" x14ac:dyDescent="0.25">
      <c r="A1141" s="36" t="b">
        <v>0</v>
      </c>
      <c r="B1141" s="56" t="b">
        <v>0</v>
      </c>
      <c r="C1141" s="56" t="b">
        <v>0</v>
      </c>
      <c r="D1141" s="56" t="b">
        <v>0</v>
      </c>
      <c r="E1141" s="56">
        <f ca="1">IF(PV[[#This Row],[Business Date]]=Control!$C$6, PV[[#This Row],[Notional Value Local Cur]], -PV[[#This Row],[Notional Value Local Cur]])</f>
        <v>0</v>
      </c>
    </row>
    <row r="1142" spans="1:5" x14ac:dyDescent="0.25">
      <c r="A1142" s="36" t="b">
        <v>0</v>
      </c>
      <c r="B1142" s="56" t="b">
        <v>0</v>
      </c>
      <c r="C1142" s="56" t="b">
        <v>0</v>
      </c>
      <c r="D1142" s="56" t="b">
        <v>0</v>
      </c>
      <c r="E1142" s="56">
        <f ca="1">IF(PV[[#This Row],[Business Date]]=Control!$C$6, PV[[#This Row],[Notional Value Local Cur]], -PV[[#This Row],[Notional Value Local Cur]])</f>
        <v>0</v>
      </c>
    </row>
    <row r="1143" spans="1:5" x14ac:dyDescent="0.25">
      <c r="A1143" s="36" t="b">
        <v>0</v>
      </c>
      <c r="B1143" s="56" t="b">
        <v>0</v>
      </c>
      <c r="C1143" s="56" t="b">
        <v>0</v>
      </c>
      <c r="D1143" s="56" t="b">
        <v>0</v>
      </c>
      <c r="E1143" s="56">
        <f ca="1">IF(PV[[#This Row],[Business Date]]=Control!$C$6, PV[[#This Row],[Notional Value Local Cur]], -PV[[#This Row],[Notional Value Local Cur]])</f>
        <v>0</v>
      </c>
    </row>
    <row r="1144" spans="1:5" x14ac:dyDescent="0.25">
      <c r="A1144" s="36" t="b">
        <v>0</v>
      </c>
      <c r="B1144" s="56" t="b">
        <v>0</v>
      </c>
      <c r="C1144" s="56" t="b">
        <v>0</v>
      </c>
      <c r="D1144" s="56" t="b">
        <v>0</v>
      </c>
      <c r="E1144" s="56">
        <f ca="1">IF(PV[[#This Row],[Business Date]]=Control!$C$6, PV[[#This Row],[Notional Value Local Cur]], -PV[[#This Row],[Notional Value Local Cur]])</f>
        <v>0</v>
      </c>
    </row>
    <row r="1145" spans="1:5" x14ac:dyDescent="0.25">
      <c r="A1145" s="36" t="b">
        <v>0</v>
      </c>
      <c r="B1145" s="56" t="b">
        <v>0</v>
      </c>
      <c r="C1145" s="56" t="b">
        <v>0</v>
      </c>
      <c r="D1145" s="56" t="b">
        <v>0</v>
      </c>
      <c r="E1145" s="56">
        <f ca="1">IF(PV[[#This Row],[Business Date]]=Control!$C$6, PV[[#This Row],[Notional Value Local Cur]], -PV[[#This Row],[Notional Value Local Cur]])</f>
        <v>0</v>
      </c>
    </row>
    <row r="1146" spans="1:5" x14ac:dyDescent="0.25">
      <c r="A1146" s="36" t="b">
        <v>0</v>
      </c>
      <c r="B1146" s="56" t="b">
        <v>0</v>
      </c>
      <c r="C1146" s="56" t="b">
        <v>0</v>
      </c>
      <c r="D1146" s="56" t="b">
        <v>0</v>
      </c>
      <c r="E1146" s="56">
        <f ca="1">IF(PV[[#This Row],[Business Date]]=Control!$C$6, PV[[#This Row],[Notional Value Local Cur]], -PV[[#This Row],[Notional Value Local Cur]])</f>
        <v>0</v>
      </c>
    </row>
    <row r="1147" spans="1:5" x14ac:dyDescent="0.25">
      <c r="A1147" s="36" t="b">
        <v>0</v>
      </c>
      <c r="B1147" s="56" t="b">
        <v>0</v>
      </c>
      <c r="C1147" s="56" t="b">
        <v>0</v>
      </c>
      <c r="D1147" s="56" t="b">
        <v>0</v>
      </c>
      <c r="E1147" s="56">
        <f ca="1">IF(PV[[#This Row],[Business Date]]=Control!$C$6, PV[[#This Row],[Notional Value Local Cur]], -PV[[#This Row],[Notional Value Local Cur]])</f>
        <v>0</v>
      </c>
    </row>
    <row r="1148" spans="1:5" x14ac:dyDescent="0.25">
      <c r="A1148" s="36" t="b">
        <v>0</v>
      </c>
      <c r="B1148" s="56" t="b">
        <v>0</v>
      </c>
      <c r="C1148" s="56" t="b">
        <v>0</v>
      </c>
      <c r="D1148" s="56" t="b">
        <v>0</v>
      </c>
      <c r="E1148" s="56">
        <f ca="1">IF(PV[[#This Row],[Business Date]]=Control!$C$6, PV[[#This Row],[Notional Value Local Cur]], -PV[[#This Row],[Notional Value Local Cur]])</f>
        <v>0</v>
      </c>
    </row>
    <row r="1149" spans="1:5" x14ac:dyDescent="0.25">
      <c r="A1149" s="36" t="b">
        <v>0</v>
      </c>
      <c r="B1149" s="56" t="b">
        <v>0</v>
      </c>
      <c r="C1149" s="56" t="b">
        <v>0</v>
      </c>
      <c r="D1149" s="56" t="b">
        <v>0</v>
      </c>
      <c r="E1149" s="56">
        <f ca="1">IF(PV[[#This Row],[Business Date]]=Control!$C$6, PV[[#This Row],[Notional Value Local Cur]], -PV[[#This Row],[Notional Value Local Cur]])</f>
        <v>0</v>
      </c>
    </row>
    <row r="1150" spans="1:5" x14ac:dyDescent="0.25">
      <c r="A1150" s="36" t="b">
        <v>0</v>
      </c>
      <c r="B1150" s="56" t="b">
        <v>0</v>
      </c>
      <c r="C1150" s="56" t="b">
        <v>0</v>
      </c>
      <c r="D1150" s="56" t="b">
        <v>0</v>
      </c>
      <c r="E1150" s="56">
        <f ca="1">IF(PV[[#This Row],[Business Date]]=Control!$C$6, PV[[#This Row],[Notional Value Local Cur]], -PV[[#This Row],[Notional Value Local Cur]])</f>
        <v>0</v>
      </c>
    </row>
    <row r="1151" spans="1:5" x14ac:dyDescent="0.25">
      <c r="A1151" s="36" t="b">
        <v>0</v>
      </c>
      <c r="B1151" s="56" t="b">
        <v>0</v>
      </c>
      <c r="C1151" s="56" t="b">
        <v>0</v>
      </c>
      <c r="D1151" s="56" t="b">
        <v>0</v>
      </c>
      <c r="E1151" s="56">
        <f ca="1">IF(PV[[#This Row],[Business Date]]=Control!$C$6, PV[[#This Row],[Notional Value Local Cur]], -PV[[#This Row],[Notional Value Local Cur]])</f>
        <v>0</v>
      </c>
    </row>
    <row r="1152" spans="1:5" x14ac:dyDescent="0.25">
      <c r="A1152" s="36" t="b">
        <v>0</v>
      </c>
      <c r="B1152" s="56" t="b">
        <v>0</v>
      </c>
      <c r="C1152" s="56" t="b">
        <v>0</v>
      </c>
      <c r="D1152" s="56" t="b">
        <v>0</v>
      </c>
      <c r="E1152" s="56">
        <f ca="1">IF(PV[[#This Row],[Business Date]]=Control!$C$6, PV[[#This Row],[Notional Value Local Cur]], -PV[[#This Row],[Notional Value Local Cur]])</f>
        <v>0</v>
      </c>
    </row>
    <row r="1153" spans="1:5" x14ac:dyDescent="0.25">
      <c r="A1153" s="36" t="b">
        <v>0</v>
      </c>
      <c r="B1153" s="56" t="b">
        <v>0</v>
      </c>
      <c r="C1153" s="56" t="b">
        <v>0</v>
      </c>
      <c r="D1153" s="56" t="b">
        <v>0</v>
      </c>
      <c r="E1153" s="56">
        <f ca="1">IF(PV[[#This Row],[Business Date]]=Control!$C$6, PV[[#This Row],[Notional Value Local Cur]], -PV[[#This Row],[Notional Value Local Cur]])</f>
        <v>0</v>
      </c>
    </row>
    <row r="1154" spans="1:5" x14ac:dyDescent="0.25">
      <c r="A1154" s="36" t="b">
        <v>0</v>
      </c>
      <c r="B1154" s="56" t="b">
        <v>0</v>
      </c>
      <c r="C1154" s="56" t="b">
        <v>0</v>
      </c>
      <c r="D1154" s="56" t="b">
        <v>0</v>
      </c>
      <c r="E1154" s="56">
        <f ca="1">IF(PV[[#This Row],[Business Date]]=Control!$C$6, PV[[#This Row],[Notional Value Local Cur]], -PV[[#This Row],[Notional Value Local Cur]])</f>
        <v>0</v>
      </c>
    </row>
    <row r="1155" spans="1:5" x14ac:dyDescent="0.25">
      <c r="A1155" s="36" t="b">
        <v>0</v>
      </c>
      <c r="B1155" s="56" t="b">
        <v>0</v>
      </c>
      <c r="C1155" s="56" t="b">
        <v>0</v>
      </c>
      <c r="D1155" s="56" t="b">
        <v>0</v>
      </c>
      <c r="E1155" s="56">
        <f ca="1">IF(PV[[#This Row],[Business Date]]=Control!$C$6, PV[[#This Row],[Notional Value Local Cur]], -PV[[#This Row],[Notional Value Local Cur]])</f>
        <v>0</v>
      </c>
    </row>
    <row r="1156" spans="1:5" x14ac:dyDescent="0.25">
      <c r="A1156" s="36" t="b">
        <v>0</v>
      </c>
      <c r="B1156" s="56" t="b">
        <v>0</v>
      </c>
      <c r="C1156" s="56" t="b">
        <v>0</v>
      </c>
      <c r="D1156" s="56" t="b">
        <v>0</v>
      </c>
      <c r="E1156" s="56">
        <f ca="1">IF(PV[[#This Row],[Business Date]]=Control!$C$6, PV[[#This Row],[Notional Value Local Cur]], -PV[[#This Row],[Notional Value Local Cur]])</f>
        <v>0</v>
      </c>
    </row>
    <row r="1157" spans="1:5" x14ac:dyDescent="0.25">
      <c r="A1157" s="36" t="b">
        <v>0</v>
      </c>
      <c r="B1157" s="56" t="b">
        <v>0</v>
      </c>
      <c r="C1157" s="56" t="b">
        <v>0</v>
      </c>
      <c r="D1157" s="56" t="b">
        <v>0</v>
      </c>
      <c r="E1157" s="56">
        <f ca="1">IF(PV[[#This Row],[Business Date]]=Control!$C$6, PV[[#This Row],[Notional Value Local Cur]], -PV[[#This Row],[Notional Value Local Cur]])</f>
        <v>0</v>
      </c>
    </row>
    <row r="1158" spans="1:5" x14ac:dyDescent="0.25">
      <c r="A1158" s="36" t="b">
        <v>0</v>
      </c>
      <c r="B1158" s="56" t="b">
        <v>0</v>
      </c>
      <c r="C1158" s="56" t="b">
        <v>0</v>
      </c>
      <c r="D1158" s="56" t="b">
        <v>0</v>
      </c>
      <c r="E1158" s="56">
        <f ca="1">IF(PV[[#This Row],[Business Date]]=Control!$C$6, PV[[#This Row],[Notional Value Local Cur]], -PV[[#This Row],[Notional Value Local Cur]])</f>
        <v>0</v>
      </c>
    </row>
    <row r="1159" spans="1:5" x14ac:dyDescent="0.25">
      <c r="A1159" s="36" t="b">
        <v>0</v>
      </c>
      <c r="B1159" s="56" t="b">
        <v>0</v>
      </c>
      <c r="C1159" s="56" t="b">
        <v>0</v>
      </c>
      <c r="D1159" s="56" t="b">
        <v>0</v>
      </c>
      <c r="E1159" s="56">
        <f ca="1">IF(PV[[#This Row],[Business Date]]=Control!$C$6, PV[[#This Row],[Notional Value Local Cur]], -PV[[#This Row],[Notional Value Local Cur]])</f>
        <v>0</v>
      </c>
    </row>
    <row r="1160" spans="1:5" x14ac:dyDescent="0.25">
      <c r="A1160" s="36" t="b">
        <v>0</v>
      </c>
      <c r="B1160" s="56" t="b">
        <v>0</v>
      </c>
      <c r="C1160" s="56" t="b">
        <v>0</v>
      </c>
      <c r="D1160" s="56" t="b">
        <v>0</v>
      </c>
      <c r="E1160" s="56">
        <f ca="1">IF(PV[[#This Row],[Business Date]]=Control!$C$6, PV[[#This Row],[Notional Value Local Cur]], -PV[[#This Row],[Notional Value Local Cur]])</f>
        <v>0</v>
      </c>
    </row>
    <row r="1161" spans="1:5" x14ac:dyDescent="0.25">
      <c r="A1161" s="36" t="b">
        <v>0</v>
      </c>
      <c r="B1161" s="56" t="b">
        <v>0</v>
      </c>
      <c r="C1161" s="56" t="b">
        <v>0</v>
      </c>
      <c r="D1161" s="56" t="b">
        <v>0</v>
      </c>
      <c r="E1161" s="56">
        <f ca="1">IF(PV[[#This Row],[Business Date]]=Control!$C$6, PV[[#This Row],[Notional Value Local Cur]], -PV[[#This Row],[Notional Value Local Cur]])</f>
        <v>0</v>
      </c>
    </row>
    <row r="1162" spans="1:5" x14ac:dyDescent="0.25">
      <c r="A1162" s="36" t="b">
        <v>0</v>
      </c>
      <c r="B1162" s="56" t="b">
        <v>0</v>
      </c>
      <c r="C1162" s="56" t="b">
        <v>0</v>
      </c>
      <c r="D1162" s="56" t="b">
        <v>0</v>
      </c>
      <c r="E1162" s="56">
        <f ca="1">IF(PV[[#This Row],[Business Date]]=Control!$C$6, PV[[#This Row],[Notional Value Local Cur]], -PV[[#This Row],[Notional Value Local Cur]])</f>
        <v>0</v>
      </c>
    </row>
    <row r="1163" spans="1:5" x14ac:dyDescent="0.25">
      <c r="A1163" s="36" t="b">
        <v>0</v>
      </c>
      <c r="B1163" s="56" t="b">
        <v>0</v>
      </c>
      <c r="C1163" s="56" t="b">
        <v>0</v>
      </c>
      <c r="D1163" s="56" t="b">
        <v>0</v>
      </c>
      <c r="E1163" s="56">
        <f ca="1">IF(PV[[#This Row],[Business Date]]=Control!$C$6, PV[[#This Row],[Notional Value Local Cur]], -PV[[#This Row],[Notional Value Local Cur]])</f>
        <v>0</v>
      </c>
    </row>
    <row r="1164" spans="1:5" x14ac:dyDescent="0.25">
      <c r="A1164" s="36" t="b">
        <v>0</v>
      </c>
      <c r="B1164" s="56" t="b">
        <v>0</v>
      </c>
      <c r="C1164" s="56" t="b">
        <v>0</v>
      </c>
      <c r="D1164" s="56" t="b">
        <v>0</v>
      </c>
      <c r="E1164" s="56">
        <f ca="1">IF(PV[[#This Row],[Business Date]]=Control!$C$6, PV[[#This Row],[Notional Value Local Cur]], -PV[[#This Row],[Notional Value Local Cur]])</f>
        <v>0</v>
      </c>
    </row>
    <row r="1165" spans="1:5" x14ac:dyDescent="0.25">
      <c r="A1165" s="36" t="b">
        <v>0</v>
      </c>
      <c r="B1165" s="56" t="b">
        <v>0</v>
      </c>
      <c r="C1165" s="56" t="b">
        <v>0</v>
      </c>
      <c r="D1165" s="56" t="b">
        <v>0</v>
      </c>
      <c r="E1165" s="56">
        <f ca="1">IF(PV[[#This Row],[Business Date]]=Control!$C$6, PV[[#This Row],[Notional Value Local Cur]], -PV[[#This Row],[Notional Value Local Cur]])</f>
        <v>0</v>
      </c>
    </row>
    <row r="1166" spans="1:5" x14ac:dyDescent="0.25">
      <c r="A1166" s="36" t="b">
        <v>0</v>
      </c>
      <c r="B1166" s="56" t="b">
        <v>0</v>
      </c>
      <c r="C1166" s="56" t="b">
        <v>0</v>
      </c>
      <c r="D1166" s="56" t="b">
        <v>0</v>
      </c>
      <c r="E1166" s="56">
        <f ca="1">IF(PV[[#This Row],[Business Date]]=Control!$C$6, PV[[#This Row],[Notional Value Local Cur]], -PV[[#This Row],[Notional Value Local Cur]])</f>
        <v>0</v>
      </c>
    </row>
    <row r="1167" spans="1:5" x14ac:dyDescent="0.25">
      <c r="A1167" s="36" t="b">
        <v>0</v>
      </c>
      <c r="B1167" s="56" t="b">
        <v>0</v>
      </c>
      <c r="C1167" s="56" t="b">
        <v>0</v>
      </c>
      <c r="D1167" s="56" t="b">
        <v>0</v>
      </c>
      <c r="E1167" s="56">
        <f ca="1">IF(PV[[#This Row],[Business Date]]=Control!$C$6, PV[[#This Row],[Notional Value Local Cur]], -PV[[#This Row],[Notional Value Local Cur]])</f>
        <v>0</v>
      </c>
    </row>
    <row r="1168" spans="1:5" x14ac:dyDescent="0.25">
      <c r="A1168" s="36" t="b">
        <v>0</v>
      </c>
      <c r="B1168" s="56" t="b">
        <v>0</v>
      </c>
      <c r="C1168" s="56" t="b">
        <v>0</v>
      </c>
      <c r="D1168" s="56" t="b">
        <v>0</v>
      </c>
      <c r="E1168" s="56">
        <f ca="1">IF(PV[[#This Row],[Business Date]]=Control!$C$6, PV[[#This Row],[Notional Value Local Cur]], -PV[[#This Row],[Notional Value Local Cur]])</f>
        <v>0</v>
      </c>
    </row>
    <row r="1169" spans="1:5" x14ac:dyDescent="0.25">
      <c r="A1169" s="36" t="b">
        <v>0</v>
      </c>
      <c r="B1169" s="56" t="b">
        <v>0</v>
      </c>
      <c r="C1169" s="56" t="b">
        <v>0</v>
      </c>
      <c r="D1169" s="56" t="b">
        <v>0</v>
      </c>
      <c r="E1169" s="56">
        <f ca="1">IF(PV[[#This Row],[Business Date]]=Control!$C$6, PV[[#This Row],[Notional Value Local Cur]], -PV[[#This Row],[Notional Value Local Cur]])</f>
        <v>0</v>
      </c>
    </row>
    <row r="1170" spans="1:5" x14ac:dyDescent="0.25">
      <c r="A1170" s="36" t="b">
        <v>0</v>
      </c>
      <c r="B1170" s="56" t="b">
        <v>0</v>
      </c>
      <c r="C1170" s="56" t="b">
        <v>0</v>
      </c>
      <c r="D1170" s="56" t="b">
        <v>0</v>
      </c>
      <c r="E1170" s="56">
        <f ca="1">IF(PV[[#This Row],[Business Date]]=Control!$C$6, PV[[#This Row],[Notional Value Local Cur]], -PV[[#This Row],[Notional Value Local Cur]])</f>
        <v>0</v>
      </c>
    </row>
    <row r="1171" spans="1:5" x14ac:dyDescent="0.25">
      <c r="A1171" s="36" t="b">
        <v>0</v>
      </c>
      <c r="B1171" s="56" t="b">
        <v>0</v>
      </c>
      <c r="C1171" s="56" t="b">
        <v>0</v>
      </c>
      <c r="D1171" s="56" t="b">
        <v>0</v>
      </c>
      <c r="E1171" s="56">
        <f ca="1">IF(PV[[#This Row],[Business Date]]=Control!$C$6, PV[[#This Row],[Notional Value Local Cur]], -PV[[#This Row],[Notional Value Local Cur]])</f>
        <v>0</v>
      </c>
    </row>
    <row r="1172" spans="1:5" x14ac:dyDescent="0.25">
      <c r="A1172" s="36" t="b">
        <v>0</v>
      </c>
      <c r="B1172" s="56" t="b">
        <v>0</v>
      </c>
      <c r="C1172" s="56" t="b">
        <v>0</v>
      </c>
      <c r="D1172" s="56" t="b">
        <v>0</v>
      </c>
      <c r="E1172" s="56">
        <f ca="1">IF(PV[[#This Row],[Business Date]]=Control!$C$6, PV[[#This Row],[Notional Value Local Cur]], -PV[[#This Row],[Notional Value Local Cur]])</f>
        <v>0</v>
      </c>
    </row>
    <row r="1173" spans="1:5" x14ac:dyDescent="0.25">
      <c r="A1173" s="36" t="b">
        <v>0</v>
      </c>
      <c r="B1173" s="56" t="b">
        <v>0</v>
      </c>
      <c r="C1173" s="56" t="b">
        <v>0</v>
      </c>
      <c r="D1173" s="56" t="b">
        <v>0</v>
      </c>
      <c r="E1173" s="56">
        <f ca="1">IF(PV[[#This Row],[Business Date]]=Control!$C$6, PV[[#This Row],[Notional Value Local Cur]], -PV[[#This Row],[Notional Value Local Cur]])</f>
        <v>0</v>
      </c>
    </row>
    <row r="1174" spans="1:5" x14ac:dyDescent="0.25">
      <c r="A1174" s="36" t="b">
        <v>0</v>
      </c>
      <c r="B1174" s="56" t="b">
        <v>0</v>
      </c>
      <c r="C1174" s="56" t="b">
        <v>0</v>
      </c>
      <c r="D1174" s="56" t="b">
        <v>0</v>
      </c>
      <c r="E1174" s="56">
        <f ca="1">IF(PV[[#This Row],[Business Date]]=Control!$C$6, PV[[#This Row],[Notional Value Local Cur]], -PV[[#This Row],[Notional Value Local Cur]])</f>
        <v>0</v>
      </c>
    </row>
    <row r="1175" spans="1:5" x14ac:dyDescent="0.25">
      <c r="A1175" s="36" t="b">
        <v>0</v>
      </c>
      <c r="B1175" s="56" t="b">
        <v>0</v>
      </c>
      <c r="C1175" s="56" t="b">
        <v>0</v>
      </c>
      <c r="D1175" s="56" t="b">
        <v>0</v>
      </c>
      <c r="E1175" s="56">
        <f ca="1">IF(PV[[#This Row],[Business Date]]=Control!$C$6, PV[[#This Row],[Notional Value Local Cur]], -PV[[#This Row],[Notional Value Local Cur]])</f>
        <v>0</v>
      </c>
    </row>
    <row r="1176" spans="1:5" x14ac:dyDescent="0.25">
      <c r="A1176" s="36" t="b">
        <v>0</v>
      </c>
      <c r="B1176" s="56" t="b">
        <v>0</v>
      </c>
      <c r="C1176" s="56" t="b">
        <v>0</v>
      </c>
      <c r="D1176" s="56" t="b">
        <v>0</v>
      </c>
      <c r="E1176" s="56">
        <f ca="1">IF(PV[[#This Row],[Business Date]]=Control!$C$6, PV[[#This Row],[Notional Value Local Cur]], -PV[[#This Row],[Notional Value Local Cur]])</f>
        <v>0</v>
      </c>
    </row>
    <row r="1177" spans="1:5" x14ac:dyDescent="0.25">
      <c r="A1177" s="36" t="b">
        <v>0</v>
      </c>
      <c r="B1177" s="56" t="b">
        <v>0</v>
      </c>
      <c r="C1177" s="56" t="b">
        <v>0</v>
      </c>
      <c r="D1177" s="56" t="b">
        <v>0</v>
      </c>
      <c r="E1177" s="56">
        <f ca="1">IF(PV[[#This Row],[Business Date]]=Control!$C$6, PV[[#This Row],[Notional Value Local Cur]], -PV[[#This Row],[Notional Value Local Cur]])</f>
        <v>0</v>
      </c>
    </row>
    <row r="1178" spans="1:5" x14ac:dyDescent="0.25">
      <c r="A1178" s="36" t="b">
        <v>0</v>
      </c>
      <c r="B1178" s="56" t="b">
        <v>0</v>
      </c>
      <c r="C1178" s="56" t="b">
        <v>0</v>
      </c>
      <c r="D1178" s="56" t="b">
        <v>0</v>
      </c>
      <c r="E1178" s="56">
        <f ca="1">IF(PV[[#This Row],[Business Date]]=Control!$C$6, PV[[#This Row],[Notional Value Local Cur]], -PV[[#This Row],[Notional Value Local Cur]])</f>
        <v>0</v>
      </c>
    </row>
    <row r="1179" spans="1:5" x14ac:dyDescent="0.25">
      <c r="A1179" s="36" t="b">
        <v>0</v>
      </c>
      <c r="B1179" s="56" t="b">
        <v>0</v>
      </c>
      <c r="C1179" s="56" t="b">
        <v>0</v>
      </c>
      <c r="D1179" s="56" t="b">
        <v>0</v>
      </c>
      <c r="E1179" s="56">
        <f ca="1">IF(PV[[#This Row],[Business Date]]=Control!$C$6, PV[[#This Row],[Notional Value Local Cur]], -PV[[#This Row],[Notional Value Local Cur]])</f>
        <v>0</v>
      </c>
    </row>
    <row r="1180" spans="1:5" x14ac:dyDescent="0.25">
      <c r="A1180" s="36" t="b">
        <v>0</v>
      </c>
      <c r="B1180" s="56" t="b">
        <v>0</v>
      </c>
      <c r="C1180" s="56" t="b">
        <v>0</v>
      </c>
      <c r="D1180" s="56" t="b">
        <v>0</v>
      </c>
      <c r="E1180" s="56">
        <f ca="1">IF(PV[[#This Row],[Business Date]]=Control!$C$6, PV[[#This Row],[Notional Value Local Cur]], -PV[[#This Row],[Notional Value Local Cur]])</f>
        <v>0</v>
      </c>
    </row>
    <row r="1181" spans="1:5" x14ac:dyDescent="0.25">
      <c r="A1181" s="36" t="b">
        <v>0</v>
      </c>
      <c r="B1181" s="56" t="b">
        <v>0</v>
      </c>
      <c r="C1181" s="56" t="b">
        <v>0</v>
      </c>
      <c r="D1181" s="56" t="b">
        <v>0</v>
      </c>
      <c r="E1181" s="56">
        <f ca="1">IF(PV[[#This Row],[Business Date]]=Control!$C$6, PV[[#This Row],[Notional Value Local Cur]], -PV[[#This Row],[Notional Value Local Cur]])</f>
        <v>0</v>
      </c>
    </row>
    <row r="1182" spans="1:5" x14ac:dyDescent="0.25">
      <c r="A1182" s="36" t="b">
        <v>0</v>
      </c>
      <c r="B1182" s="56" t="b">
        <v>0</v>
      </c>
      <c r="C1182" s="56" t="b">
        <v>0</v>
      </c>
      <c r="D1182" s="56" t="b">
        <v>0</v>
      </c>
      <c r="E1182" s="56">
        <f ca="1">IF(PV[[#This Row],[Business Date]]=Control!$C$6, PV[[#This Row],[Notional Value Local Cur]], -PV[[#This Row],[Notional Value Local Cur]])</f>
        <v>0</v>
      </c>
    </row>
    <row r="1183" spans="1:5" x14ac:dyDescent="0.25">
      <c r="A1183" s="36" t="b">
        <v>0</v>
      </c>
      <c r="B1183" s="56" t="b">
        <v>0</v>
      </c>
      <c r="C1183" s="56" t="b">
        <v>0</v>
      </c>
      <c r="D1183" s="56" t="b">
        <v>0</v>
      </c>
      <c r="E1183" s="56">
        <f ca="1">IF(PV[[#This Row],[Business Date]]=Control!$C$6, PV[[#This Row],[Notional Value Local Cur]], -PV[[#This Row],[Notional Value Local Cur]])</f>
        <v>0</v>
      </c>
    </row>
    <row r="1184" spans="1:5" x14ac:dyDescent="0.25">
      <c r="A1184" s="36" t="b">
        <v>0</v>
      </c>
      <c r="B1184" s="56" t="b">
        <v>0</v>
      </c>
      <c r="C1184" s="56" t="b">
        <v>0</v>
      </c>
      <c r="D1184" s="56" t="b">
        <v>0</v>
      </c>
      <c r="E1184" s="56">
        <f ca="1">IF(PV[[#This Row],[Business Date]]=Control!$C$6, PV[[#This Row],[Notional Value Local Cur]], -PV[[#This Row],[Notional Value Local Cur]])</f>
        <v>0</v>
      </c>
    </row>
    <row r="1185" spans="1:5" x14ac:dyDescent="0.25">
      <c r="A1185" s="36" t="b">
        <v>0</v>
      </c>
      <c r="B1185" s="56" t="b">
        <v>0</v>
      </c>
      <c r="C1185" s="56" t="b">
        <v>0</v>
      </c>
      <c r="D1185" s="56" t="b">
        <v>0</v>
      </c>
      <c r="E1185" s="56">
        <f ca="1">IF(PV[[#This Row],[Business Date]]=Control!$C$6, PV[[#This Row],[Notional Value Local Cur]], -PV[[#This Row],[Notional Value Local Cur]])</f>
        <v>0</v>
      </c>
    </row>
    <row r="1186" spans="1:5" x14ac:dyDescent="0.25">
      <c r="A1186" s="36" t="b">
        <v>0</v>
      </c>
      <c r="B1186" s="56" t="b">
        <v>0</v>
      </c>
      <c r="C1186" s="56" t="b">
        <v>0</v>
      </c>
      <c r="D1186" s="56" t="b">
        <v>0</v>
      </c>
      <c r="E1186" s="56">
        <f ca="1">IF(PV[[#This Row],[Business Date]]=Control!$C$6, PV[[#This Row],[Notional Value Local Cur]], -PV[[#This Row],[Notional Value Local Cur]])</f>
        <v>0</v>
      </c>
    </row>
    <row r="1187" spans="1:5" x14ac:dyDescent="0.25">
      <c r="A1187" s="36" t="b">
        <v>0</v>
      </c>
      <c r="B1187" s="56" t="b">
        <v>0</v>
      </c>
      <c r="C1187" s="56" t="b">
        <v>0</v>
      </c>
      <c r="D1187" s="56" t="b">
        <v>0</v>
      </c>
      <c r="E1187" s="56">
        <f ca="1">IF(PV[[#This Row],[Business Date]]=Control!$C$6, PV[[#This Row],[Notional Value Local Cur]], -PV[[#This Row],[Notional Value Local Cur]])</f>
        <v>0</v>
      </c>
    </row>
    <row r="1188" spans="1:5" x14ac:dyDescent="0.25">
      <c r="A1188" s="36" t="b">
        <v>0</v>
      </c>
      <c r="B1188" s="56" t="b">
        <v>0</v>
      </c>
      <c r="C1188" s="56" t="b">
        <v>0</v>
      </c>
      <c r="D1188" s="56" t="b">
        <v>0</v>
      </c>
      <c r="E1188" s="56">
        <f ca="1">IF(PV[[#This Row],[Business Date]]=Control!$C$6, PV[[#This Row],[Notional Value Local Cur]], -PV[[#This Row],[Notional Value Local Cur]])</f>
        <v>0</v>
      </c>
    </row>
    <row r="1189" spans="1:5" x14ac:dyDescent="0.25">
      <c r="A1189" s="36" t="b">
        <v>0</v>
      </c>
      <c r="B1189" s="56" t="b">
        <v>0</v>
      </c>
      <c r="C1189" s="56" t="b">
        <v>0</v>
      </c>
      <c r="D1189" s="56" t="b">
        <v>0</v>
      </c>
      <c r="E1189" s="56">
        <f ca="1">IF(PV[[#This Row],[Business Date]]=Control!$C$6, PV[[#This Row],[Notional Value Local Cur]], -PV[[#This Row],[Notional Value Local Cur]])</f>
        <v>0</v>
      </c>
    </row>
    <row r="1190" spans="1:5" x14ac:dyDescent="0.25">
      <c r="A1190" s="36" t="b">
        <v>0</v>
      </c>
      <c r="B1190" s="56" t="b">
        <v>0</v>
      </c>
      <c r="C1190" s="56" t="b">
        <v>0</v>
      </c>
      <c r="D1190" s="56" t="b">
        <v>0</v>
      </c>
      <c r="E1190" s="56">
        <f ca="1">IF(PV[[#This Row],[Business Date]]=Control!$C$6, PV[[#This Row],[Notional Value Local Cur]], -PV[[#This Row],[Notional Value Local Cur]])</f>
        <v>0</v>
      </c>
    </row>
    <row r="1191" spans="1:5" x14ac:dyDescent="0.25">
      <c r="A1191" s="36" t="b">
        <v>0</v>
      </c>
      <c r="B1191" s="56" t="b">
        <v>0</v>
      </c>
      <c r="C1191" s="56" t="b">
        <v>0</v>
      </c>
      <c r="D1191" s="56" t="b">
        <v>0</v>
      </c>
      <c r="E1191" s="56">
        <f ca="1">IF(PV[[#This Row],[Business Date]]=Control!$C$6, PV[[#This Row],[Notional Value Local Cur]], -PV[[#This Row],[Notional Value Local Cur]])</f>
        <v>0</v>
      </c>
    </row>
    <row r="1192" spans="1:5" x14ac:dyDescent="0.25">
      <c r="A1192" s="36" t="b">
        <v>0</v>
      </c>
      <c r="B1192" s="56" t="b">
        <v>0</v>
      </c>
      <c r="C1192" s="56" t="b">
        <v>0</v>
      </c>
      <c r="D1192" s="56" t="b">
        <v>0</v>
      </c>
      <c r="E1192" s="56">
        <f ca="1">IF(PV[[#This Row],[Business Date]]=Control!$C$6, PV[[#This Row],[Notional Value Local Cur]], -PV[[#This Row],[Notional Value Local Cur]])</f>
        <v>0</v>
      </c>
    </row>
    <row r="1193" spans="1:5" x14ac:dyDescent="0.25">
      <c r="A1193" s="36" t="b">
        <v>0</v>
      </c>
      <c r="B1193" s="56" t="b">
        <v>0</v>
      </c>
      <c r="C1193" s="56" t="b">
        <v>0</v>
      </c>
      <c r="D1193" s="56" t="b">
        <v>0</v>
      </c>
      <c r="E1193" s="56">
        <f ca="1">IF(PV[[#This Row],[Business Date]]=Control!$C$6, PV[[#This Row],[Notional Value Local Cur]], -PV[[#This Row],[Notional Value Local Cur]])</f>
        <v>0</v>
      </c>
    </row>
    <row r="1194" spans="1:5" x14ac:dyDescent="0.25">
      <c r="A1194" s="36" t="b">
        <v>0</v>
      </c>
      <c r="B1194" s="56" t="b">
        <v>0</v>
      </c>
      <c r="C1194" s="56" t="b">
        <v>0</v>
      </c>
      <c r="D1194" s="56" t="b">
        <v>0</v>
      </c>
      <c r="E1194" s="56">
        <f ca="1">IF(PV[[#This Row],[Business Date]]=Control!$C$6, PV[[#This Row],[Notional Value Local Cur]], -PV[[#This Row],[Notional Value Local Cur]])</f>
        <v>0</v>
      </c>
    </row>
    <row r="1195" spans="1:5" x14ac:dyDescent="0.25">
      <c r="A1195" s="36" t="b">
        <v>0</v>
      </c>
      <c r="B1195" s="56" t="b">
        <v>0</v>
      </c>
      <c r="C1195" s="56" t="b">
        <v>0</v>
      </c>
      <c r="D1195" s="56" t="b">
        <v>0</v>
      </c>
      <c r="E1195" s="56">
        <f ca="1">IF(PV[[#This Row],[Business Date]]=Control!$C$6, PV[[#This Row],[Notional Value Local Cur]], -PV[[#This Row],[Notional Value Local Cur]])</f>
        <v>0</v>
      </c>
    </row>
    <row r="1196" spans="1:5" x14ac:dyDescent="0.25">
      <c r="A1196" s="36" t="b">
        <v>0</v>
      </c>
      <c r="B1196" s="56" t="b">
        <v>0</v>
      </c>
      <c r="C1196" s="56" t="b">
        <v>0</v>
      </c>
      <c r="D1196" s="56" t="b">
        <v>0</v>
      </c>
      <c r="E1196" s="56">
        <f ca="1">IF(PV[[#This Row],[Business Date]]=Control!$C$6, PV[[#This Row],[Notional Value Local Cur]], -PV[[#This Row],[Notional Value Local Cur]])</f>
        <v>0</v>
      </c>
    </row>
    <row r="1197" spans="1:5" x14ac:dyDescent="0.25">
      <c r="A1197" s="36" t="b">
        <v>0</v>
      </c>
      <c r="B1197" s="56" t="b">
        <v>0</v>
      </c>
      <c r="C1197" s="56" t="b">
        <v>0</v>
      </c>
      <c r="D1197" s="56" t="b">
        <v>0</v>
      </c>
      <c r="E1197" s="56">
        <f ca="1">IF(PV[[#This Row],[Business Date]]=Control!$C$6, PV[[#This Row],[Notional Value Local Cur]], -PV[[#This Row],[Notional Value Local Cur]])</f>
        <v>0</v>
      </c>
    </row>
    <row r="1198" spans="1:5" x14ac:dyDescent="0.25">
      <c r="A1198" s="36" t="b">
        <v>0</v>
      </c>
      <c r="B1198" s="56" t="b">
        <v>0</v>
      </c>
      <c r="C1198" s="56" t="b">
        <v>0</v>
      </c>
      <c r="D1198" s="56" t="b">
        <v>0</v>
      </c>
      <c r="E1198" s="56">
        <f ca="1">IF(PV[[#This Row],[Business Date]]=Control!$C$6, PV[[#This Row],[Notional Value Local Cur]], -PV[[#This Row],[Notional Value Local Cur]])</f>
        <v>0</v>
      </c>
    </row>
    <row r="1199" spans="1:5" x14ac:dyDescent="0.25">
      <c r="A1199" s="36" t="b">
        <v>0</v>
      </c>
      <c r="B1199" s="56" t="b">
        <v>0</v>
      </c>
      <c r="C1199" s="56" t="b">
        <v>0</v>
      </c>
      <c r="D1199" s="56" t="b">
        <v>0</v>
      </c>
      <c r="E1199" s="56">
        <f ca="1">IF(PV[[#This Row],[Business Date]]=Control!$C$6, PV[[#This Row],[Notional Value Local Cur]], -PV[[#This Row],[Notional Value Local Cur]])</f>
        <v>0</v>
      </c>
    </row>
    <row r="1200" spans="1:5" x14ac:dyDescent="0.25">
      <c r="A1200" s="36" t="b">
        <v>0</v>
      </c>
      <c r="B1200" s="56" t="b">
        <v>0</v>
      </c>
      <c r="C1200" s="56" t="b">
        <v>0</v>
      </c>
      <c r="D1200" s="56" t="b">
        <v>0</v>
      </c>
      <c r="E1200" s="56">
        <f ca="1">IF(PV[[#This Row],[Business Date]]=Control!$C$6, PV[[#This Row],[Notional Value Local Cur]], -PV[[#This Row],[Notional Value Local Cur]])</f>
        <v>0</v>
      </c>
    </row>
    <row r="1201" spans="1:5" x14ac:dyDescent="0.25">
      <c r="A1201" s="36" t="b">
        <v>0</v>
      </c>
      <c r="B1201" s="56" t="b">
        <v>0</v>
      </c>
      <c r="C1201" s="56" t="b">
        <v>0</v>
      </c>
      <c r="D1201" s="56" t="b">
        <v>0</v>
      </c>
      <c r="E1201" s="56">
        <f ca="1">IF(PV[[#This Row],[Business Date]]=Control!$C$6, PV[[#This Row],[Notional Value Local Cur]], -PV[[#This Row],[Notional Value Local Cur]])</f>
        <v>0</v>
      </c>
    </row>
    <row r="1202" spans="1:5" x14ac:dyDescent="0.25">
      <c r="A1202" s="36" t="b">
        <v>0</v>
      </c>
      <c r="B1202" s="56" t="b">
        <v>0</v>
      </c>
      <c r="C1202" s="56" t="b">
        <v>0</v>
      </c>
      <c r="D1202" s="56" t="b">
        <v>0</v>
      </c>
      <c r="E1202" s="56">
        <f ca="1">IF(PV[[#This Row],[Business Date]]=Control!$C$6, PV[[#This Row],[Notional Value Local Cur]], -PV[[#This Row],[Notional Value Local Cur]])</f>
        <v>0</v>
      </c>
    </row>
    <row r="1203" spans="1:5" x14ac:dyDescent="0.25">
      <c r="A1203" s="36" t="b">
        <v>0</v>
      </c>
      <c r="B1203" s="56" t="b">
        <v>0</v>
      </c>
      <c r="C1203" s="56" t="b">
        <v>0</v>
      </c>
      <c r="D1203" s="56" t="b">
        <v>0</v>
      </c>
      <c r="E1203" s="56">
        <f ca="1">IF(PV[[#This Row],[Business Date]]=Control!$C$6, PV[[#This Row],[Notional Value Local Cur]], -PV[[#This Row],[Notional Value Local Cur]])</f>
        <v>0</v>
      </c>
    </row>
    <row r="1204" spans="1:5" x14ac:dyDescent="0.25">
      <c r="A1204" s="36" t="b">
        <v>0</v>
      </c>
      <c r="B1204" s="56" t="b">
        <v>0</v>
      </c>
      <c r="C1204" s="56" t="b">
        <v>0</v>
      </c>
      <c r="D1204" s="56" t="b">
        <v>0</v>
      </c>
      <c r="E1204" s="56">
        <f ca="1">IF(PV[[#This Row],[Business Date]]=Control!$C$6, PV[[#This Row],[Notional Value Local Cur]], -PV[[#This Row],[Notional Value Local Cur]])</f>
        <v>0</v>
      </c>
    </row>
    <row r="1205" spans="1:5" x14ac:dyDescent="0.25">
      <c r="A1205" s="36" t="b">
        <v>0</v>
      </c>
      <c r="B1205" s="56" t="b">
        <v>0</v>
      </c>
      <c r="C1205" s="56" t="b">
        <v>0</v>
      </c>
      <c r="D1205" s="56" t="b">
        <v>0</v>
      </c>
      <c r="E1205" s="56">
        <f ca="1">IF(PV[[#This Row],[Business Date]]=Control!$C$6, PV[[#This Row],[Notional Value Local Cur]], -PV[[#This Row],[Notional Value Local Cur]])</f>
        <v>0</v>
      </c>
    </row>
    <row r="1206" spans="1:5" x14ac:dyDescent="0.25">
      <c r="A1206" s="36" t="b">
        <v>0</v>
      </c>
      <c r="B1206" s="56" t="b">
        <v>0</v>
      </c>
      <c r="C1206" s="56" t="b">
        <v>0</v>
      </c>
      <c r="D1206" s="56" t="b">
        <v>0</v>
      </c>
      <c r="E1206" s="56">
        <f ca="1">IF(PV[[#This Row],[Business Date]]=Control!$C$6, PV[[#This Row],[Notional Value Local Cur]], -PV[[#This Row],[Notional Value Local Cur]])</f>
        <v>0</v>
      </c>
    </row>
    <row r="1207" spans="1:5" x14ac:dyDescent="0.25">
      <c r="A1207" s="36" t="b">
        <v>0</v>
      </c>
      <c r="B1207" s="56" t="b">
        <v>0</v>
      </c>
      <c r="C1207" s="56" t="b">
        <v>0</v>
      </c>
      <c r="D1207" s="56" t="b">
        <v>0</v>
      </c>
      <c r="E1207" s="56">
        <f ca="1">IF(PV[[#This Row],[Business Date]]=Control!$C$6, PV[[#This Row],[Notional Value Local Cur]], -PV[[#This Row],[Notional Value Local Cur]])</f>
        <v>0</v>
      </c>
    </row>
    <row r="1208" spans="1:5" x14ac:dyDescent="0.25">
      <c r="A1208" s="36" t="b">
        <v>0</v>
      </c>
      <c r="B1208" s="56" t="b">
        <v>0</v>
      </c>
      <c r="C1208" s="56" t="b">
        <v>0</v>
      </c>
      <c r="D1208" s="56" t="b">
        <v>0</v>
      </c>
      <c r="E1208" s="56">
        <f ca="1">IF(PV[[#This Row],[Business Date]]=Control!$C$6, PV[[#This Row],[Notional Value Local Cur]], -PV[[#This Row],[Notional Value Local Cur]])</f>
        <v>0</v>
      </c>
    </row>
    <row r="1209" spans="1:5" x14ac:dyDescent="0.25">
      <c r="A1209" s="36" t="b">
        <v>0</v>
      </c>
      <c r="B1209" s="56" t="b">
        <v>0</v>
      </c>
      <c r="C1209" s="56" t="b">
        <v>0</v>
      </c>
      <c r="D1209" s="56" t="b">
        <v>0</v>
      </c>
      <c r="E1209" s="56">
        <f ca="1">IF(PV[[#This Row],[Business Date]]=Control!$C$6, PV[[#This Row],[Notional Value Local Cur]], -PV[[#This Row],[Notional Value Local Cur]])</f>
        <v>0</v>
      </c>
    </row>
    <row r="1210" spans="1:5" x14ac:dyDescent="0.25">
      <c r="A1210" s="36" t="b">
        <v>0</v>
      </c>
      <c r="B1210" s="56" t="b">
        <v>0</v>
      </c>
      <c r="C1210" s="56" t="b">
        <v>0</v>
      </c>
      <c r="D1210" s="56" t="b">
        <v>0</v>
      </c>
      <c r="E1210" s="56">
        <f ca="1">IF(PV[[#This Row],[Business Date]]=Control!$C$6, PV[[#This Row],[Notional Value Local Cur]], -PV[[#This Row],[Notional Value Local Cur]])</f>
        <v>0</v>
      </c>
    </row>
    <row r="1211" spans="1:5" x14ac:dyDescent="0.25">
      <c r="A1211" s="36" t="b">
        <v>0</v>
      </c>
      <c r="B1211" s="56" t="b">
        <v>0</v>
      </c>
      <c r="C1211" s="56" t="b">
        <v>0</v>
      </c>
      <c r="D1211" s="56" t="b">
        <v>0</v>
      </c>
      <c r="E1211" s="56">
        <f ca="1">IF(PV[[#This Row],[Business Date]]=Control!$C$6, PV[[#This Row],[Notional Value Local Cur]], -PV[[#This Row],[Notional Value Local Cur]])</f>
        <v>0</v>
      </c>
    </row>
    <row r="1212" spans="1:5" x14ac:dyDescent="0.25">
      <c r="A1212" s="36" t="b">
        <v>0</v>
      </c>
      <c r="B1212" s="56" t="b">
        <v>0</v>
      </c>
      <c r="C1212" s="56" t="b">
        <v>0</v>
      </c>
      <c r="D1212" s="56" t="b">
        <v>0</v>
      </c>
      <c r="E1212" s="56">
        <f ca="1">IF(PV[[#This Row],[Business Date]]=Control!$C$6, PV[[#This Row],[Notional Value Local Cur]], -PV[[#This Row],[Notional Value Local Cur]])</f>
        <v>0</v>
      </c>
    </row>
    <row r="1213" spans="1:5" x14ac:dyDescent="0.25">
      <c r="A1213" s="36" t="b">
        <v>0</v>
      </c>
      <c r="B1213" s="56" t="b">
        <v>0</v>
      </c>
      <c r="C1213" s="56" t="b">
        <v>0</v>
      </c>
      <c r="D1213" s="56" t="b">
        <v>0</v>
      </c>
      <c r="E1213" s="56">
        <f ca="1">IF(PV[[#This Row],[Business Date]]=Control!$C$6, PV[[#This Row],[Notional Value Local Cur]], -PV[[#This Row],[Notional Value Local Cur]])</f>
        <v>0</v>
      </c>
    </row>
    <row r="1214" spans="1:5" x14ac:dyDescent="0.25">
      <c r="A1214" s="36" t="b">
        <v>0</v>
      </c>
      <c r="B1214" s="56" t="b">
        <v>0</v>
      </c>
      <c r="C1214" s="56" t="b">
        <v>0</v>
      </c>
      <c r="D1214" s="56" t="b">
        <v>0</v>
      </c>
      <c r="E1214" s="56">
        <f ca="1">IF(PV[[#This Row],[Business Date]]=Control!$C$6, PV[[#This Row],[Notional Value Local Cur]], -PV[[#This Row],[Notional Value Local Cur]])</f>
        <v>0</v>
      </c>
    </row>
    <row r="1215" spans="1:5" x14ac:dyDescent="0.25">
      <c r="A1215" s="36" t="b">
        <v>0</v>
      </c>
      <c r="B1215" s="56" t="b">
        <v>0</v>
      </c>
      <c r="C1215" s="56" t="b">
        <v>0</v>
      </c>
      <c r="D1215" s="56" t="b">
        <v>0</v>
      </c>
      <c r="E1215" s="56">
        <f ca="1">IF(PV[[#This Row],[Business Date]]=Control!$C$6, PV[[#This Row],[Notional Value Local Cur]], -PV[[#This Row],[Notional Value Local Cur]])</f>
        <v>0</v>
      </c>
    </row>
    <row r="1216" spans="1:5" x14ac:dyDescent="0.25">
      <c r="A1216" s="36" t="b">
        <v>0</v>
      </c>
      <c r="B1216" s="56" t="b">
        <v>0</v>
      </c>
      <c r="C1216" s="56" t="b">
        <v>0</v>
      </c>
      <c r="D1216" s="56" t="b">
        <v>0</v>
      </c>
      <c r="E1216" s="56">
        <f ca="1">IF(PV[[#This Row],[Business Date]]=Control!$C$6, PV[[#This Row],[Notional Value Local Cur]], -PV[[#This Row],[Notional Value Local Cur]])</f>
        <v>0</v>
      </c>
    </row>
    <row r="1217" spans="1:5" x14ac:dyDescent="0.25">
      <c r="A1217" s="36" t="b">
        <v>0</v>
      </c>
      <c r="B1217" s="56" t="b">
        <v>0</v>
      </c>
      <c r="C1217" s="56" t="b">
        <v>0</v>
      </c>
      <c r="D1217" s="56" t="b">
        <v>0</v>
      </c>
      <c r="E1217" s="56">
        <f ca="1">IF(PV[[#This Row],[Business Date]]=Control!$C$6, PV[[#This Row],[Notional Value Local Cur]], -PV[[#This Row],[Notional Value Local Cur]])</f>
        <v>0</v>
      </c>
    </row>
    <row r="1218" spans="1:5" x14ac:dyDescent="0.25">
      <c r="A1218" s="36" t="b">
        <v>0</v>
      </c>
      <c r="B1218" s="56" t="b">
        <v>0</v>
      </c>
      <c r="C1218" s="56" t="b">
        <v>0</v>
      </c>
      <c r="D1218" s="56" t="b">
        <v>0</v>
      </c>
      <c r="E1218" s="56">
        <f ca="1">IF(PV[[#This Row],[Business Date]]=Control!$C$6, PV[[#This Row],[Notional Value Local Cur]], -PV[[#This Row],[Notional Value Local Cur]])</f>
        <v>0</v>
      </c>
    </row>
    <row r="1219" spans="1:5" x14ac:dyDescent="0.25">
      <c r="A1219" s="36" t="b">
        <v>0</v>
      </c>
      <c r="B1219" s="56" t="b">
        <v>0</v>
      </c>
      <c r="C1219" s="56" t="b">
        <v>0</v>
      </c>
      <c r="D1219" s="56" t="b">
        <v>0</v>
      </c>
      <c r="E1219" s="56">
        <f ca="1">IF(PV[[#This Row],[Business Date]]=Control!$C$6, PV[[#This Row],[Notional Value Local Cur]], -PV[[#This Row],[Notional Value Local Cur]])</f>
        <v>0</v>
      </c>
    </row>
    <row r="1220" spans="1:5" x14ac:dyDescent="0.25">
      <c r="A1220" s="36" t="b">
        <v>0</v>
      </c>
      <c r="B1220" s="56" t="b">
        <v>0</v>
      </c>
      <c r="C1220" s="56" t="b">
        <v>0</v>
      </c>
      <c r="D1220" s="56" t="b">
        <v>0</v>
      </c>
      <c r="E1220" s="56">
        <f ca="1">IF(PV[[#This Row],[Business Date]]=Control!$C$6, PV[[#This Row],[Notional Value Local Cur]], -PV[[#This Row],[Notional Value Local Cur]])</f>
        <v>0</v>
      </c>
    </row>
    <row r="1221" spans="1:5" x14ac:dyDescent="0.25">
      <c r="A1221" s="36" t="b">
        <v>0</v>
      </c>
      <c r="B1221" s="56" t="b">
        <v>0</v>
      </c>
      <c r="C1221" s="56" t="b">
        <v>0</v>
      </c>
      <c r="D1221" s="56" t="b">
        <v>0</v>
      </c>
      <c r="E1221" s="56">
        <f ca="1">IF(PV[[#This Row],[Business Date]]=Control!$C$6, PV[[#This Row],[Notional Value Local Cur]], -PV[[#This Row],[Notional Value Local Cur]])</f>
        <v>0</v>
      </c>
    </row>
    <row r="1222" spans="1:5" x14ac:dyDescent="0.25">
      <c r="A1222" s="36" t="b">
        <v>0</v>
      </c>
      <c r="B1222" s="56" t="b">
        <v>0</v>
      </c>
      <c r="C1222" s="56" t="b">
        <v>0</v>
      </c>
      <c r="D1222" s="56" t="b">
        <v>0</v>
      </c>
      <c r="E1222" s="56">
        <f ca="1">IF(PV[[#This Row],[Business Date]]=Control!$C$6, PV[[#This Row],[Notional Value Local Cur]], -PV[[#This Row],[Notional Value Local Cur]])</f>
        <v>0</v>
      </c>
    </row>
    <row r="1223" spans="1:5" x14ac:dyDescent="0.25">
      <c r="A1223" s="36" t="b">
        <v>0</v>
      </c>
      <c r="B1223" s="56" t="b">
        <v>0</v>
      </c>
      <c r="C1223" s="56" t="b">
        <v>0</v>
      </c>
      <c r="D1223" s="56" t="b">
        <v>0</v>
      </c>
      <c r="E1223" s="56">
        <f ca="1">IF(PV[[#This Row],[Business Date]]=Control!$C$6, PV[[#This Row],[Notional Value Local Cur]], -PV[[#This Row],[Notional Value Local Cur]])</f>
        <v>0</v>
      </c>
    </row>
    <row r="1224" spans="1:5" x14ac:dyDescent="0.25">
      <c r="A1224" s="36" t="b">
        <v>0</v>
      </c>
      <c r="B1224" s="56" t="b">
        <v>0</v>
      </c>
      <c r="C1224" s="56" t="b">
        <v>0</v>
      </c>
      <c r="D1224" s="56" t="b">
        <v>0</v>
      </c>
      <c r="E1224" s="56">
        <f ca="1">IF(PV[[#This Row],[Business Date]]=Control!$C$6, PV[[#This Row],[Notional Value Local Cur]], -PV[[#This Row],[Notional Value Local Cur]])</f>
        <v>0</v>
      </c>
    </row>
    <row r="1225" spans="1:5" x14ac:dyDescent="0.25">
      <c r="A1225" s="36" t="b">
        <v>0</v>
      </c>
      <c r="B1225" s="56" t="b">
        <v>0</v>
      </c>
      <c r="C1225" s="56" t="b">
        <v>0</v>
      </c>
      <c r="D1225" s="56" t="b">
        <v>0</v>
      </c>
      <c r="E1225" s="56">
        <f ca="1">IF(PV[[#This Row],[Business Date]]=Control!$C$6, PV[[#This Row],[Notional Value Local Cur]], -PV[[#This Row],[Notional Value Local Cur]])</f>
        <v>0</v>
      </c>
    </row>
    <row r="1226" spans="1:5" x14ac:dyDescent="0.25">
      <c r="A1226" s="36" t="b">
        <v>0</v>
      </c>
      <c r="B1226" s="56" t="b">
        <v>0</v>
      </c>
      <c r="C1226" s="56" t="b">
        <v>0</v>
      </c>
      <c r="D1226" s="56" t="b">
        <v>0</v>
      </c>
      <c r="E1226" s="56">
        <f ca="1">IF(PV[[#This Row],[Business Date]]=Control!$C$6, PV[[#This Row],[Notional Value Local Cur]], -PV[[#This Row],[Notional Value Local Cur]])</f>
        <v>0</v>
      </c>
    </row>
    <row r="1227" spans="1:5" x14ac:dyDescent="0.25">
      <c r="A1227" s="36" t="b">
        <v>0</v>
      </c>
      <c r="B1227" s="56" t="b">
        <v>0</v>
      </c>
      <c r="C1227" s="56" t="b">
        <v>0</v>
      </c>
      <c r="D1227" s="56" t="b">
        <v>0</v>
      </c>
      <c r="E1227" s="56">
        <f ca="1">IF(PV[[#This Row],[Business Date]]=Control!$C$6, PV[[#This Row],[Notional Value Local Cur]], -PV[[#This Row],[Notional Value Local Cur]])</f>
        <v>0</v>
      </c>
    </row>
    <row r="1228" spans="1:5" x14ac:dyDescent="0.25">
      <c r="A1228" s="36" t="b">
        <v>0</v>
      </c>
      <c r="B1228" s="56" t="b">
        <v>0</v>
      </c>
      <c r="C1228" s="56" t="b">
        <v>0</v>
      </c>
      <c r="D1228" s="56" t="b">
        <v>0</v>
      </c>
      <c r="E1228" s="56">
        <f ca="1">IF(PV[[#This Row],[Business Date]]=Control!$C$6, PV[[#This Row],[Notional Value Local Cur]], -PV[[#This Row],[Notional Value Local Cur]])</f>
        <v>0</v>
      </c>
    </row>
    <row r="1229" spans="1:5" x14ac:dyDescent="0.25">
      <c r="A1229" s="36" t="b">
        <v>0</v>
      </c>
      <c r="B1229" s="56" t="b">
        <v>0</v>
      </c>
      <c r="C1229" s="56" t="b">
        <v>0</v>
      </c>
      <c r="D1229" s="56" t="b">
        <v>0</v>
      </c>
      <c r="E1229" s="56">
        <f ca="1">IF(PV[[#This Row],[Business Date]]=Control!$C$6, PV[[#This Row],[Notional Value Local Cur]], -PV[[#This Row],[Notional Value Local Cur]])</f>
        <v>0</v>
      </c>
    </row>
    <row r="1230" spans="1:5" x14ac:dyDescent="0.25">
      <c r="A1230" s="36" t="b">
        <v>0</v>
      </c>
      <c r="B1230" s="56" t="b">
        <v>0</v>
      </c>
      <c r="C1230" s="56" t="b">
        <v>0</v>
      </c>
      <c r="D1230" s="56" t="b">
        <v>0</v>
      </c>
      <c r="E1230" s="56">
        <f ca="1">IF(PV[[#This Row],[Business Date]]=Control!$C$6, PV[[#This Row],[Notional Value Local Cur]], -PV[[#This Row],[Notional Value Local Cur]])</f>
        <v>0</v>
      </c>
    </row>
    <row r="1231" spans="1:5" x14ac:dyDescent="0.25">
      <c r="A1231" s="36" t="b">
        <v>0</v>
      </c>
      <c r="B1231" s="56" t="b">
        <v>0</v>
      </c>
      <c r="C1231" s="56" t="b">
        <v>0</v>
      </c>
      <c r="D1231" s="56" t="b">
        <v>0</v>
      </c>
      <c r="E1231" s="56">
        <f ca="1">IF(PV[[#This Row],[Business Date]]=Control!$C$6, PV[[#This Row],[Notional Value Local Cur]], -PV[[#This Row],[Notional Value Local Cur]])</f>
        <v>0</v>
      </c>
    </row>
    <row r="1232" spans="1:5" x14ac:dyDescent="0.25">
      <c r="A1232" s="36" t="b">
        <v>0</v>
      </c>
      <c r="B1232" s="56" t="b">
        <v>0</v>
      </c>
      <c r="C1232" s="56" t="b">
        <v>0</v>
      </c>
      <c r="D1232" s="56" t="b">
        <v>0</v>
      </c>
      <c r="E1232" s="56">
        <f ca="1">IF(PV[[#This Row],[Business Date]]=Control!$C$6, PV[[#This Row],[Notional Value Local Cur]], -PV[[#This Row],[Notional Value Local Cur]])</f>
        <v>0</v>
      </c>
    </row>
    <row r="1233" spans="1:5" x14ac:dyDescent="0.25">
      <c r="A1233" s="36" t="b">
        <v>0</v>
      </c>
      <c r="B1233" s="56" t="b">
        <v>0</v>
      </c>
      <c r="C1233" s="56" t="b">
        <v>0</v>
      </c>
      <c r="D1233" s="56" t="b">
        <v>0</v>
      </c>
      <c r="E1233" s="56">
        <f ca="1">IF(PV[[#This Row],[Business Date]]=Control!$C$6, PV[[#This Row],[Notional Value Local Cur]], -PV[[#This Row],[Notional Value Local Cur]])</f>
        <v>0</v>
      </c>
    </row>
    <row r="1234" spans="1:5" x14ac:dyDescent="0.25">
      <c r="A1234" s="36" t="b">
        <v>0</v>
      </c>
      <c r="B1234" s="56" t="b">
        <v>0</v>
      </c>
      <c r="C1234" s="56" t="b">
        <v>0</v>
      </c>
      <c r="D1234" s="56" t="b">
        <v>0</v>
      </c>
      <c r="E1234" s="56">
        <f ca="1">IF(PV[[#This Row],[Business Date]]=Control!$C$6, PV[[#This Row],[Notional Value Local Cur]], -PV[[#This Row],[Notional Value Local Cur]])</f>
        <v>0</v>
      </c>
    </row>
    <row r="1235" spans="1:5" x14ac:dyDescent="0.25">
      <c r="A1235" s="36" t="b">
        <v>0</v>
      </c>
      <c r="B1235" s="56" t="b">
        <v>0</v>
      </c>
      <c r="C1235" s="56" t="b">
        <v>0</v>
      </c>
      <c r="D1235" s="56" t="b">
        <v>0</v>
      </c>
      <c r="E1235" s="56">
        <f ca="1">IF(PV[[#This Row],[Business Date]]=Control!$C$6, PV[[#This Row],[Notional Value Local Cur]], -PV[[#This Row],[Notional Value Local Cur]])</f>
        <v>0</v>
      </c>
    </row>
    <row r="1236" spans="1:5" x14ac:dyDescent="0.25">
      <c r="A1236" s="36" t="b">
        <v>0</v>
      </c>
      <c r="B1236" s="56" t="b">
        <v>0</v>
      </c>
      <c r="C1236" s="56" t="b">
        <v>0</v>
      </c>
      <c r="D1236" s="56" t="b">
        <v>0</v>
      </c>
      <c r="E1236" s="56">
        <f ca="1">IF(PV[[#This Row],[Business Date]]=Control!$C$6, PV[[#This Row],[Notional Value Local Cur]], -PV[[#This Row],[Notional Value Local Cur]])</f>
        <v>0</v>
      </c>
    </row>
    <row r="1237" spans="1:5" x14ac:dyDescent="0.25">
      <c r="A1237" s="36" t="b">
        <v>0</v>
      </c>
      <c r="B1237" s="56" t="b">
        <v>0</v>
      </c>
      <c r="C1237" s="56" t="b">
        <v>0</v>
      </c>
      <c r="D1237" s="56" t="b">
        <v>0</v>
      </c>
      <c r="E1237" s="56">
        <f ca="1">IF(PV[[#This Row],[Business Date]]=Control!$C$6, PV[[#This Row],[Notional Value Local Cur]], -PV[[#This Row],[Notional Value Local Cur]])</f>
        <v>0</v>
      </c>
    </row>
    <row r="1238" spans="1:5" x14ac:dyDescent="0.25">
      <c r="A1238" s="36" t="b">
        <v>0</v>
      </c>
      <c r="B1238" s="56" t="b">
        <v>0</v>
      </c>
      <c r="C1238" s="56" t="b">
        <v>0</v>
      </c>
      <c r="D1238" s="56" t="b">
        <v>0</v>
      </c>
      <c r="E1238" s="56">
        <f ca="1">IF(PV[[#This Row],[Business Date]]=Control!$C$6, PV[[#This Row],[Notional Value Local Cur]], -PV[[#This Row],[Notional Value Local Cur]])</f>
        <v>0</v>
      </c>
    </row>
    <row r="1239" spans="1:5" x14ac:dyDescent="0.25">
      <c r="A1239" s="36" t="b">
        <v>0</v>
      </c>
      <c r="B1239" s="56" t="b">
        <v>0</v>
      </c>
      <c r="C1239" s="56" t="b">
        <v>0</v>
      </c>
      <c r="D1239" s="56" t="b">
        <v>0</v>
      </c>
      <c r="E1239" s="56">
        <f ca="1">IF(PV[[#This Row],[Business Date]]=Control!$C$6, PV[[#This Row],[Notional Value Local Cur]], -PV[[#This Row],[Notional Value Local Cur]])</f>
        <v>0</v>
      </c>
    </row>
    <row r="1240" spans="1:5" x14ac:dyDescent="0.25">
      <c r="A1240" s="36" t="b">
        <v>0</v>
      </c>
      <c r="B1240" s="56" t="b">
        <v>0</v>
      </c>
      <c r="C1240" s="56" t="b">
        <v>0</v>
      </c>
      <c r="D1240" s="56" t="b">
        <v>0</v>
      </c>
      <c r="E1240" s="56">
        <f ca="1">IF(PV[[#This Row],[Business Date]]=Control!$C$6, PV[[#This Row],[Notional Value Local Cur]], -PV[[#This Row],[Notional Value Local Cur]])</f>
        <v>0</v>
      </c>
    </row>
    <row r="1241" spans="1:5" x14ac:dyDescent="0.25">
      <c r="A1241" s="36" t="b">
        <v>0</v>
      </c>
      <c r="B1241" s="56" t="b">
        <v>0</v>
      </c>
      <c r="C1241" s="56" t="b">
        <v>0</v>
      </c>
      <c r="D1241" s="56" t="b">
        <v>0</v>
      </c>
      <c r="E1241" s="56">
        <f ca="1">IF(PV[[#This Row],[Business Date]]=Control!$C$6, PV[[#This Row],[Notional Value Local Cur]], -PV[[#This Row],[Notional Value Local Cur]])</f>
        <v>0</v>
      </c>
    </row>
    <row r="1242" spans="1:5" x14ac:dyDescent="0.25">
      <c r="A1242" s="36" t="b">
        <v>0</v>
      </c>
      <c r="B1242" s="56" t="b">
        <v>0</v>
      </c>
      <c r="C1242" s="56" t="b">
        <v>0</v>
      </c>
      <c r="D1242" s="56" t="b">
        <v>0</v>
      </c>
      <c r="E1242" s="56">
        <f ca="1">IF(PV[[#This Row],[Business Date]]=Control!$C$6, PV[[#This Row],[Notional Value Local Cur]], -PV[[#This Row],[Notional Value Local Cur]])</f>
        <v>0</v>
      </c>
    </row>
    <row r="1243" spans="1:5" x14ac:dyDescent="0.25">
      <c r="A1243" s="36" t="b">
        <v>0</v>
      </c>
      <c r="B1243" s="56" t="b">
        <v>0</v>
      </c>
      <c r="C1243" s="56" t="b">
        <v>0</v>
      </c>
      <c r="D1243" s="56" t="b">
        <v>0</v>
      </c>
      <c r="E1243" s="56">
        <f ca="1">IF(PV[[#This Row],[Business Date]]=Control!$C$6, PV[[#This Row],[Notional Value Local Cur]], -PV[[#This Row],[Notional Value Local Cur]])</f>
        <v>0</v>
      </c>
    </row>
    <row r="1244" spans="1:5" x14ac:dyDescent="0.25">
      <c r="A1244" s="36" t="b">
        <v>0</v>
      </c>
      <c r="B1244" s="56" t="b">
        <v>0</v>
      </c>
      <c r="C1244" s="56" t="b">
        <v>0</v>
      </c>
      <c r="D1244" s="56" t="b">
        <v>0</v>
      </c>
      <c r="E1244" s="56">
        <f ca="1">IF(PV[[#This Row],[Business Date]]=Control!$C$6, PV[[#This Row],[Notional Value Local Cur]], -PV[[#This Row],[Notional Value Local Cur]])</f>
        <v>0</v>
      </c>
    </row>
    <row r="1245" spans="1:5" x14ac:dyDescent="0.25">
      <c r="A1245" s="36" t="b">
        <v>0</v>
      </c>
      <c r="B1245" s="56" t="b">
        <v>0</v>
      </c>
      <c r="C1245" s="56" t="b">
        <v>0</v>
      </c>
      <c r="D1245" s="56" t="b">
        <v>0</v>
      </c>
      <c r="E1245" s="56">
        <f ca="1">IF(PV[[#This Row],[Business Date]]=Control!$C$6, PV[[#This Row],[Notional Value Local Cur]], -PV[[#This Row],[Notional Value Local Cur]])</f>
        <v>0</v>
      </c>
    </row>
    <row r="1246" spans="1:5" x14ac:dyDescent="0.25">
      <c r="A1246" s="36" t="b">
        <v>0</v>
      </c>
      <c r="B1246" s="56" t="b">
        <v>0</v>
      </c>
      <c r="C1246" s="56" t="b">
        <v>0</v>
      </c>
      <c r="D1246" s="56" t="b">
        <v>0</v>
      </c>
      <c r="E1246" s="56">
        <f ca="1">IF(PV[[#This Row],[Business Date]]=Control!$C$6, PV[[#This Row],[Notional Value Local Cur]], -PV[[#This Row],[Notional Value Local Cur]])</f>
        <v>0</v>
      </c>
    </row>
    <row r="1247" spans="1:5" x14ac:dyDescent="0.25">
      <c r="A1247" s="36" t="b">
        <v>0</v>
      </c>
      <c r="B1247" s="56" t="b">
        <v>0</v>
      </c>
      <c r="C1247" s="56" t="b">
        <v>0</v>
      </c>
      <c r="D1247" s="56" t="b">
        <v>0</v>
      </c>
      <c r="E1247" s="56">
        <f ca="1">IF(PV[[#This Row],[Business Date]]=Control!$C$6, PV[[#This Row],[Notional Value Local Cur]], -PV[[#This Row],[Notional Value Local Cur]])</f>
        <v>0</v>
      </c>
    </row>
    <row r="1248" spans="1:5" x14ac:dyDescent="0.25">
      <c r="A1248" s="36" t="b">
        <v>0</v>
      </c>
      <c r="B1248" s="56" t="b">
        <v>0</v>
      </c>
      <c r="C1248" s="56" t="b">
        <v>0</v>
      </c>
      <c r="D1248" s="56" t="b">
        <v>0</v>
      </c>
      <c r="E1248" s="56">
        <f ca="1">IF(PV[[#This Row],[Business Date]]=Control!$C$6, PV[[#This Row],[Notional Value Local Cur]], -PV[[#This Row],[Notional Value Local Cur]])</f>
        <v>0</v>
      </c>
    </row>
    <row r="1249" spans="1:5" x14ac:dyDescent="0.25">
      <c r="A1249" s="36" t="b">
        <v>0</v>
      </c>
      <c r="B1249" s="56" t="b">
        <v>0</v>
      </c>
      <c r="C1249" s="56" t="b">
        <v>0</v>
      </c>
      <c r="D1249" s="56" t="b">
        <v>0</v>
      </c>
      <c r="E1249" s="56">
        <f ca="1">IF(PV[[#This Row],[Business Date]]=Control!$C$6, PV[[#This Row],[Notional Value Local Cur]], -PV[[#This Row],[Notional Value Local Cur]])</f>
        <v>0</v>
      </c>
    </row>
    <row r="1250" spans="1:5" x14ac:dyDescent="0.25">
      <c r="A1250" s="36" t="b">
        <v>0</v>
      </c>
      <c r="B1250" s="56" t="b">
        <v>0</v>
      </c>
      <c r="C1250" s="56" t="b">
        <v>0</v>
      </c>
      <c r="D1250" s="56" t="b">
        <v>0</v>
      </c>
      <c r="E1250" s="56">
        <f ca="1">IF(PV[[#This Row],[Business Date]]=Control!$C$6, PV[[#This Row],[Notional Value Local Cur]], -PV[[#This Row],[Notional Value Local Cur]])</f>
        <v>0</v>
      </c>
    </row>
    <row r="1251" spans="1:5" x14ac:dyDescent="0.25">
      <c r="A1251" s="36" t="b">
        <v>0</v>
      </c>
      <c r="B1251" s="56" t="b">
        <v>0</v>
      </c>
      <c r="C1251" s="56" t="b">
        <v>0</v>
      </c>
      <c r="D1251" s="56" t="b">
        <v>0</v>
      </c>
      <c r="E1251" s="56">
        <f ca="1">IF(PV[[#This Row],[Business Date]]=Control!$C$6, PV[[#This Row],[Notional Value Local Cur]], -PV[[#This Row],[Notional Value Local Cur]])</f>
        <v>0</v>
      </c>
    </row>
    <row r="1252" spans="1:5" x14ac:dyDescent="0.25">
      <c r="A1252" s="36" t="b">
        <v>0</v>
      </c>
      <c r="B1252" s="56" t="b">
        <v>0</v>
      </c>
      <c r="C1252" s="56" t="b">
        <v>0</v>
      </c>
      <c r="D1252" s="56" t="b">
        <v>0</v>
      </c>
      <c r="E1252" s="56">
        <f ca="1">IF(PV[[#This Row],[Business Date]]=Control!$C$6, PV[[#This Row],[Notional Value Local Cur]], -PV[[#This Row],[Notional Value Local Cur]])</f>
        <v>0</v>
      </c>
    </row>
    <row r="1253" spans="1:5" x14ac:dyDescent="0.25">
      <c r="A1253" s="36" t="b">
        <v>0</v>
      </c>
      <c r="B1253" s="56" t="b">
        <v>0</v>
      </c>
      <c r="C1253" s="56" t="b">
        <v>0</v>
      </c>
      <c r="D1253" s="56" t="b">
        <v>0</v>
      </c>
      <c r="E1253" s="56">
        <f ca="1">IF(PV[[#This Row],[Business Date]]=Control!$C$6, PV[[#This Row],[Notional Value Local Cur]], -PV[[#This Row],[Notional Value Local Cur]])</f>
        <v>0</v>
      </c>
    </row>
    <row r="1254" spans="1:5" x14ac:dyDescent="0.25">
      <c r="A1254" s="36" t="b">
        <v>0</v>
      </c>
      <c r="B1254" s="56" t="b">
        <v>0</v>
      </c>
      <c r="C1254" s="56" t="b">
        <v>0</v>
      </c>
      <c r="D1254" s="56" t="b">
        <v>0</v>
      </c>
      <c r="E1254" s="56">
        <f ca="1">IF(PV[[#This Row],[Business Date]]=Control!$C$6, PV[[#This Row],[Notional Value Local Cur]], -PV[[#This Row],[Notional Value Local Cur]])</f>
        <v>0</v>
      </c>
    </row>
    <row r="1255" spans="1:5" x14ac:dyDescent="0.25">
      <c r="A1255" s="36" t="b">
        <v>0</v>
      </c>
      <c r="B1255" s="56" t="b">
        <v>0</v>
      </c>
      <c r="C1255" s="56" t="b">
        <v>0</v>
      </c>
      <c r="D1255" s="56" t="b">
        <v>0</v>
      </c>
      <c r="E1255" s="56">
        <f ca="1">IF(PV[[#This Row],[Business Date]]=Control!$C$6, PV[[#This Row],[Notional Value Local Cur]], -PV[[#This Row],[Notional Value Local Cur]])</f>
        <v>0</v>
      </c>
    </row>
    <row r="1256" spans="1:5" x14ac:dyDescent="0.25">
      <c r="A1256" s="36" t="b">
        <v>0</v>
      </c>
      <c r="B1256" s="56" t="b">
        <v>0</v>
      </c>
      <c r="C1256" s="56" t="b">
        <v>0</v>
      </c>
      <c r="D1256" s="56" t="b">
        <v>0</v>
      </c>
      <c r="E1256" s="56">
        <f ca="1">IF(PV[[#This Row],[Business Date]]=Control!$C$6, PV[[#This Row],[Notional Value Local Cur]], -PV[[#This Row],[Notional Value Local Cur]])</f>
        <v>0</v>
      </c>
    </row>
    <row r="1257" spans="1:5" x14ac:dyDescent="0.25">
      <c r="A1257" s="36" t="b">
        <v>0</v>
      </c>
      <c r="B1257" s="56" t="b">
        <v>0</v>
      </c>
      <c r="C1257" s="56" t="b">
        <v>0</v>
      </c>
      <c r="D1257" s="56" t="b">
        <v>0</v>
      </c>
      <c r="E1257" s="56">
        <f ca="1">IF(PV[[#This Row],[Business Date]]=Control!$C$6, PV[[#This Row],[Notional Value Local Cur]], -PV[[#This Row],[Notional Value Local Cur]])</f>
        <v>0</v>
      </c>
    </row>
    <row r="1258" spans="1:5" x14ac:dyDescent="0.25">
      <c r="A1258" s="36" t="b">
        <v>0</v>
      </c>
      <c r="B1258" s="56" t="b">
        <v>0</v>
      </c>
      <c r="C1258" s="56" t="b">
        <v>0</v>
      </c>
      <c r="D1258" s="56" t="b">
        <v>0</v>
      </c>
      <c r="E1258" s="56">
        <f ca="1">IF(PV[[#This Row],[Business Date]]=Control!$C$6, PV[[#This Row],[Notional Value Local Cur]], -PV[[#This Row],[Notional Value Local Cur]])</f>
        <v>0</v>
      </c>
    </row>
    <row r="1259" spans="1:5" x14ac:dyDescent="0.25">
      <c r="A1259" s="36" t="b">
        <v>0</v>
      </c>
      <c r="B1259" s="56" t="b">
        <v>0</v>
      </c>
      <c r="C1259" s="56" t="b">
        <v>0</v>
      </c>
      <c r="D1259" s="56" t="b">
        <v>0</v>
      </c>
      <c r="E1259" s="56">
        <f ca="1">IF(PV[[#This Row],[Business Date]]=Control!$C$6, PV[[#This Row],[Notional Value Local Cur]], -PV[[#This Row],[Notional Value Local Cur]])</f>
        <v>0</v>
      </c>
    </row>
    <row r="1260" spans="1:5" x14ac:dyDescent="0.25">
      <c r="A1260" s="36" t="b">
        <v>0</v>
      </c>
      <c r="B1260" s="56" t="b">
        <v>0</v>
      </c>
      <c r="C1260" s="56" t="b">
        <v>0</v>
      </c>
      <c r="D1260" s="56" t="b">
        <v>0</v>
      </c>
      <c r="E1260" s="56">
        <f ca="1">IF(PV[[#This Row],[Business Date]]=Control!$C$6, PV[[#This Row],[Notional Value Local Cur]], -PV[[#This Row],[Notional Value Local Cur]])</f>
        <v>0</v>
      </c>
    </row>
    <row r="1261" spans="1:5" x14ac:dyDescent="0.25">
      <c r="A1261" s="36" t="b">
        <v>0</v>
      </c>
      <c r="B1261" s="56" t="b">
        <v>0</v>
      </c>
      <c r="C1261" s="56" t="b">
        <v>0</v>
      </c>
      <c r="D1261" s="56" t="b">
        <v>0</v>
      </c>
      <c r="E1261" s="56">
        <f ca="1">IF(PV[[#This Row],[Business Date]]=Control!$C$6, PV[[#This Row],[Notional Value Local Cur]], -PV[[#This Row],[Notional Value Local Cur]])</f>
        <v>0</v>
      </c>
    </row>
    <row r="1262" spans="1:5" x14ac:dyDescent="0.25">
      <c r="A1262" s="36" t="b">
        <v>0</v>
      </c>
      <c r="B1262" s="56" t="b">
        <v>0</v>
      </c>
      <c r="C1262" s="56" t="b">
        <v>0</v>
      </c>
      <c r="D1262" s="56" t="b">
        <v>0</v>
      </c>
      <c r="E1262" s="56">
        <f ca="1">IF(PV[[#This Row],[Business Date]]=Control!$C$6, PV[[#This Row],[Notional Value Local Cur]], -PV[[#This Row],[Notional Value Local Cur]])</f>
        <v>0</v>
      </c>
    </row>
    <row r="1263" spans="1:5" x14ac:dyDescent="0.25">
      <c r="A1263" s="36" t="b">
        <v>0</v>
      </c>
      <c r="B1263" s="56" t="b">
        <v>0</v>
      </c>
      <c r="C1263" s="56" t="b">
        <v>0</v>
      </c>
      <c r="D1263" s="56" t="b">
        <v>0</v>
      </c>
      <c r="E1263" s="56">
        <f ca="1">IF(PV[[#This Row],[Business Date]]=Control!$C$6, PV[[#This Row],[Notional Value Local Cur]], -PV[[#This Row],[Notional Value Local Cur]])</f>
        <v>0</v>
      </c>
    </row>
    <row r="1264" spans="1:5" x14ac:dyDescent="0.25">
      <c r="A1264" s="36" t="b">
        <v>0</v>
      </c>
      <c r="B1264" s="56" t="b">
        <v>0</v>
      </c>
      <c r="C1264" s="56" t="b">
        <v>0</v>
      </c>
      <c r="D1264" s="56" t="b">
        <v>0</v>
      </c>
      <c r="E1264" s="56">
        <f ca="1">IF(PV[[#This Row],[Business Date]]=Control!$C$6, PV[[#This Row],[Notional Value Local Cur]], -PV[[#This Row],[Notional Value Local Cur]])</f>
        <v>0</v>
      </c>
    </row>
    <row r="1265" spans="1:5" x14ac:dyDescent="0.25">
      <c r="A1265" s="36" t="b">
        <v>0</v>
      </c>
      <c r="B1265" s="56" t="b">
        <v>0</v>
      </c>
      <c r="C1265" s="56" t="b">
        <v>0</v>
      </c>
      <c r="D1265" s="56" t="b">
        <v>0</v>
      </c>
      <c r="E1265" s="56">
        <f ca="1">IF(PV[[#This Row],[Business Date]]=Control!$C$6, PV[[#This Row],[Notional Value Local Cur]], -PV[[#This Row],[Notional Value Local Cur]])</f>
        <v>0</v>
      </c>
    </row>
    <row r="1266" spans="1:5" x14ac:dyDescent="0.25">
      <c r="A1266" s="36" t="b">
        <v>0</v>
      </c>
      <c r="B1266" s="56" t="b">
        <v>0</v>
      </c>
      <c r="C1266" s="56" t="b">
        <v>0</v>
      </c>
      <c r="D1266" s="56" t="b">
        <v>0</v>
      </c>
      <c r="E1266" s="56">
        <f ca="1">IF(PV[[#This Row],[Business Date]]=Control!$C$6, PV[[#This Row],[Notional Value Local Cur]], -PV[[#This Row],[Notional Value Local Cur]])</f>
        <v>0</v>
      </c>
    </row>
    <row r="1267" spans="1:5" x14ac:dyDescent="0.25">
      <c r="A1267" s="36" t="b">
        <v>0</v>
      </c>
      <c r="B1267" s="56" t="b">
        <v>0</v>
      </c>
      <c r="C1267" s="56" t="b">
        <v>0</v>
      </c>
      <c r="D1267" s="56" t="b">
        <v>0</v>
      </c>
      <c r="E1267" s="56">
        <f ca="1">IF(PV[[#This Row],[Business Date]]=Control!$C$6, PV[[#This Row],[Notional Value Local Cur]], -PV[[#This Row],[Notional Value Local Cur]])</f>
        <v>0</v>
      </c>
    </row>
    <row r="1268" spans="1:5" x14ac:dyDescent="0.25">
      <c r="A1268" s="36" t="b">
        <v>0</v>
      </c>
      <c r="B1268" s="56" t="b">
        <v>0</v>
      </c>
      <c r="C1268" s="56" t="b">
        <v>0</v>
      </c>
      <c r="D1268" s="56" t="b">
        <v>0</v>
      </c>
      <c r="E1268" s="56">
        <f ca="1">IF(PV[[#This Row],[Business Date]]=Control!$C$6, PV[[#This Row],[Notional Value Local Cur]], -PV[[#This Row],[Notional Value Local Cur]])</f>
        <v>0</v>
      </c>
    </row>
    <row r="1269" spans="1:5" x14ac:dyDescent="0.25">
      <c r="A1269" s="36" t="b">
        <v>0</v>
      </c>
      <c r="B1269" s="56" t="b">
        <v>0</v>
      </c>
      <c r="C1269" s="56" t="b">
        <v>0</v>
      </c>
      <c r="D1269" s="56" t="b">
        <v>0</v>
      </c>
      <c r="E1269" s="56">
        <f ca="1">IF(PV[[#This Row],[Business Date]]=Control!$C$6, PV[[#This Row],[Notional Value Local Cur]], -PV[[#This Row],[Notional Value Local Cur]])</f>
        <v>0</v>
      </c>
    </row>
    <row r="1270" spans="1:5" x14ac:dyDescent="0.25">
      <c r="A1270" s="36" t="b">
        <v>0</v>
      </c>
      <c r="B1270" s="56" t="b">
        <v>0</v>
      </c>
      <c r="C1270" s="56" t="b">
        <v>0</v>
      </c>
      <c r="D1270" s="56" t="b">
        <v>0</v>
      </c>
      <c r="E1270" s="56">
        <f ca="1">IF(PV[[#This Row],[Business Date]]=Control!$C$6, PV[[#This Row],[Notional Value Local Cur]], -PV[[#This Row],[Notional Value Local Cur]])</f>
        <v>0</v>
      </c>
    </row>
    <row r="1271" spans="1:5" x14ac:dyDescent="0.25">
      <c r="A1271" s="36" t="b">
        <v>0</v>
      </c>
      <c r="B1271" s="56" t="b">
        <v>0</v>
      </c>
      <c r="C1271" s="56" t="b">
        <v>0</v>
      </c>
      <c r="D1271" s="56" t="b">
        <v>0</v>
      </c>
      <c r="E1271" s="56">
        <f ca="1">IF(PV[[#This Row],[Business Date]]=Control!$C$6, PV[[#This Row],[Notional Value Local Cur]], -PV[[#This Row],[Notional Value Local Cur]])</f>
        <v>0</v>
      </c>
    </row>
    <row r="1272" spans="1:5" x14ac:dyDescent="0.25">
      <c r="A1272" s="36" t="b">
        <v>0</v>
      </c>
      <c r="B1272" s="56" t="b">
        <v>0</v>
      </c>
      <c r="C1272" s="56" t="b">
        <v>0</v>
      </c>
      <c r="D1272" s="56" t="b">
        <v>0</v>
      </c>
      <c r="E1272" s="56">
        <f ca="1">IF(PV[[#This Row],[Business Date]]=Control!$C$6, PV[[#This Row],[Notional Value Local Cur]], -PV[[#This Row],[Notional Value Local Cur]])</f>
        <v>0</v>
      </c>
    </row>
    <row r="1273" spans="1:5" x14ac:dyDescent="0.25">
      <c r="A1273" s="36" t="b">
        <v>0</v>
      </c>
      <c r="B1273" s="56" t="b">
        <v>0</v>
      </c>
      <c r="C1273" s="56" t="b">
        <v>0</v>
      </c>
      <c r="D1273" s="56" t="b">
        <v>0</v>
      </c>
      <c r="E1273" s="56">
        <f ca="1">IF(PV[[#This Row],[Business Date]]=Control!$C$6, PV[[#This Row],[Notional Value Local Cur]], -PV[[#This Row],[Notional Value Local Cur]])</f>
        <v>0</v>
      </c>
    </row>
    <row r="1274" spans="1:5" x14ac:dyDescent="0.25">
      <c r="A1274" s="36" t="b">
        <v>0</v>
      </c>
      <c r="B1274" s="56" t="b">
        <v>0</v>
      </c>
      <c r="C1274" s="56" t="b">
        <v>0</v>
      </c>
      <c r="D1274" s="56" t="b">
        <v>0</v>
      </c>
      <c r="E1274" s="56">
        <f ca="1">IF(PV[[#This Row],[Business Date]]=Control!$C$6, PV[[#This Row],[Notional Value Local Cur]], -PV[[#This Row],[Notional Value Local Cur]])</f>
        <v>0</v>
      </c>
    </row>
    <row r="1275" spans="1:5" x14ac:dyDescent="0.25">
      <c r="A1275" s="36" t="b">
        <v>0</v>
      </c>
      <c r="B1275" s="56" t="b">
        <v>0</v>
      </c>
      <c r="C1275" s="56" t="b">
        <v>0</v>
      </c>
      <c r="D1275" s="56" t="b">
        <v>0</v>
      </c>
      <c r="E1275" s="56">
        <f ca="1">IF(PV[[#This Row],[Business Date]]=Control!$C$6, PV[[#This Row],[Notional Value Local Cur]], -PV[[#This Row],[Notional Value Local Cur]])</f>
        <v>0</v>
      </c>
    </row>
    <row r="1276" spans="1:5" x14ac:dyDescent="0.25">
      <c r="A1276" s="36" t="b">
        <v>0</v>
      </c>
      <c r="B1276" s="56" t="b">
        <v>0</v>
      </c>
      <c r="C1276" s="56" t="b">
        <v>0</v>
      </c>
      <c r="D1276" s="56" t="b">
        <v>0</v>
      </c>
      <c r="E1276" s="56">
        <f ca="1">IF(PV[[#This Row],[Business Date]]=Control!$C$6, PV[[#This Row],[Notional Value Local Cur]], -PV[[#This Row],[Notional Value Local Cur]])</f>
        <v>0</v>
      </c>
    </row>
    <row r="1277" spans="1:5" x14ac:dyDescent="0.25">
      <c r="A1277" s="36" t="b">
        <v>0</v>
      </c>
      <c r="B1277" s="56" t="b">
        <v>0</v>
      </c>
      <c r="C1277" s="56" t="b">
        <v>0</v>
      </c>
      <c r="D1277" s="56" t="b">
        <v>0</v>
      </c>
      <c r="E1277" s="56">
        <f ca="1">IF(PV[[#This Row],[Business Date]]=Control!$C$6, PV[[#This Row],[Notional Value Local Cur]], -PV[[#This Row],[Notional Value Local Cur]])</f>
        <v>0</v>
      </c>
    </row>
    <row r="1278" spans="1:5" x14ac:dyDescent="0.25">
      <c r="A1278" s="36" t="b">
        <v>0</v>
      </c>
      <c r="B1278" s="56" t="b">
        <v>0</v>
      </c>
      <c r="C1278" s="56" t="b">
        <v>0</v>
      </c>
      <c r="D1278" s="56" t="b">
        <v>0</v>
      </c>
      <c r="E1278" s="56">
        <f ca="1">IF(PV[[#This Row],[Business Date]]=Control!$C$6, PV[[#This Row],[Notional Value Local Cur]], -PV[[#This Row],[Notional Value Local Cur]])</f>
        <v>0</v>
      </c>
    </row>
    <row r="1279" spans="1:5" x14ac:dyDescent="0.25">
      <c r="A1279" s="36" t="b">
        <v>0</v>
      </c>
      <c r="B1279" s="56" t="b">
        <v>0</v>
      </c>
      <c r="C1279" s="56" t="b">
        <v>0</v>
      </c>
      <c r="D1279" s="56" t="b">
        <v>0</v>
      </c>
      <c r="E1279" s="56">
        <f ca="1">IF(PV[[#This Row],[Business Date]]=Control!$C$6, PV[[#This Row],[Notional Value Local Cur]], -PV[[#This Row],[Notional Value Local Cur]])</f>
        <v>0</v>
      </c>
    </row>
    <row r="1280" spans="1:5" x14ac:dyDescent="0.25">
      <c r="A1280" s="36" t="b">
        <v>0</v>
      </c>
      <c r="B1280" s="56" t="b">
        <v>0</v>
      </c>
      <c r="C1280" s="56" t="b">
        <v>0</v>
      </c>
      <c r="D1280" s="56" t="b">
        <v>0</v>
      </c>
      <c r="E1280" s="56">
        <f ca="1">IF(PV[[#This Row],[Business Date]]=Control!$C$6, PV[[#This Row],[Notional Value Local Cur]], -PV[[#This Row],[Notional Value Local Cur]])</f>
        <v>0</v>
      </c>
    </row>
    <row r="1281" spans="1:5" x14ac:dyDescent="0.25">
      <c r="A1281" s="36" t="b">
        <v>0</v>
      </c>
      <c r="B1281" s="56" t="b">
        <v>0</v>
      </c>
      <c r="C1281" s="56" t="b">
        <v>0</v>
      </c>
      <c r="D1281" s="56" t="b">
        <v>0</v>
      </c>
      <c r="E1281" s="56">
        <f ca="1">IF(PV[[#This Row],[Business Date]]=Control!$C$6, PV[[#This Row],[Notional Value Local Cur]], -PV[[#This Row],[Notional Value Local Cur]])</f>
        <v>0</v>
      </c>
    </row>
    <row r="1282" spans="1:5" x14ac:dyDescent="0.25">
      <c r="A1282" s="36" t="b">
        <v>0</v>
      </c>
      <c r="B1282" s="56" t="b">
        <v>0</v>
      </c>
      <c r="C1282" s="56" t="b">
        <v>0</v>
      </c>
      <c r="D1282" s="56" t="b">
        <v>0</v>
      </c>
      <c r="E1282" s="56">
        <f ca="1">IF(PV[[#This Row],[Business Date]]=Control!$C$6, PV[[#This Row],[Notional Value Local Cur]], -PV[[#This Row],[Notional Value Local Cur]])</f>
        <v>0</v>
      </c>
    </row>
    <row r="1283" spans="1:5" x14ac:dyDescent="0.25">
      <c r="A1283" s="36" t="b">
        <v>0</v>
      </c>
      <c r="B1283" s="56" t="b">
        <v>0</v>
      </c>
      <c r="C1283" s="56" t="b">
        <v>0</v>
      </c>
      <c r="D1283" s="56" t="b">
        <v>0</v>
      </c>
      <c r="E1283" s="56">
        <f ca="1">IF(PV[[#This Row],[Business Date]]=Control!$C$6, PV[[#This Row],[Notional Value Local Cur]], -PV[[#This Row],[Notional Value Local Cur]])</f>
        <v>0</v>
      </c>
    </row>
    <row r="1284" spans="1:5" x14ac:dyDescent="0.25">
      <c r="A1284" s="36" t="b">
        <v>0</v>
      </c>
      <c r="B1284" s="56" t="b">
        <v>0</v>
      </c>
      <c r="C1284" s="56" t="b">
        <v>0</v>
      </c>
      <c r="D1284" s="56" t="b">
        <v>0</v>
      </c>
      <c r="E1284" s="56">
        <f ca="1">IF(PV[[#This Row],[Business Date]]=Control!$C$6, PV[[#This Row],[Notional Value Local Cur]], -PV[[#This Row],[Notional Value Local Cur]])</f>
        <v>0</v>
      </c>
    </row>
    <row r="1285" spans="1:5" x14ac:dyDescent="0.25">
      <c r="A1285" s="36" t="b">
        <v>0</v>
      </c>
      <c r="B1285" s="56" t="b">
        <v>0</v>
      </c>
      <c r="C1285" s="56" t="b">
        <v>0</v>
      </c>
      <c r="D1285" s="56" t="b">
        <v>0</v>
      </c>
      <c r="E1285" s="56">
        <f ca="1">IF(PV[[#This Row],[Business Date]]=Control!$C$6, PV[[#This Row],[Notional Value Local Cur]], -PV[[#This Row],[Notional Value Local Cur]])</f>
        <v>0</v>
      </c>
    </row>
    <row r="1286" spans="1:5" x14ac:dyDescent="0.25">
      <c r="A1286" s="36" t="b">
        <v>0</v>
      </c>
      <c r="B1286" s="56" t="b">
        <v>0</v>
      </c>
      <c r="C1286" s="56" t="b">
        <v>0</v>
      </c>
      <c r="D1286" s="56" t="b">
        <v>0</v>
      </c>
      <c r="E1286" s="56">
        <f ca="1">IF(PV[[#This Row],[Business Date]]=Control!$C$6, PV[[#This Row],[Notional Value Local Cur]], -PV[[#This Row],[Notional Value Local Cur]])</f>
        <v>0</v>
      </c>
    </row>
    <row r="1287" spans="1:5" x14ac:dyDescent="0.25">
      <c r="A1287" s="36" t="b">
        <v>0</v>
      </c>
      <c r="B1287" s="56" t="b">
        <v>0</v>
      </c>
      <c r="C1287" s="56" t="b">
        <v>0</v>
      </c>
      <c r="D1287" s="56" t="b">
        <v>0</v>
      </c>
      <c r="E1287" s="56">
        <f ca="1">IF(PV[[#This Row],[Business Date]]=Control!$C$6, PV[[#This Row],[Notional Value Local Cur]], -PV[[#This Row],[Notional Value Local Cur]])</f>
        <v>0</v>
      </c>
    </row>
    <row r="1288" spans="1:5" x14ac:dyDescent="0.25">
      <c r="A1288" s="36" t="b">
        <v>0</v>
      </c>
      <c r="B1288" s="56" t="b">
        <v>0</v>
      </c>
      <c r="C1288" s="56" t="b">
        <v>0</v>
      </c>
      <c r="D1288" s="56" t="b">
        <v>0</v>
      </c>
      <c r="E1288" s="56">
        <f ca="1">IF(PV[[#This Row],[Business Date]]=Control!$C$6, PV[[#This Row],[Notional Value Local Cur]], -PV[[#This Row],[Notional Value Local Cur]])</f>
        <v>0</v>
      </c>
    </row>
    <row r="1289" spans="1:5" x14ac:dyDescent="0.25">
      <c r="A1289" s="36" t="b">
        <v>0</v>
      </c>
      <c r="B1289" s="56" t="b">
        <v>0</v>
      </c>
      <c r="C1289" s="56" t="b">
        <v>0</v>
      </c>
      <c r="D1289" s="56" t="b">
        <v>0</v>
      </c>
      <c r="E1289" s="56">
        <f ca="1">IF(PV[[#This Row],[Business Date]]=Control!$C$6, PV[[#This Row],[Notional Value Local Cur]], -PV[[#This Row],[Notional Value Local Cur]])</f>
        <v>0</v>
      </c>
    </row>
    <row r="1290" spans="1:5" x14ac:dyDescent="0.25">
      <c r="A1290" s="36" t="b">
        <v>0</v>
      </c>
      <c r="B1290" s="56" t="b">
        <v>0</v>
      </c>
      <c r="C1290" s="56" t="b">
        <v>0</v>
      </c>
      <c r="D1290" s="56" t="b">
        <v>0</v>
      </c>
      <c r="E1290" s="56">
        <f ca="1">IF(PV[[#This Row],[Business Date]]=Control!$C$6, PV[[#This Row],[Notional Value Local Cur]], -PV[[#This Row],[Notional Value Local Cur]])</f>
        <v>0</v>
      </c>
    </row>
    <row r="1291" spans="1:5" x14ac:dyDescent="0.25">
      <c r="A1291" s="36" t="b">
        <v>0</v>
      </c>
      <c r="B1291" s="56" t="b">
        <v>0</v>
      </c>
      <c r="C1291" s="56" t="b">
        <v>0</v>
      </c>
      <c r="D1291" s="56" t="b">
        <v>0</v>
      </c>
      <c r="E1291" s="56">
        <f ca="1">IF(PV[[#This Row],[Business Date]]=Control!$C$6, PV[[#This Row],[Notional Value Local Cur]], -PV[[#This Row],[Notional Value Local Cur]])</f>
        <v>0</v>
      </c>
    </row>
    <row r="1292" spans="1:5" x14ac:dyDescent="0.25">
      <c r="A1292" s="36" t="b">
        <v>0</v>
      </c>
      <c r="B1292" s="56" t="b">
        <v>0</v>
      </c>
      <c r="C1292" s="56" t="b">
        <v>0</v>
      </c>
      <c r="D1292" s="56" t="b">
        <v>0</v>
      </c>
      <c r="E1292" s="56">
        <f ca="1">IF(PV[[#This Row],[Business Date]]=Control!$C$6, PV[[#This Row],[Notional Value Local Cur]], -PV[[#This Row],[Notional Value Local Cur]])</f>
        <v>0</v>
      </c>
    </row>
    <row r="1293" spans="1:5" x14ac:dyDescent="0.25">
      <c r="A1293" s="36" t="b">
        <v>0</v>
      </c>
      <c r="B1293" s="56" t="b">
        <v>0</v>
      </c>
      <c r="C1293" s="56" t="b">
        <v>0</v>
      </c>
      <c r="D1293" s="56" t="b">
        <v>0</v>
      </c>
      <c r="E1293" s="56">
        <f ca="1">IF(PV[[#This Row],[Business Date]]=Control!$C$6, PV[[#This Row],[Notional Value Local Cur]], -PV[[#This Row],[Notional Value Local Cur]])</f>
        <v>0</v>
      </c>
    </row>
    <row r="1294" spans="1:5" x14ac:dyDescent="0.25">
      <c r="A1294" s="36" t="b">
        <v>0</v>
      </c>
      <c r="B1294" s="56" t="b">
        <v>0</v>
      </c>
      <c r="C1294" s="56" t="b">
        <v>0</v>
      </c>
      <c r="D1294" s="56" t="b">
        <v>0</v>
      </c>
      <c r="E1294" s="56">
        <f ca="1">IF(PV[[#This Row],[Business Date]]=Control!$C$6, PV[[#This Row],[Notional Value Local Cur]], -PV[[#This Row],[Notional Value Local Cur]])</f>
        <v>0</v>
      </c>
    </row>
    <row r="1295" spans="1:5" x14ac:dyDescent="0.25">
      <c r="A1295" s="36" t="b">
        <v>0</v>
      </c>
      <c r="B1295" s="56" t="b">
        <v>0</v>
      </c>
      <c r="C1295" s="56" t="b">
        <v>0</v>
      </c>
      <c r="D1295" s="56" t="b">
        <v>0</v>
      </c>
      <c r="E1295" s="56">
        <f ca="1">IF(PV[[#This Row],[Business Date]]=Control!$C$6, PV[[#This Row],[Notional Value Local Cur]], -PV[[#This Row],[Notional Value Local Cur]])</f>
        <v>0</v>
      </c>
    </row>
    <row r="1296" spans="1:5" x14ac:dyDescent="0.25">
      <c r="A1296" s="36" t="b">
        <v>0</v>
      </c>
      <c r="B1296" s="56" t="b">
        <v>0</v>
      </c>
      <c r="C1296" s="56" t="b">
        <v>0</v>
      </c>
      <c r="D1296" s="56" t="b">
        <v>0</v>
      </c>
      <c r="E1296" s="56">
        <f ca="1">IF(PV[[#This Row],[Business Date]]=Control!$C$6, PV[[#This Row],[Notional Value Local Cur]], -PV[[#This Row],[Notional Value Local Cur]])</f>
        <v>0</v>
      </c>
    </row>
    <row r="1297" spans="1:5" x14ac:dyDescent="0.25">
      <c r="A1297" s="36" t="b">
        <v>0</v>
      </c>
      <c r="B1297" s="56" t="b">
        <v>0</v>
      </c>
      <c r="C1297" s="56" t="b">
        <v>0</v>
      </c>
      <c r="D1297" s="56" t="b">
        <v>0</v>
      </c>
      <c r="E1297" s="56">
        <f ca="1">IF(PV[[#This Row],[Business Date]]=Control!$C$6, PV[[#This Row],[Notional Value Local Cur]], -PV[[#This Row],[Notional Value Local Cur]])</f>
        <v>0</v>
      </c>
    </row>
    <row r="1298" spans="1:5" x14ac:dyDescent="0.25">
      <c r="A1298" s="36" t="b">
        <v>0</v>
      </c>
      <c r="B1298" s="56" t="b">
        <v>0</v>
      </c>
      <c r="C1298" s="56" t="b">
        <v>0</v>
      </c>
      <c r="D1298" s="56" t="b">
        <v>0</v>
      </c>
      <c r="E1298" s="56">
        <f ca="1">IF(PV[[#This Row],[Business Date]]=Control!$C$6, PV[[#This Row],[Notional Value Local Cur]], -PV[[#This Row],[Notional Value Local Cur]])</f>
        <v>0</v>
      </c>
    </row>
    <row r="1299" spans="1:5" x14ac:dyDescent="0.25">
      <c r="A1299" s="36" t="b">
        <v>0</v>
      </c>
      <c r="B1299" s="56" t="b">
        <v>0</v>
      </c>
      <c r="C1299" s="56" t="b">
        <v>0</v>
      </c>
      <c r="D1299" s="56" t="b">
        <v>0</v>
      </c>
      <c r="E1299" s="56">
        <f ca="1">IF(PV[[#This Row],[Business Date]]=Control!$C$6, PV[[#This Row],[Notional Value Local Cur]], -PV[[#This Row],[Notional Value Local Cur]])</f>
        <v>0</v>
      </c>
    </row>
    <row r="1300" spans="1:5" x14ac:dyDescent="0.25">
      <c r="A1300" s="36" t="b">
        <v>0</v>
      </c>
      <c r="B1300" s="56" t="b">
        <v>0</v>
      </c>
      <c r="C1300" s="56" t="b">
        <v>0</v>
      </c>
      <c r="D1300" s="56" t="b">
        <v>0</v>
      </c>
      <c r="E1300" s="56">
        <f ca="1">IF(PV[[#This Row],[Business Date]]=Control!$C$6, PV[[#This Row],[Notional Value Local Cur]], -PV[[#This Row],[Notional Value Local Cur]])</f>
        <v>0</v>
      </c>
    </row>
    <row r="1301" spans="1:5" x14ac:dyDescent="0.25">
      <c r="A1301" s="36" t="b">
        <v>0</v>
      </c>
      <c r="B1301" s="56" t="b">
        <v>0</v>
      </c>
      <c r="C1301" s="56" t="b">
        <v>0</v>
      </c>
      <c r="D1301" s="56" t="b">
        <v>0</v>
      </c>
      <c r="E1301" s="56">
        <f ca="1">IF(PV[[#This Row],[Business Date]]=Control!$C$6, PV[[#This Row],[Notional Value Local Cur]], -PV[[#This Row],[Notional Value Local Cur]])</f>
        <v>0</v>
      </c>
    </row>
    <row r="1302" spans="1:5" x14ac:dyDescent="0.25">
      <c r="A1302" s="36" t="b">
        <v>0</v>
      </c>
      <c r="B1302" s="56" t="b">
        <v>0</v>
      </c>
      <c r="C1302" s="56" t="b">
        <v>0</v>
      </c>
      <c r="D1302" s="56" t="b">
        <v>0</v>
      </c>
      <c r="E1302" s="56">
        <f ca="1">IF(PV[[#This Row],[Business Date]]=Control!$C$6, PV[[#This Row],[Notional Value Local Cur]], -PV[[#This Row],[Notional Value Local Cur]])</f>
        <v>0</v>
      </c>
    </row>
    <row r="1303" spans="1:5" x14ac:dyDescent="0.25">
      <c r="A1303" s="36" t="b">
        <v>0</v>
      </c>
      <c r="B1303" s="56" t="b">
        <v>0</v>
      </c>
      <c r="C1303" s="56" t="b">
        <v>0</v>
      </c>
      <c r="D1303" s="56" t="b">
        <v>0</v>
      </c>
      <c r="E1303" s="56">
        <f ca="1">IF(PV[[#This Row],[Business Date]]=Control!$C$6, PV[[#This Row],[Notional Value Local Cur]], -PV[[#This Row],[Notional Value Local Cur]])</f>
        <v>0</v>
      </c>
    </row>
    <row r="1304" spans="1:5" x14ac:dyDescent="0.25">
      <c r="A1304" s="36" t="b">
        <v>0</v>
      </c>
      <c r="B1304" s="56" t="b">
        <v>0</v>
      </c>
      <c r="C1304" s="56" t="b">
        <v>0</v>
      </c>
      <c r="D1304" s="56" t="b">
        <v>0</v>
      </c>
      <c r="E1304" s="56">
        <f ca="1">IF(PV[[#This Row],[Business Date]]=Control!$C$6, PV[[#This Row],[Notional Value Local Cur]], -PV[[#This Row],[Notional Value Local Cur]])</f>
        <v>0</v>
      </c>
    </row>
    <row r="1305" spans="1:5" x14ac:dyDescent="0.25">
      <c r="A1305" s="36" t="b">
        <v>0</v>
      </c>
      <c r="B1305" s="56" t="b">
        <v>0</v>
      </c>
      <c r="C1305" s="56" t="b">
        <v>0</v>
      </c>
      <c r="D1305" s="56" t="b">
        <v>0</v>
      </c>
      <c r="E1305" s="56">
        <f ca="1">IF(PV[[#This Row],[Business Date]]=Control!$C$6, PV[[#This Row],[Notional Value Local Cur]], -PV[[#This Row],[Notional Value Local Cur]])</f>
        <v>0</v>
      </c>
    </row>
    <row r="1306" spans="1:5" x14ac:dyDescent="0.25">
      <c r="A1306" s="36" t="b">
        <v>0</v>
      </c>
      <c r="B1306" s="56" t="b">
        <v>0</v>
      </c>
      <c r="C1306" s="56" t="b">
        <v>0</v>
      </c>
      <c r="D1306" s="56" t="b">
        <v>0</v>
      </c>
      <c r="E1306" s="56">
        <f ca="1">IF(PV[[#This Row],[Business Date]]=Control!$C$6, PV[[#This Row],[Notional Value Local Cur]], -PV[[#This Row],[Notional Value Local Cur]])</f>
        <v>0</v>
      </c>
    </row>
    <row r="1307" spans="1:5" x14ac:dyDescent="0.25">
      <c r="A1307" s="36" t="b">
        <v>0</v>
      </c>
      <c r="B1307" s="56" t="b">
        <v>0</v>
      </c>
      <c r="C1307" s="56" t="b">
        <v>0</v>
      </c>
      <c r="D1307" s="56" t="b">
        <v>0</v>
      </c>
      <c r="E1307" s="56">
        <f ca="1">IF(PV[[#This Row],[Business Date]]=Control!$C$6, PV[[#This Row],[Notional Value Local Cur]], -PV[[#This Row],[Notional Value Local Cur]])</f>
        <v>0</v>
      </c>
    </row>
    <row r="1308" spans="1:5" x14ac:dyDescent="0.25">
      <c r="A1308" s="36" t="b">
        <v>0</v>
      </c>
      <c r="B1308" s="56" t="b">
        <v>0</v>
      </c>
      <c r="C1308" s="56" t="b">
        <v>0</v>
      </c>
      <c r="D1308" s="56" t="b">
        <v>0</v>
      </c>
      <c r="E1308" s="56">
        <f ca="1">IF(PV[[#This Row],[Business Date]]=Control!$C$6, PV[[#This Row],[Notional Value Local Cur]], -PV[[#This Row],[Notional Value Local Cur]])</f>
        <v>0</v>
      </c>
    </row>
    <row r="1309" spans="1:5" x14ac:dyDescent="0.25">
      <c r="A1309" s="36" t="b">
        <v>0</v>
      </c>
      <c r="B1309" s="56" t="b">
        <v>0</v>
      </c>
      <c r="C1309" s="56" t="b">
        <v>0</v>
      </c>
      <c r="D1309" s="56" t="b">
        <v>0</v>
      </c>
      <c r="E1309" s="56">
        <f ca="1">IF(PV[[#This Row],[Business Date]]=Control!$C$6, PV[[#This Row],[Notional Value Local Cur]], -PV[[#This Row],[Notional Value Local Cur]])</f>
        <v>0</v>
      </c>
    </row>
    <row r="1310" spans="1:5" x14ac:dyDescent="0.25">
      <c r="A1310" s="36" t="b">
        <v>0</v>
      </c>
      <c r="B1310" s="56" t="b">
        <v>0</v>
      </c>
      <c r="C1310" s="56" t="b">
        <v>0</v>
      </c>
      <c r="D1310" s="56" t="b">
        <v>0</v>
      </c>
      <c r="E1310" s="56">
        <f ca="1">IF(PV[[#This Row],[Business Date]]=Control!$C$6, PV[[#This Row],[Notional Value Local Cur]], -PV[[#This Row],[Notional Value Local Cur]])</f>
        <v>0</v>
      </c>
    </row>
    <row r="1311" spans="1:5" x14ac:dyDescent="0.25">
      <c r="A1311" s="36" t="b">
        <v>0</v>
      </c>
      <c r="B1311" s="56" t="b">
        <v>0</v>
      </c>
      <c r="C1311" s="56" t="b">
        <v>0</v>
      </c>
      <c r="D1311" s="56" t="b">
        <v>0</v>
      </c>
      <c r="E1311" s="56">
        <f ca="1">IF(PV[[#This Row],[Business Date]]=Control!$C$6, PV[[#This Row],[Notional Value Local Cur]], -PV[[#This Row],[Notional Value Local Cur]])</f>
        <v>0</v>
      </c>
    </row>
    <row r="1312" spans="1:5" x14ac:dyDescent="0.25">
      <c r="A1312" s="36" t="b">
        <v>0</v>
      </c>
      <c r="B1312" s="56" t="b">
        <v>0</v>
      </c>
      <c r="C1312" s="56" t="b">
        <v>0</v>
      </c>
      <c r="D1312" s="56" t="b">
        <v>0</v>
      </c>
      <c r="E1312" s="56">
        <f ca="1">IF(PV[[#This Row],[Business Date]]=Control!$C$6, PV[[#This Row],[Notional Value Local Cur]], -PV[[#This Row],[Notional Value Local Cur]])</f>
        <v>0</v>
      </c>
    </row>
    <row r="1313" spans="1:5" x14ac:dyDescent="0.25">
      <c r="A1313" s="36" t="b">
        <v>0</v>
      </c>
      <c r="B1313" s="56" t="b">
        <v>0</v>
      </c>
      <c r="C1313" s="56" t="b">
        <v>0</v>
      </c>
      <c r="D1313" s="56" t="b">
        <v>0</v>
      </c>
      <c r="E1313" s="56">
        <f ca="1">IF(PV[[#This Row],[Business Date]]=Control!$C$6, PV[[#This Row],[Notional Value Local Cur]], -PV[[#This Row],[Notional Value Local Cur]])</f>
        <v>0</v>
      </c>
    </row>
    <row r="1314" spans="1:5" x14ac:dyDescent="0.25">
      <c r="A1314" s="36" t="b">
        <v>0</v>
      </c>
      <c r="B1314" s="56" t="b">
        <v>0</v>
      </c>
      <c r="C1314" s="56" t="b">
        <v>0</v>
      </c>
      <c r="D1314" s="56" t="b">
        <v>0</v>
      </c>
      <c r="E1314" s="56">
        <f ca="1">IF(PV[[#This Row],[Business Date]]=Control!$C$6, PV[[#This Row],[Notional Value Local Cur]], -PV[[#This Row],[Notional Value Local Cur]])</f>
        <v>0</v>
      </c>
    </row>
    <row r="1315" spans="1:5" x14ac:dyDescent="0.25">
      <c r="A1315" s="36" t="b">
        <v>0</v>
      </c>
      <c r="B1315" s="56" t="b">
        <v>0</v>
      </c>
      <c r="C1315" s="56" t="b">
        <v>0</v>
      </c>
      <c r="D1315" s="56" t="b">
        <v>0</v>
      </c>
      <c r="E1315" s="56">
        <f ca="1">IF(PV[[#This Row],[Business Date]]=Control!$C$6, PV[[#This Row],[Notional Value Local Cur]], -PV[[#This Row],[Notional Value Local Cur]])</f>
        <v>0</v>
      </c>
    </row>
    <row r="1316" spans="1:5" x14ac:dyDescent="0.25">
      <c r="A1316" s="36" t="b">
        <v>0</v>
      </c>
      <c r="B1316" s="56" t="b">
        <v>0</v>
      </c>
      <c r="C1316" s="56" t="b">
        <v>0</v>
      </c>
      <c r="D1316" s="56" t="b">
        <v>0</v>
      </c>
      <c r="E1316" s="56">
        <f ca="1">IF(PV[[#This Row],[Business Date]]=Control!$C$6, PV[[#This Row],[Notional Value Local Cur]], -PV[[#This Row],[Notional Value Local Cur]])</f>
        <v>0</v>
      </c>
    </row>
    <row r="1317" spans="1:5" x14ac:dyDescent="0.25">
      <c r="A1317" s="36" t="b">
        <v>0</v>
      </c>
      <c r="B1317" s="56" t="b">
        <v>0</v>
      </c>
      <c r="C1317" s="56" t="b">
        <v>0</v>
      </c>
      <c r="D1317" s="56" t="b">
        <v>0</v>
      </c>
      <c r="E1317" s="56">
        <f ca="1">IF(PV[[#This Row],[Business Date]]=Control!$C$6, PV[[#This Row],[Notional Value Local Cur]], -PV[[#This Row],[Notional Value Local Cur]])</f>
        <v>0</v>
      </c>
    </row>
    <row r="1318" spans="1:5" x14ac:dyDescent="0.25">
      <c r="A1318" s="36" t="b">
        <v>0</v>
      </c>
      <c r="B1318" s="56" t="b">
        <v>0</v>
      </c>
      <c r="C1318" s="56" t="b">
        <v>0</v>
      </c>
      <c r="D1318" s="56" t="b">
        <v>0</v>
      </c>
      <c r="E1318" s="56">
        <f ca="1">IF(PV[[#This Row],[Business Date]]=Control!$C$6, PV[[#This Row],[Notional Value Local Cur]], -PV[[#This Row],[Notional Value Local Cur]])</f>
        <v>0</v>
      </c>
    </row>
    <row r="1319" spans="1:5" x14ac:dyDescent="0.25">
      <c r="A1319" s="36" t="b">
        <v>0</v>
      </c>
      <c r="B1319" s="56" t="b">
        <v>0</v>
      </c>
      <c r="C1319" s="56" t="b">
        <v>0</v>
      </c>
      <c r="D1319" s="56" t="b">
        <v>0</v>
      </c>
      <c r="E1319" s="56">
        <f ca="1">IF(PV[[#This Row],[Business Date]]=Control!$C$6, PV[[#This Row],[Notional Value Local Cur]], -PV[[#This Row],[Notional Value Local Cur]])</f>
        <v>0</v>
      </c>
    </row>
    <row r="1320" spans="1:5" x14ac:dyDescent="0.25">
      <c r="A1320" s="36" t="b">
        <v>0</v>
      </c>
      <c r="B1320" s="56" t="b">
        <v>0</v>
      </c>
      <c r="C1320" s="56" t="b">
        <v>0</v>
      </c>
      <c r="D1320" s="56" t="b">
        <v>0</v>
      </c>
      <c r="E1320" s="56">
        <f ca="1">IF(PV[[#This Row],[Business Date]]=Control!$C$6, PV[[#This Row],[Notional Value Local Cur]], -PV[[#This Row],[Notional Value Local Cur]])</f>
        <v>0</v>
      </c>
    </row>
    <row r="1321" spans="1:5" x14ac:dyDescent="0.25">
      <c r="A1321" s="36" t="b">
        <v>0</v>
      </c>
      <c r="B1321" s="56" t="b">
        <v>0</v>
      </c>
      <c r="C1321" s="56" t="b">
        <v>0</v>
      </c>
      <c r="D1321" s="56" t="b">
        <v>0</v>
      </c>
      <c r="E1321" s="56">
        <f ca="1">IF(PV[[#This Row],[Business Date]]=Control!$C$6, PV[[#This Row],[Notional Value Local Cur]], -PV[[#This Row],[Notional Value Local Cur]])</f>
        <v>0</v>
      </c>
    </row>
    <row r="1322" spans="1:5" x14ac:dyDescent="0.25">
      <c r="A1322" s="36" t="b">
        <v>0</v>
      </c>
      <c r="B1322" s="56" t="b">
        <v>0</v>
      </c>
      <c r="C1322" s="56" t="b">
        <v>0</v>
      </c>
      <c r="D1322" s="56" t="b">
        <v>0</v>
      </c>
      <c r="E1322" s="56">
        <f ca="1">IF(PV[[#This Row],[Business Date]]=Control!$C$6, PV[[#This Row],[Notional Value Local Cur]], -PV[[#This Row],[Notional Value Local Cur]])</f>
        <v>0</v>
      </c>
    </row>
    <row r="1323" spans="1:5" x14ac:dyDescent="0.25">
      <c r="A1323" s="36" t="b">
        <v>0</v>
      </c>
      <c r="B1323" s="56" t="b">
        <v>0</v>
      </c>
      <c r="C1323" s="56" t="b">
        <v>0</v>
      </c>
      <c r="D1323" s="56" t="b">
        <v>0</v>
      </c>
      <c r="E1323" s="56">
        <f ca="1">IF(PV[[#This Row],[Business Date]]=Control!$C$6, PV[[#This Row],[Notional Value Local Cur]], -PV[[#This Row],[Notional Value Local Cur]])</f>
        <v>0</v>
      </c>
    </row>
    <row r="1324" spans="1:5" x14ac:dyDescent="0.25">
      <c r="A1324" s="36" t="b">
        <v>0</v>
      </c>
      <c r="B1324" s="56" t="b">
        <v>0</v>
      </c>
      <c r="C1324" s="56" t="b">
        <v>0</v>
      </c>
      <c r="D1324" s="56" t="b">
        <v>0</v>
      </c>
      <c r="E1324" s="56">
        <f ca="1">IF(PV[[#This Row],[Business Date]]=Control!$C$6, PV[[#This Row],[Notional Value Local Cur]], -PV[[#This Row],[Notional Value Local Cur]])</f>
        <v>0</v>
      </c>
    </row>
    <row r="1325" spans="1:5" x14ac:dyDescent="0.25">
      <c r="A1325" s="36" t="b">
        <v>0</v>
      </c>
      <c r="B1325" s="56" t="b">
        <v>0</v>
      </c>
      <c r="C1325" s="56" t="b">
        <v>0</v>
      </c>
      <c r="D1325" s="56" t="b">
        <v>0</v>
      </c>
      <c r="E1325" s="56">
        <f ca="1">IF(PV[[#This Row],[Business Date]]=Control!$C$6, PV[[#This Row],[Notional Value Local Cur]], -PV[[#This Row],[Notional Value Local Cur]])</f>
        <v>0</v>
      </c>
    </row>
    <row r="1326" spans="1:5" x14ac:dyDescent="0.25">
      <c r="A1326" s="36" t="b">
        <v>0</v>
      </c>
      <c r="B1326" s="56" t="b">
        <v>0</v>
      </c>
      <c r="C1326" s="56" t="b">
        <v>0</v>
      </c>
      <c r="D1326" s="56" t="b">
        <v>0</v>
      </c>
      <c r="E1326" s="56">
        <f ca="1">IF(PV[[#This Row],[Business Date]]=Control!$C$6, PV[[#This Row],[Notional Value Local Cur]], -PV[[#This Row],[Notional Value Local Cur]])</f>
        <v>0</v>
      </c>
    </row>
    <row r="1327" spans="1:5" x14ac:dyDescent="0.25">
      <c r="A1327" s="36" t="b">
        <v>0</v>
      </c>
      <c r="B1327" s="56" t="b">
        <v>0</v>
      </c>
      <c r="C1327" s="56" t="b">
        <v>0</v>
      </c>
      <c r="D1327" s="56" t="b">
        <v>0</v>
      </c>
      <c r="E1327" s="56">
        <f ca="1">IF(PV[[#This Row],[Business Date]]=Control!$C$6, PV[[#This Row],[Notional Value Local Cur]], -PV[[#This Row],[Notional Value Local Cur]])</f>
        <v>0</v>
      </c>
    </row>
    <row r="1328" spans="1:5" x14ac:dyDescent="0.25">
      <c r="A1328" s="36" t="b">
        <v>0</v>
      </c>
      <c r="B1328" s="56" t="b">
        <v>0</v>
      </c>
      <c r="C1328" s="56" t="b">
        <v>0</v>
      </c>
      <c r="D1328" s="56" t="b">
        <v>0</v>
      </c>
      <c r="E1328" s="56">
        <f ca="1">IF(PV[[#This Row],[Business Date]]=Control!$C$6, PV[[#This Row],[Notional Value Local Cur]], -PV[[#This Row],[Notional Value Local Cur]])</f>
        <v>0</v>
      </c>
    </row>
    <row r="1329" spans="1:5" x14ac:dyDescent="0.25">
      <c r="A1329" s="36" t="b">
        <v>0</v>
      </c>
      <c r="B1329" s="56" t="b">
        <v>0</v>
      </c>
      <c r="C1329" s="56" t="b">
        <v>0</v>
      </c>
      <c r="D1329" s="56" t="b">
        <v>0</v>
      </c>
      <c r="E1329" s="56">
        <f ca="1">IF(PV[[#This Row],[Business Date]]=Control!$C$6, PV[[#This Row],[Notional Value Local Cur]], -PV[[#This Row],[Notional Value Local Cur]])</f>
        <v>0</v>
      </c>
    </row>
    <row r="1330" spans="1:5" x14ac:dyDescent="0.25">
      <c r="A1330" s="36" t="b">
        <v>0</v>
      </c>
      <c r="B1330" s="56" t="b">
        <v>0</v>
      </c>
      <c r="C1330" s="56" t="b">
        <v>0</v>
      </c>
      <c r="D1330" s="56" t="b">
        <v>0</v>
      </c>
      <c r="E1330" s="56">
        <f ca="1">IF(PV[[#This Row],[Business Date]]=Control!$C$6, PV[[#This Row],[Notional Value Local Cur]], -PV[[#This Row],[Notional Value Local Cur]])</f>
        <v>0</v>
      </c>
    </row>
    <row r="1331" spans="1:5" x14ac:dyDescent="0.25">
      <c r="A1331" s="36" t="b">
        <v>0</v>
      </c>
      <c r="B1331" s="56" t="b">
        <v>0</v>
      </c>
      <c r="C1331" s="56" t="b">
        <v>0</v>
      </c>
      <c r="D1331" s="56" t="b">
        <v>0</v>
      </c>
      <c r="E1331" s="56">
        <f ca="1">IF(PV[[#This Row],[Business Date]]=Control!$C$6, PV[[#This Row],[Notional Value Local Cur]], -PV[[#This Row],[Notional Value Local Cur]])</f>
        <v>0</v>
      </c>
    </row>
    <row r="1332" spans="1:5" x14ac:dyDescent="0.25">
      <c r="A1332" s="36" t="b">
        <v>0</v>
      </c>
      <c r="B1332" s="56" t="b">
        <v>0</v>
      </c>
      <c r="C1332" s="56" t="b">
        <v>0</v>
      </c>
      <c r="D1332" s="56" t="b">
        <v>0</v>
      </c>
      <c r="E1332" s="56">
        <f ca="1">IF(PV[[#This Row],[Business Date]]=Control!$C$6, PV[[#This Row],[Notional Value Local Cur]], -PV[[#This Row],[Notional Value Local Cur]])</f>
        <v>0</v>
      </c>
    </row>
    <row r="1333" spans="1:5" x14ac:dyDescent="0.25">
      <c r="A1333" s="36" t="b">
        <v>0</v>
      </c>
      <c r="B1333" s="56" t="b">
        <v>0</v>
      </c>
      <c r="C1333" s="56" t="b">
        <v>0</v>
      </c>
      <c r="D1333" s="56" t="b">
        <v>0</v>
      </c>
      <c r="E1333" s="56">
        <f ca="1">IF(PV[[#This Row],[Business Date]]=Control!$C$6, PV[[#This Row],[Notional Value Local Cur]], -PV[[#This Row],[Notional Value Local Cur]])</f>
        <v>0</v>
      </c>
    </row>
    <row r="1334" spans="1:5" x14ac:dyDescent="0.25">
      <c r="A1334" s="36" t="b">
        <v>0</v>
      </c>
      <c r="B1334" s="56" t="b">
        <v>0</v>
      </c>
      <c r="C1334" s="56" t="b">
        <v>0</v>
      </c>
      <c r="D1334" s="56" t="b">
        <v>0</v>
      </c>
      <c r="E1334" s="56">
        <f ca="1">IF(PV[[#This Row],[Business Date]]=Control!$C$6, PV[[#This Row],[Notional Value Local Cur]], -PV[[#This Row],[Notional Value Local Cur]])</f>
        <v>0</v>
      </c>
    </row>
    <row r="1335" spans="1:5" x14ac:dyDescent="0.25">
      <c r="A1335" s="36" t="b">
        <v>0</v>
      </c>
      <c r="B1335" s="56" t="b">
        <v>0</v>
      </c>
      <c r="C1335" s="56" t="b">
        <v>0</v>
      </c>
      <c r="D1335" s="56" t="b">
        <v>0</v>
      </c>
      <c r="E1335" s="56">
        <f ca="1">IF(PV[[#This Row],[Business Date]]=Control!$C$6, PV[[#This Row],[Notional Value Local Cur]], -PV[[#This Row],[Notional Value Local Cur]])</f>
        <v>0</v>
      </c>
    </row>
    <row r="1336" spans="1:5" x14ac:dyDescent="0.25">
      <c r="A1336" s="36" t="b">
        <v>0</v>
      </c>
      <c r="B1336" s="56" t="b">
        <v>0</v>
      </c>
      <c r="C1336" s="56" t="b">
        <v>0</v>
      </c>
      <c r="D1336" s="56" t="b">
        <v>0</v>
      </c>
      <c r="E1336" s="56">
        <f ca="1">IF(PV[[#This Row],[Business Date]]=Control!$C$6, PV[[#This Row],[Notional Value Local Cur]], -PV[[#This Row],[Notional Value Local Cur]])</f>
        <v>0</v>
      </c>
    </row>
    <row r="1337" spans="1:5" x14ac:dyDescent="0.25">
      <c r="A1337" s="36" t="b">
        <v>0</v>
      </c>
      <c r="B1337" s="56" t="b">
        <v>0</v>
      </c>
      <c r="C1337" s="56" t="b">
        <v>0</v>
      </c>
      <c r="D1337" s="56" t="b">
        <v>0</v>
      </c>
      <c r="E1337" s="56">
        <f ca="1">IF(PV[[#This Row],[Business Date]]=Control!$C$6, PV[[#This Row],[Notional Value Local Cur]], -PV[[#This Row],[Notional Value Local Cur]])</f>
        <v>0</v>
      </c>
    </row>
    <row r="1338" spans="1:5" x14ac:dyDescent="0.25">
      <c r="A1338" s="36" t="b">
        <v>0</v>
      </c>
      <c r="B1338" s="56" t="b">
        <v>0</v>
      </c>
      <c r="C1338" s="56" t="b">
        <v>0</v>
      </c>
      <c r="D1338" s="56" t="b">
        <v>0</v>
      </c>
      <c r="E1338" s="56">
        <f ca="1">IF(PV[[#This Row],[Business Date]]=Control!$C$6, PV[[#This Row],[Notional Value Local Cur]], -PV[[#This Row],[Notional Value Local Cur]])</f>
        <v>0</v>
      </c>
    </row>
    <row r="1339" spans="1:5" x14ac:dyDescent="0.25">
      <c r="A1339" s="36" t="b">
        <v>0</v>
      </c>
      <c r="B1339" s="56" t="b">
        <v>0</v>
      </c>
      <c r="C1339" s="56" t="b">
        <v>0</v>
      </c>
      <c r="D1339" s="56" t="b">
        <v>0</v>
      </c>
      <c r="E1339" s="56">
        <f ca="1">IF(PV[[#This Row],[Business Date]]=Control!$C$6, PV[[#This Row],[Notional Value Local Cur]], -PV[[#This Row],[Notional Value Local Cur]])</f>
        <v>0</v>
      </c>
    </row>
    <row r="1340" spans="1:5" x14ac:dyDescent="0.25">
      <c r="A1340" s="36" t="b">
        <v>0</v>
      </c>
      <c r="B1340" s="56" t="b">
        <v>0</v>
      </c>
      <c r="C1340" s="56" t="b">
        <v>0</v>
      </c>
      <c r="D1340" s="56" t="b">
        <v>0</v>
      </c>
      <c r="E1340" s="56">
        <f ca="1">IF(PV[[#This Row],[Business Date]]=Control!$C$6, PV[[#This Row],[Notional Value Local Cur]], -PV[[#This Row],[Notional Value Local Cur]])</f>
        <v>0</v>
      </c>
    </row>
    <row r="1341" spans="1:5" x14ac:dyDescent="0.25">
      <c r="A1341" s="36" t="b">
        <v>0</v>
      </c>
      <c r="B1341" s="56" t="b">
        <v>0</v>
      </c>
      <c r="C1341" s="56" t="b">
        <v>0</v>
      </c>
      <c r="D1341" s="56" t="b">
        <v>0</v>
      </c>
      <c r="E1341" s="56">
        <f ca="1">IF(PV[[#This Row],[Business Date]]=Control!$C$6, PV[[#This Row],[Notional Value Local Cur]], -PV[[#This Row],[Notional Value Local Cur]])</f>
        <v>0</v>
      </c>
    </row>
    <row r="1342" spans="1:5" x14ac:dyDescent="0.25">
      <c r="A1342" s="36" t="b">
        <v>0</v>
      </c>
      <c r="B1342" s="56" t="b">
        <v>0</v>
      </c>
      <c r="C1342" s="56" t="b">
        <v>0</v>
      </c>
      <c r="D1342" s="56" t="b">
        <v>0</v>
      </c>
      <c r="E1342" s="56">
        <f ca="1">IF(PV[[#This Row],[Business Date]]=Control!$C$6, PV[[#This Row],[Notional Value Local Cur]], -PV[[#This Row],[Notional Value Local Cur]])</f>
        <v>0</v>
      </c>
    </row>
    <row r="1343" spans="1:5" x14ac:dyDescent="0.25">
      <c r="A1343" s="36" t="b">
        <v>0</v>
      </c>
      <c r="B1343" s="56" t="b">
        <v>0</v>
      </c>
      <c r="C1343" s="56" t="b">
        <v>0</v>
      </c>
      <c r="D1343" s="56" t="b">
        <v>0</v>
      </c>
      <c r="E1343" s="56">
        <f ca="1">IF(PV[[#This Row],[Business Date]]=Control!$C$6, PV[[#This Row],[Notional Value Local Cur]], -PV[[#This Row],[Notional Value Local Cur]])</f>
        <v>0</v>
      </c>
    </row>
    <row r="1344" spans="1:5" x14ac:dyDescent="0.25">
      <c r="A1344" s="36" t="b">
        <v>0</v>
      </c>
      <c r="B1344" s="56" t="b">
        <v>0</v>
      </c>
      <c r="C1344" s="56" t="b">
        <v>0</v>
      </c>
      <c r="D1344" s="56" t="b">
        <v>0</v>
      </c>
      <c r="E1344" s="56">
        <f ca="1">IF(PV[[#This Row],[Business Date]]=Control!$C$6, PV[[#This Row],[Notional Value Local Cur]], -PV[[#This Row],[Notional Value Local Cur]])</f>
        <v>0</v>
      </c>
    </row>
    <row r="1345" spans="1:5" x14ac:dyDescent="0.25">
      <c r="A1345" s="36" t="b">
        <v>0</v>
      </c>
      <c r="B1345" s="56" t="b">
        <v>0</v>
      </c>
      <c r="C1345" s="56" t="b">
        <v>0</v>
      </c>
      <c r="D1345" s="56" t="b">
        <v>0</v>
      </c>
      <c r="E1345" s="56">
        <f ca="1">IF(PV[[#This Row],[Business Date]]=Control!$C$6, PV[[#This Row],[Notional Value Local Cur]], -PV[[#This Row],[Notional Value Local Cur]])</f>
        <v>0</v>
      </c>
    </row>
    <row r="1346" spans="1:5" x14ac:dyDescent="0.25">
      <c r="A1346" s="36" t="b">
        <v>0</v>
      </c>
      <c r="B1346" s="56" t="b">
        <v>0</v>
      </c>
      <c r="C1346" s="56" t="b">
        <v>0</v>
      </c>
      <c r="D1346" s="56" t="b">
        <v>0</v>
      </c>
      <c r="E1346" s="56">
        <f ca="1">IF(PV[[#This Row],[Business Date]]=Control!$C$6, PV[[#This Row],[Notional Value Local Cur]], -PV[[#This Row],[Notional Value Local Cur]])</f>
        <v>0</v>
      </c>
    </row>
    <row r="1347" spans="1:5" x14ac:dyDescent="0.25">
      <c r="A1347" s="36" t="b">
        <v>0</v>
      </c>
      <c r="B1347" s="56" t="b">
        <v>0</v>
      </c>
      <c r="C1347" s="56" t="b">
        <v>0</v>
      </c>
      <c r="D1347" s="56" t="b">
        <v>0</v>
      </c>
      <c r="E1347" s="56">
        <f ca="1">IF(PV[[#This Row],[Business Date]]=Control!$C$6, PV[[#This Row],[Notional Value Local Cur]], -PV[[#This Row],[Notional Value Local Cur]])</f>
        <v>0</v>
      </c>
    </row>
    <row r="1348" spans="1:5" x14ac:dyDescent="0.25">
      <c r="A1348" s="36" t="b">
        <v>0</v>
      </c>
      <c r="B1348" s="56" t="b">
        <v>0</v>
      </c>
      <c r="C1348" s="56" t="b">
        <v>0</v>
      </c>
      <c r="D1348" s="56" t="b">
        <v>0</v>
      </c>
      <c r="E1348" s="56">
        <f ca="1">IF(PV[[#This Row],[Business Date]]=Control!$C$6, PV[[#This Row],[Notional Value Local Cur]], -PV[[#This Row],[Notional Value Local Cur]])</f>
        <v>0</v>
      </c>
    </row>
    <row r="1349" spans="1:5" x14ac:dyDescent="0.25">
      <c r="A1349" s="36" t="b">
        <v>0</v>
      </c>
      <c r="B1349" s="56" t="b">
        <v>0</v>
      </c>
      <c r="C1349" s="56" t="b">
        <v>0</v>
      </c>
      <c r="D1349" s="56" t="b">
        <v>0</v>
      </c>
      <c r="E1349" s="56">
        <f ca="1">IF(PV[[#This Row],[Business Date]]=Control!$C$6, PV[[#This Row],[Notional Value Local Cur]], -PV[[#This Row],[Notional Value Local Cur]])</f>
        <v>0</v>
      </c>
    </row>
    <row r="1350" spans="1:5" x14ac:dyDescent="0.25">
      <c r="A1350" s="36" t="b">
        <v>0</v>
      </c>
      <c r="B1350" s="56" t="b">
        <v>0</v>
      </c>
      <c r="C1350" s="56" t="b">
        <v>0</v>
      </c>
      <c r="D1350" s="56" t="b">
        <v>0</v>
      </c>
      <c r="E1350" s="56">
        <f ca="1">IF(PV[[#This Row],[Business Date]]=Control!$C$6, PV[[#This Row],[Notional Value Local Cur]], -PV[[#This Row],[Notional Value Local Cur]])</f>
        <v>0</v>
      </c>
    </row>
    <row r="1351" spans="1:5" x14ac:dyDescent="0.25">
      <c r="A1351" s="36" t="b">
        <v>0</v>
      </c>
      <c r="B1351" s="56" t="b">
        <v>0</v>
      </c>
      <c r="C1351" s="56" t="b">
        <v>0</v>
      </c>
      <c r="D1351" s="56" t="b">
        <v>0</v>
      </c>
      <c r="E1351" s="56">
        <f ca="1">IF(PV[[#This Row],[Business Date]]=Control!$C$6, PV[[#This Row],[Notional Value Local Cur]], -PV[[#This Row],[Notional Value Local Cur]])</f>
        <v>0</v>
      </c>
    </row>
    <row r="1352" spans="1:5" x14ac:dyDescent="0.25">
      <c r="A1352" s="36" t="b">
        <v>0</v>
      </c>
      <c r="B1352" s="56" t="b">
        <v>0</v>
      </c>
      <c r="C1352" s="56" t="b">
        <v>0</v>
      </c>
      <c r="D1352" s="56" t="b">
        <v>0</v>
      </c>
      <c r="E1352" s="56">
        <f ca="1">IF(PV[[#This Row],[Business Date]]=Control!$C$6, PV[[#This Row],[Notional Value Local Cur]], -PV[[#This Row],[Notional Value Local Cur]])</f>
        <v>0</v>
      </c>
    </row>
    <row r="1353" spans="1:5" x14ac:dyDescent="0.25">
      <c r="A1353" s="36" t="b">
        <v>0</v>
      </c>
      <c r="B1353" s="56" t="b">
        <v>0</v>
      </c>
      <c r="C1353" s="56" t="b">
        <v>0</v>
      </c>
      <c r="D1353" s="56" t="b">
        <v>0</v>
      </c>
      <c r="E1353" s="56">
        <f ca="1">IF(PV[[#This Row],[Business Date]]=Control!$C$6, PV[[#This Row],[Notional Value Local Cur]], -PV[[#This Row],[Notional Value Local Cur]])</f>
        <v>0</v>
      </c>
    </row>
    <row r="1354" spans="1:5" x14ac:dyDescent="0.25">
      <c r="A1354" s="36" t="b">
        <v>0</v>
      </c>
      <c r="B1354" s="56" t="b">
        <v>0</v>
      </c>
      <c r="C1354" s="56" t="b">
        <v>0</v>
      </c>
      <c r="D1354" s="56" t="b">
        <v>0</v>
      </c>
      <c r="E1354" s="56">
        <f ca="1">IF(PV[[#This Row],[Business Date]]=Control!$C$6, PV[[#This Row],[Notional Value Local Cur]], -PV[[#This Row],[Notional Value Local Cur]])</f>
        <v>0</v>
      </c>
    </row>
    <row r="1355" spans="1:5" x14ac:dyDescent="0.25">
      <c r="A1355" s="36" t="b">
        <v>0</v>
      </c>
      <c r="B1355" s="56" t="b">
        <v>0</v>
      </c>
      <c r="C1355" s="56" t="b">
        <v>0</v>
      </c>
      <c r="D1355" s="56" t="b">
        <v>0</v>
      </c>
      <c r="E1355" s="56">
        <f ca="1">IF(PV[[#This Row],[Business Date]]=Control!$C$6, PV[[#This Row],[Notional Value Local Cur]], -PV[[#This Row],[Notional Value Local Cur]])</f>
        <v>0</v>
      </c>
    </row>
    <row r="1356" spans="1:5" x14ac:dyDescent="0.25">
      <c r="A1356" s="36" t="b">
        <v>0</v>
      </c>
      <c r="B1356" s="56" t="b">
        <v>0</v>
      </c>
      <c r="C1356" s="56" t="b">
        <v>0</v>
      </c>
      <c r="D1356" s="56" t="b">
        <v>0</v>
      </c>
      <c r="E1356" s="56">
        <f ca="1">IF(PV[[#This Row],[Business Date]]=Control!$C$6, PV[[#This Row],[Notional Value Local Cur]], -PV[[#This Row],[Notional Value Local Cur]])</f>
        <v>0</v>
      </c>
    </row>
    <row r="1357" spans="1:5" x14ac:dyDescent="0.25">
      <c r="A1357" s="36" t="b">
        <v>0</v>
      </c>
      <c r="B1357" s="56" t="b">
        <v>0</v>
      </c>
      <c r="C1357" s="56" t="b">
        <v>0</v>
      </c>
      <c r="D1357" s="56" t="b">
        <v>0</v>
      </c>
      <c r="E1357" s="56">
        <f ca="1">IF(PV[[#This Row],[Business Date]]=Control!$C$6, PV[[#This Row],[Notional Value Local Cur]], -PV[[#This Row],[Notional Value Local Cur]])</f>
        <v>0</v>
      </c>
    </row>
    <row r="1358" spans="1:5" x14ac:dyDescent="0.25">
      <c r="A1358" s="36" t="b">
        <v>0</v>
      </c>
      <c r="B1358" s="56" t="b">
        <v>0</v>
      </c>
      <c r="C1358" s="56" t="b">
        <v>0</v>
      </c>
      <c r="D1358" s="56" t="b">
        <v>0</v>
      </c>
      <c r="E1358" s="56">
        <f ca="1">IF(PV[[#This Row],[Business Date]]=Control!$C$6, PV[[#This Row],[Notional Value Local Cur]], -PV[[#This Row],[Notional Value Local Cur]])</f>
        <v>0</v>
      </c>
    </row>
    <row r="1359" spans="1:5" x14ac:dyDescent="0.25">
      <c r="A1359" s="36" t="b">
        <v>0</v>
      </c>
      <c r="B1359" s="56" t="b">
        <v>0</v>
      </c>
      <c r="C1359" s="56" t="b">
        <v>0</v>
      </c>
      <c r="D1359" s="56" t="b">
        <v>0</v>
      </c>
      <c r="E1359" s="56">
        <f ca="1">IF(PV[[#This Row],[Business Date]]=Control!$C$6, PV[[#This Row],[Notional Value Local Cur]], -PV[[#This Row],[Notional Value Local Cur]])</f>
        <v>0</v>
      </c>
    </row>
    <row r="1360" spans="1:5" x14ac:dyDescent="0.25">
      <c r="A1360" s="36" t="b">
        <v>0</v>
      </c>
      <c r="B1360" s="56" t="b">
        <v>0</v>
      </c>
      <c r="C1360" s="56" t="b">
        <v>0</v>
      </c>
      <c r="D1360" s="56" t="b">
        <v>0</v>
      </c>
      <c r="E1360" s="56">
        <f ca="1">IF(PV[[#This Row],[Business Date]]=Control!$C$6, PV[[#This Row],[Notional Value Local Cur]], -PV[[#This Row],[Notional Value Local Cur]])</f>
        <v>0</v>
      </c>
    </row>
    <row r="1361" spans="1:5" x14ac:dyDescent="0.25">
      <c r="A1361" s="36" t="b">
        <v>0</v>
      </c>
      <c r="B1361" s="56" t="b">
        <v>0</v>
      </c>
      <c r="C1361" s="56" t="b">
        <v>0</v>
      </c>
      <c r="D1361" s="56" t="b">
        <v>0</v>
      </c>
      <c r="E1361" s="56">
        <f ca="1">IF(PV[[#This Row],[Business Date]]=Control!$C$6, PV[[#This Row],[Notional Value Local Cur]], -PV[[#This Row],[Notional Value Local Cur]])</f>
        <v>0</v>
      </c>
    </row>
    <row r="1362" spans="1:5" x14ac:dyDescent="0.25">
      <c r="A1362" s="36" t="b">
        <v>0</v>
      </c>
      <c r="B1362" s="56" t="b">
        <v>0</v>
      </c>
      <c r="C1362" s="56" t="b">
        <v>0</v>
      </c>
      <c r="D1362" s="56" t="b">
        <v>0</v>
      </c>
      <c r="E1362" s="56">
        <f ca="1">IF(PV[[#This Row],[Business Date]]=Control!$C$6, PV[[#This Row],[Notional Value Local Cur]], -PV[[#This Row],[Notional Value Local Cur]])</f>
        <v>0</v>
      </c>
    </row>
    <row r="1363" spans="1:5" x14ac:dyDescent="0.25">
      <c r="A1363" s="36" t="b">
        <v>0</v>
      </c>
      <c r="B1363" s="56" t="b">
        <v>0</v>
      </c>
      <c r="C1363" s="56" t="b">
        <v>0</v>
      </c>
      <c r="D1363" s="56" t="b">
        <v>0</v>
      </c>
      <c r="E1363" s="56">
        <f ca="1">IF(PV[[#This Row],[Business Date]]=Control!$C$6, PV[[#This Row],[Notional Value Local Cur]], -PV[[#This Row],[Notional Value Local Cur]])</f>
        <v>0</v>
      </c>
    </row>
    <row r="1364" spans="1:5" x14ac:dyDescent="0.25">
      <c r="A1364" s="36" t="b">
        <v>0</v>
      </c>
      <c r="B1364" s="56" t="b">
        <v>0</v>
      </c>
      <c r="C1364" s="56" t="b">
        <v>0</v>
      </c>
      <c r="D1364" s="56" t="b">
        <v>0</v>
      </c>
      <c r="E1364" s="56">
        <f ca="1">IF(PV[[#This Row],[Business Date]]=Control!$C$6, PV[[#This Row],[Notional Value Local Cur]], -PV[[#This Row],[Notional Value Local Cur]])</f>
        <v>0</v>
      </c>
    </row>
    <row r="1365" spans="1:5" x14ac:dyDescent="0.25">
      <c r="A1365" s="36" t="b">
        <v>0</v>
      </c>
      <c r="B1365" s="56" t="b">
        <v>0</v>
      </c>
      <c r="C1365" s="56" t="b">
        <v>0</v>
      </c>
      <c r="D1365" s="56" t="b">
        <v>0</v>
      </c>
      <c r="E1365" s="56">
        <f ca="1">IF(PV[[#This Row],[Business Date]]=Control!$C$6, PV[[#This Row],[Notional Value Local Cur]], -PV[[#This Row],[Notional Value Local Cur]])</f>
        <v>0</v>
      </c>
    </row>
    <row r="1366" spans="1:5" x14ac:dyDescent="0.25">
      <c r="A1366" s="36" t="b">
        <v>0</v>
      </c>
      <c r="B1366" s="56" t="b">
        <v>0</v>
      </c>
      <c r="C1366" s="56" t="b">
        <v>0</v>
      </c>
      <c r="D1366" s="56" t="b">
        <v>0</v>
      </c>
      <c r="E1366" s="56">
        <f ca="1">IF(PV[[#This Row],[Business Date]]=Control!$C$6, PV[[#This Row],[Notional Value Local Cur]], -PV[[#This Row],[Notional Value Local Cur]])</f>
        <v>0</v>
      </c>
    </row>
    <row r="1367" spans="1:5" x14ac:dyDescent="0.25">
      <c r="A1367" s="36" t="b">
        <v>0</v>
      </c>
      <c r="B1367" s="56" t="b">
        <v>0</v>
      </c>
      <c r="C1367" s="56" t="b">
        <v>0</v>
      </c>
      <c r="D1367" s="56" t="b">
        <v>0</v>
      </c>
      <c r="E1367" s="56">
        <f ca="1">IF(PV[[#This Row],[Business Date]]=Control!$C$6, PV[[#This Row],[Notional Value Local Cur]], -PV[[#This Row],[Notional Value Local Cur]])</f>
        <v>0</v>
      </c>
    </row>
    <row r="1368" spans="1:5" x14ac:dyDescent="0.25">
      <c r="A1368" s="36" t="b">
        <v>0</v>
      </c>
      <c r="B1368" s="56" t="b">
        <v>0</v>
      </c>
      <c r="C1368" s="56" t="b">
        <v>0</v>
      </c>
      <c r="D1368" s="56" t="b">
        <v>0</v>
      </c>
      <c r="E1368" s="56">
        <f ca="1">IF(PV[[#This Row],[Business Date]]=Control!$C$6, PV[[#This Row],[Notional Value Local Cur]], -PV[[#This Row],[Notional Value Local Cur]])</f>
        <v>0</v>
      </c>
    </row>
    <row r="1369" spans="1:5" x14ac:dyDescent="0.25">
      <c r="A1369" s="36" t="b">
        <v>0</v>
      </c>
      <c r="B1369" s="56" t="b">
        <v>0</v>
      </c>
      <c r="C1369" s="56" t="b">
        <v>0</v>
      </c>
      <c r="D1369" s="56" t="b">
        <v>0</v>
      </c>
      <c r="E1369" s="56">
        <f ca="1">IF(PV[[#This Row],[Business Date]]=Control!$C$6, PV[[#This Row],[Notional Value Local Cur]], -PV[[#This Row],[Notional Value Local Cur]])</f>
        <v>0</v>
      </c>
    </row>
    <row r="1370" spans="1:5" x14ac:dyDescent="0.25">
      <c r="A1370" s="36" t="b">
        <v>0</v>
      </c>
      <c r="B1370" s="56" t="b">
        <v>0</v>
      </c>
      <c r="C1370" s="56" t="b">
        <v>0</v>
      </c>
      <c r="D1370" s="56" t="b">
        <v>0</v>
      </c>
      <c r="E1370" s="56">
        <f ca="1">IF(PV[[#This Row],[Business Date]]=Control!$C$6, PV[[#This Row],[Notional Value Local Cur]], -PV[[#This Row],[Notional Value Local Cur]])</f>
        <v>0</v>
      </c>
    </row>
    <row r="1371" spans="1:5" x14ac:dyDescent="0.25">
      <c r="A1371" s="36" t="b">
        <v>0</v>
      </c>
      <c r="B1371" s="56" t="b">
        <v>0</v>
      </c>
      <c r="C1371" s="56" t="b">
        <v>0</v>
      </c>
      <c r="D1371" s="56" t="b">
        <v>0</v>
      </c>
      <c r="E1371" s="56">
        <f ca="1">IF(PV[[#This Row],[Business Date]]=Control!$C$6, PV[[#This Row],[Notional Value Local Cur]], -PV[[#This Row],[Notional Value Local Cur]])</f>
        <v>0</v>
      </c>
    </row>
    <row r="1372" spans="1:5" x14ac:dyDescent="0.25">
      <c r="A1372" s="36" t="b">
        <v>0</v>
      </c>
      <c r="B1372" s="56" t="b">
        <v>0</v>
      </c>
      <c r="C1372" s="56" t="b">
        <v>0</v>
      </c>
      <c r="D1372" s="56" t="b">
        <v>0</v>
      </c>
      <c r="E1372" s="56">
        <f ca="1">IF(PV[[#This Row],[Business Date]]=Control!$C$6, PV[[#This Row],[Notional Value Local Cur]], -PV[[#This Row],[Notional Value Local Cur]])</f>
        <v>0</v>
      </c>
    </row>
    <row r="1373" spans="1:5" x14ac:dyDescent="0.25">
      <c r="A1373" s="36" t="b">
        <v>0</v>
      </c>
      <c r="B1373" s="56" t="b">
        <v>0</v>
      </c>
      <c r="C1373" s="56" t="b">
        <v>0</v>
      </c>
      <c r="D1373" s="56" t="b">
        <v>0</v>
      </c>
      <c r="E1373" s="56">
        <f ca="1">IF(PV[[#This Row],[Business Date]]=Control!$C$6, PV[[#This Row],[Notional Value Local Cur]], -PV[[#This Row],[Notional Value Local Cur]])</f>
        <v>0</v>
      </c>
    </row>
    <row r="1374" spans="1:5" x14ac:dyDescent="0.25">
      <c r="A1374" s="36" t="b">
        <v>0</v>
      </c>
      <c r="B1374" s="56" t="b">
        <v>0</v>
      </c>
      <c r="C1374" s="56" t="b">
        <v>0</v>
      </c>
      <c r="D1374" s="56" t="b">
        <v>0</v>
      </c>
      <c r="E1374" s="56">
        <f ca="1">IF(PV[[#This Row],[Business Date]]=Control!$C$6, PV[[#This Row],[Notional Value Local Cur]], -PV[[#This Row],[Notional Value Local Cur]])</f>
        <v>0</v>
      </c>
    </row>
    <row r="1375" spans="1:5" x14ac:dyDescent="0.25">
      <c r="A1375" s="36" t="b">
        <v>0</v>
      </c>
      <c r="B1375" s="56" t="b">
        <v>0</v>
      </c>
      <c r="C1375" s="56" t="b">
        <v>0</v>
      </c>
      <c r="D1375" s="56" t="b">
        <v>0</v>
      </c>
      <c r="E1375" s="56">
        <f ca="1">IF(PV[[#This Row],[Business Date]]=Control!$C$6, PV[[#This Row],[Notional Value Local Cur]], -PV[[#This Row],[Notional Value Local Cur]])</f>
        <v>0</v>
      </c>
    </row>
    <row r="1376" spans="1:5" x14ac:dyDescent="0.25">
      <c r="A1376" s="36" t="b">
        <v>0</v>
      </c>
      <c r="B1376" s="56" t="b">
        <v>0</v>
      </c>
      <c r="C1376" s="56" t="b">
        <v>0</v>
      </c>
      <c r="D1376" s="56" t="b">
        <v>0</v>
      </c>
      <c r="E1376" s="56">
        <f ca="1">IF(PV[[#This Row],[Business Date]]=Control!$C$6, PV[[#This Row],[Notional Value Local Cur]], -PV[[#This Row],[Notional Value Local Cur]])</f>
        <v>0</v>
      </c>
    </row>
    <row r="1377" spans="1:5" x14ac:dyDescent="0.25">
      <c r="A1377" s="36" t="b">
        <v>0</v>
      </c>
      <c r="B1377" s="56" t="b">
        <v>0</v>
      </c>
      <c r="C1377" s="56" t="b">
        <v>0</v>
      </c>
      <c r="D1377" s="56" t="b">
        <v>0</v>
      </c>
      <c r="E1377" s="56">
        <f ca="1">IF(PV[[#This Row],[Business Date]]=Control!$C$6, PV[[#This Row],[Notional Value Local Cur]], -PV[[#This Row],[Notional Value Local Cur]])</f>
        <v>0</v>
      </c>
    </row>
    <row r="1378" spans="1:5" x14ac:dyDescent="0.25">
      <c r="A1378" s="36" t="b">
        <v>0</v>
      </c>
      <c r="B1378" s="56" t="b">
        <v>0</v>
      </c>
      <c r="C1378" s="56" t="b">
        <v>0</v>
      </c>
      <c r="D1378" s="56" t="b">
        <v>0</v>
      </c>
      <c r="E1378" s="56">
        <f ca="1">IF(PV[[#This Row],[Business Date]]=Control!$C$6, PV[[#This Row],[Notional Value Local Cur]], -PV[[#This Row],[Notional Value Local Cur]])</f>
        <v>0</v>
      </c>
    </row>
    <row r="1379" spans="1:5" x14ac:dyDescent="0.25">
      <c r="A1379" s="36" t="b">
        <v>0</v>
      </c>
      <c r="B1379" s="56" t="b">
        <v>0</v>
      </c>
      <c r="C1379" s="56" t="b">
        <v>0</v>
      </c>
      <c r="D1379" s="56" t="b">
        <v>0</v>
      </c>
      <c r="E1379" s="56">
        <f ca="1">IF(PV[[#This Row],[Business Date]]=Control!$C$6, PV[[#This Row],[Notional Value Local Cur]], -PV[[#This Row],[Notional Value Local Cur]])</f>
        <v>0</v>
      </c>
    </row>
    <row r="1380" spans="1:5" x14ac:dyDescent="0.25">
      <c r="A1380" s="36" t="b">
        <v>0</v>
      </c>
      <c r="B1380" s="56" t="b">
        <v>0</v>
      </c>
      <c r="C1380" s="56" t="b">
        <v>0</v>
      </c>
      <c r="D1380" s="56" t="b">
        <v>0</v>
      </c>
      <c r="E1380" s="56">
        <f ca="1">IF(PV[[#This Row],[Business Date]]=Control!$C$6, PV[[#This Row],[Notional Value Local Cur]], -PV[[#This Row],[Notional Value Local Cur]])</f>
        <v>0</v>
      </c>
    </row>
    <row r="1381" spans="1:5" x14ac:dyDescent="0.25">
      <c r="A1381" s="36" t="b">
        <v>0</v>
      </c>
      <c r="B1381" s="56" t="b">
        <v>0</v>
      </c>
      <c r="C1381" s="56" t="b">
        <v>0</v>
      </c>
      <c r="D1381" s="56" t="b">
        <v>0</v>
      </c>
      <c r="E1381" s="56">
        <f ca="1">IF(PV[[#This Row],[Business Date]]=Control!$C$6, PV[[#This Row],[Notional Value Local Cur]], -PV[[#This Row],[Notional Value Local Cur]])</f>
        <v>0</v>
      </c>
    </row>
    <row r="1382" spans="1:5" x14ac:dyDescent="0.25">
      <c r="A1382" s="36" t="b">
        <v>0</v>
      </c>
      <c r="B1382" s="56" t="b">
        <v>0</v>
      </c>
      <c r="C1382" s="56" t="b">
        <v>0</v>
      </c>
      <c r="D1382" s="56" t="b">
        <v>0</v>
      </c>
      <c r="E1382" s="56">
        <f ca="1">IF(PV[[#This Row],[Business Date]]=Control!$C$6, PV[[#This Row],[Notional Value Local Cur]], -PV[[#This Row],[Notional Value Local Cur]])</f>
        <v>0</v>
      </c>
    </row>
    <row r="1383" spans="1:5" x14ac:dyDescent="0.25">
      <c r="A1383" s="36" t="b">
        <v>0</v>
      </c>
      <c r="B1383" s="56" t="b">
        <v>0</v>
      </c>
      <c r="C1383" s="56" t="b">
        <v>0</v>
      </c>
      <c r="D1383" s="56" t="b">
        <v>0</v>
      </c>
      <c r="E1383" s="56">
        <f ca="1">IF(PV[[#This Row],[Business Date]]=Control!$C$6, PV[[#This Row],[Notional Value Local Cur]], -PV[[#This Row],[Notional Value Local Cur]])</f>
        <v>0</v>
      </c>
    </row>
    <row r="1384" spans="1:5" x14ac:dyDescent="0.25">
      <c r="A1384" s="36" t="b">
        <v>0</v>
      </c>
      <c r="B1384" s="56" t="b">
        <v>0</v>
      </c>
      <c r="C1384" s="56" t="b">
        <v>0</v>
      </c>
      <c r="D1384" s="56" t="b">
        <v>0</v>
      </c>
      <c r="E1384" s="56">
        <f ca="1">IF(PV[[#This Row],[Business Date]]=Control!$C$6, PV[[#This Row],[Notional Value Local Cur]], -PV[[#This Row],[Notional Value Local Cur]])</f>
        <v>0</v>
      </c>
    </row>
    <row r="1385" spans="1:5" x14ac:dyDescent="0.25">
      <c r="A1385" s="36" t="b">
        <v>0</v>
      </c>
      <c r="B1385" s="56" t="b">
        <v>0</v>
      </c>
      <c r="C1385" s="56" t="b">
        <v>0</v>
      </c>
      <c r="D1385" s="56" t="b">
        <v>0</v>
      </c>
      <c r="E1385" s="56">
        <f ca="1">IF(PV[[#This Row],[Business Date]]=Control!$C$6, PV[[#This Row],[Notional Value Local Cur]], -PV[[#This Row],[Notional Value Local Cur]])</f>
        <v>0</v>
      </c>
    </row>
    <row r="1386" spans="1:5" x14ac:dyDescent="0.25">
      <c r="A1386" s="36" t="b">
        <v>0</v>
      </c>
      <c r="B1386" s="56" t="b">
        <v>0</v>
      </c>
      <c r="C1386" s="56" t="b">
        <v>0</v>
      </c>
      <c r="D1386" s="56" t="b">
        <v>0</v>
      </c>
      <c r="E1386" s="56">
        <f ca="1">IF(PV[[#This Row],[Business Date]]=Control!$C$6, PV[[#This Row],[Notional Value Local Cur]], -PV[[#This Row],[Notional Value Local Cur]])</f>
        <v>0</v>
      </c>
    </row>
    <row r="1387" spans="1:5" x14ac:dyDescent="0.25">
      <c r="A1387" s="36" t="b">
        <v>0</v>
      </c>
      <c r="B1387" s="56" t="b">
        <v>0</v>
      </c>
      <c r="C1387" s="56" t="b">
        <v>0</v>
      </c>
      <c r="D1387" s="56" t="b">
        <v>0</v>
      </c>
      <c r="E1387" s="56">
        <f ca="1">IF(PV[[#This Row],[Business Date]]=Control!$C$6, PV[[#This Row],[Notional Value Local Cur]], -PV[[#This Row],[Notional Value Local Cur]])</f>
        <v>0</v>
      </c>
    </row>
    <row r="1388" spans="1:5" x14ac:dyDescent="0.25">
      <c r="A1388" s="36" t="b">
        <v>0</v>
      </c>
      <c r="B1388" s="56" t="b">
        <v>0</v>
      </c>
      <c r="C1388" s="56" t="b">
        <v>0</v>
      </c>
      <c r="D1388" s="56" t="b">
        <v>0</v>
      </c>
      <c r="E1388" s="56">
        <f ca="1">IF(PV[[#This Row],[Business Date]]=Control!$C$6, PV[[#This Row],[Notional Value Local Cur]], -PV[[#This Row],[Notional Value Local Cur]])</f>
        <v>0</v>
      </c>
    </row>
    <row r="1389" spans="1:5" x14ac:dyDescent="0.25">
      <c r="A1389" s="36" t="b">
        <v>0</v>
      </c>
      <c r="B1389" s="56" t="b">
        <v>0</v>
      </c>
      <c r="C1389" s="56" t="b">
        <v>0</v>
      </c>
      <c r="D1389" s="56" t="b">
        <v>0</v>
      </c>
      <c r="E1389" s="56">
        <f ca="1">IF(PV[[#This Row],[Business Date]]=Control!$C$6, PV[[#This Row],[Notional Value Local Cur]], -PV[[#This Row],[Notional Value Local Cur]])</f>
        <v>0</v>
      </c>
    </row>
    <row r="1390" spans="1:5" x14ac:dyDescent="0.25">
      <c r="A1390" s="36" t="b">
        <v>0</v>
      </c>
      <c r="B1390" s="56" t="b">
        <v>0</v>
      </c>
      <c r="C1390" s="56" t="b">
        <v>0</v>
      </c>
      <c r="D1390" s="56" t="b">
        <v>0</v>
      </c>
      <c r="E1390" s="56">
        <f ca="1">IF(PV[[#This Row],[Business Date]]=Control!$C$6, PV[[#This Row],[Notional Value Local Cur]], -PV[[#This Row],[Notional Value Local Cur]])</f>
        <v>0</v>
      </c>
    </row>
    <row r="1391" spans="1:5" x14ac:dyDescent="0.25">
      <c r="A1391" s="36" t="b">
        <v>0</v>
      </c>
      <c r="B1391" s="56" t="b">
        <v>0</v>
      </c>
      <c r="C1391" s="56" t="b">
        <v>0</v>
      </c>
      <c r="D1391" s="56" t="b">
        <v>0</v>
      </c>
      <c r="E1391" s="56">
        <f ca="1">IF(PV[[#This Row],[Business Date]]=Control!$C$6, PV[[#This Row],[Notional Value Local Cur]], -PV[[#This Row],[Notional Value Local Cur]])</f>
        <v>0</v>
      </c>
    </row>
    <row r="1392" spans="1:5" x14ac:dyDescent="0.25">
      <c r="A1392" s="36" t="b">
        <v>0</v>
      </c>
      <c r="B1392" s="56" t="b">
        <v>0</v>
      </c>
      <c r="C1392" s="56" t="b">
        <v>0</v>
      </c>
      <c r="D1392" s="56" t="b">
        <v>0</v>
      </c>
      <c r="E1392" s="56">
        <f ca="1">IF(PV[[#This Row],[Business Date]]=Control!$C$6, PV[[#This Row],[Notional Value Local Cur]], -PV[[#This Row],[Notional Value Local Cur]])</f>
        <v>0</v>
      </c>
    </row>
    <row r="1393" spans="1:5" x14ac:dyDescent="0.25">
      <c r="A1393" s="36" t="b">
        <v>0</v>
      </c>
      <c r="B1393" s="56" t="b">
        <v>0</v>
      </c>
      <c r="C1393" s="56" t="b">
        <v>0</v>
      </c>
      <c r="D1393" s="56" t="b">
        <v>0</v>
      </c>
      <c r="E1393" s="56">
        <f ca="1">IF(PV[[#This Row],[Business Date]]=Control!$C$6, PV[[#This Row],[Notional Value Local Cur]], -PV[[#This Row],[Notional Value Local Cur]])</f>
        <v>0</v>
      </c>
    </row>
    <row r="1394" spans="1:5" x14ac:dyDescent="0.25">
      <c r="A1394" s="36" t="b">
        <v>0</v>
      </c>
      <c r="B1394" s="56" t="b">
        <v>0</v>
      </c>
      <c r="C1394" s="56" t="b">
        <v>0</v>
      </c>
      <c r="D1394" s="56" t="b">
        <v>0</v>
      </c>
      <c r="E1394" s="56">
        <f ca="1">IF(PV[[#This Row],[Business Date]]=Control!$C$6, PV[[#This Row],[Notional Value Local Cur]], -PV[[#This Row],[Notional Value Local Cur]])</f>
        <v>0</v>
      </c>
    </row>
    <row r="1395" spans="1:5" x14ac:dyDescent="0.25">
      <c r="A1395" s="36" t="b">
        <v>0</v>
      </c>
      <c r="B1395" s="56" t="b">
        <v>0</v>
      </c>
      <c r="C1395" s="56" t="b">
        <v>0</v>
      </c>
      <c r="D1395" s="56" t="b">
        <v>0</v>
      </c>
      <c r="E1395" s="56">
        <f ca="1">IF(PV[[#This Row],[Business Date]]=Control!$C$6, PV[[#This Row],[Notional Value Local Cur]], -PV[[#This Row],[Notional Value Local Cur]])</f>
        <v>0</v>
      </c>
    </row>
    <row r="1396" spans="1:5" x14ac:dyDescent="0.25">
      <c r="A1396" s="36" t="b">
        <v>0</v>
      </c>
      <c r="B1396" s="56" t="b">
        <v>0</v>
      </c>
      <c r="C1396" s="56" t="b">
        <v>0</v>
      </c>
      <c r="D1396" s="56" t="b">
        <v>0</v>
      </c>
      <c r="E1396" s="56">
        <f ca="1">IF(PV[[#This Row],[Business Date]]=Control!$C$6, PV[[#This Row],[Notional Value Local Cur]], -PV[[#This Row],[Notional Value Local Cur]])</f>
        <v>0</v>
      </c>
    </row>
    <row r="1397" spans="1:5" x14ac:dyDescent="0.25">
      <c r="A1397" s="36" t="b">
        <v>0</v>
      </c>
      <c r="B1397" s="56" t="b">
        <v>0</v>
      </c>
      <c r="C1397" s="56" t="b">
        <v>0</v>
      </c>
      <c r="D1397" s="56" t="b">
        <v>0</v>
      </c>
      <c r="E1397" s="56">
        <f ca="1">IF(PV[[#This Row],[Business Date]]=Control!$C$6, PV[[#This Row],[Notional Value Local Cur]], -PV[[#This Row],[Notional Value Local Cur]])</f>
        <v>0</v>
      </c>
    </row>
    <row r="1398" spans="1:5" x14ac:dyDescent="0.25">
      <c r="A1398" s="36" t="b">
        <v>0</v>
      </c>
      <c r="B1398" s="56" t="b">
        <v>0</v>
      </c>
      <c r="C1398" s="56" t="b">
        <v>0</v>
      </c>
      <c r="D1398" s="56" t="b">
        <v>0</v>
      </c>
      <c r="E1398" s="56">
        <f ca="1">IF(PV[[#This Row],[Business Date]]=Control!$C$6, PV[[#This Row],[Notional Value Local Cur]], -PV[[#This Row],[Notional Value Local Cur]])</f>
        <v>0</v>
      </c>
    </row>
    <row r="1399" spans="1:5" x14ac:dyDescent="0.25">
      <c r="A1399" s="36" t="b">
        <v>0</v>
      </c>
      <c r="B1399" s="56" t="b">
        <v>0</v>
      </c>
      <c r="C1399" s="56" t="b">
        <v>0</v>
      </c>
      <c r="D1399" s="56" t="b">
        <v>0</v>
      </c>
      <c r="E1399" s="56">
        <f ca="1">IF(PV[[#This Row],[Business Date]]=Control!$C$6, PV[[#This Row],[Notional Value Local Cur]], -PV[[#This Row],[Notional Value Local Cur]])</f>
        <v>0</v>
      </c>
    </row>
    <row r="1400" spans="1:5" x14ac:dyDescent="0.25">
      <c r="A1400" s="36" t="b">
        <v>0</v>
      </c>
      <c r="B1400" s="56" t="b">
        <v>0</v>
      </c>
      <c r="C1400" s="56" t="b">
        <v>0</v>
      </c>
      <c r="D1400" s="56" t="b">
        <v>0</v>
      </c>
      <c r="E1400" s="56">
        <f ca="1">IF(PV[[#This Row],[Business Date]]=Control!$C$6, PV[[#This Row],[Notional Value Local Cur]], -PV[[#This Row],[Notional Value Local Cur]])</f>
        <v>0</v>
      </c>
    </row>
    <row r="1401" spans="1:5" x14ac:dyDescent="0.25">
      <c r="A1401" s="36" t="b">
        <v>0</v>
      </c>
      <c r="B1401" s="56" t="b">
        <v>0</v>
      </c>
      <c r="C1401" s="56" t="b">
        <v>0</v>
      </c>
      <c r="D1401" s="56" t="b">
        <v>0</v>
      </c>
      <c r="E1401" s="56">
        <f ca="1">IF(PV[[#This Row],[Business Date]]=Control!$C$6, PV[[#This Row],[Notional Value Local Cur]], -PV[[#This Row],[Notional Value Local Cur]])</f>
        <v>0</v>
      </c>
    </row>
    <row r="1402" spans="1:5" x14ac:dyDescent="0.25">
      <c r="A1402" s="36" t="b">
        <v>0</v>
      </c>
      <c r="B1402" s="56" t="b">
        <v>0</v>
      </c>
      <c r="C1402" s="56" t="b">
        <v>0</v>
      </c>
      <c r="D1402" s="56" t="b">
        <v>0</v>
      </c>
      <c r="E1402" s="56">
        <f ca="1">IF(PV[[#This Row],[Business Date]]=Control!$C$6, PV[[#This Row],[Notional Value Local Cur]], -PV[[#This Row],[Notional Value Local Cur]])</f>
        <v>0</v>
      </c>
    </row>
    <row r="1403" spans="1:5" x14ac:dyDescent="0.25">
      <c r="A1403" s="36" t="b">
        <v>0</v>
      </c>
      <c r="B1403" s="56" t="b">
        <v>0</v>
      </c>
      <c r="C1403" s="56" t="b">
        <v>0</v>
      </c>
      <c r="D1403" s="56" t="b">
        <v>0</v>
      </c>
      <c r="E1403" s="56">
        <f ca="1">IF(PV[[#This Row],[Business Date]]=Control!$C$6, PV[[#This Row],[Notional Value Local Cur]], -PV[[#This Row],[Notional Value Local Cur]])</f>
        <v>0</v>
      </c>
    </row>
    <row r="1404" spans="1:5" x14ac:dyDescent="0.25">
      <c r="A1404" s="36" t="b">
        <v>0</v>
      </c>
      <c r="B1404" s="56" t="b">
        <v>0</v>
      </c>
      <c r="C1404" s="56" t="b">
        <v>0</v>
      </c>
      <c r="D1404" s="56" t="b">
        <v>0</v>
      </c>
      <c r="E1404" s="56">
        <f ca="1">IF(PV[[#This Row],[Business Date]]=Control!$C$6, PV[[#This Row],[Notional Value Local Cur]], -PV[[#This Row],[Notional Value Local Cur]])</f>
        <v>0</v>
      </c>
    </row>
    <row r="1405" spans="1:5" x14ac:dyDescent="0.25">
      <c r="A1405" s="36" t="b">
        <v>0</v>
      </c>
      <c r="B1405" s="56" t="b">
        <v>0</v>
      </c>
      <c r="C1405" s="56" t="b">
        <v>0</v>
      </c>
      <c r="D1405" s="56" t="b">
        <v>0</v>
      </c>
      <c r="E1405" s="56">
        <f ca="1">IF(PV[[#This Row],[Business Date]]=Control!$C$6, PV[[#This Row],[Notional Value Local Cur]], -PV[[#This Row],[Notional Value Local Cur]])</f>
        <v>0</v>
      </c>
    </row>
    <row r="1406" spans="1:5" x14ac:dyDescent="0.25">
      <c r="A1406" s="36" t="b">
        <v>0</v>
      </c>
      <c r="B1406" s="56" t="b">
        <v>0</v>
      </c>
      <c r="C1406" s="56" t="b">
        <v>0</v>
      </c>
      <c r="D1406" s="56" t="b">
        <v>0</v>
      </c>
      <c r="E1406" s="56">
        <f ca="1">IF(PV[[#This Row],[Business Date]]=Control!$C$6, PV[[#This Row],[Notional Value Local Cur]], -PV[[#This Row],[Notional Value Local Cur]])</f>
        <v>0</v>
      </c>
    </row>
    <row r="1407" spans="1:5" x14ac:dyDescent="0.25">
      <c r="A1407" s="36" t="b">
        <v>0</v>
      </c>
      <c r="B1407" s="56" t="b">
        <v>0</v>
      </c>
      <c r="C1407" s="56" t="b">
        <v>0</v>
      </c>
      <c r="D1407" s="56" t="b">
        <v>0</v>
      </c>
      <c r="E1407" s="56">
        <f ca="1">IF(PV[[#This Row],[Business Date]]=Control!$C$6, PV[[#This Row],[Notional Value Local Cur]], -PV[[#This Row],[Notional Value Local Cur]])</f>
        <v>0</v>
      </c>
    </row>
    <row r="1408" spans="1:5" x14ac:dyDescent="0.25">
      <c r="A1408" s="36" t="b">
        <v>0</v>
      </c>
      <c r="B1408" s="56" t="b">
        <v>0</v>
      </c>
      <c r="C1408" s="56" t="b">
        <v>0</v>
      </c>
      <c r="D1408" s="56" t="b">
        <v>0</v>
      </c>
      <c r="E1408" s="56">
        <f ca="1">IF(PV[[#This Row],[Business Date]]=Control!$C$6, PV[[#This Row],[Notional Value Local Cur]], -PV[[#This Row],[Notional Value Local Cur]])</f>
        <v>0</v>
      </c>
    </row>
    <row r="1409" spans="1:5" x14ac:dyDescent="0.25">
      <c r="A1409" s="36" t="b">
        <v>0</v>
      </c>
      <c r="B1409" s="56" t="b">
        <v>0</v>
      </c>
      <c r="C1409" s="56" t="b">
        <v>0</v>
      </c>
      <c r="D1409" s="56" t="b">
        <v>0</v>
      </c>
      <c r="E1409" s="56">
        <f ca="1">IF(PV[[#This Row],[Business Date]]=Control!$C$6, PV[[#This Row],[Notional Value Local Cur]], -PV[[#This Row],[Notional Value Local Cur]])</f>
        <v>0</v>
      </c>
    </row>
    <row r="1410" spans="1:5" x14ac:dyDescent="0.25">
      <c r="A1410" s="36" t="b">
        <v>0</v>
      </c>
      <c r="B1410" s="56" t="b">
        <v>0</v>
      </c>
      <c r="C1410" s="56" t="b">
        <v>0</v>
      </c>
      <c r="D1410" s="56" t="b">
        <v>0</v>
      </c>
      <c r="E1410" s="56">
        <f ca="1">IF(PV[[#This Row],[Business Date]]=Control!$C$6, PV[[#This Row],[Notional Value Local Cur]], -PV[[#This Row],[Notional Value Local Cur]])</f>
        <v>0</v>
      </c>
    </row>
    <row r="1411" spans="1:5" x14ac:dyDescent="0.25">
      <c r="A1411" s="36" t="b">
        <v>0</v>
      </c>
      <c r="B1411" s="56" t="b">
        <v>0</v>
      </c>
      <c r="C1411" s="56" t="b">
        <v>0</v>
      </c>
      <c r="D1411" s="56" t="b">
        <v>0</v>
      </c>
      <c r="E1411" s="56">
        <f ca="1">IF(PV[[#This Row],[Business Date]]=Control!$C$6, PV[[#This Row],[Notional Value Local Cur]], -PV[[#This Row],[Notional Value Local Cur]])</f>
        <v>0</v>
      </c>
    </row>
    <row r="1412" spans="1:5" x14ac:dyDescent="0.25">
      <c r="A1412" s="36" t="b">
        <v>0</v>
      </c>
      <c r="B1412" s="56" t="b">
        <v>0</v>
      </c>
      <c r="C1412" s="56" t="b">
        <v>0</v>
      </c>
      <c r="D1412" s="56" t="b">
        <v>0</v>
      </c>
      <c r="E1412" s="56">
        <f ca="1">IF(PV[[#This Row],[Business Date]]=Control!$C$6, PV[[#This Row],[Notional Value Local Cur]], -PV[[#This Row],[Notional Value Local Cur]])</f>
        <v>0</v>
      </c>
    </row>
    <row r="1413" spans="1:5" x14ac:dyDescent="0.25">
      <c r="A1413" s="36" t="b">
        <v>0</v>
      </c>
      <c r="B1413" s="56" t="b">
        <v>0</v>
      </c>
      <c r="C1413" s="56" t="b">
        <v>0</v>
      </c>
      <c r="D1413" s="56" t="b">
        <v>0</v>
      </c>
      <c r="E1413" s="56">
        <f ca="1">IF(PV[[#This Row],[Business Date]]=Control!$C$6, PV[[#This Row],[Notional Value Local Cur]], -PV[[#This Row],[Notional Value Local Cur]])</f>
        <v>0</v>
      </c>
    </row>
    <row r="1414" spans="1:5" x14ac:dyDescent="0.25">
      <c r="A1414" s="36" t="b">
        <v>0</v>
      </c>
      <c r="B1414" s="56" t="b">
        <v>0</v>
      </c>
      <c r="C1414" s="56" t="b">
        <v>0</v>
      </c>
      <c r="D1414" s="56" t="b">
        <v>0</v>
      </c>
      <c r="E1414" s="56">
        <f ca="1">IF(PV[[#This Row],[Business Date]]=Control!$C$6, PV[[#This Row],[Notional Value Local Cur]], -PV[[#This Row],[Notional Value Local Cur]])</f>
        <v>0</v>
      </c>
    </row>
    <row r="1415" spans="1:5" x14ac:dyDescent="0.25">
      <c r="A1415" s="36" t="b">
        <v>0</v>
      </c>
      <c r="B1415" s="56" t="b">
        <v>0</v>
      </c>
      <c r="C1415" s="56" t="b">
        <v>0</v>
      </c>
      <c r="D1415" s="56" t="b">
        <v>0</v>
      </c>
      <c r="E1415" s="56">
        <f ca="1">IF(PV[[#This Row],[Business Date]]=Control!$C$6, PV[[#This Row],[Notional Value Local Cur]], -PV[[#This Row],[Notional Value Local Cur]])</f>
        <v>0</v>
      </c>
    </row>
    <row r="1416" spans="1:5" x14ac:dyDescent="0.25">
      <c r="A1416" s="36" t="b">
        <v>0</v>
      </c>
      <c r="B1416" s="56" t="b">
        <v>0</v>
      </c>
      <c r="C1416" s="56" t="b">
        <v>0</v>
      </c>
      <c r="D1416" s="56" t="b">
        <v>0</v>
      </c>
      <c r="E1416" s="56">
        <f ca="1">IF(PV[[#This Row],[Business Date]]=Control!$C$6, PV[[#This Row],[Notional Value Local Cur]], -PV[[#This Row],[Notional Value Local Cur]])</f>
        <v>0</v>
      </c>
    </row>
    <row r="1417" spans="1:5" x14ac:dyDescent="0.25">
      <c r="A1417" s="36" t="b">
        <v>0</v>
      </c>
      <c r="B1417" s="56" t="b">
        <v>0</v>
      </c>
      <c r="C1417" s="56" t="b">
        <v>0</v>
      </c>
      <c r="D1417" s="56" t="b">
        <v>0</v>
      </c>
      <c r="E1417" s="56">
        <f ca="1">IF(PV[[#This Row],[Business Date]]=Control!$C$6, PV[[#This Row],[Notional Value Local Cur]], -PV[[#This Row],[Notional Value Local Cur]])</f>
        <v>0</v>
      </c>
    </row>
    <row r="1418" spans="1:5" x14ac:dyDescent="0.25">
      <c r="A1418" s="36" t="b">
        <v>0</v>
      </c>
      <c r="B1418" s="56" t="b">
        <v>0</v>
      </c>
      <c r="C1418" s="56" t="b">
        <v>0</v>
      </c>
      <c r="D1418" s="56" t="b">
        <v>0</v>
      </c>
      <c r="E1418" s="56">
        <f ca="1">IF(PV[[#This Row],[Business Date]]=Control!$C$6, PV[[#This Row],[Notional Value Local Cur]], -PV[[#This Row],[Notional Value Local Cur]])</f>
        <v>0</v>
      </c>
    </row>
    <row r="1419" spans="1:5" x14ac:dyDescent="0.25">
      <c r="A1419" s="36" t="b">
        <v>0</v>
      </c>
      <c r="B1419" s="56" t="b">
        <v>0</v>
      </c>
      <c r="C1419" s="56" t="b">
        <v>0</v>
      </c>
      <c r="D1419" s="56" t="b">
        <v>0</v>
      </c>
      <c r="E1419" s="56">
        <f ca="1">IF(PV[[#This Row],[Business Date]]=Control!$C$6, PV[[#This Row],[Notional Value Local Cur]], -PV[[#This Row],[Notional Value Local Cur]])</f>
        <v>0</v>
      </c>
    </row>
    <row r="1420" spans="1:5" x14ac:dyDescent="0.25">
      <c r="A1420" s="36" t="b">
        <v>0</v>
      </c>
      <c r="B1420" s="56" t="b">
        <v>0</v>
      </c>
      <c r="C1420" s="56" t="b">
        <v>0</v>
      </c>
      <c r="D1420" s="56" t="b">
        <v>0</v>
      </c>
      <c r="E1420" s="56">
        <f ca="1">IF(PV[[#This Row],[Business Date]]=Control!$C$6, PV[[#This Row],[Notional Value Local Cur]], -PV[[#This Row],[Notional Value Local Cur]])</f>
        <v>0</v>
      </c>
    </row>
    <row r="1421" spans="1:5" x14ac:dyDescent="0.25">
      <c r="A1421" s="36" t="b">
        <v>0</v>
      </c>
      <c r="B1421" s="56" t="b">
        <v>0</v>
      </c>
      <c r="C1421" s="56" t="b">
        <v>0</v>
      </c>
      <c r="D1421" s="56" t="b">
        <v>0</v>
      </c>
      <c r="E1421" s="56">
        <f ca="1">IF(PV[[#This Row],[Business Date]]=Control!$C$6, PV[[#This Row],[Notional Value Local Cur]], -PV[[#This Row],[Notional Value Local Cur]])</f>
        <v>0</v>
      </c>
    </row>
    <row r="1422" spans="1:5" x14ac:dyDescent="0.25">
      <c r="A1422" s="36" t="b">
        <v>0</v>
      </c>
      <c r="B1422" s="56" t="b">
        <v>0</v>
      </c>
      <c r="C1422" s="56" t="b">
        <v>0</v>
      </c>
      <c r="D1422" s="56" t="b">
        <v>0</v>
      </c>
      <c r="E1422" s="56">
        <f ca="1">IF(PV[[#This Row],[Business Date]]=Control!$C$6, PV[[#This Row],[Notional Value Local Cur]], -PV[[#This Row],[Notional Value Local Cur]])</f>
        <v>0</v>
      </c>
    </row>
    <row r="1423" spans="1:5" x14ac:dyDescent="0.25">
      <c r="A1423" s="36" t="b">
        <v>0</v>
      </c>
      <c r="B1423" s="56" t="b">
        <v>0</v>
      </c>
      <c r="C1423" s="56" t="b">
        <v>0</v>
      </c>
      <c r="D1423" s="56" t="b">
        <v>0</v>
      </c>
      <c r="E1423" s="56">
        <f ca="1">IF(PV[[#This Row],[Business Date]]=Control!$C$6, PV[[#This Row],[Notional Value Local Cur]], -PV[[#This Row],[Notional Value Local Cur]])</f>
        <v>0</v>
      </c>
    </row>
    <row r="1424" spans="1:5" x14ac:dyDescent="0.25">
      <c r="A1424" s="36" t="b">
        <v>0</v>
      </c>
      <c r="B1424" s="56" t="b">
        <v>0</v>
      </c>
      <c r="C1424" s="56" t="b">
        <v>0</v>
      </c>
      <c r="D1424" s="56" t="b">
        <v>0</v>
      </c>
      <c r="E1424" s="56">
        <f ca="1">IF(PV[[#This Row],[Business Date]]=Control!$C$6, PV[[#This Row],[Notional Value Local Cur]], -PV[[#This Row],[Notional Value Local Cur]])</f>
        <v>0</v>
      </c>
    </row>
    <row r="1425" spans="1:5" x14ac:dyDescent="0.25">
      <c r="A1425" s="36" t="b">
        <v>0</v>
      </c>
      <c r="B1425" s="56" t="b">
        <v>0</v>
      </c>
      <c r="C1425" s="56" t="b">
        <v>0</v>
      </c>
      <c r="D1425" s="56" t="b">
        <v>0</v>
      </c>
      <c r="E1425" s="56">
        <f ca="1">IF(PV[[#This Row],[Business Date]]=Control!$C$6, PV[[#This Row],[Notional Value Local Cur]], -PV[[#This Row],[Notional Value Local Cur]])</f>
        <v>0</v>
      </c>
    </row>
    <row r="1426" spans="1:5" x14ac:dyDescent="0.25">
      <c r="A1426" s="36" t="b">
        <v>0</v>
      </c>
      <c r="B1426" s="56" t="b">
        <v>0</v>
      </c>
      <c r="C1426" s="56" t="b">
        <v>0</v>
      </c>
      <c r="D1426" s="56" t="b">
        <v>0</v>
      </c>
      <c r="E1426" s="56">
        <f ca="1">IF(PV[[#This Row],[Business Date]]=Control!$C$6, PV[[#This Row],[Notional Value Local Cur]], -PV[[#This Row],[Notional Value Local Cur]])</f>
        <v>0</v>
      </c>
    </row>
    <row r="1427" spans="1:5" x14ac:dyDescent="0.25">
      <c r="A1427" s="36" t="b">
        <v>0</v>
      </c>
      <c r="B1427" s="56" t="b">
        <v>0</v>
      </c>
      <c r="C1427" s="56" t="b">
        <v>0</v>
      </c>
      <c r="D1427" s="56" t="b">
        <v>0</v>
      </c>
      <c r="E1427" s="56">
        <f ca="1">IF(PV[[#This Row],[Business Date]]=Control!$C$6, PV[[#This Row],[Notional Value Local Cur]], -PV[[#This Row],[Notional Value Local Cur]])</f>
        <v>0</v>
      </c>
    </row>
    <row r="1428" spans="1:5" x14ac:dyDescent="0.25">
      <c r="A1428" s="36" t="b">
        <v>0</v>
      </c>
      <c r="B1428" s="56" t="b">
        <v>0</v>
      </c>
      <c r="C1428" s="56" t="b">
        <v>0</v>
      </c>
      <c r="D1428" s="56" t="b">
        <v>0</v>
      </c>
      <c r="E1428" s="56">
        <f ca="1">IF(PV[[#This Row],[Business Date]]=Control!$C$6, PV[[#This Row],[Notional Value Local Cur]], -PV[[#This Row],[Notional Value Local Cur]])</f>
        <v>0</v>
      </c>
    </row>
    <row r="1429" spans="1:5" x14ac:dyDescent="0.25">
      <c r="A1429" s="36" t="b">
        <v>0</v>
      </c>
      <c r="B1429" s="56" t="b">
        <v>0</v>
      </c>
      <c r="C1429" s="56" t="b">
        <v>0</v>
      </c>
      <c r="D1429" s="56" t="b">
        <v>0</v>
      </c>
      <c r="E1429" s="56">
        <f ca="1">IF(PV[[#This Row],[Business Date]]=Control!$C$6, PV[[#This Row],[Notional Value Local Cur]], -PV[[#This Row],[Notional Value Local Cur]])</f>
        <v>0</v>
      </c>
    </row>
    <row r="1430" spans="1:5" x14ac:dyDescent="0.25">
      <c r="A1430" s="36" t="b">
        <v>0</v>
      </c>
      <c r="B1430" s="56" t="b">
        <v>0</v>
      </c>
      <c r="C1430" s="56" t="b">
        <v>0</v>
      </c>
      <c r="D1430" s="56" t="b">
        <v>0</v>
      </c>
      <c r="E1430" s="56">
        <f ca="1">IF(PV[[#This Row],[Business Date]]=Control!$C$6, PV[[#This Row],[Notional Value Local Cur]], -PV[[#This Row],[Notional Value Local Cur]])</f>
        <v>0</v>
      </c>
    </row>
    <row r="1431" spans="1:5" x14ac:dyDescent="0.25">
      <c r="A1431" s="36" t="b">
        <v>0</v>
      </c>
      <c r="B1431" s="56" t="b">
        <v>0</v>
      </c>
      <c r="C1431" s="56" t="b">
        <v>0</v>
      </c>
      <c r="D1431" s="56" t="b">
        <v>0</v>
      </c>
      <c r="E1431" s="56">
        <f ca="1">IF(PV[[#This Row],[Business Date]]=Control!$C$6, PV[[#This Row],[Notional Value Local Cur]], -PV[[#This Row],[Notional Value Local Cur]])</f>
        <v>0</v>
      </c>
    </row>
    <row r="1432" spans="1:5" x14ac:dyDescent="0.25">
      <c r="A1432" s="36" t="b">
        <v>0</v>
      </c>
      <c r="B1432" s="56" t="b">
        <v>0</v>
      </c>
      <c r="C1432" s="56" t="b">
        <v>0</v>
      </c>
      <c r="D1432" s="56" t="b">
        <v>0</v>
      </c>
      <c r="E1432" s="56">
        <f ca="1">IF(PV[[#This Row],[Business Date]]=Control!$C$6, PV[[#This Row],[Notional Value Local Cur]], -PV[[#This Row],[Notional Value Local Cur]])</f>
        <v>0</v>
      </c>
    </row>
    <row r="1433" spans="1:5" x14ac:dyDescent="0.25">
      <c r="A1433" s="36" t="b">
        <v>0</v>
      </c>
      <c r="B1433" s="56" t="b">
        <v>0</v>
      </c>
      <c r="C1433" s="56" t="b">
        <v>0</v>
      </c>
      <c r="D1433" s="56" t="b">
        <v>0</v>
      </c>
      <c r="E1433" s="56">
        <f ca="1">IF(PV[[#This Row],[Business Date]]=Control!$C$6, PV[[#This Row],[Notional Value Local Cur]], -PV[[#This Row],[Notional Value Local Cur]])</f>
        <v>0</v>
      </c>
    </row>
    <row r="1434" spans="1:5" x14ac:dyDescent="0.25">
      <c r="A1434" s="36" t="b">
        <v>0</v>
      </c>
      <c r="B1434" s="56" t="b">
        <v>0</v>
      </c>
      <c r="C1434" s="56" t="b">
        <v>0</v>
      </c>
      <c r="D1434" s="56" t="b">
        <v>0</v>
      </c>
      <c r="E1434" s="56">
        <f ca="1">IF(PV[[#This Row],[Business Date]]=Control!$C$6, PV[[#This Row],[Notional Value Local Cur]], -PV[[#This Row],[Notional Value Local Cur]])</f>
        <v>0</v>
      </c>
    </row>
    <row r="1435" spans="1:5" x14ac:dyDescent="0.25">
      <c r="A1435" s="36" t="b">
        <v>0</v>
      </c>
      <c r="B1435" s="56" t="b">
        <v>0</v>
      </c>
      <c r="C1435" s="56" t="b">
        <v>0</v>
      </c>
      <c r="D1435" s="56" t="b">
        <v>0</v>
      </c>
      <c r="E1435" s="56">
        <f ca="1">IF(PV[[#This Row],[Business Date]]=Control!$C$6, PV[[#This Row],[Notional Value Local Cur]], -PV[[#This Row],[Notional Value Local Cur]])</f>
        <v>0</v>
      </c>
    </row>
    <row r="1436" spans="1:5" x14ac:dyDescent="0.25">
      <c r="A1436" s="36" t="b">
        <v>0</v>
      </c>
      <c r="B1436" s="56" t="b">
        <v>0</v>
      </c>
      <c r="C1436" s="56" t="b">
        <v>0</v>
      </c>
      <c r="D1436" s="56" t="b">
        <v>0</v>
      </c>
      <c r="E1436" s="56">
        <f ca="1">IF(PV[[#This Row],[Business Date]]=Control!$C$6, PV[[#This Row],[Notional Value Local Cur]], -PV[[#This Row],[Notional Value Local Cur]])</f>
        <v>0</v>
      </c>
    </row>
    <row r="1437" spans="1:5" x14ac:dyDescent="0.25">
      <c r="A1437" s="36" t="b">
        <v>0</v>
      </c>
      <c r="B1437" s="56" t="b">
        <v>0</v>
      </c>
      <c r="C1437" s="56" t="b">
        <v>0</v>
      </c>
      <c r="D1437" s="56" t="b">
        <v>0</v>
      </c>
      <c r="E1437" s="56">
        <f ca="1">IF(PV[[#This Row],[Business Date]]=Control!$C$6, PV[[#This Row],[Notional Value Local Cur]], -PV[[#This Row],[Notional Value Local Cur]])</f>
        <v>0</v>
      </c>
    </row>
    <row r="1438" spans="1:5" x14ac:dyDescent="0.25">
      <c r="A1438" s="36" t="b">
        <v>0</v>
      </c>
      <c r="B1438" s="56" t="b">
        <v>0</v>
      </c>
      <c r="C1438" s="56" t="b">
        <v>0</v>
      </c>
      <c r="D1438" s="56" t="b">
        <v>0</v>
      </c>
      <c r="E1438" s="56">
        <f ca="1">IF(PV[[#This Row],[Business Date]]=Control!$C$6, PV[[#This Row],[Notional Value Local Cur]], -PV[[#This Row],[Notional Value Local Cur]])</f>
        <v>0</v>
      </c>
    </row>
    <row r="1439" spans="1:5" x14ac:dyDescent="0.25">
      <c r="A1439" s="36" t="b">
        <v>0</v>
      </c>
      <c r="B1439" s="56" t="b">
        <v>0</v>
      </c>
      <c r="C1439" s="56" t="b">
        <v>0</v>
      </c>
      <c r="D1439" s="56" t="b">
        <v>0</v>
      </c>
      <c r="E1439" s="56">
        <f ca="1">IF(PV[[#This Row],[Business Date]]=Control!$C$6, PV[[#This Row],[Notional Value Local Cur]], -PV[[#This Row],[Notional Value Local Cur]])</f>
        <v>0</v>
      </c>
    </row>
    <row r="1440" spans="1:5" x14ac:dyDescent="0.25">
      <c r="A1440" s="36" t="b">
        <v>0</v>
      </c>
      <c r="B1440" s="56" t="b">
        <v>0</v>
      </c>
      <c r="C1440" s="56" t="b">
        <v>0</v>
      </c>
      <c r="D1440" s="56" t="b">
        <v>0</v>
      </c>
      <c r="E1440" s="56">
        <f ca="1">IF(PV[[#This Row],[Business Date]]=Control!$C$6, PV[[#This Row],[Notional Value Local Cur]], -PV[[#This Row],[Notional Value Local Cur]])</f>
        <v>0</v>
      </c>
    </row>
    <row r="1441" spans="1:5" x14ac:dyDescent="0.25">
      <c r="A1441" s="36" t="b">
        <v>0</v>
      </c>
      <c r="B1441" s="56" t="b">
        <v>0</v>
      </c>
      <c r="C1441" s="56" t="b">
        <v>0</v>
      </c>
      <c r="D1441" s="56" t="b">
        <v>0</v>
      </c>
      <c r="E1441" s="56">
        <f ca="1">IF(PV[[#This Row],[Business Date]]=Control!$C$6, PV[[#This Row],[Notional Value Local Cur]], -PV[[#This Row],[Notional Value Local Cur]])</f>
        <v>0</v>
      </c>
    </row>
    <row r="1442" spans="1:5" x14ac:dyDescent="0.25">
      <c r="A1442" s="36" t="b">
        <v>0</v>
      </c>
      <c r="B1442" s="56" t="b">
        <v>0</v>
      </c>
      <c r="C1442" s="56" t="b">
        <v>0</v>
      </c>
      <c r="D1442" s="56" t="b">
        <v>0</v>
      </c>
      <c r="E1442" s="56">
        <f ca="1">IF(PV[[#This Row],[Business Date]]=Control!$C$6, PV[[#This Row],[Notional Value Local Cur]], -PV[[#This Row],[Notional Value Local Cur]])</f>
        <v>0</v>
      </c>
    </row>
    <row r="1443" spans="1:5" x14ac:dyDescent="0.25">
      <c r="A1443" s="36" t="b">
        <v>0</v>
      </c>
      <c r="B1443" s="56" t="b">
        <v>0</v>
      </c>
      <c r="C1443" s="56" t="b">
        <v>0</v>
      </c>
      <c r="D1443" s="56" t="b">
        <v>0</v>
      </c>
      <c r="E1443" s="56">
        <f ca="1">IF(PV[[#This Row],[Business Date]]=Control!$C$6, PV[[#This Row],[Notional Value Local Cur]], -PV[[#This Row],[Notional Value Local Cur]])</f>
        <v>0</v>
      </c>
    </row>
    <row r="1444" spans="1:5" x14ac:dyDescent="0.25">
      <c r="A1444" s="36" t="b">
        <v>0</v>
      </c>
      <c r="B1444" s="56" t="b">
        <v>0</v>
      </c>
      <c r="C1444" s="56" t="b">
        <v>0</v>
      </c>
      <c r="D1444" s="56" t="b">
        <v>0</v>
      </c>
      <c r="E1444" s="56">
        <f ca="1">IF(PV[[#This Row],[Business Date]]=Control!$C$6, PV[[#This Row],[Notional Value Local Cur]], -PV[[#This Row],[Notional Value Local Cur]])</f>
        <v>0</v>
      </c>
    </row>
    <row r="1445" spans="1:5" x14ac:dyDescent="0.25">
      <c r="A1445" s="36" t="b">
        <v>0</v>
      </c>
      <c r="B1445" s="56" t="b">
        <v>0</v>
      </c>
      <c r="C1445" s="56" t="b">
        <v>0</v>
      </c>
      <c r="D1445" s="56" t="b">
        <v>0</v>
      </c>
      <c r="E1445" s="56">
        <f ca="1">IF(PV[[#This Row],[Business Date]]=Control!$C$6, PV[[#This Row],[Notional Value Local Cur]], -PV[[#This Row],[Notional Value Local Cur]])</f>
        <v>0</v>
      </c>
    </row>
    <row r="1446" spans="1:5" x14ac:dyDescent="0.25">
      <c r="A1446" s="36" t="b">
        <v>0</v>
      </c>
      <c r="B1446" s="56" t="b">
        <v>0</v>
      </c>
      <c r="C1446" s="56" t="b">
        <v>0</v>
      </c>
      <c r="D1446" s="56" t="b">
        <v>0</v>
      </c>
      <c r="E1446" s="56">
        <f ca="1">IF(PV[[#This Row],[Business Date]]=Control!$C$6, PV[[#This Row],[Notional Value Local Cur]], -PV[[#This Row],[Notional Value Local Cur]])</f>
        <v>0</v>
      </c>
    </row>
    <row r="1447" spans="1:5" x14ac:dyDescent="0.25">
      <c r="A1447" s="36" t="b">
        <v>0</v>
      </c>
      <c r="B1447" s="56" t="b">
        <v>0</v>
      </c>
      <c r="C1447" s="56" t="b">
        <v>0</v>
      </c>
      <c r="D1447" s="56" t="b">
        <v>0</v>
      </c>
      <c r="E1447" s="56">
        <f ca="1">IF(PV[[#This Row],[Business Date]]=Control!$C$6, PV[[#This Row],[Notional Value Local Cur]], -PV[[#This Row],[Notional Value Local Cur]])</f>
        <v>0</v>
      </c>
    </row>
    <row r="1448" spans="1:5" x14ac:dyDescent="0.25">
      <c r="A1448" s="36" t="b">
        <v>0</v>
      </c>
      <c r="B1448" s="56" t="b">
        <v>0</v>
      </c>
      <c r="C1448" s="56" t="b">
        <v>0</v>
      </c>
      <c r="D1448" s="56" t="b">
        <v>0</v>
      </c>
      <c r="E1448" s="56">
        <f ca="1">IF(PV[[#This Row],[Business Date]]=Control!$C$6, PV[[#This Row],[Notional Value Local Cur]], -PV[[#This Row],[Notional Value Local Cur]])</f>
        <v>0</v>
      </c>
    </row>
    <row r="1449" spans="1:5" x14ac:dyDescent="0.25">
      <c r="A1449" s="36" t="b">
        <v>0</v>
      </c>
      <c r="B1449" s="56" t="b">
        <v>0</v>
      </c>
      <c r="C1449" s="56" t="b">
        <v>0</v>
      </c>
      <c r="D1449" s="56" t="b">
        <v>0</v>
      </c>
      <c r="E1449" s="56">
        <f ca="1">IF(PV[[#This Row],[Business Date]]=Control!$C$6, PV[[#This Row],[Notional Value Local Cur]], -PV[[#This Row],[Notional Value Local Cur]])</f>
        <v>0</v>
      </c>
    </row>
    <row r="1450" spans="1:5" x14ac:dyDescent="0.25">
      <c r="A1450" s="36" t="b">
        <v>0</v>
      </c>
      <c r="B1450" s="56" t="b">
        <v>0</v>
      </c>
      <c r="C1450" s="56" t="b">
        <v>0</v>
      </c>
      <c r="D1450" s="56" t="b">
        <v>0</v>
      </c>
      <c r="E1450" s="56">
        <f ca="1">IF(PV[[#This Row],[Business Date]]=Control!$C$6, PV[[#This Row],[Notional Value Local Cur]], -PV[[#This Row],[Notional Value Local Cur]])</f>
        <v>0</v>
      </c>
    </row>
    <row r="1451" spans="1:5" x14ac:dyDescent="0.25">
      <c r="A1451" s="36" t="b">
        <v>0</v>
      </c>
      <c r="B1451" s="56" t="b">
        <v>0</v>
      </c>
      <c r="C1451" s="56" t="b">
        <v>0</v>
      </c>
      <c r="D1451" s="56" t="b">
        <v>0</v>
      </c>
      <c r="E1451" s="56">
        <f ca="1">IF(PV[[#This Row],[Business Date]]=Control!$C$6, PV[[#This Row],[Notional Value Local Cur]], -PV[[#This Row],[Notional Value Local Cur]])</f>
        <v>0</v>
      </c>
    </row>
    <row r="1452" spans="1:5" x14ac:dyDescent="0.25">
      <c r="A1452" s="36" t="b">
        <v>0</v>
      </c>
      <c r="B1452" s="56" t="b">
        <v>0</v>
      </c>
      <c r="C1452" s="56" t="b">
        <v>0</v>
      </c>
      <c r="D1452" s="56" t="b">
        <v>0</v>
      </c>
      <c r="E1452" s="56">
        <f ca="1">IF(PV[[#This Row],[Business Date]]=Control!$C$6, PV[[#This Row],[Notional Value Local Cur]], -PV[[#This Row],[Notional Value Local Cur]])</f>
        <v>0</v>
      </c>
    </row>
    <row r="1453" spans="1:5" x14ac:dyDescent="0.25">
      <c r="A1453" s="36" t="b">
        <v>0</v>
      </c>
      <c r="B1453" s="56" t="b">
        <v>0</v>
      </c>
      <c r="C1453" s="56" t="b">
        <v>0</v>
      </c>
      <c r="D1453" s="56" t="b">
        <v>0</v>
      </c>
      <c r="E1453" s="56">
        <f ca="1">IF(PV[[#This Row],[Business Date]]=Control!$C$6, PV[[#This Row],[Notional Value Local Cur]], -PV[[#This Row],[Notional Value Local Cur]])</f>
        <v>0</v>
      </c>
    </row>
    <row r="1454" spans="1:5" x14ac:dyDescent="0.25">
      <c r="A1454" s="36" t="b">
        <v>0</v>
      </c>
      <c r="B1454" s="56" t="b">
        <v>0</v>
      </c>
      <c r="C1454" s="56" t="b">
        <v>0</v>
      </c>
      <c r="D1454" s="56" t="b">
        <v>0</v>
      </c>
      <c r="E1454" s="56">
        <f ca="1">IF(PV[[#This Row],[Business Date]]=Control!$C$6, PV[[#This Row],[Notional Value Local Cur]], -PV[[#This Row],[Notional Value Local Cur]])</f>
        <v>0</v>
      </c>
    </row>
    <row r="1455" spans="1:5" x14ac:dyDescent="0.25">
      <c r="A1455" s="36" t="b">
        <v>0</v>
      </c>
      <c r="B1455" s="56" t="b">
        <v>0</v>
      </c>
      <c r="C1455" s="56" t="b">
        <v>0</v>
      </c>
      <c r="D1455" s="56" t="b">
        <v>0</v>
      </c>
      <c r="E1455" s="56">
        <f ca="1">IF(PV[[#This Row],[Business Date]]=Control!$C$6, PV[[#This Row],[Notional Value Local Cur]], -PV[[#This Row],[Notional Value Local Cur]])</f>
        <v>0</v>
      </c>
    </row>
    <row r="1456" spans="1:5" x14ac:dyDescent="0.25">
      <c r="A1456" s="36" t="b">
        <v>0</v>
      </c>
      <c r="B1456" s="56" t="b">
        <v>0</v>
      </c>
      <c r="C1456" s="56" t="b">
        <v>0</v>
      </c>
      <c r="D1456" s="56" t="b">
        <v>0</v>
      </c>
      <c r="E1456" s="56">
        <f ca="1">IF(PV[[#This Row],[Business Date]]=Control!$C$6, PV[[#This Row],[Notional Value Local Cur]], -PV[[#This Row],[Notional Value Local Cur]])</f>
        <v>0</v>
      </c>
    </row>
    <row r="1457" spans="1:5" x14ac:dyDescent="0.25">
      <c r="A1457" s="36" t="b">
        <v>0</v>
      </c>
      <c r="B1457" s="56" t="b">
        <v>0</v>
      </c>
      <c r="C1457" s="56" t="b">
        <v>0</v>
      </c>
      <c r="D1457" s="56" t="b">
        <v>0</v>
      </c>
      <c r="E1457" s="56">
        <f ca="1">IF(PV[[#This Row],[Business Date]]=Control!$C$6, PV[[#This Row],[Notional Value Local Cur]], -PV[[#This Row],[Notional Value Local Cur]])</f>
        <v>0</v>
      </c>
    </row>
    <row r="1458" spans="1:5" x14ac:dyDescent="0.25">
      <c r="A1458" s="36" t="b">
        <v>0</v>
      </c>
      <c r="B1458" s="56" t="b">
        <v>0</v>
      </c>
      <c r="C1458" s="56" t="b">
        <v>0</v>
      </c>
      <c r="D1458" s="56" t="b">
        <v>0</v>
      </c>
      <c r="E1458" s="56">
        <f ca="1">IF(PV[[#This Row],[Business Date]]=Control!$C$6, PV[[#This Row],[Notional Value Local Cur]], -PV[[#This Row],[Notional Value Local Cur]])</f>
        <v>0</v>
      </c>
    </row>
    <row r="1459" spans="1:5" x14ac:dyDescent="0.25">
      <c r="A1459" s="36" t="b">
        <v>0</v>
      </c>
      <c r="B1459" s="56" t="b">
        <v>0</v>
      </c>
      <c r="C1459" s="56" t="b">
        <v>0</v>
      </c>
      <c r="D1459" s="56" t="b">
        <v>0</v>
      </c>
      <c r="E1459" s="56">
        <f ca="1">IF(PV[[#This Row],[Business Date]]=Control!$C$6, PV[[#This Row],[Notional Value Local Cur]], -PV[[#This Row],[Notional Value Local Cur]])</f>
        <v>0</v>
      </c>
    </row>
    <row r="1460" spans="1:5" x14ac:dyDescent="0.25">
      <c r="A1460" s="36" t="b">
        <v>0</v>
      </c>
      <c r="B1460" s="56" t="b">
        <v>0</v>
      </c>
      <c r="C1460" s="56" t="b">
        <v>0</v>
      </c>
      <c r="D1460" s="56" t="b">
        <v>0</v>
      </c>
      <c r="E1460" s="56">
        <f ca="1">IF(PV[[#This Row],[Business Date]]=Control!$C$6, PV[[#This Row],[Notional Value Local Cur]], -PV[[#This Row],[Notional Value Local Cur]])</f>
        <v>0</v>
      </c>
    </row>
    <row r="1461" spans="1:5" x14ac:dyDescent="0.25">
      <c r="A1461" s="36" t="b">
        <v>0</v>
      </c>
      <c r="B1461" s="56" t="b">
        <v>0</v>
      </c>
      <c r="C1461" s="56" t="b">
        <v>0</v>
      </c>
      <c r="D1461" s="56" t="b">
        <v>0</v>
      </c>
      <c r="E1461" s="56">
        <f ca="1">IF(PV[[#This Row],[Business Date]]=Control!$C$6, PV[[#This Row],[Notional Value Local Cur]], -PV[[#This Row],[Notional Value Local Cur]])</f>
        <v>0</v>
      </c>
    </row>
    <row r="1462" spans="1:5" x14ac:dyDescent="0.25">
      <c r="A1462" s="36" t="b">
        <v>0</v>
      </c>
      <c r="B1462" s="56" t="b">
        <v>0</v>
      </c>
      <c r="C1462" s="56" t="b">
        <v>0</v>
      </c>
      <c r="D1462" s="56" t="b">
        <v>0</v>
      </c>
      <c r="E1462" s="56">
        <f ca="1">IF(PV[[#This Row],[Business Date]]=Control!$C$6, PV[[#This Row],[Notional Value Local Cur]], -PV[[#This Row],[Notional Value Local Cur]])</f>
        <v>0</v>
      </c>
    </row>
    <row r="1463" spans="1:5" x14ac:dyDescent="0.25">
      <c r="A1463" s="36" t="b">
        <v>0</v>
      </c>
      <c r="B1463" s="56" t="b">
        <v>0</v>
      </c>
      <c r="C1463" s="56" t="b">
        <v>0</v>
      </c>
      <c r="D1463" s="56" t="b">
        <v>0</v>
      </c>
      <c r="E1463" s="56">
        <f ca="1">IF(PV[[#This Row],[Business Date]]=Control!$C$6, PV[[#This Row],[Notional Value Local Cur]], -PV[[#This Row],[Notional Value Local Cur]])</f>
        <v>0</v>
      </c>
    </row>
    <row r="1464" spans="1:5" x14ac:dyDescent="0.25">
      <c r="A1464" s="36" t="b">
        <v>0</v>
      </c>
      <c r="B1464" s="56" t="b">
        <v>0</v>
      </c>
      <c r="C1464" s="56" t="b">
        <v>0</v>
      </c>
      <c r="D1464" s="56" t="b">
        <v>0</v>
      </c>
      <c r="E1464" s="56">
        <f ca="1">IF(PV[[#This Row],[Business Date]]=Control!$C$6, PV[[#This Row],[Notional Value Local Cur]], -PV[[#This Row],[Notional Value Local Cur]])</f>
        <v>0</v>
      </c>
    </row>
    <row r="1465" spans="1:5" x14ac:dyDescent="0.25">
      <c r="A1465" s="36" t="b">
        <v>0</v>
      </c>
      <c r="B1465" s="56" t="b">
        <v>0</v>
      </c>
      <c r="C1465" s="56" t="b">
        <v>0</v>
      </c>
      <c r="D1465" s="56" t="b">
        <v>0</v>
      </c>
      <c r="E1465" s="56">
        <f ca="1">IF(PV[[#This Row],[Business Date]]=Control!$C$6, PV[[#This Row],[Notional Value Local Cur]], -PV[[#This Row],[Notional Value Local Cur]])</f>
        <v>0</v>
      </c>
    </row>
    <row r="1466" spans="1:5" x14ac:dyDescent="0.25">
      <c r="A1466" s="36" t="b">
        <v>0</v>
      </c>
      <c r="B1466" s="56" t="b">
        <v>0</v>
      </c>
      <c r="C1466" s="56" t="b">
        <v>0</v>
      </c>
      <c r="D1466" s="56" t="b">
        <v>0</v>
      </c>
      <c r="E1466" s="56">
        <f ca="1">IF(PV[[#This Row],[Business Date]]=Control!$C$6, PV[[#This Row],[Notional Value Local Cur]], -PV[[#This Row],[Notional Value Local Cur]])</f>
        <v>0</v>
      </c>
    </row>
    <row r="1467" spans="1:5" x14ac:dyDescent="0.25">
      <c r="A1467" s="36" t="b">
        <v>0</v>
      </c>
      <c r="B1467" s="56" t="b">
        <v>0</v>
      </c>
      <c r="C1467" s="56" t="b">
        <v>0</v>
      </c>
      <c r="D1467" s="56" t="b">
        <v>0</v>
      </c>
      <c r="E1467" s="56">
        <f ca="1">IF(PV[[#This Row],[Business Date]]=Control!$C$6, PV[[#This Row],[Notional Value Local Cur]], -PV[[#This Row],[Notional Value Local Cur]])</f>
        <v>0</v>
      </c>
    </row>
    <row r="1468" spans="1:5" x14ac:dyDescent="0.25">
      <c r="A1468" s="36" t="b">
        <v>0</v>
      </c>
      <c r="B1468" s="56" t="b">
        <v>0</v>
      </c>
      <c r="C1468" s="56" t="b">
        <v>0</v>
      </c>
      <c r="D1468" s="56" t="b">
        <v>0</v>
      </c>
      <c r="E1468" s="56">
        <f ca="1">IF(PV[[#This Row],[Business Date]]=Control!$C$6, PV[[#This Row],[Notional Value Local Cur]], -PV[[#This Row],[Notional Value Local Cur]])</f>
        <v>0</v>
      </c>
    </row>
    <row r="1469" spans="1:5" x14ac:dyDescent="0.25">
      <c r="A1469" s="36" t="b">
        <v>0</v>
      </c>
      <c r="B1469" s="56" t="b">
        <v>0</v>
      </c>
      <c r="C1469" s="56" t="b">
        <v>0</v>
      </c>
      <c r="D1469" s="56" t="b">
        <v>0</v>
      </c>
      <c r="E1469" s="56">
        <f ca="1">IF(PV[[#This Row],[Business Date]]=Control!$C$6, PV[[#This Row],[Notional Value Local Cur]], -PV[[#This Row],[Notional Value Local Cur]])</f>
        <v>0</v>
      </c>
    </row>
    <row r="1470" spans="1:5" x14ac:dyDescent="0.25">
      <c r="A1470" s="36" t="b">
        <v>0</v>
      </c>
      <c r="B1470" s="56" t="b">
        <v>0</v>
      </c>
      <c r="C1470" s="56" t="b">
        <v>0</v>
      </c>
      <c r="D1470" s="56" t="b">
        <v>0</v>
      </c>
      <c r="E1470" s="56">
        <f ca="1">IF(PV[[#This Row],[Business Date]]=Control!$C$6, PV[[#This Row],[Notional Value Local Cur]], -PV[[#This Row],[Notional Value Local Cur]])</f>
        <v>0</v>
      </c>
    </row>
    <row r="1471" spans="1:5" x14ac:dyDescent="0.25">
      <c r="A1471" s="36" t="b">
        <v>0</v>
      </c>
      <c r="B1471" s="56" t="b">
        <v>0</v>
      </c>
      <c r="C1471" s="56" t="b">
        <v>0</v>
      </c>
      <c r="D1471" s="56" t="b">
        <v>0</v>
      </c>
      <c r="E1471" s="56">
        <f ca="1">IF(PV[[#This Row],[Business Date]]=Control!$C$6, PV[[#This Row],[Notional Value Local Cur]], -PV[[#This Row],[Notional Value Local Cur]])</f>
        <v>0</v>
      </c>
    </row>
    <row r="1472" spans="1:5" x14ac:dyDescent="0.25">
      <c r="A1472" s="36" t="b">
        <v>0</v>
      </c>
      <c r="B1472" s="56" t="b">
        <v>0</v>
      </c>
      <c r="C1472" s="56" t="b">
        <v>0</v>
      </c>
      <c r="D1472" s="56" t="b">
        <v>0</v>
      </c>
      <c r="E1472" s="56">
        <f ca="1">IF(PV[[#This Row],[Business Date]]=Control!$C$6, PV[[#This Row],[Notional Value Local Cur]], -PV[[#This Row],[Notional Value Local Cur]])</f>
        <v>0</v>
      </c>
    </row>
    <row r="1473" spans="1:5" x14ac:dyDescent="0.25">
      <c r="A1473" s="36" t="b">
        <v>0</v>
      </c>
      <c r="B1473" s="56" t="b">
        <v>0</v>
      </c>
      <c r="C1473" s="56" t="b">
        <v>0</v>
      </c>
      <c r="D1473" s="56" t="b">
        <v>0</v>
      </c>
      <c r="E1473" s="56">
        <f ca="1">IF(PV[[#This Row],[Business Date]]=Control!$C$6, PV[[#This Row],[Notional Value Local Cur]], -PV[[#This Row],[Notional Value Local Cur]])</f>
        <v>0</v>
      </c>
    </row>
    <row r="1474" spans="1:5" x14ac:dyDescent="0.25">
      <c r="A1474" s="36" t="b">
        <v>0</v>
      </c>
      <c r="B1474" s="56" t="b">
        <v>0</v>
      </c>
      <c r="C1474" s="56" t="b">
        <v>0</v>
      </c>
      <c r="D1474" s="56" t="b">
        <v>0</v>
      </c>
      <c r="E1474" s="56">
        <f ca="1">IF(PV[[#This Row],[Business Date]]=Control!$C$6, PV[[#This Row],[Notional Value Local Cur]], -PV[[#This Row],[Notional Value Local Cur]])</f>
        <v>0</v>
      </c>
    </row>
    <row r="1475" spans="1:5" x14ac:dyDescent="0.25">
      <c r="A1475" s="36" t="b">
        <v>0</v>
      </c>
      <c r="B1475" s="56" t="b">
        <v>0</v>
      </c>
      <c r="C1475" s="56" t="b">
        <v>0</v>
      </c>
      <c r="D1475" s="56" t="b">
        <v>0</v>
      </c>
      <c r="E1475" s="56">
        <f ca="1">IF(PV[[#This Row],[Business Date]]=Control!$C$6, PV[[#This Row],[Notional Value Local Cur]], -PV[[#This Row],[Notional Value Local Cur]])</f>
        <v>0</v>
      </c>
    </row>
    <row r="1476" spans="1:5" x14ac:dyDescent="0.25">
      <c r="A1476" s="36" t="b">
        <v>0</v>
      </c>
      <c r="B1476" s="56" t="b">
        <v>0</v>
      </c>
      <c r="C1476" s="56" t="b">
        <v>0</v>
      </c>
      <c r="D1476" s="56" t="b">
        <v>0</v>
      </c>
      <c r="E1476" s="56">
        <f ca="1">IF(PV[[#This Row],[Business Date]]=Control!$C$6, PV[[#This Row],[Notional Value Local Cur]], -PV[[#This Row],[Notional Value Local Cur]])</f>
        <v>0</v>
      </c>
    </row>
    <row r="1477" spans="1:5" x14ac:dyDescent="0.25">
      <c r="A1477" s="36" t="b">
        <v>0</v>
      </c>
      <c r="B1477" s="56" t="b">
        <v>0</v>
      </c>
      <c r="C1477" s="56" t="b">
        <v>0</v>
      </c>
      <c r="D1477" s="56" t="b">
        <v>0</v>
      </c>
      <c r="E1477" s="56">
        <f ca="1">IF(PV[[#This Row],[Business Date]]=Control!$C$6, PV[[#This Row],[Notional Value Local Cur]], -PV[[#This Row],[Notional Value Local Cur]])</f>
        <v>0</v>
      </c>
    </row>
    <row r="1478" spans="1:5" x14ac:dyDescent="0.25">
      <c r="A1478" s="36" t="b">
        <v>0</v>
      </c>
      <c r="B1478" s="56" t="b">
        <v>0</v>
      </c>
      <c r="C1478" s="56" t="b">
        <v>0</v>
      </c>
      <c r="D1478" s="56" t="b">
        <v>0</v>
      </c>
      <c r="E1478" s="56">
        <f ca="1">IF(PV[[#This Row],[Business Date]]=Control!$C$6, PV[[#This Row],[Notional Value Local Cur]], -PV[[#This Row],[Notional Value Local Cur]])</f>
        <v>0</v>
      </c>
    </row>
    <row r="1479" spans="1:5" x14ac:dyDescent="0.25">
      <c r="A1479" s="36" t="b">
        <v>0</v>
      </c>
      <c r="B1479" s="56" t="b">
        <v>0</v>
      </c>
      <c r="C1479" s="56" t="b">
        <v>0</v>
      </c>
      <c r="D1479" s="56" t="b">
        <v>0</v>
      </c>
      <c r="E1479" s="56">
        <f ca="1">IF(PV[[#This Row],[Business Date]]=Control!$C$6, PV[[#This Row],[Notional Value Local Cur]], -PV[[#This Row],[Notional Value Local Cur]])</f>
        <v>0</v>
      </c>
    </row>
    <row r="1480" spans="1:5" x14ac:dyDescent="0.25">
      <c r="A1480" s="36" t="b">
        <v>0</v>
      </c>
      <c r="B1480" s="56" t="b">
        <v>0</v>
      </c>
      <c r="C1480" s="56" t="b">
        <v>0</v>
      </c>
      <c r="D1480" s="56" t="b">
        <v>0</v>
      </c>
      <c r="E1480" s="56">
        <f ca="1">IF(PV[[#This Row],[Business Date]]=Control!$C$6, PV[[#This Row],[Notional Value Local Cur]], -PV[[#This Row],[Notional Value Local Cur]])</f>
        <v>0</v>
      </c>
    </row>
    <row r="1481" spans="1:5" x14ac:dyDescent="0.25">
      <c r="A1481" s="36" t="b">
        <v>0</v>
      </c>
      <c r="B1481" s="56" t="b">
        <v>0</v>
      </c>
      <c r="C1481" s="56" t="b">
        <v>0</v>
      </c>
      <c r="D1481" s="56" t="b">
        <v>0</v>
      </c>
      <c r="E1481" s="56">
        <f ca="1">IF(PV[[#This Row],[Business Date]]=Control!$C$6, PV[[#This Row],[Notional Value Local Cur]], -PV[[#This Row],[Notional Value Local Cur]])</f>
        <v>0</v>
      </c>
    </row>
    <row r="1482" spans="1:5" x14ac:dyDescent="0.25">
      <c r="A1482" s="36" t="b">
        <v>0</v>
      </c>
      <c r="B1482" s="56" t="b">
        <v>0</v>
      </c>
      <c r="C1482" s="56" t="b">
        <v>0</v>
      </c>
      <c r="D1482" s="56" t="b">
        <v>0</v>
      </c>
      <c r="E1482" s="56">
        <f ca="1">IF(PV[[#This Row],[Business Date]]=Control!$C$6, PV[[#This Row],[Notional Value Local Cur]], -PV[[#This Row],[Notional Value Local Cur]])</f>
        <v>0</v>
      </c>
    </row>
    <row r="1483" spans="1:5" x14ac:dyDescent="0.25">
      <c r="A1483" s="36" t="b">
        <v>0</v>
      </c>
      <c r="B1483" s="56" t="b">
        <v>0</v>
      </c>
      <c r="C1483" s="56" t="b">
        <v>0</v>
      </c>
      <c r="D1483" s="56" t="b">
        <v>0</v>
      </c>
      <c r="E1483" s="56">
        <f ca="1">IF(PV[[#This Row],[Business Date]]=Control!$C$6, PV[[#This Row],[Notional Value Local Cur]], -PV[[#This Row],[Notional Value Local Cur]])</f>
        <v>0</v>
      </c>
    </row>
    <row r="1484" spans="1:5" x14ac:dyDescent="0.25">
      <c r="A1484" s="36" t="b">
        <v>0</v>
      </c>
      <c r="B1484" s="56" t="b">
        <v>0</v>
      </c>
      <c r="C1484" s="56" t="b">
        <v>0</v>
      </c>
      <c r="D1484" s="56" t="b">
        <v>0</v>
      </c>
      <c r="E1484" s="56">
        <f ca="1">IF(PV[[#This Row],[Business Date]]=Control!$C$6, PV[[#This Row],[Notional Value Local Cur]], -PV[[#This Row],[Notional Value Local Cur]])</f>
        <v>0</v>
      </c>
    </row>
    <row r="1485" spans="1:5" x14ac:dyDescent="0.25">
      <c r="A1485" s="36" t="b">
        <v>0</v>
      </c>
      <c r="B1485" s="56" t="b">
        <v>0</v>
      </c>
      <c r="C1485" s="56" t="b">
        <v>0</v>
      </c>
      <c r="D1485" s="56" t="b">
        <v>0</v>
      </c>
      <c r="E1485" s="56">
        <f ca="1">IF(PV[[#This Row],[Business Date]]=Control!$C$6, PV[[#This Row],[Notional Value Local Cur]], -PV[[#This Row],[Notional Value Local Cur]])</f>
        <v>0</v>
      </c>
    </row>
    <row r="1486" spans="1:5" x14ac:dyDescent="0.25">
      <c r="A1486" s="36" t="b">
        <v>0</v>
      </c>
      <c r="B1486" s="56" t="b">
        <v>0</v>
      </c>
      <c r="C1486" s="56" t="b">
        <v>0</v>
      </c>
      <c r="D1486" s="56" t="b">
        <v>0</v>
      </c>
      <c r="E1486" s="56">
        <f ca="1">IF(PV[[#This Row],[Business Date]]=Control!$C$6, PV[[#This Row],[Notional Value Local Cur]], -PV[[#This Row],[Notional Value Local Cur]])</f>
        <v>0</v>
      </c>
    </row>
    <row r="1487" spans="1:5" x14ac:dyDescent="0.25">
      <c r="A1487" s="36" t="b">
        <v>0</v>
      </c>
      <c r="B1487" s="56" t="b">
        <v>0</v>
      </c>
      <c r="C1487" s="56" t="b">
        <v>0</v>
      </c>
      <c r="D1487" s="56" t="b">
        <v>0</v>
      </c>
      <c r="E1487" s="56">
        <f ca="1">IF(PV[[#This Row],[Business Date]]=Control!$C$6, PV[[#This Row],[Notional Value Local Cur]], -PV[[#This Row],[Notional Value Local Cur]])</f>
        <v>0</v>
      </c>
    </row>
    <row r="1488" spans="1:5" x14ac:dyDescent="0.25">
      <c r="A1488" s="36" t="b">
        <v>0</v>
      </c>
      <c r="B1488" s="56" t="b">
        <v>0</v>
      </c>
      <c r="C1488" s="56" t="b">
        <v>0</v>
      </c>
      <c r="D1488" s="56" t="b">
        <v>0</v>
      </c>
      <c r="E1488" s="56">
        <f ca="1">IF(PV[[#This Row],[Business Date]]=Control!$C$6, PV[[#This Row],[Notional Value Local Cur]], -PV[[#This Row],[Notional Value Local Cur]])</f>
        <v>0</v>
      </c>
    </row>
    <row r="1489" spans="1:5" x14ac:dyDescent="0.25">
      <c r="A1489" s="36" t="b">
        <v>0</v>
      </c>
      <c r="B1489" s="56" t="b">
        <v>0</v>
      </c>
      <c r="C1489" s="56" t="b">
        <v>0</v>
      </c>
      <c r="D1489" s="56" t="b">
        <v>0</v>
      </c>
      <c r="E1489" s="56">
        <f ca="1">IF(PV[[#This Row],[Business Date]]=Control!$C$6, PV[[#This Row],[Notional Value Local Cur]], -PV[[#This Row],[Notional Value Local Cur]])</f>
        <v>0</v>
      </c>
    </row>
    <row r="1490" spans="1:5" x14ac:dyDescent="0.25">
      <c r="A1490" s="36" t="b">
        <v>0</v>
      </c>
      <c r="B1490" s="56" t="b">
        <v>0</v>
      </c>
      <c r="C1490" s="56" t="b">
        <v>0</v>
      </c>
      <c r="D1490" s="56" t="b">
        <v>0</v>
      </c>
      <c r="E1490" s="56">
        <f ca="1">IF(PV[[#This Row],[Business Date]]=Control!$C$6, PV[[#This Row],[Notional Value Local Cur]], -PV[[#This Row],[Notional Value Local Cur]])</f>
        <v>0</v>
      </c>
    </row>
    <row r="1491" spans="1:5" x14ac:dyDescent="0.25">
      <c r="A1491" s="36" t="b">
        <v>0</v>
      </c>
      <c r="B1491" s="56" t="b">
        <v>0</v>
      </c>
      <c r="C1491" s="56" t="b">
        <v>0</v>
      </c>
      <c r="D1491" s="56" t="b">
        <v>0</v>
      </c>
      <c r="E1491" s="56">
        <f ca="1">IF(PV[[#This Row],[Business Date]]=Control!$C$6, PV[[#This Row],[Notional Value Local Cur]], -PV[[#This Row],[Notional Value Local Cur]])</f>
        <v>0</v>
      </c>
    </row>
    <row r="1492" spans="1:5" x14ac:dyDescent="0.25">
      <c r="A1492" s="36" t="b">
        <v>0</v>
      </c>
      <c r="B1492" s="56" t="b">
        <v>0</v>
      </c>
      <c r="C1492" s="56" t="b">
        <v>0</v>
      </c>
      <c r="D1492" s="56" t="b">
        <v>0</v>
      </c>
      <c r="E1492" s="56">
        <f ca="1">IF(PV[[#This Row],[Business Date]]=Control!$C$6, PV[[#This Row],[Notional Value Local Cur]], -PV[[#This Row],[Notional Value Local Cur]])</f>
        <v>0</v>
      </c>
    </row>
    <row r="1493" spans="1:5" x14ac:dyDescent="0.25">
      <c r="A1493" s="36" t="b">
        <v>0</v>
      </c>
      <c r="B1493" s="56" t="b">
        <v>0</v>
      </c>
      <c r="C1493" s="56" t="b">
        <v>0</v>
      </c>
      <c r="D1493" s="56" t="b">
        <v>0</v>
      </c>
      <c r="E1493" s="56">
        <f ca="1">IF(PV[[#This Row],[Business Date]]=Control!$C$6, PV[[#This Row],[Notional Value Local Cur]], -PV[[#This Row],[Notional Value Local Cur]])</f>
        <v>0</v>
      </c>
    </row>
    <row r="1494" spans="1:5" x14ac:dyDescent="0.25">
      <c r="A1494" s="36" t="b">
        <v>0</v>
      </c>
      <c r="B1494" s="56" t="b">
        <v>0</v>
      </c>
      <c r="C1494" s="56" t="b">
        <v>0</v>
      </c>
      <c r="D1494" s="56" t="b">
        <v>0</v>
      </c>
      <c r="E1494" s="56">
        <f ca="1">IF(PV[[#This Row],[Business Date]]=Control!$C$6, PV[[#This Row],[Notional Value Local Cur]], -PV[[#This Row],[Notional Value Local Cur]])</f>
        <v>0</v>
      </c>
    </row>
    <row r="1495" spans="1:5" x14ac:dyDescent="0.25">
      <c r="A1495" s="36" t="b">
        <v>0</v>
      </c>
      <c r="B1495" s="56" t="b">
        <v>0</v>
      </c>
      <c r="C1495" s="56" t="b">
        <v>0</v>
      </c>
      <c r="D1495" s="56" t="b">
        <v>0</v>
      </c>
      <c r="E1495" s="56">
        <f ca="1">IF(PV[[#This Row],[Business Date]]=Control!$C$6, PV[[#This Row],[Notional Value Local Cur]], -PV[[#This Row],[Notional Value Local Cur]])</f>
        <v>0</v>
      </c>
    </row>
    <row r="1496" spans="1:5" x14ac:dyDescent="0.25">
      <c r="A1496" s="36" t="b">
        <v>0</v>
      </c>
      <c r="B1496" s="56" t="b">
        <v>0</v>
      </c>
      <c r="C1496" s="56" t="b">
        <v>0</v>
      </c>
      <c r="D1496" s="56" t="b">
        <v>0</v>
      </c>
      <c r="E1496" s="56">
        <f ca="1">IF(PV[[#This Row],[Business Date]]=Control!$C$6, PV[[#This Row],[Notional Value Local Cur]], -PV[[#This Row],[Notional Value Local Cur]])</f>
        <v>0</v>
      </c>
    </row>
    <row r="1497" spans="1:5" x14ac:dyDescent="0.25">
      <c r="A1497" s="36" t="b">
        <v>0</v>
      </c>
      <c r="B1497" s="56" t="b">
        <v>0</v>
      </c>
      <c r="C1497" s="56" t="b">
        <v>0</v>
      </c>
      <c r="D1497" s="56" t="b">
        <v>0</v>
      </c>
      <c r="E1497" s="56">
        <f ca="1">IF(PV[[#This Row],[Business Date]]=Control!$C$6, PV[[#This Row],[Notional Value Local Cur]], -PV[[#This Row],[Notional Value Local Cur]])</f>
        <v>0</v>
      </c>
    </row>
    <row r="1498" spans="1:5" x14ac:dyDescent="0.25">
      <c r="A1498" s="36" t="b">
        <v>0</v>
      </c>
      <c r="B1498" s="56" t="b">
        <v>0</v>
      </c>
      <c r="C1498" s="56" t="b">
        <v>0</v>
      </c>
      <c r="D1498" s="56" t="b">
        <v>0</v>
      </c>
      <c r="E1498" s="56">
        <f ca="1">IF(PV[[#This Row],[Business Date]]=Control!$C$6, PV[[#This Row],[Notional Value Local Cur]], -PV[[#This Row],[Notional Value Local Cur]])</f>
        <v>0</v>
      </c>
    </row>
    <row r="1499" spans="1:5" x14ac:dyDescent="0.25">
      <c r="A1499" s="36" t="b">
        <v>0</v>
      </c>
      <c r="B1499" s="56" t="b">
        <v>0</v>
      </c>
      <c r="C1499" s="56" t="b">
        <v>0</v>
      </c>
      <c r="D1499" s="56" t="b">
        <v>0</v>
      </c>
      <c r="E1499" s="56">
        <f ca="1">IF(PV[[#This Row],[Business Date]]=Control!$C$6, PV[[#This Row],[Notional Value Local Cur]], -PV[[#This Row],[Notional Value Local Cur]])</f>
        <v>0</v>
      </c>
    </row>
    <row r="1500" spans="1:5" x14ac:dyDescent="0.25">
      <c r="A1500" s="36" t="b">
        <v>0</v>
      </c>
      <c r="B1500" s="56" t="b">
        <v>0</v>
      </c>
      <c r="C1500" s="56" t="b">
        <v>0</v>
      </c>
      <c r="D1500" s="56" t="b">
        <v>0</v>
      </c>
      <c r="E1500" s="56">
        <f ca="1">IF(PV[[#This Row],[Business Date]]=Control!$C$6, PV[[#This Row],[Notional Value Local Cur]], -PV[[#This Row],[Notional Value Local Cur]])</f>
        <v>0</v>
      </c>
    </row>
    <row r="1501" spans="1:5" x14ac:dyDescent="0.25">
      <c r="A1501" s="36" t="b">
        <v>0</v>
      </c>
      <c r="B1501" s="56" t="b">
        <v>0</v>
      </c>
      <c r="C1501" s="56" t="b">
        <v>0</v>
      </c>
      <c r="D1501" s="56" t="b">
        <v>0</v>
      </c>
      <c r="E1501" s="56">
        <f ca="1">IF(PV[[#This Row],[Business Date]]=Control!$C$6, PV[[#This Row],[Notional Value Local Cur]], -PV[[#This Row],[Notional Value Local Cur]])</f>
        <v>0</v>
      </c>
    </row>
    <row r="1502" spans="1:5" x14ac:dyDescent="0.25">
      <c r="A1502" s="36" t="b">
        <v>0</v>
      </c>
      <c r="B1502" s="56" t="b">
        <v>0</v>
      </c>
      <c r="C1502" s="56" t="b">
        <v>0</v>
      </c>
      <c r="D1502" s="56" t="b">
        <v>0</v>
      </c>
      <c r="E1502" s="56">
        <f ca="1">IF(PV[[#This Row],[Business Date]]=Control!$C$6, PV[[#This Row],[Notional Value Local Cur]], -PV[[#This Row],[Notional Value Local Cur]])</f>
        <v>0</v>
      </c>
    </row>
    <row r="1503" spans="1:5" x14ac:dyDescent="0.25">
      <c r="A1503" s="36" t="b">
        <v>0</v>
      </c>
      <c r="B1503" s="56" t="b">
        <v>0</v>
      </c>
      <c r="C1503" s="56" t="b">
        <v>0</v>
      </c>
      <c r="D1503" s="56" t="b">
        <v>0</v>
      </c>
      <c r="E1503" s="56">
        <f ca="1">IF(PV[[#This Row],[Business Date]]=Control!$C$6, PV[[#This Row],[Notional Value Local Cur]], -PV[[#This Row],[Notional Value Local Cur]])</f>
        <v>0</v>
      </c>
    </row>
    <row r="1504" spans="1:5" x14ac:dyDescent="0.25">
      <c r="A1504" s="36" t="b">
        <v>0</v>
      </c>
      <c r="B1504" s="56" t="b">
        <v>0</v>
      </c>
      <c r="C1504" s="56" t="b">
        <v>0</v>
      </c>
      <c r="D1504" s="56" t="b">
        <v>0</v>
      </c>
      <c r="E1504" s="56">
        <f ca="1">IF(PV[[#This Row],[Business Date]]=Control!$C$6, PV[[#This Row],[Notional Value Local Cur]], -PV[[#This Row],[Notional Value Local Cur]])</f>
        <v>0</v>
      </c>
    </row>
    <row r="1505" spans="1:5" x14ac:dyDescent="0.25">
      <c r="A1505" s="36" t="b">
        <v>0</v>
      </c>
      <c r="B1505" s="56" t="b">
        <v>0</v>
      </c>
      <c r="C1505" s="56" t="b">
        <v>0</v>
      </c>
      <c r="D1505" s="56" t="b">
        <v>0</v>
      </c>
      <c r="E1505" s="56">
        <f ca="1">IF(PV[[#This Row],[Business Date]]=Control!$C$6, PV[[#This Row],[Notional Value Local Cur]], -PV[[#This Row],[Notional Value Local Cur]])</f>
        <v>0</v>
      </c>
    </row>
    <row r="1506" spans="1:5" x14ac:dyDescent="0.25">
      <c r="A1506" s="36" t="b">
        <v>0</v>
      </c>
      <c r="B1506" s="56" t="b">
        <v>0</v>
      </c>
      <c r="C1506" s="56" t="b">
        <v>0</v>
      </c>
      <c r="D1506" s="56" t="b">
        <v>0</v>
      </c>
      <c r="E1506" s="56">
        <f ca="1">IF(PV[[#This Row],[Business Date]]=Control!$C$6, PV[[#This Row],[Notional Value Local Cur]], -PV[[#This Row],[Notional Value Local Cur]])</f>
        <v>0</v>
      </c>
    </row>
    <row r="1507" spans="1:5" x14ac:dyDescent="0.25">
      <c r="A1507" s="36" t="b">
        <v>0</v>
      </c>
      <c r="B1507" s="56" t="b">
        <v>0</v>
      </c>
      <c r="C1507" s="56" t="b">
        <v>0</v>
      </c>
      <c r="D1507" s="56" t="b">
        <v>0</v>
      </c>
      <c r="E1507" s="56">
        <f ca="1">IF(PV[[#This Row],[Business Date]]=Control!$C$6, PV[[#This Row],[Notional Value Local Cur]], -PV[[#This Row],[Notional Value Local Cur]])</f>
        <v>0</v>
      </c>
    </row>
    <row r="1508" spans="1:5" x14ac:dyDescent="0.25">
      <c r="A1508" s="36" t="b">
        <v>0</v>
      </c>
      <c r="B1508" s="56" t="b">
        <v>0</v>
      </c>
      <c r="C1508" s="56" t="b">
        <v>0</v>
      </c>
      <c r="D1508" s="56" t="b">
        <v>0</v>
      </c>
      <c r="E1508" s="56">
        <f ca="1">IF(PV[[#This Row],[Business Date]]=Control!$C$6, PV[[#This Row],[Notional Value Local Cur]], -PV[[#This Row],[Notional Value Local Cur]])</f>
        <v>0</v>
      </c>
    </row>
    <row r="1509" spans="1:5" x14ac:dyDescent="0.25">
      <c r="A1509" s="36" t="b">
        <v>0</v>
      </c>
      <c r="B1509" s="56" t="b">
        <v>0</v>
      </c>
      <c r="C1509" s="56" t="b">
        <v>0</v>
      </c>
      <c r="D1509" s="56" t="b">
        <v>0</v>
      </c>
      <c r="E1509" s="56">
        <f ca="1">IF(PV[[#This Row],[Business Date]]=Control!$C$6, PV[[#This Row],[Notional Value Local Cur]], -PV[[#This Row],[Notional Value Local Cur]])</f>
        <v>0</v>
      </c>
    </row>
    <row r="1510" spans="1:5" x14ac:dyDescent="0.25">
      <c r="A1510" s="36" t="b">
        <v>0</v>
      </c>
      <c r="B1510" s="56" t="b">
        <v>0</v>
      </c>
      <c r="C1510" s="56" t="b">
        <v>0</v>
      </c>
      <c r="D1510" s="56" t="b">
        <v>0</v>
      </c>
      <c r="E1510" s="56">
        <f ca="1">IF(PV[[#This Row],[Business Date]]=Control!$C$6, PV[[#This Row],[Notional Value Local Cur]], -PV[[#This Row],[Notional Value Local Cur]])</f>
        <v>0</v>
      </c>
    </row>
    <row r="1511" spans="1:5" x14ac:dyDescent="0.25">
      <c r="A1511" s="36" t="b">
        <v>0</v>
      </c>
      <c r="B1511" s="56" t="b">
        <v>0</v>
      </c>
      <c r="C1511" s="56" t="b">
        <v>0</v>
      </c>
      <c r="D1511" s="56" t="b">
        <v>0</v>
      </c>
      <c r="E1511" s="56">
        <f ca="1">IF(PV[[#This Row],[Business Date]]=Control!$C$6, PV[[#This Row],[Notional Value Local Cur]], -PV[[#This Row],[Notional Value Local Cur]])</f>
        <v>0</v>
      </c>
    </row>
    <row r="1512" spans="1:5" x14ac:dyDescent="0.25">
      <c r="A1512" s="36" t="b">
        <v>0</v>
      </c>
      <c r="B1512" s="56" t="b">
        <v>0</v>
      </c>
      <c r="C1512" s="56" t="b">
        <v>0</v>
      </c>
      <c r="D1512" s="56" t="b">
        <v>0</v>
      </c>
      <c r="E1512" s="56">
        <f ca="1">IF(PV[[#This Row],[Business Date]]=Control!$C$6, PV[[#This Row],[Notional Value Local Cur]], -PV[[#This Row],[Notional Value Local Cur]])</f>
        <v>0</v>
      </c>
    </row>
    <row r="1513" spans="1:5" x14ac:dyDescent="0.25">
      <c r="A1513" s="36" t="b">
        <v>0</v>
      </c>
      <c r="B1513" s="56" t="b">
        <v>0</v>
      </c>
      <c r="C1513" s="56" t="b">
        <v>0</v>
      </c>
      <c r="D1513" s="56" t="b">
        <v>0</v>
      </c>
      <c r="E1513" s="56">
        <f ca="1">IF(PV[[#This Row],[Business Date]]=Control!$C$6, PV[[#This Row],[Notional Value Local Cur]], -PV[[#This Row],[Notional Value Local Cur]])</f>
        <v>0</v>
      </c>
    </row>
    <row r="1514" spans="1:5" x14ac:dyDescent="0.25">
      <c r="A1514" s="36" t="b">
        <v>0</v>
      </c>
      <c r="B1514" s="56" t="b">
        <v>0</v>
      </c>
      <c r="C1514" s="56" t="b">
        <v>0</v>
      </c>
      <c r="D1514" s="56" t="b">
        <v>0</v>
      </c>
      <c r="E1514" s="56">
        <f ca="1">IF(PV[[#This Row],[Business Date]]=Control!$C$6, PV[[#This Row],[Notional Value Local Cur]], -PV[[#This Row],[Notional Value Local Cur]])</f>
        <v>0</v>
      </c>
    </row>
    <row r="1515" spans="1:5" x14ac:dyDescent="0.25">
      <c r="A1515" s="36" t="b">
        <v>0</v>
      </c>
      <c r="B1515" s="56" t="b">
        <v>0</v>
      </c>
      <c r="C1515" s="56" t="b">
        <v>0</v>
      </c>
      <c r="D1515" s="56" t="b">
        <v>0</v>
      </c>
      <c r="E1515" s="56">
        <f ca="1">IF(PV[[#This Row],[Business Date]]=Control!$C$6, PV[[#This Row],[Notional Value Local Cur]], -PV[[#This Row],[Notional Value Local Cur]])</f>
        <v>0</v>
      </c>
    </row>
    <row r="1516" spans="1:5" x14ac:dyDescent="0.25">
      <c r="A1516" s="36" t="b">
        <v>0</v>
      </c>
      <c r="B1516" s="56" t="b">
        <v>0</v>
      </c>
      <c r="C1516" s="56" t="b">
        <v>0</v>
      </c>
      <c r="D1516" s="56" t="b">
        <v>0</v>
      </c>
      <c r="E1516" s="56">
        <f ca="1">IF(PV[[#This Row],[Business Date]]=Control!$C$6, PV[[#This Row],[Notional Value Local Cur]], -PV[[#This Row],[Notional Value Local Cur]])</f>
        <v>0</v>
      </c>
    </row>
    <row r="1517" spans="1:5" x14ac:dyDescent="0.25">
      <c r="A1517" s="36" t="b">
        <v>0</v>
      </c>
      <c r="B1517" s="56" t="b">
        <v>0</v>
      </c>
      <c r="C1517" s="56" t="b">
        <v>0</v>
      </c>
      <c r="D1517" s="56" t="b">
        <v>0</v>
      </c>
      <c r="E1517" s="56">
        <f ca="1">IF(PV[[#This Row],[Business Date]]=Control!$C$6, PV[[#This Row],[Notional Value Local Cur]], -PV[[#This Row],[Notional Value Local Cur]])</f>
        <v>0</v>
      </c>
    </row>
    <row r="1518" spans="1:5" x14ac:dyDescent="0.25">
      <c r="A1518" s="36" t="b">
        <v>0</v>
      </c>
      <c r="B1518" s="56" t="b">
        <v>0</v>
      </c>
      <c r="C1518" s="56" t="b">
        <v>0</v>
      </c>
      <c r="D1518" s="56" t="b">
        <v>0</v>
      </c>
      <c r="E1518" s="56">
        <f ca="1">IF(PV[[#This Row],[Business Date]]=Control!$C$6, PV[[#This Row],[Notional Value Local Cur]], -PV[[#This Row],[Notional Value Local Cur]])</f>
        <v>0</v>
      </c>
    </row>
    <row r="1519" spans="1:5" x14ac:dyDescent="0.25">
      <c r="A1519" s="36" t="b">
        <v>0</v>
      </c>
      <c r="B1519" s="56" t="b">
        <v>0</v>
      </c>
      <c r="C1519" s="56" t="b">
        <v>0</v>
      </c>
      <c r="D1519" s="56" t="b">
        <v>0</v>
      </c>
      <c r="E1519" s="56">
        <f ca="1">IF(PV[[#This Row],[Business Date]]=Control!$C$6, PV[[#This Row],[Notional Value Local Cur]], -PV[[#This Row],[Notional Value Local Cur]])</f>
        <v>0</v>
      </c>
    </row>
    <row r="1520" spans="1:5" x14ac:dyDescent="0.25">
      <c r="A1520" s="36" t="b">
        <v>0</v>
      </c>
      <c r="B1520" s="56" t="b">
        <v>0</v>
      </c>
      <c r="C1520" s="56" t="b">
        <v>0</v>
      </c>
      <c r="D1520" s="56" t="b">
        <v>0</v>
      </c>
      <c r="E1520" s="56">
        <f ca="1">IF(PV[[#This Row],[Business Date]]=Control!$C$6, PV[[#This Row],[Notional Value Local Cur]], -PV[[#This Row],[Notional Value Local Cur]])</f>
        <v>0</v>
      </c>
    </row>
    <row r="1521" spans="1:5" x14ac:dyDescent="0.25">
      <c r="A1521" s="36" t="b">
        <v>0</v>
      </c>
      <c r="B1521" s="56" t="b">
        <v>0</v>
      </c>
      <c r="C1521" s="56" t="b">
        <v>0</v>
      </c>
      <c r="D1521" s="56" t="b">
        <v>0</v>
      </c>
      <c r="E1521" s="56">
        <f ca="1">IF(PV[[#This Row],[Business Date]]=Control!$C$6, PV[[#This Row],[Notional Value Local Cur]], -PV[[#This Row],[Notional Value Local Cur]])</f>
        <v>0</v>
      </c>
    </row>
    <row r="1522" spans="1:5" x14ac:dyDescent="0.25">
      <c r="A1522" s="36" t="b">
        <v>0</v>
      </c>
      <c r="B1522" s="56" t="b">
        <v>0</v>
      </c>
      <c r="C1522" s="56" t="b">
        <v>0</v>
      </c>
      <c r="D1522" s="56" t="b">
        <v>0</v>
      </c>
      <c r="E1522" s="56">
        <f ca="1">IF(PV[[#This Row],[Business Date]]=Control!$C$6, PV[[#This Row],[Notional Value Local Cur]], -PV[[#This Row],[Notional Value Local Cur]])</f>
        <v>0</v>
      </c>
    </row>
    <row r="1523" spans="1:5" x14ac:dyDescent="0.25">
      <c r="A1523" s="36" t="b">
        <v>0</v>
      </c>
      <c r="B1523" s="56" t="b">
        <v>0</v>
      </c>
      <c r="C1523" s="56" t="b">
        <v>0</v>
      </c>
      <c r="D1523" s="56" t="b">
        <v>0</v>
      </c>
      <c r="E1523" s="56">
        <f ca="1">IF(PV[[#This Row],[Business Date]]=Control!$C$6, PV[[#This Row],[Notional Value Local Cur]], -PV[[#This Row],[Notional Value Local Cur]])</f>
        <v>0</v>
      </c>
    </row>
    <row r="1524" spans="1:5" x14ac:dyDescent="0.25">
      <c r="A1524" s="36" t="b">
        <v>0</v>
      </c>
      <c r="B1524" s="56" t="b">
        <v>0</v>
      </c>
      <c r="C1524" s="56" t="b">
        <v>0</v>
      </c>
      <c r="D1524" s="56" t="b">
        <v>0</v>
      </c>
      <c r="E1524" s="56">
        <f ca="1">IF(PV[[#This Row],[Business Date]]=Control!$C$6, PV[[#This Row],[Notional Value Local Cur]], -PV[[#This Row],[Notional Value Local Cur]])</f>
        <v>0</v>
      </c>
    </row>
    <row r="1525" spans="1:5" x14ac:dyDescent="0.25">
      <c r="A1525" s="36" t="b">
        <v>0</v>
      </c>
      <c r="B1525" s="56" t="b">
        <v>0</v>
      </c>
      <c r="C1525" s="56" t="b">
        <v>0</v>
      </c>
      <c r="D1525" s="56" t="b">
        <v>0</v>
      </c>
      <c r="E1525" s="56">
        <f ca="1">IF(PV[[#This Row],[Business Date]]=Control!$C$6, PV[[#This Row],[Notional Value Local Cur]], -PV[[#This Row],[Notional Value Local Cur]])</f>
        <v>0</v>
      </c>
    </row>
    <row r="1526" spans="1:5" x14ac:dyDescent="0.25">
      <c r="A1526" s="36" t="b">
        <v>0</v>
      </c>
      <c r="B1526" s="56" t="b">
        <v>0</v>
      </c>
      <c r="C1526" s="56" t="b">
        <v>0</v>
      </c>
      <c r="D1526" s="56" t="b">
        <v>0</v>
      </c>
      <c r="E1526" s="56">
        <f ca="1">IF(PV[[#This Row],[Business Date]]=Control!$C$6, PV[[#This Row],[Notional Value Local Cur]], -PV[[#This Row],[Notional Value Local Cur]])</f>
        <v>0</v>
      </c>
    </row>
    <row r="1527" spans="1:5" x14ac:dyDescent="0.25">
      <c r="A1527" s="36" t="b">
        <v>0</v>
      </c>
      <c r="B1527" s="56" t="b">
        <v>0</v>
      </c>
      <c r="C1527" s="56" t="b">
        <v>0</v>
      </c>
      <c r="D1527" s="56" t="b">
        <v>0</v>
      </c>
      <c r="E1527" s="56">
        <f ca="1">IF(PV[[#This Row],[Business Date]]=Control!$C$6, PV[[#This Row],[Notional Value Local Cur]], -PV[[#This Row],[Notional Value Local Cur]])</f>
        <v>0</v>
      </c>
    </row>
    <row r="1528" spans="1:5" x14ac:dyDescent="0.25">
      <c r="A1528" s="36" t="b">
        <v>0</v>
      </c>
      <c r="B1528" s="56" t="b">
        <v>0</v>
      </c>
      <c r="C1528" s="56" t="b">
        <v>0</v>
      </c>
      <c r="D1528" s="56" t="b">
        <v>0</v>
      </c>
      <c r="E1528" s="56">
        <f ca="1">IF(PV[[#This Row],[Business Date]]=Control!$C$6, PV[[#This Row],[Notional Value Local Cur]], -PV[[#This Row],[Notional Value Local Cur]])</f>
        <v>0</v>
      </c>
    </row>
    <row r="1529" spans="1:5" x14ac:dyDescent="0.25">
      <c r="A1529" s="36" t="b">
        <v>0</v>
      </c>
      <c r="B1529" s="56" t="b">
        <v>0</v>
      </c>
      <c r="C1529" s="56" t="b">
        <v>0</v>
      </c>
      <c r="D1529" s="56" t="b">
        <v>0</v>
      </c>
      <c r="E1529" s="56">
        <f ca="1">IF(PV[[#This Row],[Business Date]]=Control!$C$6, PV[[#This Row],[Notional Value Local Cur]], -PV[[#This Row],[Notional Value Local Cur]])</f>
        <v>0</v>
      </c>
    </row>
    <row r="1530" spans="1:5" x14ac:dyDescent="0.25">
      <c r="A1530" s="36" t="b">
        <v>0</v>
      </c>
      <c r="B1530" s="56" t="b">
        <v>0</v>
      </c>
      <c r="C1530" s="56" t="b">
        <v>0</v>
      </c>
      <c r="D1530" s="56" t="b">
        <v>0</v>
      </c>
      <c r="E1530" s="56">
        <f ca="1">IF(PV[[#This Row],[Business Date]]=Control!$C$6, PV[[#This Row],[Notional Value Local Cur]], -PV[[#This Row],[Notional Value Local Cur]])</f>
        <v>0</v>
      </c>
    </row>
    <row r="1531" spans="1:5" x14ac:dyDescent="0.25">
      <c r="A1531" s="36" t="b">
        <v>0</v>
      </c>
      <c r="B1531" s="56" t="b">
        <v>0</v>
      </c>
      <c r="C1531" s="56" t="b">
        <v>0</v>
      </c>
      <c r="D1531" s="56" t="b">
        <v>0</v>
      </c>
      <c r="E1531" s="56">
        <f ca="1">IF(PV[[#This Row],[Business Date]]=Control!$C$6, PV[[#This Row],[Notional Value Local Cur]], -PV[[#This Row],[Notional Value Local Cur]])</f>
        <v>0</v>
      </c>
    </row>
    <row r="1532" spans="1:5" x14ac:dyDescent="0.25">
      <c r="A1532" s="36" t="b">
        <v>0</v>
      </c>
      <c r="B1532" s="56" t="b">
        <v>0</v>
      </c>
      <c r="C1532" s="56" t="b">
        <v>0</v>
      </c>
      <c r="D1532" s="56" t="b">
        <v>0</v>
      </c>
      <c r="E1532" s="56">
        <f ca="1">IF(PV[[#This Row],[Business Date]]=Control!$C$6, PV[[#This Row],[Notional Value Local Cur]], -PV[[#This Row],[Notional Value Local Cur]])</f>
        <v>0</v>
      </c>
    </row>
    <row r="1533" spans="1:5" x14ac:dyDescent="0.25">
      <c r="A1533" s="36" t="b">
        <v>0</v>
      </c>
      <c r="B1533" s="56" t="b">
        <v>0</v>
      </c>
      <c r="C1533" s="56" t="b">
        <v>0</v>
      </c>
      <c r="D1533" s="56" t="b">
        <v>0</v>
      </c>
      <c r="E1533" s="56">
        <f ca="1">IF(PV[[#This Row],[Business Date]]=Control!$C$6, PV[[#This Row],[Notional Value Local Cur]], -PV[[#This Row],[Notional Value Local Cur]])</f>
        <v>0</v>
      </c>
    </row>
    <row r="1534" spans="1:5" x14ac:dyDescent="0.25">
      <c r="A1534" s="36" t="b">
        <v>0</v>
      </c>
      <c r="B1534" s="56" t="b">
        <v>0</v>
      </c>
      <c r="C1534" s="56" t="b">
        <v>0</v>
      </c>
      <c r="D1534" s="56" t="b">
        <v>0</v>
      </c>
      <c r="E1534" s="56">
        <f ca="1">IF(PV[[#This Row],[Business Date]]=Control!$C$6, PV[[#This Row],[Notional Value Local Cur]], -PV[[#This Row],[Notional Value Local Cur]])</f>
        <v>0</v>
      </c>
    </row>
    <row r="1535" spans="1:5" x14ac:dyDescent="0.25">
      <c r="A1535" s="36" t="b">
        <v>0</v>
      </c>
      <c r="B1535" s="56" t="b">
        <v>0</v>
      </c>
      <c r="C1535" s="56" t="b">
        <v>0</v>
      </c>
      <c r="D1535" s="56" t="b">
        <v>0</v>
      </c>
      <c r="E1535" s="56">
        <f ca="1">IF(PV[[#This Row],[Business Date]]=Control!$C$6, PV[[#This Row],[Notional Value Local Cur]], -PV[[#This Row],[Notional Value Local Cur]])</f>
        <v>0</v>
      </c>
    </row>
    <row r="1536" spans="1:5" x14ac:dyDescent="0.25">
      <c r="A1536" s="36" t="b">
        <v>0</v>
      </c>
      <c r="B1536" s="56" t="b">
        <v>0</v>
      </c>
      <c r="C1536" s="56" t="b">
        <v>0</v>
      </c>
      <c r="D1536" s="56" t="b">
        <v>0</v>
      </c>
      <c r="E1536" s="56">
        <f ca="1">IF(PV[[#This Row],[Business Date]]=Control!$C$6, PV[[#This Row],[Notional Value Local Cur]], -PV[[#This Row],[Notional Value Local Cur]])</f>
        <v>0</v>
      </c>
    </row>
    <row r="1537" spans="1:5" x14ac:dyDescent="0.25">
      <c r="A1537" s="36" t="b">
        <v>0</v>
      </c>
      <c r="B1537" s="56" t="b">
        <v>0</v>
      </c>
      <c r="C1537" s="56" t="b">
        <v>0</v>
      </c>
      <c r="D1537" s="56" t="b">
        <v>0</v>
      </c>
      <c r="E1537" s="56">
        <f ca="1">IF(PV[[#This Row],[Business Date]]=Control!$C$6, PV[[#This Row],[Notional Value Local Cur]], -PV[[#This Row],[Notional Value Local Cur]])</f>
        <v>0</v>
      </c>
    </row>
    <row r="1538" spans="1:5" x14ac:dyDescent="0.25">
      <c r="A1538" s="36" t="b">
        <v>0</v>
      </c>
      <c r="B1538" s="56" t="b">
        <v>0</v>
      </c>
      <c r="C1538" s="56" t="b">
        <v>0</v>
      </c>
      <c r="D1538" s="56" t="b">
        <v>0</v>
      </c>
      <c r="E1538" s="56">
        <f ca="1">IF(PV[[#This Row],[Business Date]]=Control!$C$6, PV[[#This Row],[Notional Value Local Cur]], -PV[[#This Row],[Notional Value Local Cur]])</f>
        <v>0</v>
      </c>
    </row>
    <row r="1539" spans="1:5" x14ac:dyDescent="0.25">
      <c r="A1539" s="36" t="b">
        <v>0</v>
      </c>
      <c r="B1539" s="56" t="b">
        <v>0</v>
      </c>
      <c r="C1539" s="56" t="b">
        <v>0</v>
      </c>
      <c r="D1539" s="56" t="b">
        <v>0</v>
      </c>
      <c r="E1539" s="56">
        <f ca="1">IF(PV[[#This Row],[Business Date]]=Control!$C$6, PV[[#This Row],[Notional Value Local Cur]], -PV[[#This Row],[Notional Value Local Cur]])</f>
        <v>0</v>
      </c>
    </row>
    <row r="1540" spans="1:5" x14ac:dyDescent="0.25">
      <c r="A1540" s="36" t="b">
        <v>0</v>
      </c>
      <c r="B1540" s="56" t="b">
        <v>0</v>
      </c>
      <c r="C1540" s="56" t="b">
        <v>0</v>
      </c>
      <c r="D1540" s="56" t="b">
        <v>0</v>
      </c>
      <c r="E1540" s="56">
        <f ca="1">IF(PV[[#This Row],[Business Date]]=Control!$C$6, PV[[#This Row],[Notional Value Local Cur]], -PV[[#This Row],[Notional Value Local Cur]])</f>
        <v>0</v>
      </c>
    </row>
    <row r="1541" spans="1:5" x14ac:dyDescent="0.25">
      <c r="A1541" s="36" t="b">
        <v>0</v>
      </c>
      <c r="B1541" s="56" t="b">
        <v>0</v>
      </c>
      <c r="C1541" s="56" t="b">
        <v>0</v>
      </c>
      <c r="D1541" s="56" t="b">
        <v>0</v>
      </c>
      <c r="E1541" s="56">
        <f ca="1">IF(PV[[#This Row],[Business Date]]=Control!$C$6, PV[[#This Row],[Notional Value Local Cur]], -PV[[#This Row],[Notional Value Local Cur]])</f>
        <v>0</v>
      </c>
    </row>
    <row r="1542" spans="1:5" x14ac:dyDescent="0.25">
      <c r="A1542" s="36" t="b">
        <v>0</v>
      </c>
      <c r="B1542" s="56" t="b">
        <v>0</v>
      </c>
      <c r="C1542" s="56" t="b">
        <v>0</v>
      </c>
      <c r="D1542" s="56" t="b">
        <v>0</v>
      </c>
      <c r="E1542" s="56">
        <f ca="1">IF(PV[[#This Row],[Business Date]]=Control!$C$6, PV[[#This Row],[Notional Value Local Cur]], -PV[[#This Row],[Notional Value Local Cur]])</f>
        <v>0</v>
      </c>
    </row>
    <row r="1543" spans="1:5" x14ac:dyDescent="0.25">
      <c r="A1543" s="36" t="b">
        <v>0</v>
      </c>
      <c r="B1543" s="56" t="b">
        <v>0</v>
      </c>
      <c r="C1543" s="56" t="b">
        <v>0</v>
      </c>
      <c r="D1543" s="56" t="b">
        <v>0</v>
      </c>
      <c r="E1543" s="56">
        <f ca="1">IF(PV[[#This Row],[Business Date]]=Control!$C$6, PV[[#This Row],[Notional Value Local Cur]], -PV[[#This Row],[Notional Value Local Cur]])</f>
        <v>0</v>
      </c>
    </row>
    <row r="1544" spans="1:5" x14ac:dyDescent="0.25">
      <c r="A1544" s="36" t="b">
        <v>0</v>
      </c>
      <c r="B1544" s="56" t="b">
        <v>0</v>
      </c>
      <c r="C1544" s="56" t="b">
        <v>0</v>
      </c>
      <c r="D1544" s="56" t="b">
        <v>0</v>
      </c>
      <c r="E1544" s="56">
        <f ca="1">IF(PV[[#This Row],[Business Date]]=Control!$C$6, PV[[#This Row],[Notional Value Local Cur]], -PV[[#This Row],[Notional Value Local Cur]])</f>
        <v>0</v>
      </c>
    </row>
    <row r="1545" spans="1:5" x14ac:dyDescent="0.25">
      <c r="A1545" s="36" t="b">
        <v>0</v>
      </c>
      <c r="B1545" s="56" t="b">
        <v>0</v>
      </c>
      <c r="C1545" s="56" t="b">
        <v>0</v>
      </c>
      <c r="D1545" s="56" t="b">
        <v>0</v>
      </c>
      <c r="E1545" s="56">
        <f ca="1">IF(PV[[#This Row],[Business Date]]=Control!$C$6, PV[[#This Row],[Notional Value Local Cur]], -PV[[#This Row],[Notional Value Local Cur]])</f>
        <v>0</v>
      </c>
    </row>
    <row r="1546" spans="1:5" x14ac:dyDescent="0.25">
      <c r="A1546" s="36" t="b">
        <v>0</v>
      </c>
      <c r="B1546" s="56" t="b">
        <v>0</v>
      </c>
      <c r="C1546" s="56" t="b">
        <v>0</v>
      </c>
      <c r="D1546" s="56" t="b">
        <v>0</v>
      </c>
      <c r="E1546" s="56">
        <f ca="1">IF(PV[[#This Row],[Business Date]]=Control!$C$6, PV[[#This Row],[Notional Value Local Cur]], -PV[[#This Row],[Notional Value Local Cur]])</f>
        <v>0</v>
      </c>
    </row>
    <row r="1547" spans="1:5" x14ac:dyDescent="0.25">
      <c r="A1547" s="36" t="b">
        <v>0</v>
      </c>
      <c r="B1547" s="56" t="b">
        <v>0</v>
      </c>
      <c r="C1547" s="56" t="b">
        <v>0</v>
      </c>
      <c r="D1547" s="56" t="b">
        <v>0</v>
      </c>
      <c r="E1547" s="56">
        <f ca="1">IF(PV[[#This Row],[Business Date]]=Control!$C$6, PV[[#This Row],[Notional Value Local Cur]], -PV[[#This Row],[Notional Value Local Cur]])</f>
        <v>0</v>
      </c>
    </row>
    <row r="1548" spans="1:5" x14ac:dyDescent="0.25">
      <c r="A1548" s="36" t="b">
        <v>0</v>
      </c>
      <c r="B1548" s="56" t="b">
        <v>0</v>
      </c>
      <c r="C1548" s="56" t="b">
        <v>0</v>
      </c>
      <c r="D1548" s="56" t="b">
        <v>0</v>
      </c>
      <c r="E1548" s="56">
        <f ca="1">IF(PV[[#This Row],[Business Date]]=Control!$C$6, PV[[#This Row],[Notional Value Local Cur]], -PV[[#This Row],[Notional Value Local Cur]])</f>
        <v>0</v>
      </c>
    </row>
    <row r="1549" spans="1:5" x14ac:dyDescent="0.25">
      <c r="A1549" s="36" t="b">
        <v>0</v>
      </c>
      <c r="B1549" s="56" t="b">
        <v>0</v>
      </c>
      <c r="C1549" s="56" t="b">
        <v>0</v>
      </c>
      <c r="D1549" s="56" t="b">
        <v>0</v>
      </c>
      <c r="E1549" s="56">
        <f ca="1">IF(PV[[#This Row],[Business Date]]=Control!$C$6, PV[[#This Row],[Notional Value Local Cur]], -PV[[#This Row],[Notional Value Local Cur]])</f>
        <v>0</v>
      </c>
    </row>
    <row r="1550" spans="1:5" x14ac:dyDescent="0.25">
      <c r="A1550" s="36" t="b">
        <v>0</v>
      </c>
      <c r="B1550" s="56" t="b">
        <v>0</v>
      </c>
      <c r="C1550" s="56" t="b">
        <v>0</v>
      </c>
      <c r="D1550" s="56" t="b">
        <v>0</v>
      </c>
      <c r="E1550" s="56">
        <f ca="1">IF(PV[[#This Row],[Business Date]]=Control!$C$6, PV[[#This Row],[Notional Value Local Cur]], -PV[[#This Row],[Notional Value Local Cur]])</f>
        <v>0</v>
      </c>
    </row>
    <row r="1551" spans="1:5" x14ac:dyDescent="0.25">
      <c r="A1551" s="36" t="b">
        <v>0</v>
      </c>
      <c r="B1551" s="56" t="b">
        <v>0</v>
      </c>
      <c r="C1551" s="56" t="b">
        <v>0</v>
      </c>
      <c r="D1551" s="56" t="b">
        <v>0</v>
      </c>
      <c r="E1551" s="56">
        <f ca="1">IF(PV[[#This Row],[Business Date]]=Control!$C$6, PV[[#This Row],[Notional Value Local Cur]], -PV[[#This Row],[Notional Value Local Cur]])</f>
        <v>0</v>
      </c>
    </row>
    <row r="1552" spans="1:5" x14ac:dyDescent="0.25">
      <c r="A1552" s="36" t="b">
        <v>0</v>
      </c>
      <c r="B1552" s="56" t="b">
        <v>0</v>
      </c>
      <c r="C1552" s="56" t="b">
        <v>0</v>
      </c>
      <c r="D1552" s="56" t="b">
        <v>0</v>
      </c>
      <c r="E1552" s="56">
        <f ca="1">IF(PV[[#This Row],[Business Date]]=Control!$C$6, PV[[#This Row],[Notional Value Local Cur]], -PV[[#This Row],[Notional Value Local Cur]])</f>
        <v>0</v>
      </c>
    </row>
    <row r="1553" spans="1:5" x14ac:dyDescent="0.25">
      <c r="A1553" s="36" t="b">
        <v>0</v>
      </c>
      <c r="B1553" s="56" t="b">
        <v>0</v>
      </c>
      <c r="C1553" s="56" t="b">
        <v>0</v>
      </c>
      <c r="D1553" s="56" t="b">
        <v>0</v>
      </c>
      <c r="E1553" s="56">
        <f ca="1">IF(PV[[#This Row],[Business Date]]=Control!$C$6, PV[[#This Row],[Notional Value Local Cur]], -PV[[#This Row],[Notional Value Local Cur]])</f>
        <v>0</v>
      </c>
    </row>
    <row r="1554" spans="1:5" x14ac:dyDescent="0.25">
      <c r="A1554" s="36" t="b">
        <v>0</v>
      </c>
      <c r="B1554" s="56" t="b">
        <v>0</v>
      </c>
      <c r="C1554" s="56" t="b">
        <v>0</v>
      </c>
      <c r="D1554" s="56" t="b">
        <v>0</v>
      </c>
      <c r="E1554" s="56">
        <f ca="1">IF(PV[[#This Row],[Business Date]]=Control!$C$6, PV[[#This Row],[Notional Value Local Cur]], -PV[[#This Row],[Notional Value Local Cur]])</f>
        <v>0</v>
      </c>
    </row>
    <row r="1555" spans="1:5" x14ac:dyDescent="0.25">
      <c r="A1555" s="36" t="b">
        <v>0</v>
      </c>
      <c r="B1555" s="56" t="b">
        <v>0</v>
      </c>
      <c r="C1555" s="56" t="b">
        <v>0</v>
      </c>
      <c r="D1555" s="56" t="b">
        <v>0</v>
      </c>
      <c r="E1555" s="56">
        <f ca="1">IF(PV[[#This Row],[Business Date]]=Control!$C$6, PV[[#This Row],[Notional Value Local Cur]], -PV[[#This Row],[Notional Value Local Cur]])</f>
        <v>0</v>
      </c>
    </row>
    <row r="1556" spans="1:5" x14ac:dyDescent="0.25">
      <c r="A1556" s="36" t="b">
        <v>0</v>
      </c>
      <c r="B1556" s="56" t="b">
        <v>0</v>
      </c>
      <c r="C1556" s="56" t="b">
        <v>0</v>
      </c>
      <c r="D1556" s="56" t="b">
        <v>0</v>
      </c>
      <c r="E1556" s="56">
        <f ca="1">IF(PV[[#This Row],[Business Date]]=Control!$C$6, PV[[#This Row],[Notional Value Local Cur]], -PV[[#This Row],[Notional Value Local Cur]])</f>
        <v>0</v>
      </c>
    </row>
    <row r="1557" spans="1:5" x14ac:dyDescent="0.25">
      <c r="A1557" s="36" t="b">
        <v>0</v>
      </c>
      <c r="B1557" s="56" t="b">
        <v>0</v>
      </c>
      <c r="C1557" s="56" t="b">
        <v>0</v>
      </c>
      <c r="D1557" s="56" t="b">
        <v>0</v>
      </c>
      <c r="E1557" s="56">
        <f ca="1">IF(PV[[#This Row],[Business Date]]=Control!$C$6, PV[[#This Row],[Notional Value Local Cur]], -PV[[#This Row],[Notional Value Local Cur]])</f>
        <v>0</v>
      </c>
    </row>
    <row r="1558" spans="1:5" x14ac:dyDescent="0.25">
      <c r="A1558" s="36" t="b">
        <v>0</v>
      </c>
      <c r="B1558" s="56" t="b">
        <v>0</v>
      </c>
      <c r="C1558" s="56" t="b">
        <v>0</v>
      </c>
      <c r="D1558" s="56" t="b">
        <v>0</v>
      </c>
      <c r="E1558" s="56">
        <f ca="1">IF(PV[[#This Row],[Business Date]]=Control!$C$6, PV[[#This Row],[Notional Value Local Cur]], -PV[[#This Row],[Notional Value Local Cur]])</f>
        <v>0</v>
      </c>
    </row>
    <row r="1559" spans="1:5" x14ac:dyDescent="0.25">
      <c r="A1559" s="36" t="b">
        <v>0</v>
      </c>
      <c r="B1559" s="56" t="b">
        <v>0</v>
      </c>
      <c r="C1559" s="56" t="b">
        <v>0</v>
      </c>
      <c r="D1559" s="56" t="b">
        <v>0</v>
      </c>
      <c r="E1559" s="56">
        <f ca="1">IF(PV[[#This Row],[Business Date]]=Control!$C$6, PV[[#This Row],[Notional Value Local Cur]], -PV[[#This Row],[Notional Value Local Cur]])</f>
        <v>0</v>
      </c>
    </row>
    <row r="1560" spans="1:5" x14ac:dyDescent="0.25">
      <c r="A1560" s="36" t="b">
        <v>0</v>
      </c>
      <c r="B1560" s="56" t="b">
        <v>0</v>
      </c>
      <c r="C1560" s="56" t="b">
        <v>0</v>
      </c>
      <c r="D1560" s="56" t="b">
        <v>0</v>
      </c>
      <c r="E1560" s="56">
        <f ca="1">IF(PV[[#This Row],[Business Date]]=Control!$C$6, PV[[#This Row],[Notional Value Local Cur]], -PV[[#This Row],[Notional Value Local Cur]])</f>
        <v>0</v>
      </c>
    </row>
    <row r="1561" spans="1:5" x14ac:dyDescent="0.25">
      <c r="A1561" s="36" t="b">
        <v>0</v>
      </c>
      <c r="B1561" s="56" t="b">
        <v>0</v>
      </c>
      <c r="C1561" s="56" t="b">
        <v>0</v>
      </c>
      <c r="D1561" s="56" t="b">
        <v>0</v>
      </c>
      <c r="E1561" s="56">
        <f ca="1">IF(PV[[#This Row],[Business Date]]=Control!$C$6, PV[[#This Row],[Notional Value Local Cur]], -PV[[#This Row],[Notional Value Local Cur]])</f>
        <v>0</v>
      </c>
    </row>
    <row r="1562" spans="1:5" x14ac:dyDescent="0.25">
      <c r="A1562" s="36" t="b">
        <v>0</v>
      </c>
      <c r="B1562" s="56" t="b">
        <v>0</v>
      </c>
      <c r="C1562" s="56" t="b">
        <v>0</v>
      </c>
      <c r="D1562" s="56" t="b">
        <v>0</v>
      </c>
      <c r="E1562" s="56">
        <f ca="1">IF(PV[[#This Row],[Business Date]]=Control!$C$6, PV[[#This Row],[Notional Value Local Cur]], -PV[[#This Row],[Notional Value Local Cur]])</f>
        <v>0</v>
      </c>
    </row>
    <row r="1563" spans="1:5" x14ac:dyDescent="0.25">
      <c r="A1563" s="36" t="b">
        <v>0</v>
      </c>
      <c r="B1563" s="56" t="b">
        <v>0</v>
      </c>
      <c r="C1563" s="56" t="b">
        <v>0</v>
      </c>
      <c r="D1563" s="56" t="b">
        <v>0</v>
      </c>
      <c r="E1563" s="56">
        <f ca="1">IF(PV[[#This Row],[Business Date]]=Control!$C$6, PV[[#This Row],[Notional Value Local Cur]], -PV[[#This Row],[Notional Value Local Cur]])</f>
        <v>0</v>
      </c>
    </row>
    <row r="1564" spans="1:5" x14ac:dyDescent="0.25">
      <c r="A1564" s="36" t="b">
        <v>0</v>
      </c>
      <c r="B1564" s="56" t="b">
        <v>0</v>
      </c>
      <c r="C1564" s="56" t="b">
        <v>0</v>
      </c>
      <c r="D1564" s="56" t="b">
        <v>0</v>
      </c>
      <c r="E1564" s="56">
        <f ca="1">IF(PV[[#This Row],[Business Date]]=Control!$C$6, PV[[#This Row],[Notional Value Local Cur]], -PV[[#This Row],[Notional Value Local Cur]])</f>
        <v>0</v>
      </c>
    </row>
    <row r="1565" spans="1:5" x14ac:dyDescent="0.25">
      <c r="A1565" s="36" t="b">
        <v>0</v>
      </c>
      <c r="B1565" s="56" t="b">
        <v>0</v>
      </c>
      <c r="C1565" s="56" t="b">
        <v>0</v>
      </c>
      <c r="D1565" s="56" t="b">
        <v>0</v>
      </c>
      <c r="E1565" s="56">
        <f ca="1">IF(PV[[#This Row],[Business Date]]=Control!$C$6, PV[[#This Row],[Notional Value Local Cur]], -PV[[#This Row],[Notional Value Local Cur]])</f>
        <v>0</v>
      </c>
    </row>
    <row r="1566" spans="1:5" x14ac:dyDescent="0.25">
      <c r="A1566" s="36" t="b">
        <v>0</v>
      </c>
      <c r="B1566" s="56" t="b">
        <v>0</v>
      </c>
      <c r="C1566" s="56" t="b">
        <v>0</v>
      </c>
      <c r="D1566" s="56" t="b">
        <v>0</v>
      </c>
      <c r="E1566" s="56">
        <f ca="1">IF(PV[[#This Row],[Business Date]]=Control!$C$6, PV[[#This Row],[Notional Value Local Cur]], -PV[[#This Row],[Notional Value Local Cur]])</f>
        <v>0</v>
      </c>
    </row>
    <row r="1567" spans="1:5" x14ac:dyDescent="0.25">
      <c r="A1567" s="36" t="b">
        <v>0</v>
      </c>
      <c r="B1567" s="56" t="b">
        <v>0</v>
      </c>
      <c r="C1567" s="56" t="b">
        <v>0</v>
      </c>
      <c r="D1567" s="56" t="b">
        <v>0</v>
      </c>
      <c r="E1567" s="56">
        <f ca="1">IF(PV[[#This Row],[Business Date]]=Control!$C$6, PV[[#This Row],[Notional Value Local Cur]], -PV[[#This Row],[Notional Value Local Cur]])</f>
        <v>0</v>
      </c>
    </row>
    <row r="1568" spans="1:5" x14ac:dyDescent="0.25">
      <c r="A1568" s="36" t="b">
        <v>0</v>
      </c>
      <c r="B1568" s="56" t="b">
        <v>0</v>
      </c>
      <c r="C1568" s="56" t="b">
        <v>0</v>
      </c>
      <c r="D1568" s="56" t="b">
        <v>0</v>
      </c>
      <c r="E1568" s="56">
        <f ca="1">IF(PV[[#This Row],[Business Date]]=Control!$C$6, PV[[#This Row],[Notional Value Local Cur]], -PV[[#This Row],[Notional Value Local Cur]])</f>
        <v>0</v>
      </c>
    </row>
    <row r="1569" spans="1:5" x14ac:dyDescent="0.25">
      <c r="A1569" s="36" t="b">
        <v>0</v>
      </c>
      <c r="B1569" s="56" t="b">
        <v>0</v>
      </c>
      <c r="C1569" s="56" t="b">
        <v>0</v>
      </c>
      <c r="D1569" s="56" t="b">
        <v>0</v>
      </c>
      <c r="E1569" s="56">
        <f ca="1">IF(PV[[#This Row],[Business Date]]=Control!$C$6, PV[[#This Row],[Notional Value Local Cur]], -PV[[#This Row],[Notional Value Local Cur]])</f>
        <v>0</v>
      </c>
    </row>
    <row r="1570" spans="1:5" x14ac:dyDescent="0.25">
      <c r="A1570" s="36" t="b">
        <v>0</v>
      </c>
      <c r="B1570" s="56" t="b">
        <v>0</v>
      </c>
      <c r="C1570" s="56" t="b">
        <v>0</v>
      </c>
      <c r="D1570" s="56" t="b">
        <v>0</v>
      </c>
      <c r="E1570" s="56">
        <f ca="1">IF(PV[[#This Row],[Business Date]]=Control!$C$6, PV[[#This Row],[Notional Value Local Cur]], -PV[[#This Row],[Notional Value Local Cur]])</f>
        <v>0</v>
      </c>
    </row>
    <row r="1571" spans="1:5" x14ac:dyDescent="0.25">
      <c r="A1571" s="36" t="b">
        <v>0</v>
      </c>
      <c r="B1571" s="56" t="b">
        <v>0</v>
      </c>
      <c r="C1571" s="56" t="b">
        <v>0</v>
      </c>
      <c r="D1571" s="56" t="b">
        <v>0</v>
      </c>
      <c r="E1571" s="56">
        <f ca="1">IF(PV[[#This Row],[Business Date]]=Control!$C$6, PV[[#This Row],[Notional Value Local Cur]], -PV[[#This Row],[Notional Value Local Cur]])</f>
        <v>0</v>
      </c>
    </row>
    <row r="1572" spans="1:5" x14ac:dyDescent="0.25">
      <c r="A1572" s="36" t="b">
        <v>0</v>
      </c>
      <c r="B1572" s="56" t="b">
        <v>0</v>
      </c>
      <c r="C1572" s="56" t="b">
        <v>0</v>
      </c>
      <c r="D1572" s="56" t="b">
        <v>0</v>
      </c>
      <c r="E1572" s="56">
        <f ca="1">IF(PV[[#This Row],[Business Date]]=Control!$C$6, PV[[#This Row],[Notional Value Local Cur]], -PV[[#This Row],[Notional Value Local Cur]])</f>
        <v>0</v>
      </c>
    </row>
    <row r="1573" spans="1:5" x14ac:dyDescent="0.25">
      <c r="A1573" s="36" t="b">
        <v>0</v>
      </c>
      <c r="B1573" s="56" t="b">
        <v>0</v>
      </c>
      <c r="C1573" s="56" t="b">
        <v>0</v>
      </c>
      <c r="D1573" s="56" t="b">
        <v>0</v>
      </c>
      <c r="E1573" s="56">
        <f ca="1">IF(PV[[#This Row],[Business Date]]=Control!$C$6, PV[[#This Row],[Notional Value Local Cur]], -PV[[#This Row],[Notional Value Local Cur]])</f>
        <v>0</v>
      </c>
    </row>
    <row r="1574" spans="1:5" x14ac:dyDescent="0.25">
      <c r="A1574" s="36" t="b">
        <v>0</v>
      </c>
      <c r="B1574" s="56" t="b">
        <v>0</v>
      </c>
      <c r="C1574" s="56" t="b">
        <v>0</v>
      </c>
      <c r="D1574" s="56" t="b">
        <v>0</v>
      </c>
      <c r="E1574" s="56">
        <f ca="1">IF(PV[[#This Row],[Business Date]]=Control!$C$6, PV[[#This Row],[Notional Value Local Cur]], -PV[[#This Row],[Notional Value Local Cur]])</f>
        <v>0</v>
      </c>
    </row>
    <row r="1575" spans="1:5" x14ac:dyDescent="0.25">
      <c r="A1575" s="36" t="b">
        <v>0</v>
      </c>
      <c r="B1575" s="56" t="b">
        <v>0</v>
      </c>
      <c r="C1575" s="56" t="b">
        <v>0</v>
      </c>
      <c r="D1575" s="56" t="b">
        <v>0</v>
      </c>
      <c r="E1575" s="56">
        <f ca="1">IF(PV[[#This Row],[Business Date]]=Control!$C$6, PV[[#This Row],[Notional Value Local Cur]], -PV[[#This Row],[Notional Value Local Cur]])</f>
        <v>0</v>
      </c>
    </row>
    <row r="1576" spans="1:5" x14ac:dyDescent="0.25">
      <c r="A1576" s="36" t="b">
        <v>0</v>
      </c>
      <c r="B1576" s="56" t="b">
        <v>0</v>
      </c>
      <c r="C1576" s="56" t="b">
        <v>0</v>
      </c>
      <c r="D1576" s="56" t="b">
        <v>0</v>
      </c>
      <c r="E1576" s="56">
        <f ca="1">IF(PV[[#This Row],[Business Date]]=Control!$C$6, PV[[#This Row],[Notional Value Local Cur]], -PV[[#This Row],[Notional Value Local Cur]])</f>
        <v>0</v>
      </c>
    </row>
    <row r="1577" spans="1:5" x14ac:dyDescent="0.25">
      <c r="A1577" s="36" t="b">
        <v>0</v>
      </c>
      <c r="B1577" s="56" t="b">
        <v>0</v>
      </c>
      <c r="C1577" s="56" t="b">
        <v>0</v>
      </c>
      <c r="D1577" s="56" t="b">
        <v>0</v>
      </c>
      <c r="E1577" s="56">
        <f ca="1">IF(PV[[#This Row],[Business Date]]=Control!$C$6, PV[[#This Row],[Notional Value Local Cur]], -PV[[#This Row],[Notional Value Local Cur]])</f>
        <v>0</v>
      </c>
    </row>
    <row r="1578" spans="1:5" x14ac:dyDescent="0.25">
      <c r="A1578" s="36" t="b">
        <v>0</v>
      </c>
      <c r="B1578" s="56" t="b">
        <v>0</v>
      </c>
      <c r="C1578" s="56" t="b">
        <v>0</v>
      </c>
      <c r="D1578" s="56" t="b">
        <v>0</v>
      </c>
      <c r="E1578" s="56">
        <f ca="1">IF(PV[[#This Row],[Business Date]]=Control!$C$6, PV[[#This Row],[Notional Value Local Cur]], -PV[[#This Row],[Notional Value Local Cur]])</f>
        <v>0</v>
      </c>
    </row>
    <row r="1579" spans="1:5" x14ac:dyDescent="0.25">
      <c r="A1579" s="36" t="b">
        <v>0</v>
      </c>
      <c r="B1579" s="56" t="b">
        <v>0</v>
      </c>
      <c r="C1579" s="56" t="b">
        <v>0</v>
      </c>
      <c r="D1579" s="56" t="b">
        <v>0</v>
      </c>
      <c r="E1579" s="56">
        <f ca="1">IF(PV[[#This Row],[Business Date]]=Control!$C$6, PV[[#This Row],[Notional Value Local Cur]], -PV[[#This Row],[Notional Value Local Cur]])</f>
        <v>0</v>
      </c>
    </row>
    <row r="1580" spans="1:5" x14ac:dyDescent="0.25">
      <c r="A1580" s="36" t="b">
        <v>0</v>
      </c>
      <c r="B1580" s="56" t="b">
        <v>0</v>
      </c>
      <c r="C1580" s="56" t="b">
        <v>0</v>
      </c>
      <c r="D1580" s="56" t="b">
        <v>0</v>
      </c>
      <c r="E1580" s="56">
        <f ca="1">IF(PV[[#This Row],[Business Date]]=Control!$C$6, PV[[#This Row],[Notional Value Local Cur]], -PV[[#This Row],[Notional Value Local Cur]])</f>
        <v>0</v>
      </c>
    </row>
    <row r="1581" spans="1:5" x14ac:dyDescent="0.25">
      <c r="A1581" s="36" t="b">
        <v>0</v>
      </c>
      <c r="B1581" s="56" t="b">
        <v>0</v>
      </c>
      <c r="C1581" s="56" t="b">
        <v>0</v>
      </c>
      <c r="D1581" s="56" t="b">
        <v>0</v>
      </c>
      <c r="E1581" s="56">
        <f ca="1">IF(PV[[#This Row],[Business Date]]=Control!$C$6, PV[[#This Row],[Notional Value Local Cur]], -PV[[#This Row],[Notional Value Local Cur]])</f>
        <v>0</v>
      </c>
    </row>
    <row r="1582" spans="1:5" x14ac:dyDescent="0.25">
      <c r="A1582" s="36" t="b">
        <v>0</v>
      </c>
      <c r="B1582" s="56" t="b">
        <v>0</v>
      </c>
      <c r="C1582" s="56" t="b">
        <v>0</v>
      </c>
      <c r="D1582" s="56" t="b">
        <v>0</v>
      </c>
      <c r="E1582" s="56">
        <f ca="1">IF(PV[[#This Row],[Business Date]]=Control!$C$6, PV[[#This Row],[Notional Value Local Cur]], -PV[[#This Row],[Notional Value Local Cur]])</f>
        <v>0</v>
      </c>
    </row>
    <row r="1583" spans="1:5" x14ac:dyDescent="0.25">
      <c r="A1583" s="36" t="b">
        <v>0</v>
      </c>
      <c r="B1583" s="56" t="b">
        <v>0</v>
      </c>
      <c r="C1583" s="56" t="b">
        <v>0</v>
      </c>
      <c r="D1583" s="56" t="b">
        <v>0</v>
      </c>
      <c r="E1583" s="56">
        <f ca="1">IF(PV[[#This Row],[Business Date]]=Control!$C$6, PV[[#This Row],[Notional Value Local Cur]], -PV[[#This Row],[Notional Value Local Cur]])</f>
        <v>0</v>
      </c>
    </row>
    <row r="1584" spans="1:5" x14ac:dyDescent="0.25">
      <c r="A1584" s="36" t="b">
        <v>0</v>
      </c>
      <c r="B1584" s="56" t="b">
        <v>0</v>
      </c>
      <c r="C1584" s="56" t="b">
        <v>0</v>
      </c>
      <c r="D1584" s="56" t="b">
        <v>0</v>
      </c>
      <c r="E1584" s="56">
        <f ca="1">IF(PV[[#This Row],[Business Date]]=Control!$C$6, PV[[#This Row],[Notional Value Local Cur]], -PV[[#This Row],[Notional Value Local Cur]])</f>
        <v>0</v>
      </c>
    </row>
    <row r="1585" spans="1:5" x14ac:dyDescent="0.25">
      <c r="A1585" s="36" t="b">
        <v>0</v>
      </c>
      <c r="B1585" s="56" t="b">
        <v>0</v>
      </c>
      <c r="C1585" s="56" t="b">
        <v>0</v>
      </c>
      <c r="D1585" s="56" t="b">
        <v>0</v>
      </c>
      <c r="E1585" s="56">
        <f ca="1">IF(PV[[#This Row],[Business Date]]=Control!$C$6, PV[[#This Row],[Notional Value Local Cur]], -PV[[#This Row],[Notional Value Local Cur]])</f>
        <v>0</v>
      </c>
    </row>
    <row r="1586" spans="1:5" x14ac:dyDescent="0.25">
      <c r="A1586" s="36" t="b">
        <v>0</v>
      </c>
      <c r="B1586" s="56" t="b">
        <v>0</v>
      </c>
      <c r="C1586" s="56" t="b">
        <v>0</v>
      </c>
      <c r="D1586" s="56" t="b">
        <v>0</v>
      </c>
      <c r="E1586" s="56">
        <f ca="1">IF(PV[[#This Row],[Business Date]]=Control!$C$6, PV[[#This Row],[Notional Value Local Cur]], -PV[[#This Row],[Notional Value Local Cur]])</f>
        <v>0</v>
      </c>
    </row>
    <row r="1587" spans="1:5" x14ac:dyDescent="0.25">
      <c r="A1587" s="36" t="b">
        <v>0</v>
      </c>
      <c r="B1587" s="56" t="b">
        <v>0</v>
      </c>
      <c r="C1587" s="56" t="b">
        <v>0</v>
      </c>
      <c r="D1587" s="56" t="b">
        <v>0</v>
      </c>
      <c r="E1587" s="56">
        <f ca="1">IF(PV[[#This Row],[Business Date]]=Control!$C$6, PV[[#This Row],[Notional Value Local Cur]], -PV[[#This Row],[Notional Value Local Cur]])</f>
        <v>0</v>
      </c>
    </row>
    <row r="1588" spans="1:5" x14ac:dyDescent="0.25">
      <c r="A1588" s="36" t="b">
        <v>0</v>
      </c>
      <c r="B1588" s="56" t="b">
        <v>0</v>
      </c>
      <c r="C1588" s="56" t="b">
        <v>0</v>
      </c>
      <c r="D1588" s="56" t="b">
        <v>0</v>
      </c>
      <c r="E1588" s="56">
        <f ca="1">IF(PV[[#This Row],[Business Date]]=Control!$C$6, PV[[#This Row],[Notional Value Local Cur]], -PV[[#This Row],[Notional Value Local Cur]])</f>
        <v>0</v>
      </c>
    </row>
    <row r="1589" spans="1:5" x14ac:dyDescent="0.25">
      <c r="A1589" s="36" t="b">
        <v>0</v>
      </c>
      <c r="B1589" s="56" t="b">
        <v>0</v>
      </c>
      <c r="C1589" s="56" t="b">
        <v>0</v>
      </c>
      <c r="D1589" s="56" t="b">
        <v>0</v>
      </c>
      <c r="E1589" s="56">
        <f ca="1">IF(PV[[#This Row],[Business Date]]=Control!$C$6, PV[[#This Row],[Notional Value Local Cur]], -PV[[#This Row],[Notional Value Local Cur]])</f>
        <v>0</v>
      </c>
    </row>
    <row r="1590" spans="1:5" x14ac:dyDescent="0.25">
      <c r="A1590" s="36" t="b">
        <v>0</v>
      </c>
      <c r="B1590" s="56" t="b">
        <v>0</v>
      </c>
      <c r="C1590" s="56" t="b">
        <v>0</v>
      </c>
      <c r="D1590" s="56" t="b">
        <v>0</v>
      </c>
      <c r="E1590" s="56">
        <f ca="1">IF(PV[[#This Row],[Business Date]]=Control!$C$6, PV[[#This Row],[Notional Value Local Cur]], -PV[[#This Row],[Notional Value Local Cur]])</f>
        <v>0</v>
      </c>
    </row>
    <row r="1591" spans="1:5" x14ac:dyDescent="0.25">
      <c r="A1591" s="36" t="b">
        <v>0</v>
      </c>
      <c r="B1591" s="56" t="b">
        <v>0</v>
      </c>
      <c r="C1591" s="56" t="b">
        <v>0</v>
      </c>
      <c r="D1591" s="56" t="b">
        <v>0</v>
      </c>
      <c r="E1591" s="56">
        <f ca="1">IF(PV[[#This Row],[Business Date]]=Control!$C$6, PV[[#This Row],[Notional Value Local Cur]], -PV[[#This Row],[Notional Value Local Cur]])</f>
        <v>0</v>
      </c>
    </row>
    <row r="1592" spans="1:5" x14ac:dyDescent="0.25">
      <c r="A1592" s="36" t="b">
        <v>0</v>
      </c>
      <c r="B1592" s="56" t="b">
        <v>0</v>
      </c>
      <c r="C1592" s="56" t="b">
        <v>0</v>
      </c>
      <c r="D1592" s="56" t="b">
        <v>0</v>
      </c>
      <c r="E1592" s="56">
        <f ca="1">IF(PV[[#This Row],[Business Date]]=Control!$C$6, PV[[#This Row],[Notional Value Local Cur]], -PV[[#This Row],[Notional Value Local Cur]])</f>
        <v>0</v>
      </c>
    </row>
    <row r="1593" spans="1:5" x14ac:dyDescent="0.25">
      <c r="A1593" s="36" t="b">
        <v>0</v>
      </c>
      <c r="B1593" s="56" t="b">
        <v>0</v>
      </c>
      <c r="C1593" s="56" t="b">
        <v>0</v>
      </c>
      <c r="D1593" s="56" t="b">
        <v>0</v>
      </c>
      <c r="E1593" s="56">
        <f ca="1">IF(PV[[#This Row],[Business Date]]=Control!$C$6, PV[[#This Row],[Notional Value Local Cur]], -PV[[#This Row],[Notional Value Local Cur]])</f>
        <v>0</v>
      </c>
    </row>
    <row r="1594" spans="1:5" x14ac:dyDescent="0.25">
      <c r="A1594" s="36" t="b">
        <v>0</v>
      </c>
      <c r="B1594" s="56" t="b">
        <v>0</v>
      </c>
      <c r="C1594" s="56" t="b">
        <v>0</v>
      </c>
      <c r="D1594" s="56" t="b">
        <v>0</v>
      </c>
      <c r="E1594" s="56">
        <f ca="1">IF(PV[[#This Row],[Business Date]]=Control!$C$6, PV[[#This Row],[Notional Value Local Cur]], -PV[[#This Row],[Notional Value Local Cur]])</f>
        <v>0</v>
      </c>
    </row>
    <row r="1595" spans="1:5" x14ac:dyDescent="0.25">
      <c r="A1595" s="36" t="b">
        <v>0</v>
      </c>
      <c r="B1595" s="56" t="b">
        <v>0</v>
      </c>
      <c r="C1595" s="56" t="b">
        <v>0</v>
      </c>
      <c r="D1595" s="56" t="b">
        <v>0</v>
      </c>
      <c r="E1595" s="56">
        <f ca="1">IF(PV[[#This Row],[Business Date]]=Control!$C$6, PV[[#This Row],[Notional Value Local Cur]], -PV[[#This Row],[Notional Value Local Cur]])</f>
        <v>0</v>
      </c>
    </row>
    <row r="1596" spans="1:5" x14ac:dyDescent="0.25">
      <c r="A1596" s="36" t="b">
        <v>0</v>
      </c>
      <c r="B1596" s="56" t="b">
        <v>0</v>
      </c>
      <c r="C1596" s="56" t="b">
        <v>0</v>
      </c>
      <c r="D1596" s="56" t="b">
        <v>0</v>
      </c>
      <c r="E1596" s="56">
        <f ca="1">IF(PV[[#This Row],[Business Date]]=Control!$C$6, PV[[#This Row],[Notional Value Local Cur]], -PV[[#This Row],[Notional Value Local Cur]])</f>
        <v>0</v>
      </c>
    </row>
    <row r="1597" spans="1:5" x14ac:dyDescent="0.25">
      <c r="A1597" s="36" t="b">
        <v>0</v>
      </c>
      <c r="B1597" s="56" t="b">
        <v>0</v>
      </c>
      <c r="C1597" s="56" t="b">
        <v>0</v>
      </c>
      <c r="D1597" s="56" t="b">
        <v>0</v>
      </c>
      <c r="E1597" s="56">
        <f ca="1">IF(PV[[#This Row],[Business Date]]=Control!$C$6, PV[[#This Row],[Notional Value Local Cur]], -PV[[#This Row],[Notional Value Local Cur]])</f>
        <v>0</v>
      </c>
    </row>
    <row r="1598" spans="1:5" x14ac:dyDescent="0.25">
      <c r="A1598" s="36" t="b">
        <v>0</v>
      </c>
      <c r="B1598" s="56" t="b">
        <v>0</v>
      </c>
      <c r="C1598" s="56" t="b">
        <v>0</v>
      </c>
      <c r="D1598" s="56" t="b">
        <v>0</v>
      </c>
      <c r="E1598" s="56">
        <f ca="1">IF(PV[[#This Row],[Business Date]]=Control!$C$6, PV[[#This Row],[Notional Value Local Cur]], -PV[[#This Row],[Notional Value Local Cur]])</f>
        <v>0</v>
      </c>
    </row>
    <row r="1599" spans="1:5" x14ac:dyDescent="0.25">
      <c r="A1599" s="36" t="b">
        <v>0</v>
      </c>
      <c r="B1599" s="56" t="b">
        <v>0</v>
      </c>
      <c r="C1599" s="56" t="b">
        <v>0</v>
      </c>
      <c r="D1599" s="56" t="b">
        <v>0</v>
      </c>
      <c r="E1599" s="56">
        <f ca="1">IF(PV[[#This Row],[Business Date]]=Control!$C$6, PV[[#This Row],[Notional Value Local Cur]], -PV[[#This Row],[Notional Value Local Cur]])</f>
        <v>0</v>
      </c>
    </row>
    <row r="1600" spans="1:5" x14ac:dyDescent="0.25">
      <c r="A1600" s="36" t="b">
        <v>0</v>
      </c>
      <c r="B1600" s="56" t="b">
        <v>0</v>
      </c>
      <c r="C1600" s="56" t="b">
        <v>0</v>
      </c>
      <c r="D1600" s="56" t="b">
        <v>0</v>
      </c>
      <c r="E1600" s="56">
        <f ca="1">IF(PV[[#This Row],[Business Date]]=Control!$C$6, PV[[#This Row],[Notional Value Local Cur]], -PV[[#This Row],[Notional Value Local Cur]])</f>
        <v>0</v>
      </c>
    </row>
    <row r="1601" spans="1:5" x14ac:dyDescent="0.25">
      <c r="A1601" s="36" t="b">
        <v>0</v>
      </c>
      <c r="B1601" s="56" t="b">
        <v>0</v>
      </c>
      <c r="C1601" s="56" t="b">
        <v>0</v>
      </c>
      <c r="D1601" s="56" t="b">
        <v>0</v>
      </c>
      <c r="E1601" s="56">
        <f ca="1">IF(PV[[#This Row],[Business Date]]=Control!$C$6, PV[[#This Row],[Notional Value Local Cur]], -PV[[#This Row],[Notional Value Local Cur]])</f>
        <v>0</v>
      </c>
    </row>
    <row r="1602" spans="1:5" x14ac:dyDescent="0.25">
      <c r="A1602" s="36" t="b">
        <v>0</v>
      </c>
      <c r="B1602" s="56" t="b">
        <v>0</v>
      </c>
      <c r="C1602" s="56" t="b">
        <v>0</v>
      </c>
      <c r="D1602" s="56" t="b">
        <v>0</v>
      </c>
      <c r="E1602" s="56">
        <f ca="1">IF(PV[[#This Row],[Business Date]]=Control!$C$6, PV[[#This Row],[Notional Value Local Cur]], -PV[[#This Row],[Notional Value Local Cur]])</f>
        <v>0</v>
      </c>
    </row>
    <row r="1603" spans="1:5" x14ac:dyDescent="0.25">
      <c r="A1603" s="36" t="b">
        <v>0</v>
      </c>
      <c r="B1603" s="56" t="b">
        <v>0</v>
      </c>
      <c r="C1603" s="56" t="b">
        <v>0</v>
      </c>
      <c r="D1603" s="56" t="b">
        <v>0</v>
      </c>
      <c r="E1603" s="56">
        <f ca="1">IF(PV[[#This Row],[Business Date]]=Control!$C$6, PV[[#This Row],[Notional Value Local Cur]], -PV[[#This Row],[Notional Value Local Cur]])</f>
        <v>0</v>
      </c>
    </row>
    <row r="1604" spans="1:5" x14ac:dyDescent="0.25">
      <c r="A1604" s="36" t="b">
        <v>0</v>
      </c>
      <c r="B1604" s="56" t="b">
        <v>0</v>
      </c>
      <c r="C1604" s="56" t="b">
        <v>0</v>
      </c>
      <c r="D1604" s="56" t="b">
        <v>0</v>
      </c>
      <c r="E1604" s="56">
        <f ca="1">IF(PV[[#This Row],[Business Date]]=Control!$C$6, PV[[#This Row],[Notional Value Local Cur]], -PV[[#This Row],[Notional Value Local Cur]])</f>
        <v>0</v>
      </c>
    </row>
    <row r="1605" spans="1:5" x14ac:dyDescent="0.25">
      <c r="A1605" s="36" t="b">
        <v>0</v>
      </c>
      <c r="B1605" s="56" t="b">
        <v>0</v>
      </c>
      <c r="C1605" s="56" t="b">
        <v>0</v>
      </c>
      <c r="D1605" s="56" t="b">
        <v>0</v>
      </c>
      <c r="E1605" s="56">
        <f ca="1">IF(PV[[#This Row],[Business Date]]=Control!$C$6, PV[[#This Row],[Notional Value Local Cur]], -PV[[#This Row],[Notional Value Local Cur]])</f>
        <v>0</v>
      </c>
    </row>
    <row r="1606" spans="1:5" x14ac:dyDescent="0.25">
      <c r="A1606" s="36" t="b">
        <v>0</v>
      </c>
      <c r="B1606" s="56" t="b">
        <v>0</v>
      </c>
      <c r="C1606" s="56" t="b">
        <v>0</v>
      </c>
      <c r="D1606" s="56" t="b">
        <v>0</v>
      </c>
      <c r="E1606" s="56">
        <f ca="1">IF(PV[[#This Row],[Business Date]]=Control!$C$6, PV[[#This Row],[Notional Value Local Cur]], -PV[[#This Row],[Notional Value Local Cur]])</f>
        <v>0</v>
      </c>
    </row>
    <row r="1607" spans="1:5" x14ac:dyDescent="0.25">
      <c r="A1607" s="36" t="b">
        <v>0</v>
      </c>
      <c r="B1607" s="56" t="b">
        <v>0</v>
      </c>
      <c r="C1607" s="56" t="b">
        <v>0</v>
      </c>
      <c r="D1607" s="56" t="b">
        <v>0</v>
      </c>
      <c r="E1607" s="56">
        <f ca="1">IF(PV[[#This Row],[Business Date]]=Control!$C$6, PV[[#This Row],[Notional Value Local Cur]], -PV[[#This Row],[Notional Value Local Cur]])</f>
        <v>0</v>
      </c>
    </row>
    <row r="1608" spans="1:5" x14ac:dyDescent="0.25">
      <c r="A1608" s="36" t="b">
        <v>0</v>
      </c>
      <c r="B1608" s="56" t="b">
        <v>0</v>
      </c>
      <c r="C1608" s="56" t="b">
        <v>0</v>
      </c>
      <c r="D1608" s="56" t="b">
        <v>0</v>
      </c>
      <c r="E1608" s="56">
        <f ca="1">IF(PV[[#This Row],[Business Date]]=Control!$C$6, PV[[#This Row],[Notional Value Local Cur]], -PV[[#This Row],[Notional Value Local Cur]])</f>
        <v>0</v>
      </c>
    </row>
    <row r="1609" spans="1:5" x14ac:dyDescent="0.25">
      <c r="A1609" s="36" t="b">
        <v>0</v>
      </c>
      <c r="B1609" s="56" t="b">
        <v>0</v>
      </c>
      <c r="C1609" s="56" t="b">
        <v>0</v>
      </c>
      <c r="D1609" s="56" t="b">
        <v>0</v>
      </c>
      <c r="E1609" s="56">
        <f ca="1">IF(PV[[#This Row],[Business Date]]=Control!$C$6, PV[[#This Row],[Notional Value Local Cur]], -PV[[#This Row],[Notional Value Local Cur]])</f>
        <v>0</v>
      </c>
    </row>
    <row r="1610" spans="1:5" x14ac:dyDescent="0.25">
      <c r="A1610" s="36" t="b">
        <v>0</v>
      </c>
      <c r="B1610" s="56" t="b">
        <v>0</v>
      </c>
      <c r="C1610" s="56" t="b">
        <v>0</v>
      </c>
      <c r="D1610" s="56" t="b">
        <v>0</v>
      </c>
      <c r="E1610" s="56">
        <f ca="1">IF(PV[[#This Row],[Business Date]]=Control!$C$6, PV[[#This Row],[Notional Value Local Cur]], -PV[[#This Row],[Notional Value Local Cur]])</f>
        <v>0</v>
      </c>
    </row>
    <row r="1611" spans="1:5" x14ac:dyDescent="0.25">
      <c r="A1611" s="36" t="b">
        <v>0</v>
      </c>
      <c r="B1611" s="56" t="b">
        <v>0</v>
      </c>
      <c r="C1611" s="56" t="b">
        <v>0</v>
      </c>
      <c r="D1611" s="56" t="b">
        <v>0</v>
      </c>
      <c r="E1611" s="56">
        <f ca="1">IF(PV[[#This Row],[Business Date]]=Control!$C$6, PV[[#This Row],[Notional Value Local Cur]], -PV[[#This Row],[Notional Value Local Cur]])</f>
        <v>0</v>
      </c>
    </row>
    <row r="1612" spans="1:5" x14ac:dyDescent="0.25">
      <c r="A1612" s="36" t="b">
        <v>0</v>
      </c>
      <c r="B1612" s="56" t="b">
        <v>0</v>
      </c>
      <c r="C1612" s="56" t="b">
        <v>0</v>
      </c>
      <c r="D1612" s="56" t="b">
        <v>0</v>
      </c>
      <c r="E1612" s="56">
        <f ca="1">IF(PV[[#This Row],[Business Date]]=Control!$C$6, PV[[#This Row],[Notional Value Local Cur]], -PV[[#This Row],[Notional Value Local Cur]])</f>
        <v>0</v>
      </c>
    </row>
    <row r="1613" spans="1:5" x14ac:dyDescent="0.25">
      <c r="A1613" s="36" t="b">
        <v>0</v>
      </c>
      <c r="B1613" s="56" t="b">
        <v>0</v>
      </c>
      <c r="C1613" s="56" t="b">
        <v>0</v>
      </c>
      <c r="D1613" s="56" t="b">
        <v>0</v>
      </c>
      <c r="E1613" s="56">
        <f ca="1">IF(PV[[#This Row],[Business Date]]=Control!$C$6, PV[[#This Row],[Notional Value Local Cur]], -PV[[#This Row],[Notional Value Local Cur]])</f>
        <v>0</v>
      </c>
    </row>
    <row r="1614" spans="1:5" x14ac:dyDescent="0.25">
      <c r="A1614" s="36" t="b">
        <v>0</v>
      </c>
      <c r="B1614" s="56" t="b">
        <v>0</v>
      </c>
      <c r="C1614" s="56" t="b">
        <v>0</v>
      </c>
      <c r="D1614" s="56" t="b">
        <v>0</v>
      </c>
      <c r="E1614" s="56">
        <f ca="1">IF(PV[[#This Row],[Business Date]]=Control!$C$6, PV[[#This Row],[Notional Value Local Cur]], -PV[[#This Row],[Notional Value Local Cur]])</f>
        <v>0</v>
      </c>
    </row>
    <row r="1615" spans="1:5" x14ac:dyDescent="0.25">
      <c r="A1615" s="36" t="b">
        <v>0</v>
      </c>
      <c r="B1615" s="56" t="b">
        <v>0</v>
      </c>
      <c r="C1615" s="56" t="b">
        <v>0</v>
      </c>
      <c r="D1615" s="56" t="b">
        <v>0</v>
      </c>
      <c r="E1615" s="56">
        <f ca="1">IF(PV[[#This Row],[Business Date]]=Control!$C$6, PV[[#This Row],[Notional Value Local Cur]], -PV[[#This Row],[Notional Value Local Cur]])</f>
        <v>0</v>
      </c>
    </row>
    <row r="1616" spans="1:5" x14ac:dyDescent="0.25">
      <c r="A1616" s="36" t="b">
        <v>0</v>
      </c>
      <c r="B1616" s="56" t="b">
        <v>0</v>
      </c>
      <c r="C1616" s="56" t="b">
        <v>0</v>
      </c>
      <c r="D1616" s="56" t="b">
        <v>0</v>
      </c>
      <c r="E1616" s="56">
        <f ca="1">IF(PV[[#This Row],[Business Date]]=Control!$C$6, PV[[#This Row],[Notional Value Local Cur]], -PV[[#This Row],[Notional Value Local Cur]])</f>
        <v>0</v>
      </c>
    </row>
    <row r="1617" spans="1:5" x14ac:dyDescent="0.25">
      <c r="A1617" s="36" t="b">
        <v>0</v>
      </c>
      <c r="B1617" s="56" t="b">
        <v>0</v>
      </c>
      <c r="C1617" s="56" t="b">
        <v>0</v>
      </c>
      <c r="D1617" s="56" t="b">
        <v>0</v>
      </c>
      <c r="E1617" s="56">
        <f ca="1">IF(PV[[#This Row],[Business Date]]=Control!$C$6, PV[[#This Row],[Notional Value Local Cur]], -PV[[#This Row],[Notional Value Local Cur]])</f>
        <v>0</v>
      </c>
    </row>
    <row r="1618" spans="1:5" x14ac:dyDescent="0.25">
      <c r="A1618" s="36" t="b">
        <v>0</v>
      </c>
      <c r="B1618" s="56" t="b">
        <v>0</v>
      </c>
      <c r="C1618" s="56" t="b">
        <v>0</v>
      </c>
      <c r="D1618" s="56" t="b">
        <v>0</v>
      </c>
      <c r="E1618" s="56">
        <f ca="1">IF(PV[[#This Row],[Business Date]]=Control!$C$6, PV[[#This Row],[Notional Value Local Cur]], -PV[[#This Row],[Notional Value Local Cur]])</f>
        <v>0</v>
      </c>
    </row>
    <row r="1619" spans="1:5" x14ac:dyDescent="0.25">
      <c r="A1619" s="36" t="b">
        <v>0</v>
      </c>
      <c r="B1619" s="56" t="b">
        <v>0</v>
      </c>
      <c r="C1619" s="56" t="b">
        <v>0</v>
      </c>
      <c r="D1619" s="56" t="b">
        <v>0</v>
      </c>
      <c r="E1619" s="56">
        <f ca="1">IF(PV[[#This Row],[Business Date]]=Control!$C$6, PV[[#This Row],[Notional Value Local Cur]], -PV[[#This Row],[Notional Value Local Cur]])</f>
        <v>0</v>
      </c>
    </row>
    <row r="1620" spans="1:5" x14ac:dyDescent="0.25">
      <c r="A1620" s="36" t="b">
        <v>0</v>
      </c>
      <c r="B1620" s="56" t="b">
        <v>0</v>
      </c>
      <c r="C1620" s="56" t="b">
        <v>0</v>
      </c>
      <c r="D1620" s="56" t="b">
        <v>0</v>
      </c>
      <c r="E1620" s="56">
        <f ca="1">IF(PV[[#This Row],[Business Date]]=Control!$C$6, PV[[#This Row],[Notional Value Local Cur]], -PV[[#This Row],[Notional Value Local Cur]])</f>
        <v>0</v>
      </c>
    </row>
    <row r="1621" spans="1:5" x14ac:dyDescent="0.25">
      <c r="A1621" s="36" t="b">
        <v>0</v>
      </c>
      <c r="B1621" s="56" t="b">
        <v>0</v>
      </c>
      <c r="C1621" s="56" t="b">
        <v>0</v>
      </c>
      <c r="D1621" s="56" t="b">
        <v>0</v>
      </c>
      <c r="E1621" s="56">
        <f ca="1">IF(PV[[#This Row],[Business Date]]=Control!$C$6, PV[[#This Row],[Notional Value Local Cur]], -PV[[#This Row],[Notional Value Local Cur]])</f>
        <v>0</v>
      </c>
    </row>
    <row r="1622" spans="1:5" x14ac:dyDescent="0.25">
      <c r="A1622" s="36" t="b">
        <v>0</v>
      </c>
      <c r="B1622" s="56" t="b">
        <v>0</v>
      </c>
      <c r="C1622" s="56" t="b">
        <v>0</v>
      </c>
      <c r="D1622" s="56" t="b">
        <v>0</v>
      </c>
      <c r="E1622" s="56">
        <f ca="1">IF(PV[[#This Row],[Business Date]]=Control!$C$6, PV[[#This Row],[Notional Value Local Cur]], -PV[[#This Row],[Notional Value Local Cur]])</f>
        <v>0</v>
      </c>
    </row>
    <row r="1623" spans="1:5" x14ac:dyDescent="0.25">
      <c r="A1623" s="36" t="b">
        <v>0</v>
      </c>
      <c r="B1623" s="56" t="b">
        <v>0</v>
      </c>
      <c r="C1623" s="56" t="b">
        <v>0</v>
      </c>
      <c r="D1623" s="56" t="b">
        <v>0</v>
      </c>
      <c r="E1623" s="56">
        <f ca="1">IF(PV[[#This Row],[Business Date]]=Control!$C$6, PV[[#This Row],[Notional Value Local Cur]], -PV[[#This Row],[Notional Value Local Cur]])</f>
        <v>0</v>
      </c>
    </row>
    <row r="1624" spans="1:5" x14ac:dyDescent="0.25">
      <c r="A1624" s="36" t="b">
        <v>0</v>
      </c>
      <c r="B1624" s="56" t="b">
        <v>0</v>
      </c>
      <c r="C1624" s="56" t="b">
        <v>0</v>
      </c>
      <c r="D1624" s="56" t="b">
        <v>0</v>
      </c>
      <c r="E1624" s="56">
        <f ca="1">IF(PV[[#This Row],[Business Date]]=Control!$C$6, PV[[#This Row],[Notional Value Local Cur]], -PV[[#This Row],[Notional Value Local Cur]])</f>
        <v>0</v>
      </c>
    </row>
    <row r="1625" spans="1:5" x14ac:dyDescent="0.25">
      <c r="A1625" s="36" t="b">
        <v>0</v>
      </c>
      <c r="B1625" s="56" t="b">
        <v>0</v>
      </c>
      <c r="C1625" s="56" t="b">
        <v>0</v>
      </c>
      <c r="D1625" s="56" t="b">
        <v>0</v>
      </c>
      <c r="E1625" s="56">
        <f ca="1">IF(PV[[#This Row],[Business Date]]=Control!$C$6, PV[[#This Row],[Notional Value Local Cur]], -PV[[#This Row],[Notional Value Local Cur]])</f>
        <v>0</v>
      </c>
    </row>
    <row r="1626" spans="1:5" x14ac:dyDescent="0.25">
      <c r="A1626" s="36" t="b">
        <v>0</v>
      </c>
      <c r="B1626" s="56" t="b">
        <v>0</v>
      </c>
      <c r="C1626" s="56" t="b">
        <v>0</v>
      </c>
      <c r="D1626" s="56" t="b">
        <v>0</v>
      </c>
      <c r="E1626" s="56">
        <f ca="1">IF(PV[[#This Row],[Business Date]]=Control!$C$6, PV[[#This Row],[Notional Value Local Cur]], -PV[[#This Row],[Notional Value Local Cur]])</f>
        <v>0</v>
      </c>
    </row>
    <row r="1627" spans="1:5" x14ac:dyDescent="0.25">
      <c r="A1627" s="36" t="b">
        <v>0</v>
      </c>
      <c r="B1627" s="56" t="b">
        <v>0</v>
      </c>
      <c r="C1627" s="56" t="b">
        <v>0</v>
      </c>
      <c r="D1627" s="56" t="b">
        <v>0</v>
      </c>
      <c r="E1627" s="56">
        <f ca="1">IF(PV[[#This Row],[Business Date]]=Control!$C$6, PV[[#This Row],[Notional Value Local Cur]], -PV[[#This Row],[Notional Value Local Cur]])</f>
        <v>0</v>
      </c>
    </row>
    <row r="1628" spans="1:5" x14ac:dyDescent="0.25">
      <c r="A1628" s="36" t="b">
        <v>0</v>
      </c>
      <c r="B1628" s="56" t="b">
        <v>0</v>
      </c>
      <c r="C1628" s="56" t="b">
        <v>0</v>
      </c>
      <c r="D1628" s="56" t="b">
        <v>0</v>
      </c>
      <c r="E1628" s="56">
        <f ca="1">IF(PV[[#This Row],[Business Date]]=Control!$C$6, PV[[#This Row],[Notional Value Local Cur]], -PV[[#This Row],[Notional Value Local Cur]])</f>
        <v>0</v>
      </c>
    </row>
    <row r="1629" spans="1:5" x14ac:dyDescent="0.25">
      <c r="A1629" s="36" t="b">
        <v>0</v>
      </c>
      <c r="B1629" s="56" t="b">
        <v>0</v>
      </c>
      <c r="C1629" s="56" t="b">
        <v>0</v>
      </c>
      <c r="D1629" s="56" t="b">
        <v>0</v>
      </c>
      <c r="E1629" s="56">
        <f ca="1">IF(PV[[#This Row],[Business Date]]=Control!$C$6, PV[[#This Row],[Notional Value Local Cur]], -PV[[#This Row],[Notional Value Local Cur]])</f>
        <v>0</v>
      </c>
    </row>
    <row r="1630" spans="1:5" x14ac:dyDescent="0.25">
      <c r="A1630" s="36" t="b">
        <v>0</v>
      </c>
      <c r="B1630" s="56" t="b">
        <v>0</v>
      </c>
      <c r="C1630" s="56" t="b">
        <v>0</v>
      </c>
      <c r="D1630" s="56" t="b">
        <v>0</v>
      </c>
      <c r="E1630" s="56">
        <f ca="1">IF(PV[[#This Row],[Business Date]]=Control!$C$6, PV[[#This Row],[Notional Value Local Cur]], -PV[[#This Row],[Notional Value Local Cur]])</f>
        <v>0</v>
      </c>
    </row>
    <row r="1631" spans="1:5" x14ac:dyDescent="0.25">
      <c r="A1631" s="36" t="b">
        <v>0</v>
      </c>
      <c r="B1631" s="56" t="b">
        <v>0</v>
      </c>
      <c r="C1631" s="56" t="b">
        <v>0</v>
      </c>
      <c r="D1631" s="56" t="b">
        <v>0</v>
      </c>
      <c r="E1631" s="56">
        <f ca="1">IF(PV[[#This Row],[Business Date]]=Control!$C$6, PV[[#This Row],[Notional Value Local Cur]], -PV[[#This Row],[Notional Value Local Cur]])</f>
        <v>0</v>
      </c>
    </row>
    <row r="1632" spans="1:5" x14ac:dyDescent="0.25">
      <c r="A1632" s="36" t="b">
        <v>0</v>
      </c>
      <c r="B1632" s="56" t="b">
        <v>0</v>
      </c>
      <c r="C1632" s="56" t="b">
        <v>0</v>
      </c>
      <c r="D1632" s="56" t="b">
        <v>0</v>
      </c>
      <c r="E1632" s="56">
        <f ca="1">IF(PV[[#This Row],[Business Date]]=Control!$C$6, PV[[#This Row],[Notional Value Local Cur]], -PV[[#This Row],[Notional Value Local Cur]])</f>
        <v>0</v>
      </c>
    </row>
    <row r="1633" spans="1:5" x14ac:dyDescent="0.25">
      <c r="A1633" s="36" t="b">
        <v>0</v>
      </c>
      <c r="B1633" s="56" t="b">
        <v>0</v>
      </c>
      <c r="C1633" s="56" t="b">
        <v>0</v>
      </c>
      <c r="D1633" s="56" t="b">
        <v>0</v>
      </c>
      <c r="E1633" s="56">
        <f ca="1">IF(PV[[#This Row],[Business Date]]=Control!$C$6, PV[[#This Row],[Notional Value Local Cur]], -PV[[#This Row],[Notional Value Local Cur]])</f>
        <v>0</v>
      </c>
    </row>
    <row r="1634" spans="1:5" x14ac:dyDescent="0.25">
      <c r="A1634" s="36" t="b">
        <v>0</v>
      </c>
      <c r="B1634" s="56" t="b">
        <v>0</v>
      </c>
      <c r="C1634" s="56" t="b">
        <v>0</v>
      </c>
      <c r="D1634" s="56" t="b">
        <v>0</v>
      </c>
      <c r="E1634" s="56">
        <f ca="1">IF(PV[[#This Row],[Business Date]]=Control!$C$6, PV[[#This Row],[Notional Value Local Cur]], -PV[[#This Row],[Notional Value Local Cur]])</f>
        <v>0</v>
      </c>
    </row>
    <row r="1635" spans="1:5" x14ac:dyDescent="0.25">
      <c r="A1635" s="36" t="b">
        <v>0</v>
      </c>
      <c r="B1635" s="56" t="b">
        <v>0</v>
      </c>
      <c r="C1635" s="56" t="b">
        <v>0</v>
      </c>
      <c r="D1635" s="56" t="b">
        <v>0</v>
      </c>
      <c r="E1635" s="56">
        <f ca="1">IF(PV[[#This Row],[Business Date]]=Control!$C$6, PV[[#This Row],[Notional Value Local Cur]], -PV[[#This Row],[Notional Value Local Cur]])</f>
        <v>0</v>
      </c>
    </row>
    <row r="1636" spans="1:5" x14ac:dyDescent="0.25">
      <c r="A1636" s="36" t="b">
        <v>0</v>
      </c>
      <c r="B1636" s="56" t="b">
        <v>0</v>
      </c>
      <c r="C1636" s="56" t="b">
        <v>0</v>
      </c>
      <c r="D1636" s="56" t="b">
        <v>0</v>
      </c>
      <c r="E1636" s="56">
        <f ca="1">IF(PV[[#This Row],[Business Date]]=Control!$C$6, PV[[#This Row],[Notional Value Local Cur]], -PV[[#This Row],[Notional Value Local Cur]])</f>
        <v>0</v>
      </c>
    </row>
    <row r="1637" spans="1:5" x14ac:dyDescent="0.25">
      <c r="A1637" s="36" t="b">
        <v>0</v>
      </c>
      <c r="B1637" s="56" t="b">
        <v>0</v>
      </c>
      <c r="C1637" s="56" t="b">
        <v>0</v>
      </c>
      <c r="D1637" s="56" t="b">
        <v>0</v>
      </c>
      <c r="E1637" s="56">
        <f ca="1">IF(PV[[#This Row],[Business Date]]=Control!$C$6, PV[[#This Row],[Notional Value Local Cur]], -PV[[#This Row],[Notional Value Local Cur]])</f>
        <v>0</v>
      </c>
    </row>
    <row r="1638" spans="1:5" x14ac:dyDescent="0.25">
      <c r="A1638" s="36" t="b">
        <v>0</v>
      </c>
      <c r="B1638" s="56" t="b">
        <v>0</v>
      </c>
      <c r="C1638" s="56" t="b">
        <v>0</v>
      </c>
      <c r="D1638" s="56" t="b">
        <v>0</v>
      </c>
      <c r="E1638" s="56">
        <f ca="1">IF(PV[[#This Row],[Business Date]]=Control!$C$6, PV[[#This Row],[Notional Value Local Cur]], -PV[[#This Row],[Notional Value Local Cur]])</f>
        <v>0</v>
      </c>
    </row>
    <row r="1639" spans="1:5" x14ac:dyDescent="0.25">
      <c r="A1639" s="36" t="b">
        <v>0</v>
      </c>
      <c r="B1639" s="56" t="b">
        <v>0</v>
      </c>
      <c r="C1639" s="56" t="b">
        <v>0</v>
      </c>
      <c r="D1639" s="56" t="b">
        <v>0</v>
      </c>
      <c r="E1639" s="56">
        <f ca="1">IF(PV[[#This Row],[Business Date]]=Control!$C$6, PV[[#This Row],[Notional Value Local Cur]], -PV[[#This Row],[Notional Value Local Cur]])</f>
        <v>0</v>
      </c>
    </row>
    <row r="1640" spans="1:5" x14ac:dyDescent="0.25">
      <c r="A1640" s="36" t="b">
        <v>0</v>
      </c>
      <c r="B1640" s="56" t="b">
        <v>0</v>
      </c>
      <c r="C1640" s="56" t="b">
        <v>0</v>
      </c>
      <c r="D1640" s="56" t="b">
        <v>0</v>
      </c>
      <c r="E1640" s="56">
        <f ca="1">IF(PV[[#This Row],[Business Date]]=Control!$C$6, PV[[#This Row],[Notional Value Local Cur]], -PV[[#This Row],[Notional Value Local Cur]])</f>
        <v>0</v>
      </c>
    </row>
    <row r="1641" spans="1:5" x14ac:dyDescent="0.25">
      <c r="A1641" s="36" t="b">
        <v>0</v>
      </c>
      <c r="B1641" s="56" t="b">
        <v>0</v>
      </c>
      <c r="C1641" s="56" t="b">
        <v>0</v>
      </c>
      <c r="D1641" s="56" t="b">
        <v>0</v>
      </c>
      <c r="E1641" s="56">
        <f ca="1">IF(PV[[#This Row],[Business Date]]=Control!$C$6, PV[[#This Row],[Notional Value Local Cur]], -PV[[#This Row],[Notional Value Local Cur]])</f>
        <v>0</v>
      </c>
    </row>
    <row r="1642" spans="1:5" x14ac:dyDescent="0.25">
      <c r="A1642" s="36" t="b">
        <v>0</v>
      </c>
      <c r="B1642" s="56" t="b">
        <v>0</v>
      </c>
      <c r="C1642" s="56" t="b">
        <v>0</v>
      </c>
      <c r="D1642" s="56" t="b">
        <v>0</v>
      </c>
      <c r="E1642" s="56">
        <f ca="1">IF(PV[[#This Row],[Business Date]]=Control!$C$6, PV[[#This Row],[Notional Value Local Cur]], -PV[[#This Row],[Notional Value Local Cur]])</f>
        <v>0</v>
      </c>
    </row>
    <row r="1643" spans="1:5" x14ac:dyDescent="0.25">
      <c r="A1643" s="36" t="b">
        <v>0</v>
      </c>
      <c r="B1643" s="56" t="b">
        <v>0</v>
      </c>
      <c r="C1643" s="56" t="b">
        <v>0</v>
      </c>
      <c r="D1643" s="56" t="b">
        <v>0</v>
      </c>
      <c r="E1643" s="56">
        <f ca="1">IF(PV[[#This Row],[Business Date]]=Control!$C$6, PV[[#This Row],[Notional Value Local Cur]], -PV[[#This Row],[Notional Value Local Cur]])</f>
        <v>0</v>
      </c>
    </row>
    <row r="1644" spans="1:5" x14ac:dyDescent="0.25">
      <c r="A1644" s="36" t="b">
        <v>0</v>
      </c>
      <c r="B1644" s="56" t="b">
        <v>0</v>
      </c>
      <c r="C1644" s="56" t="b">
        <v>0</v>
      </c>
      <c r="D1644" s="56" t="b">
        <v>0</v>
      </c>
      <c r="E1644" s="56">
        <f ca="1">IF(PV[[#This Row],[Business Date]]=Control!$C$6, PV[[#This Row],[Notional Value Local Cur]], -PV[[#This Row],[Notional Value Local Cur]])</f>
        <v>0</v>
      </c>
    </row>
    <row r="1645" spans="1:5" x14ac:dyDescent="0.25">
      <c r="A1645" s="36" t="b">
        <v>0</v>
      </c>
      <c r="B1645" s="56" t="b">
        <v>0</v>
      </c>
      <c r="C1645" s="56" t="b">
        <v>0</v>
      </c>
      <c r="D1645" s="56" t="b">
        <v>0</v>
      </c>
      <c r="E1645" s="56">
        <f ca="1">IF(PV[[#This Row],[Business Date]]=Control!$C$6, PV[[#This Row],[Notional Value Local Cur]], -PV[[#This Row],[Notional Value Local Cur]])</f>
        <v>0</v>
      </c>
    </row>
    <row r="1646" spans="1:5" x14ac:dyDescent="0.25">
      <c r="A1646" s="36" t="b">
        <v>0</v>
      </c>
      <c r="B1646" s="56" t="b">
        <v>0</v>
      </c>
      <c r="C1646" s="56" t="b">
        <v>0</v>
      </c>
      <c r="D1646" s="56" t="b">
        <v>0</v>
      </c>
      <c r="E1646" s="56">
        <f ca="1">IF(PV[[#This Row],[Business Date]]=Control!$C$6, PV[[#This Row],[Notional Value Local Cur]], -PV[[#This Row],[Notional Value Local Cur]])</f>
        <v>0</v>
      </c>
    </row>
    <row r="1647" spans="1:5" x14ac:dyDescent="0.25">
      <c r="A1647" s="36" t="b">
        <v>0</v>
      </c>
      <c r="B1647" s="56" t="b">
        <v>0</v>
      </c>
      <c r="C1647" s="56" t="b">
        <v>0</v>
      </c>
      <c r="D1647" s="56" t="b">
        <v>0</v>
      </c>
      <c r="E1647" s="56">
        <f ca="1">IF(PV[[#This Row],[Business Date]]=Control!$C$6, PV[[#This Row],[Notional Value Local Cur]], -PV[[#This Row],[Notional Value Local Cur]])</f>
        <v>0</v>
      </c>
    </row>
    <row r="1648" spans="1:5" x14ac:dyDescent="0.25">
      <c r="A1648" s="36" t="b">
        <v>0</v>
      </c>
      <c r="B1648" s="56" t="b">
        <v>0</v>
      </c>
      <c r="C1648" s="56" t="b">
        <v>0</v>
      </c>
      <c r="D1648" s="56" t="b">
        <v>0</v>
      </c>
      <c r="E1648" s="56">
        <f ca="1">IF(PV[[#This Row],[Business Date]]=Control!$C$6, PV[[#This Row],[Notional Value Local Cur]], -PV[[#This Row],[Notional Value Local Cur]])</f>
        <v>0</v>
      </c>
    </row>
    <row r="1649" spans="1:5" x14ac:dyDescent="0.25">
      <c r="A1649" s="36" t="b">
        <v>0</v>
      </c>
      <c r="B1649" s="56" t="b">
        <v>0</v>
      </c>
      <c r="C1649" s="56" t="b">
        <v>0</v>
      </c>
      <c r="D1649" s="56" t="b">
        <v>0</v>
      </c>
      <c r="E1649" s="56">
        <f ca="1">IF(PV[[#This Row],[Business Date]]=Control!$C$6, PV[[#This Row],[Notional Value Local Cur]], -PV[[#This Row],[Notional Value Local Cur]])</f>
        <v>0</v>
      </c>
    </row>
    <row r="1650" spans="1:5" x14ac:dyDescent="0.25">
      <c r="A1650" s="36" t="b">
        <v>0</v>
      </c>
      <c r="B1650" s="56" t="b">
        <v>0</v>
      </c>
      <c r="C1650" s="56" t="b">
        <v>0</v>
      </c>
      <c r="D1650" s="56" t="b">
        <v>0</v>
      </c>
      <c r="E1650" s="56">
        <f ca="1">IF(PV[[#This Row],[Business Date]]=Control!$C$6, PV[[#This Row],[Notional Value Local Cur]], -PV[[#This Row],[Notional Value Local Cur]])</f>
        <v>0</v>
      </c>
    </row>
    <row r="1651" spans="1:5" x14ac:dyDescent="0.25">
      <c r="A1651" s="36" t="b">
        <v>0</v>
      </c>
      <c r="B1651" s="56" t="b">
        <v>0</v>
      </c>
      <c r="C1651" s="56" t="b">
        <v>0</v>
      </c>
      <c r="D1651" s="56" t="b">
        <v>0</v>
      </c>
      <c r="E1651" s="56">
        <f ca="1">IF(PV[[#This Row],[Business Date]]=Control!$C$6, PV[[#This Row],[Notional Value Local Cur]], -PV[[#This Row],[Notional Value Local Cur]])</f>
        <v>0</v>
      </c>
    </row>
    <row r="1652" spans="1:5" x14ac:dyDescent="0.25">
      <c r="A1652" s="36" t="b">
        <v>0</v>
      </c>
      <c r="B1652" s="56" t="b">
        <v>0</v>
      </c>
      <c r="C1652" s="56" t="b">
        <v>0</v>
      </c>
      <c r="D1652" s="56" t="b">
        <v>0</v>
      </c>
      <c r="E1652" s="56">
        <f ca="1">IF(PV[[#This Row],[Business Date]]=Control!$C$6, PV[[#This Row],[Notional Value Local Cur]], -PV[[#This Row],[Notional Value Local Cur]])</f>
        <v>0</v>
      </c>
    </row>
    <row r="1653" spans="1:5" x14ac:dyDescent="0.25">
      <c r="A1653" s="36" t="b">
        <v>0</v>
      </c>
      <c r="B1653" s="56" t="b">
        <v>0</v>
      </c>
      <c r="C1653" s="56" t="b">
        <v>0</v>
      </c>
      <c r="D1653" s="56" t="b">
        <v>0</v>
      </c>
      <c r="E1653" s="56">
        <f ca="1">IF(PV[[#This Row],[Business Date]]=Control!$C$6, PV[[#This Row],[Notional Value Local Cur]], -PV[[#This Row],[Notional Value Local Cur]])</f>
        <v>0</v>
      </c>
    </row>
    <row r="1654" spans="1:5" x14ac:dyDescent="0.25">
      <c r="A1654" s="36" t="b">
        <v>0</v>
      </c>
      <c r="B1654" s="56" t="b">
        <v>0</v>
      </c>
      <c r="C1654" s="56" t="b">
        <v>0</v>
      </c>
      <c r="D1654" s="56" t="b">
        <v>0</v>
      </c>
      <c r="E1654" s="56">
        <f ca="1">IF(PV[[#This Row],[Business Date]]=Control!$C$6, PV[[#This Row],[Notional Value Local Cur]], -PV[[#This Row],[Notional Value Local Cur]])</f>
        <v>0</v>
      </c>
    </row>
    <row r="1655" spans="1:5" x14ac:dyDescent="0.25">
      <c r="A1655" s="36" t="b">
        <v>0</v>
      </c>
      <c r="B1655" s="56" t="b">
        <v>0</v>
      </c>
      <c r="C1655" s="56" t="b">
        <v>0</v>
      </c>
      <c r="D1655" s="56" t="b">
        <v>0</v>
      </c>
      <c r="E1655" s="56">
        <f ca="1">IF(PV[[#This Row],[Business Date]]=Control!$C$6, PV[[#This Row],[Notional Value Local Cur]], -PV[[#This Row],[Notional Value Local Cur]])</f>
        <v>0</v>
      </c>
    </row>
    <row r="1656" spans="1:5" x14ac:dyDescent="0.25">
      <c r="A1656" s="36" t="b">
        <v>0</v>
      </c>
      <c r="B1656" s="56" t="b">
        <v>0</v>
      </c>
      <c r="C1656" s="56" t="b">
        <v>0</v>
      </c>
      <c r="D1656" s="56" t="b">
        <v>0</v>
      </c>
      <c r="E1656" s="56">
        <f ca="1">IF(PV[[#This Row],[Business Date]]=Control!$C$6, PV[[#This Row],[Notional Value Local Cur]], -PV[[#This Row],[Notional Value Local Cur]])</f>
        <v>0</v>
      </c>
    </row>
    <row r="1657" spans="1:5" x14ac:dyDescent="0.25">
      <c r="A1657" s="36" t="b">
        <v>0</v>
      </c>
      <c r="B1657" s="56" t="b">
        <v>0</v>
      </c>
      <c r="C1657" s="56" t="b">
        <v>0</v>
      </c>
      <c r="D1657" s="56" t="b">
        <v>0</v>
      </c>
      <c r="E1657" s="56">
        <f ca="1">IF(PV[[#This Row],[Business Date]]=Control!$C$6, PV[[#This Row],[Notional Value Local Cur]], -PV[[#This Row],[Notional Value Local Cur]])</f>
        <v>0</v>
      </c>
    </row>
    <row r="1658" spans="1:5" x14ac:dyDescent="0.25">
      <c r="A1658" s="36" t="b">
        <v>0</v>
      </c>
      <c r="B1658" s="56" t="b">
        <v>0</v>
      </c>
      <c r="C1658" s="56" t="b">
        <v>0</v>
      </c>
      <c r="D1658" s="56" t="b">
        <v>0</v>
      </c>
      <c r="E1658" s="56">
        <f ca="1">IF(PV[[#This Row],[Business Date]]=Control!$C$6, PV[[#This Row],[Notional Value Local Cur]], -PV[[#This Row],[Notional Value Local Cur]])</f>
        <v>0</v>
      </c>
    </row>
    <row r="1659" spans="1:5" x14ac:dyDescent="0.25">
      <c r="A1659" s="36" t="b">
        <v>0</v>
      </c>
      <c r="B1659" s="56" t="b">
        <v>0</v>
      </c>
      <c r="C1659" s="56" t="b">
        <v>0</v>
      </c>
      <c r="D1659" s="56" t="b">
        <v>0</v>
      </c>
      <c r="E1659" s="56">
        <f ca="1">IF(PV[[#This Row],[Business Date]]=Control!$C$6, PV[[#This Row],[Notional Value Local Cur]], -PV[[#This Row],[Notional Value Local Cur]])</f>
        <v>0</v>
      </c>
    </row>
    <row r="1660" spans="1:5" x14ac:dyDescent="0.25">
      <c r="A1660" s="36" t="b">
        <v>0</v>
      </c>
      <c r="B1660" s="56" t="b">
        <v>0</v>
      </c>
      <c r="C1660" s="56" t="b">
        <v>0</v>
      </c>
      <c r="D1660" s="56" t="b">
        <v>0</v>
      </c>
      <c r="E1660" s="56">
        <f ca="1">IF(PV[[#This Row],[Business Date]]=Control!$C$6, PV[[#This Row],[Notional Value Local Cur]], -PV[[#This Row],[Notional Value Local Cur]])</f>
        <v>0</v>
      </c>
    </row>
    <row r="1661" spans="1:5" x14ac:dyDescent="0.25">
      <c r="A1661" s="36" t="b">
        <v>0</v>
      </c>
      <c r="B1661" s="56" t="b">
        <v>0</v>
      </c>
      <c r="C1661" s="56" t="b">
        <v>0</v>
      </c>
      <c r="D1661" s="56" t="b">
        <v>0</v>
      </c>
      <c r="E1661" s="56">
        <f ca="1">IF(PV[[#This Row],[Business Date]]=Control!$C$6, PV[[#This Row],[Notional Value Local Cur]], -PV[[#This Row],[Notional Value Local Cur]])</f>
        <v>0</v>
      </c>
    </row>
    <row r="1662" spans="1:5" x14ac:dyDescent="0.25">
      <c r="A1662" s="36" t="b">
        <v>0</v>
      </c>
      <c r="B1662" s="56" t="b">
        <v>0</v>
      </c>
      <c r="C1662" s="56" t="b">
        <v>0</v>
      </c>
      <c r="D1662" s="56" t="b">
        <v>0</v>
      </c>
      <c r="E1662" s="56">
        <f ca="1">IF(PV[[#This Row],[Business Date]]=Control!$C$6, PV[[#This Row],[Notional Value Local Cur]], -PV[[#This Row],[Notional Value Local Cur]])</f>
        <v>0</v>
      </c>
    </row>
    <row r="1663" spans="1:5" x14ac:dyDescent="0.25">
      <c r="A1663" s="36" t="b">
        <v>0</v>
      </c>
      <c r="B1663" s="56" t="b">
        <v>0</v>
      </c>
      <c r="C1663" s="56" t="b">
        <v>0</v>
      </c>
      <c r="D1663" s="56" t="b">
        <v>0</v>
      </c>
      <c r="E1663" s="56">
        <f ca="1">IF(PV[[#This Row],[Business Date]]=Control!$C$6, PV[[#This Row],[Notional Value Local Cur]], -PV[[#This Row],[Notional Value Local Cur]])</f>
        <v>0</v>
      </c>
    </row>
    <row r="1664" spans="1:5" x14ac:dyDescent="0.25">
      <c r="A1664" s="36" t="b">
        <v>0</v>
      </c>
      <c r="B1664" s="56" t="b">
        <v>0</v>
      </c>
      <c r="C1664" s="56" t="b">
        <v>0</v>
      </c>
      <c r="D1664" s="56" t="b">
        <v>0</v>
      </c>
      <c r="E1664" s="56">
        <f ca="1">IF(PV[[#This Row],[Business Date]]=Control!$C$6, PV[[#This Row],[Notional Value Local Cur]], -PV[[#This Row],[Notional Value Local Cur]])</f>
        <v>0</v>
      </c>
    </row>
    <row r="1665" spans="1:5" x14ac:dyDescent="0.25">
      <c r="A1665" s="36" t="b">
        <v>0</v>
      </c>
      <c r="B1665" s="56" t="b">
        <v>0</v>
      </c>
      <c r="C1665" s="56" t="b">
        <v>0</v>
      </c>
      <c r="D1665" s="56" t="b">
        <v>0</v>
      </c>
      <c r="E1665" s="56">
        <f ca="1">IF(PV[[#This Row],[Business Date]]=Control!$C$6, PV[[#This Row],[Notional Value Local Cur]], -PV[[#This Row],[Notional Value Local Cur]])</f>
        <v>0</v>
      </c>
    </row>
    <row r="1666" spans="1:5" x14ac:dyDescent="0.25">
      <c r="A1666" s="36" t="b">
        <v>0</v>
      </c>
      <c r="B1666" s="56" t="b">
        <v>0</v>
      </c>
      <c r="C1666" s="56" t="b">
        <v>0</v>
      </c>
      <c r="D1666" s="56" t="b">
        <v>0</v>
      </c>
      <c r="E1666" s="56">
        <f ca="1">IF(PV[[#This Row],[Business Date]]=Control!$C$6, PV[[#This Row],[Notional Value Local Cur]], -PV[[#This Row],[Notional Value Local Cur]])</f>
        <v>0</v>
      </c>
    </row>
    <row r="1667" spans="1:5" x14ac:dyDescent="0.25">
      <c r="A1667" s="36" t="b">
        <v>0</v>
      </c>
      <c r="B1667" s="56" t="b">
        <v>0</v>
      </c>
      <c r="C1667" s="56" t="b">
        <v>0</v>
      </c>
      <c r="D1667" s="56" t="b">
        <v>0</v>
      </c>
      <c r="E1667" s="56">
        <f ca="1">IF(PV[[#This Row],[Business Date]]=Control!$C$6, PV[[#This Row],[Notional Value Local Cur]], -PV[[#This Row],[Notional Value Local Cur]])</f>
        <v>0</v>
      </c>
    </row>
    <row r="1668" spans="1:5" x14ac:dyDescent="0.25">
      <c r="A1668" s="36" t="b">
        <v>0</v>
      </c>
      <c r="B1668" s="56" t="b">
        <v>0</v>
      </c>
      <c r="C1668" s="56" t="b">
        <v>0</v>
      </c>
      <c r="D1668" s="56" t="b">
        <v>0</v>
      </c>
      <c r="E1668" s="56">
        <f ca="1">IF(PV[[#This Row],[Business Date]]=Control!$C$6, PV[[#This Row],[Notional Value Local Cur]], -PV[[#This Row],[Notional Value Local Cur]])</f>
        <v>0</v>
      </c>
    </row>
    <row r="1669" spans="1:5" x14ac:dyDescent="0.25">
      <c r="A1669" s="36" t="b">
        <v>0</v>
      </c>
      <c r="B1669" s="56" t="b">
        <v>0</v>
      </c>
      <c r="C1669" s="56" t="b">
        <v>0</v>
      </c>
      <c r="D1669" s="56" t="b">
        <v>0</v>
      </c>
      <c r="E1669" s="56">
        <f ca="1">IF(PV[[#This Row],[Business Date]]=Control!$C$6, PV[[#This Row],[Notional Value Local Cur]], -PV[[#This Row],[Notional Value Local Cur]])</f>
        <v>0</v>
      </c>
    </row>
    <row r="1670" spans="1:5" x14ac:dyDescent="0.25">
      <c r="A1670" s="36" t="b">
        <v>0</v>
      </c>
      <c r="B1670" s="56" t="b">
        <v>0</v>
      </c>
      <c r="C1670" s="56" t="b">
        <v>0</v>
      </c>
      <c r="D1670" s="56" t="b">
        <v>0</v>
      </c>
      <c r="E1670" s="56">
        <f ca="1">IF(PV[[#This Row],[Business Date]]=Control!$C$6, PV[[#This Row],[Notional Value Local Cur]], -PV[[#This Row],[Notional Value Local Cur]])</f>
        <v>0</v>
      </c>
    </row>
    <row r="1671" spans="1:5" x14ac:dyDescent="0.25">
      <c r="A1671" s="36" t="b">
        <v>0</v>
      </c>
      <c r="B1671" s="56" t="b">
        <v>0</v>
      </c>
      <c r="C1671" s="56" t="b">
        <v>0</v>
      </c>
      <c r="D1671" s="56" t="b">
        <v>0</v>
      </c>
      <c r="E1671" s="56">
        <f ca="1">IF(PV[[#This Row],[Business Date]]=Control!$C$6, PV[[#This Row],[Notional Value Local Cur]], -PV[[#This Row],[Notional Value Local Cur]])</f>
        <v>0</v>
      </c>
    </row>
    <row r="1672" spans="1:5" x14ac:dyDescent="0.25">
      <c r="A1672" s="36" t="b">
        <v>0</v>
      </c>
      <c r="B1672" s="56" t="b">
        <v>0</v>
      </c>
      <c r="C1672" s="56" t="b">
        <v>0</v>
      </c>
      <c r="D1672" s="56" t="b">
        <v>0</v>
      </c>
      <c r="E1672" s="56">
        <f ca="1">IF(PV[[#This Row],[Business Date]]=Control!$C$6, PV[[#This Row],[Notional Value Local Cur]], -PV[[#This Row],[Notional Value Local Cur]])</f>
        <v>0</v>
      </c>
    </row>
    <row r="1673" spans="1:5" x14ac:dyDescent="0.25">
      <c r="A1673" s="36" t="b">
        <v>0</v>
      </c>
      <c r="B1673" s="56" t="b">
        <v>0</v>
      </c>
      <c r="C1673" s="56" t="b">
        <v>0</v>
      </c>
      <c r="D1673" s="56" t="b">
        <v>0</v>
      </c>
      <c r="E1673" s="56">
        <f ca="1">IF(PV[[#This Row],[Business Date]]=Control!$C$6, PV[[#This Row],[Notional Value Local Cur]], -PV[[#This Row],[Notional Value Local Cur]])</f>
        <v>0</v>
      </c>
    </row>
    <row r="1674" spans="1:5" x14ac:dyDescent="0.25">
      <c r="A1674" s="36" t="b">
        <v>0</v>
      </c>
      <c r="B1674" s="56" t="b">
        <v>0</v>
      </c>
      <c r="C1674" s="56" t="b">
        <v>0</v>
      </c>
      <c r="D1674" s="56" t="b">
        <v>0</v>
      </c>
      <c r="E1674" s="56">
        <f ca="1">IF(PV[[#This Row],[Business Date]]=Control!$C$6, PV[[#This Row],[Notional Value Local Cur]], -PV[[#This Row],[Notional Value Local Cur]])</f>
        <v>0</v>
      </c>
    </row>
    <row r="1675" spans="1:5" x14ac:dyDescent="0.25">
      <c r="A1675" s="36" t="b">
        <v>0</v>
      </c>
      <c r="B1675" s="56" t="b">
        <v>0</v>
      </c>
      <c r="C1675" s="56" t="b">
        <v>0</v>
      </c>
      <c r="D1675" s="56" t="b">
        <v>0</v>
      </c>
      <c r="E1675" s="56">
        <f ca="1">IF(PV[[#This Row],[Business Date]]=Control!$C$6, PV[[#This Row],[Notional Value Local Cur]], -PV[[#This Row],[Notional Value Local Cur]])</f>
        <v>0</v>
      </c>
    </row>
    <row r="1676" spans="1:5" x14ac:dyDescent="0.25">
      <c r="A1676" s="36" t="b">
        <v>0</v>
      </c>
      <c r="B1676" s="56" t="b">
        <v>0</v>
      </c>
      <c r="C1676" s="56" t="b">
        <v>0</v>
      </c>
      <c r="D1676" s="56" t="b">
        <v>0</v>
      </c>
      <c r="E1676" s="56">
        <f ca="1">IF(PV[[#This Row],[Business Date]]=Control!$C$6, PV[[#This Row],[Notional Value Local Cur]], -PV[[#This Row],[Notional Value Local Cur]])</f>
        <v>0</v>
      </c>
    </row>
    <row r="1677" spans="1:5" x14ac:dyDescent="0.25">
      <c r="A1677" s="36" t="b">
        <v>0</v>
      </c>
      <c r="B1677" s="56" t="b">
        <v>0</v>
      </c>
      <c r="C1677" s="56" t="b">
        <v>0</v>
      </c>
      <c r="D1677" s="56" t="b">
        <v>0</v>
      </c>
      <c r="E1677" s="56">
        <f ca="1">IF(PV[[#This Row],[Business Date]]=Control!$C$6, PV[[#This Row],[Notional Value Local Cur]], -PV[[#This Row],[Notional Value Local Cur]])</f>
        <v>0</v>
      </c>
    </row>
    <row r="1678" spans="1:5" x14ac:dyDescent="0.25">
      <c r="A1678" s="36" t="b">
        <v>0</v>
      </c>
      <c r="B1678" s="56" t="b">
        <v>0</v>
      </c>
      <c r="C1678" s="56" t="b">
        <v>0</v>
      </c>
      <c r="D1678" s="56" t="b">
        <v>0</v>
      </c>
      <c r="E1678" s="56">
        <f ca="1">IF(PV[[#This Row],[Business Date]]=Control!$C$6, PV[[#This Row],[Notional Value Local Cur]], -PV[[#This Row],[Notional Value Local Cur]])</f>
        <v>0</v>
      </c>
    </row>
    <row r="1679" spans="1:5" x14ac:dyDescent="0.25">
      <c r="A1679" s="36" t="b">
        <v>0</v>
      </c>
      <c r="B1679" s="56" t="b">
        <v>0</v>
      </c>
      <c r="C1679" s="56" t="b">
        <v>0</v>
      </c>
      <c r="D1679" s="56" t="b">
        <v>0</v>
      </c>
      <c r="E1679" s="56">
        <f ca="1">IF(PV[[#This Row],[Business Date]]=Control!$C$6, PV[[#This Row],[Notional Value Local Cur]], -PV[[#This Row],[Notional Value Local Cur]])</f>
        <v>0</v>
      </c>
    </row>
    <row r="1680" spans="1:5" x14ac:dyDescent="0.25">
      <c r="A1680" s="36" t="b">
        <v>0</v>
      </c>
      <c r="B1680" s="56" t="b">
        <v>0</v>
      </c>
      <c r="C1680" s="56" t="b">
        <v>0</v>
      </c>
      <c r="D1680" s="56" t="b">
        <v>0</v>
      </c>
      <c r="E1680" s="56">
        <f ca="1">IF(PV[[#This Row],[Business Date]]=Control!$C$6, PV[[#This Row],[Notional Value Local Cur]], -PV[[#This Row],[Notional Value Local Cur]])</f>
        <v>0</v>
      </c>
    </row>
    <row r="1681" spans="1:5" x14ac:dyDescent="0.25">
      <c r="A1681" s="36" t="b">
        <v>0</v>
      </c>
      <c r="B1681" s="56" t="b">
        <v>0</v>
      </c>
      <c r="C1681" s="56" t="b">
        <v>0</v>
      </c>
      <c r="D1681" s="56" t="b">
        <v>0</v>
      </c>
      <c r="E1681" s="56">
        <f ca="1">IF(PV[[#This Row],[Business Date]]=Control!$C$6, PV[[#This Row],[Notional Value Local Cur]], -PV[[#This Row],[Notional Value Local Cur]])</f>
        <v>0</v>
      </c>
    </row>
    <row r="1682" spans="1:5" x14ac:dyDescent="0.25">
      <c r="A1682" s="36" t="b">
        <v>0</v>
      </c>
      <c r="B1682" s="56" t="b">
        <v>0</v>
      </c>
      <c r="C1682" s="56" t="b">
        <v>0</v>
      </c>
      <c r="D1682" s="56" t="b">
        <v>0</v>
      </c>
      <c r="E1682" s="56">
        <f ca="1">IF(PV[[#This Row],[Business Date]]=Control!$C$6, PV[[#This Row],[Notional Value Local Cur]], -PV[[#This Row],[Notional Value Local Cur]])</f>
        <v>0</v>
      </c>
    </row>
    <row r="1683" spans="1:5" x14ac:dyDescent="0.25">
      <c r="A1683" s="36" t="b">
        <v>0</v>
      </c>
      <c r="B1683" s="56" t="b">
        <v>0</v>
      </c>
      <c r="C1683" s="56" t="b">
        <v>0</v>
      </c>
      <c r="D1683" s="56" t="b">
        <v>0</v>
      </c>
      <c r="E1683" s="56">
        <f ca="1">IF(PV[[#This Row],[Business Date]]=Control!$C$6, PV[[#This Row],[Notional Value Local Cur]], -PV[[#This Row],[Notional Value Local Cur]])</f>
        <v>0</v>
      </c>
    </row>
    <row r="1684" spans="1:5" x14ac:dyDescent="0.25">
      <c r="A1684" s="36" t="b">
        <v>0</v>
      </c>
      <c r="B1684" s="56" t="b">
        <v>0</v>
      </c>
      <c r="C1684" s="56" t="b">
        <v>0</v>
      </c>
      <c r="D1684" s="56" t="b">
        <v>0</v>
      </c>
      <c r="E1684" s="56">
        <f ca="1">IF(PV[[#This Row],[Business Date]]=Control!$C$6, PV[[#This Row],[Notional Value Local Cur]], -PV[[#This Row],[Notional Value Local Cur]])</f>
        <v>0</v>
      </c>
    </row>
    <row r="1685" spans="1:5" x14ac:dyDescent="0.25">
      <c r="A1685" s="36" t="b">
        <v>0</v>
      </c>
      <c r="B1685" s="56" t="b">
        <v>0</v>
      </c>
      <c r="C1685" s="56" t="b">
        <v>0</v>
      </c>
      <c r="D1685" s="56" t="b">
        <v>0</v>
      </c>
      <c r="E1685" s="56">
        <f ca="1">IF(PV[[#This Row],[Business Date]]=Control!$C$6, PV[[#This Row],[Notional Value Local Cur]], -PV[[#This Row],[Notional Value Local Cur]])</f>
        <v>0</v>
      </c>
    </row>
    <row r="1686" spans="1:5" x14ac:dyDescent="0.25">
      <c r="A1686" s="36" t="b">
        <v>0</v>
      </c>
      <c r="B1686" s="56" t="b">
        <v>0</v>
      </c>
      <c r="C1686" s="56" t="b">
        <v>0</v>
      </c>
      <c r="D1686" s="56" t="b">
        <v>0</v>
      </c>
      <c r="E1686" s="56">
        <f ca="1">IF(PV[[#This Row],[Business Date]]=Control!$C$6, PV[[#This Row],[Notional Value Local Cur]], -PV[[#This Row],[Notional Value Local Cur]])</f>
        <v>0</v>
      </c>
    </row>
    <row r="1687" spans="1:5" x14ac:dyDescent="0.25">
      <c r="A1687" s="36" t="b">
        <v>0</v>
      </c>
      <c r="B1687" s="56" t="b">
        <v>0</v>
      </c>
      <c r="C1687" s="56" t="b">
        <v>0</v>
      </c>
      <c r="D1687" s="56" t="b">
        <v>0</v>
      </c>
      <c r="E1687" s="56">
        <f ca="1">IF(PV[[#This Row],[Business Date]]=Control!$C$6, PV[[#This Row],[Notional Value Local Cur]], -PV[[#This Row],[Notional Value Local Cur]])</f>
        <v>0</v>
      </c>
    </row>
    <row r="1688" spans="1:5" x14ac:dyDescent="0.25">
      <c r="A1688" s="36" t="b">
        <v>0</v>
      </c>
      <c r="B1688" s="56" t="b">
        <v>0</v>
      </c>
      <c r="C1688" s="56" t="b">
        <v>0</v>
      </c>
      <c r="D1688" s="56" t="b">
        <v>0</v>
      </c>
      <c r="E1688" s="56">
        <f ca="1">IF(PV[[#This Row],[Business Date]]=Control!$C$6, PV[[#This Row],[Notional Value Local Cur]], -PV[[#This Row],[Notional Value Local Cur]])</f>
        <v>0</v>
      </c>
    </row>
    <row r="1689" spans="1:5" x14ac:dyDescent="0.25">
      <c r="A1689" s="36" t="b">
        <v>0</v>
      </c>
      <c r="B1689" s="56" t="b">
        <v>0</v>
      </c>
      <c r="C1689" s="56" t="b">
        <v>0</v>
      </c>
      <c r="D1689" s="56" t="b">
        <v>0</v>
      </c>
      <c r="E1689" s="56">
        <f ca="1">IF(PV[[#This Row],[Business Date]]=Control!$C$6, PV[[#This Row],[Notional Value Local Cur]], -PV[[#This Row],[Notional Value Local Cur]])</f>
        <v>0</v>
      </c>
    </row>
    <row r="1690" spans="1:5" x14ac:dyDescent="0.25">
      <c r="A1690" s="36" t="b">
        <v>0</v>
      </c>
      <c r="B1690" s="56" t="b">
        <v>0</v>
      </c>
      <c r="C1690" s="56" t="b">
        <v>0</v>
      </c>
      <c r="D1690" s="56" t="b">
        <v>0</v>
      </c>
      <c r="E1690" s="56">
        <f ca="1">IF(PV[[#This Row],[Business Date]]=Control!$C$6, PV[[#This Row],[Notional Value Local Cur]], -PV[[#This Row],[Notional Value Local Cur]])</f>
        <v>0</v>
      </c>
    </row>
    <row r="1691" spans="1:5" x14ac:dyDescent="0.25">
      <c r="A1691" s="36" t="b">
        <v>0</v>
      </c>
      <c r="B1691" s="56" t="b">
        <v>0</v>
      </c>
      <c r="C1691" s="56" t="b">
        <v>0</v>
      </c>
      <c r="D1691" s="56" t="b">
        <v>0</v>
      </c>
      <c r="E1691" s="56">
        <f ca="1">IF(PV[[#This Row],[Business Date]]=Control!$C$6, PV[[#This Row],[Notional Value Local Cur]], -PV[[#This Row],[Notional Value Local Cur]])</f>
        <v>0</v>
      </c>
    </row>
    <row r="1692" spans="1:5" x14ac:dyDescent="0.25">
      <c r="A1692" s="36" t="b">
        <v>0</v>
      </c>
      <c r="B1692" s="56" t="b">
        <v>0</v>
      </c>
      <c r="C1692" s="56" t="b">
        <v>0</v>
      </c>
      <c r="D1692" s="56" t="b">
        <v>0</v>
      </c>
      <c r="E1692" s="56">
        <f ca="1">IF(PV[[#This Row],[Business Date]]=Control!$C$6, PV[[#This Row],[Notional Value Local Cur]], -PV[[#This Row],[Notional Value Local Cur]])</f>
        <v>0</v>
      </c>
    </row>
    <row r="1693" spans="1:5" x14ac:dyDescent="0.25">
      <c r="A1693" s="36" t="b">
        <v>0</v>
      </c>
      <c r="B1693" s="56" t="b">
        <v>0</v>
      </c>
      <c r="C1693" s="56" t="b">
        <v>0</v>
      </c>
      <c r="D1693" s="56" t="b">
        <v>0</v>
      </c>
      <c r="E1693" s="56">
        <f ca="1">IF(PV[[#This Row],[Business Date]]=Control!$C$6, PV[[#This Row],[Notional Value Local Cur]], -PV[[#This Row],[Notional Value Local Cur]])</f>
        <v>0</v>
      </c>
    </row>
    <row r="1694" spans="1:5" x14ac:dyDescent="0.25">
      <c r="A1694" s="36" t="b">
        <v>0</v>
      </c>
      <c r="B1694" s="56" t="b">
        <v>0</v>
      </c>
      <c r="C1694" s="56" t="b">
        <v>0</v>
      </c>
      <c r="D1694" s="56" t="b">
        <v>0</v>
      </c>
      <c r="E1694" s="56">
        <f ca="1">IF(PV[[#This Row],[Business Date]]=Control!$C$6, PV[[#This Row],[Notional Value Local Cur]], -PV[[#This Row],[Notional Value Local Cur]])</f>
        <v>0</v>
      </c>
    </row>
    <row r="1695" spans="1:5" x14ac:dyDescent="0.25">
      <c r="A1695" s="36" t="b">
        <v>0</v>
      </c>
      <c r="B1695" s="56" t="b">
        <v>0</v>
      </c>
      <c r="C1695" s="56" t="b">
        <v>0</v>
      </c>
      <c r="D1695" s="56" t="b">
        <v>0</v>
      </c>
      <c r="E1695" s="56">
        <f ca="1">IF(PV[[#This Row],[Business Date]]=Control!$C$6, PV[[#This Row],[Notional Value Local Cur]], -PV[[#This Row],[Notional Value Local Cur]])</f>
        <v>0</v>
      </c>
    </row>
    <row r="1696" spans="1:5" x14ac:dyDescent="0.25">
      <c r="A1696" s="36" t="b">
        <v>0</v>
      </c>
      <c r="B1696" s="56" t="b">
        <v>0</v>
      </c>
      <c r="C1696" s="56" t="b">
        <v>0</v>
      </c>
      <c r="D1696" s="56" t="b">
        <v>0</v>
      </c>
      <c r="E1696" s="56">
        <f ca="1">IF(PV[[#This Row],[Business Date]]=Control!$C$6, PV[[#This Row],[Notional Value Local Cur]], -PV[[#This Row],[Notional Value Local Cur]])</f>
        <v>0</v>
      </c>
    </row>
    <row r="1697" spans="1:5" x14ac:dyDescent="0.25">
      <c r="A1697" s="36" t="b">
        <v>0</v>
      </c>
      <c r="B1697" s="56" t="b">
        <v>0</v>
      </c>
      <c r="C1697" s="56" t="b">
        <v>0</v>
      </c>
      <c r="D1697" s="56" t="b">
        <v>0</v>
      </c>
      <c r="E1697" s="56">
        <f ca="1">IF(PV[[#This Row],[Business Date]]=Control!$C$6, PV[[#This Row],[Notional Value Local Cur]], -PV[[#This Row],[Notional Value Local Cur]])</f>
        <v>0</v>
      </c>
    </row>
    <row r="1698" spans="1:5" x14ac:dyDescent="0.25">
      <c r="A1698" s="36" t="b">
        <v>0</v>
      </c>
      <c r="B1698" s="56" t="b">
        <v>0</v>
      </c>
      <c r="C1698" s="56" t="b">
        <v>0</v>
      </c>
      <c r="D1698" s="56" t="b">
        <v>0</v>
      </c>
      <c r="E1698" s="56">
        <f ca="1">IF(PV[[#This Row],[Business Date]]=Control!$C$6, PV[[#This Row],[Notional Value Local Cur]], -PV[[#This Row],[Notional Value Local Cur]])</f>
        <v>0</v>
      </c>
    </row>
    <row r="1699" spans="1:5" x14ac:dyDescent="0.25">
      <c r="A1699" s="36" t="b">
        <v>0</v>
      </c>
      <c r="B1699" s="56" t="b">
        <v>0</v>
      </c>
      <c r="C1699" s="56" t="b">
        <v>0</v>
      </c>
      <c r="D1699" s="56" t="b">
        <v>0</v>
      </c>
      <c r="E1699" s="56">
        <f ca="1">IF(PV[[#This Row],[Business Date]]=Control!$C$6, PV[[#This Row],[Notional Value Local Cur]], -PV[[#This Row],[Notional Value Local Cur]])</f>
        <v>0</v>
      </c>
    </row>
    <row r="1700" spans="1:5" x14ac:dyDescent="0.25">
      <c r="A1700" s="36" t="b">
        <v>0</v>
      </c>
      <c r="B1700" s="56" t="b">
        <v>0</v>
      </c>
      <c r="C1700" s="56" t="b">
        <v>0</v>
      </c>
      <c r="D1700" s="56" t="b">
        <v>0</v>
      </c>
      <c r="E1700" s="56">
        <f ca="1">IF(PV[[#This Row],[Business Date]]=Control!$C$6, PV[[#This Row],[Notional Value Local Cur]], -PV[[#This Row],[Notional Value Local Cur]])</f>
        <v>0</v>
      </c>
    </row>
    <row r="1701" spans="1:5" x14ac:dyDescent="0.25">
      <c r="A1701" s="36" t="b">
        <v>0</v>
      </c>
      <c r="B1701" s="56" t="b">
        <v>0</v>
      </c>
      <c r="C1701" s="56" t="b">
        <v>0</v>
      </c>
      <c r="D1701" s="56" t="b">
        <v>0</v>
      </c>
      <c r="E1701" s="56">
        <f ca="1">IF(PV[[#This Row],[Business Date]]=Control!$C$6, PV[[#This Row],[Notional Value Local Cur]], -PV[[#This Row],[Notional Value Local Cur]])</f>
        <v>0</v>
      </c>
    </row>
    <row r="1702" spans="1:5" x14ac:dyDescent="0.25">
      <c r="A1702" s="36" t="b">
        <v>0</v>
      </c>
      <c r="B1702" s="56" t="b">
        <v>0</v>
      </c>
      <c r="C1702" s="56" t="b">
        <v>0</v>
      </c>
      <c r="D1702" s="56" t="b">
        <v>0</v>
      </c>
      <c r="E1702" s="56">
        <f ca="1">IF(PV[[#This Row],[Business Date]]=Control!$C$6, PV[[#This Row],[Notional Value Local Cur]], -PV[[#This Row],[Notional Value Local Cur]])</f>
        <v>0</v>
      </c>
    </row>
    <row r="1703" spans="1:5" x14ac:dyDescent="0.25">
      <c r="A1703" s="36" t="b">
        <v>0</v>
      </c>
      <c r="B1703" s="56" t="b">
        <v>0</v>
      </c>
      <c r="C1703" s="56" t="b">
        <v>0</v>
      </c>
      <c r="D1703" s="56" t="b">
        <v>0</v>
      </c>
      <c r="E1703" s="56">
        <f ca="1">IF(PV[[#This Row],[Business Date]]=Control!$C$6, PV[[#This Row],[Notional Value Local Cur]], -PV[[#This Row],[Notional Value Local Cur]])</f>
        <v>0</v>
      </c>
    </row>
    <row r="1704" spans="1:5" x14ac:dyDescent="0.25">
      <c r="A1704" s="36" t="b">
        <v>0</v>
      </c>
      <c r="B1704" s="56" t="b">
        <v>0</v>
      </c>
      <c r="C1704" s="56" t="b">
        <v>0</v>
      </c>
      <c r="D1704" s="56" t="b">
        <v>0</v>
      </c>
      <c r="E1704" s="56">
        <f ca="1">IF(PV[[#This Row],[Business Date]]=Control!$C$6, PV[[#This Row],[Notional Value Local Cur]], -PV[[#This Row],[Notional Value Local Cur]])</f>
        <v>0</v>
      </c>
    </row>
    <row r="1705" spans="1:5" x14ac:dyDescent="0.25">
      <c r="A1705" s="36" t="b">
        <v>0</v>
      </c>
      <c r="B1705" s="56" t="b">
        <v>0</v>
      </c>
      <c r="C1705" s="56" t="b">
        <v>0</v>
      </c>
      <c r="D1705" s="56" t="b">
        <v>0</v>
      </c>
      <c r="E1705" s="56">
        <f ca="1">IF(PV[[#This Row],[Business Date]]=Control!$C$6, PV[[#This Row],[Notional Value Local Cur]], -PV[[#This Row],[Notional Value Local Cur]])</f>
        <v>0</v>
      </c>
    </row>
    <row r="1706" spans="1:5" x14ac:dyDescent="0.25">
      <c r="A1706" s="36" t="b">
        <v>0</v>
      </c>
      <c r="B1706" s="56" t="b">
        <v>0</v>
      </c>
      <c r="C1706" s="56" t="b">
        <v>0</v>
      </c>
      <c r="D1706" s="56" t="b">
        <v>0</v>
      </c>
      <c r="E1706" s="56">
        <f ca="1">IF(PV[[#This Row],[Business Date]]=Control!$C$6, PV[[#This Row],[Notional Value Local Cur]], -PV[[#This Row],[Notional Value Local Cur]])</f>
        <v>0</v>
      </c>
    </row>
    <row r="1707" spans="1:5" x14ac:dyDescent="0.25">
      <c r="A1707" s="36" t="b">
        <v>0</v>
      </c>
      <c r="B1707" s="56" t="b">
        <v>0</v>
      </c>
      <c r="C1707" s="56" t="b">
        <v>0</v>
      </c>
      <c r="D1707" s="56" t="b">
        <v>0</v>
      </c>
      <c r="E1707" s="56">
        <f ca="1">IF(PV[[#This Row],[Business Date]]=Control!$C$6, PV[[#This Row],[Notional Value Local Cur]], -PV[[#This Row],[Notional Value Local Cur]])</f>
        <v>0</v>
      </c>
    </row>
    <row r="1708" spans="1:5" x14ac:dyDescent="0.25">
      <c r="A1708" s="36" t="b">
        <v>0</v>
      </c>
      <c r="B1708" s="56" t="b">
        <v>0</v>
      </c>
      <c r="C1708" s="56" t="b">
        <v>0</v>
      </c>
      <c r="D1708" s="56" t="b">
        <v>0</v>
      </c>
      <c r="E1708" s="56">
        <f ca="1">IF(PV[[#This Row],[Business Date]]=Control!$C$6, PV[[#This Row],[Notional Value Local Cur]], -PV[[#This Row],[Notional Value Local Cur]])</f>
        <v>0</v>
      </c>
    </row>
    <row r="1709" spans="1:5" x14ac:dyDescent="0.25">
      <c r="A1709" s="36" t="b">
        <v>0</v>
      </c>
      <c r="B1709" s="56" t="b">
        <v>0</v>
      </c>
      <c r="C1709" s="56" t="b">
        <v>0</v>
      </c>
      <c r="D1709" s="56" t="b">
        <v>0</v>
      </c>
      <c r="E1709" s="56">
        <f ca="1">IF(PV[[#This Row],[Business Date]]=Control!$C$6, PV[[#This Row],[Notional Value Local Cur]], -PV[[#This Row],[Notional Value Local Cur]])</f>
        <v>0</v>
      </c>
    </row>
    <row r="1710" spans="1:5" x14ac:dyDescent="0.25">
      <c r="A1710" s="36" t="b">
        <v>0</v>
      </c>
      <c r="B1710" s="56" t="b">
        <v>0</v>
      </c>
      <c r="C1710" s="56" t="b">
        <v>0</v>
      </c>
      <c r="D1710" s="56" t="b">
        <v>0</v>
      </c>
      <c r="E1710" s="56">
        <f ca="1">IF(PV[[#This Row],[Business Date]]=Control!$C$6, PV[[#This Row],[Notional Value Local Cur]], -PV[[#This Row],[Notional Value Local Cur]])</f>
        <v>0</v>
      </c>
    </row>
    <row r="1711" spans="1:5" x14ac:dyDescent="0.25">
      <c r="A1711" s="36" t="b">
        <v>0</v>
      </c>
      <c r="B1711" s="56" t="b">
        <v>0</v>
      </c>
      <c r="C1711" s="56" t="b">
        <v>0</v>
      </c>
      <c r="D1711" s="56" t="b">
        <v>0</v>
      </c>
      <c r="E1711" s="56">
        <f ca="1">IF(PV[[#This Row],[Business Date]]=Control!$C$6, PV[[#This Row],[Notional Value Local Cur]], -PV[[#This Row],[Notional Value Local Cur]])</f>
        <v>0</v>
      </c>
    </row>
    <row r="1712" spans="1:5" x14ac:dyDescent="0.25">
      <c r="A1712" s="36" t="b">
        <v>0</v>
      </c>
      <c r="B1712" s="56" t="b">
        <v>0</v>
      </c>
      <c r="C1712" s="56" t="b">
        <v>0</v>
      </c>
      <c r="D1712" s="56" t="b">
        <v>0</v>
      </c>
      <c r="E1712" s="56">
        <f ca="1">IF(PV[[#This Row],[Business Date]]=Control!$C$6, PV[[#This Row],[Notional Value Local Cur]], -PV[[#This Row],[Notional Value Local Cur]])</f>
        <v>0</v>
      </c>
    </row>
    <row r="1713" spans="1:5" x14ac:dyDescent="0.25">
      <c r="A1713" s="36" t="b">
        <v>0</v>
      </c>
      <c r="B1713" s="56" t="b">
        <v>0</v>
      </c>
      <c r="C1713" s="56" t="b">
        <v>0</v>
      </c>
      <c r="D1713" s="56" t="b">
        <v>0</v>
      </c>
      <c r="E1713" s="56">
        <f ca="1">IF(PV[[#This Row],[Business Date]]=Control!$C$6, PV[[#This Row],[Notional Value Local Cur]], -PV[[#This Row],[Notional Value Local Cur]])</f>
        <v>0</v>
      </c>
    </row>
    <row r="1714" spans="1:5" x14ac:dyDescent="0.25">
      <c r="A1714" s="36" t="b">
        <v>0</v>
      </c>
      <c r="B1714" s="56" t="b">
        <v>0</v>
      </c>
      <c r="C1714" s="56" t="b">
        <v>0</v>
      </c>
      <c r="D1714" s="56" t="b">
        <v>0</v>
      </c>
      <c r="E1714" s="56">
        <f ca="1">IF(PV[[#This Row],[Business Date]]=Control!$C$6, PV[[#This Row],[Notional Value Local Cur]], -PV[[#This Row],[Notional Value Local Cur]])</f>
        <v>0</v>
      </c>
    </row>
    <row r="1715" spans="1:5" x14ac:dyDescent="0.25">
      <c r="A1715" s="36" t="b">
        <v>0</v>
      </c>
      <c r="B1715" s="56" t="b">
        <v>0</v>
      </c>
      <c r="C1715" s="56" t="b">
        <v>0</v>
      </c>
      <c r="D1715" s="56" t="b">
        <v>0</v>
      </c>
      <c r="E1715" s="56">
        <f ca="1">IF(PV[[#This Row],[Business Date]]=Control!$C$6, PV[[#This Row],[Notional Value Local Cur]], -PV[[#This Row],[Notional Value Local Cur]])</f>
        <v>0</v>
      </c>
    </row>
    <row r="1716" spans="1:5" x14ac:dyDescent="0.25">
      <c r="A1716" s="36" t="b">
        <v>0</v>
      </c>
      <c r="B1716" s="56" t="b">
        <v>0</v>
      </c>
      <c r="C1716" s="56" t="b">
        <v>0</v>
      </c>
      <c r="D1716" s="56" t="b">
        <v>0</v>
      </c>
      <c r="E1716" s="56">
        <f ca="1">IF(PV[[#This Row],[Business Date]]=Control!$C$6, PV[[#This Row],[Notional Value Local Cur]], -PV[[#This Row],[Notional Value Local Cur]])</f>
        <v>0</v>
      </c>
    </row>
    <row r="1717" spans="1:5" x14ac:dyDescent="0.25">
      <c r="A1717" s="36" t="b">
        <v>0</v>
      </c>
      <c r="B1717" s="56" t="b">
        <v>0</v>
      </c>
      <c r="C1717" s="56" t="b">
        <v>0</v>
      </c>
      <c r="D1717" s="56" t="b">
        <v>0</v>
      </c>
      <c r="E1717" s="56">
        <f ca="1">IF(PV[[#This Row],[Business Date]]=Control!$C$6, PV[[#This Row],[Notional Value Local Cur]], -PV[[#This Row],[Notional Value Local Cur]])</f>
        <v>0</v>
      </c>
    </row>
    <row r="1718" spans="1:5" x14ac:dyDescent="0.25">
      <c r="A1718" s="36" t="b">
        <v>0</v>
      </c>
      <c r="B1718" s="56" t="b">
        <v>0</v>
      </c>
      <c r="C1718" s="56" t="b">
        <v>0</v>
      </c>
      <c r="D1718" s="56" t="b">
        <v>0</v>
      </c>
      <c r="E1718" s="56">
        <f ca="1">IF(PV[[#This Row],[Business Date]]=Control!$C$6, PV[[#This Row],[Notional Value Local Cur]], -PV[[#This Row],[Notional Value Local Cur]])</f>
        <v>0</v>
      </c>
    </row>
    <row r="1719" spans="1:5" x14ac:dyDescent="0.25">
      <c r="A1719" s="36" t="b">
        <v>0</v>
      </c>
      <c r="B1719" s="56" t="b">
        <v>0</v>
      </c>
      <c r="C1719" s="56" t="b">
        <v>0</v>
      </c>
      <c r="D1719" s="56" t="b">
        <v>0</v>
      </c>
      <c r="E1719" s="56">
        <f ca="1">IF(PV[[#This Row],[Business Date]]=Control!$C$6, PV[[#This Row],[Notional Value Local Cur]], -PV[[#This Row],[Notional Value Local Cur]])</f>
        <v>0</v>
      </c>
    </row>
    <row r="1720" spans="1:5" x14ac:dyDescent="0.25">
      <c r="A1720" s="36" t="b">
        <v>0</v>
      </c>
      <c r="B1720" s="56" t="b">
        <v>0</v>
      </c>
      <c r="C1720" s="56" t="b">
        <v>0</v>
      </c>
      <c r="D1720" s="56" t="b">
        <v>0</v>
      </c>
      <c r="E1720" s="56">
        <f ca="1">IF(PV[[#This Row],[Business Date]]=Control!$C$6, PV[[#This Row],[Notional Value Local Cur]], -PV[[#This Row],[Notional Value Local Cur]])</f>
        <v>0</v>
      </c>
    </row>
    <row r="1721" spans="1:5" x14ac:dyDescent="0.25">
      <c r="A1721" s="36" t="b">
        <v>0</v>
      </c>
      <c r="B1721" s="56" t="b">
        <v>0</v>
      </c>
      <c r="C1721" s="56" t="b">
        <v>0</v>
      </c>
      <c r="D1721" s="56" t="b">
        <v>0</v>
      </c>
      <c r="E1721" s="56">
        <f ca="1">IF(PV[[#This Row],[Business Date]]=Control!$C$6, PV[[#This Row],[Notional Value Local Cur]], -PV[[#This Row],[Notional Value Local Cur]])</f>
        <v>0</v>
      </c>
    </row>
    <row r="1722" spans="1:5" x14ac:dyDescent="0.25">
      <c r="A1722" s="36" t="b">
        <v>0</v>
      </c>
      <c r="B1722" s="56" t="b">
        <v>0</v>
      </c>
      <c r="C1722" s="56" t="b">
        <v>0</v>
      </c>
      <c r="D1722" s="56" t="b">
        <v>0</v>
      </c>
      <c r="E1722" s="56">
        <f ca="1">IF(PV[[#This Row],[Business Date]]=Control!$C$6, PV[[#This Row],[Notional Value Local Cur]], -PV[[#This Row],[Notional Value Local Cur]])</f>
        <v>0</v>
      </c>
    </row>
    <row r="1723" spans="1:5" x14ac:dyDescent="0.25">
      <c r="A1723" s="36" t="b">
        <v>0</v>
      </c>
      <c r="B1723" s="56" t="b">
        <v>0</v>
      </c>
      <c r="C1723" s="56" t="b">
        <v>0</v>
      </c>
      <c r="D1723" s="56" t="b">
        <v>0</v>
      </c>
      <c r="E1723" s="56">
        <f ca="1">IF(PV[[#This Row],[Business Date]]=Control!$C$6, PV[[#This Row],[Notional Value Local Cur]], -PV[[#This Row],[Notional Value Local Cur]])</f>
        <v>0</v>
      </c>
    </row>
    <row r="1724" spans="1:5" x14ac:dyDescent="0.25">
      <c r="A1724" s="36" t="b">
        <v>0</v>
      </c>
      <c r="B1724" s="56" t="b">
        <v>0</v>
      </c>
      <c r="C1724" s="56" t="b">
        <v>0</v>
      </c>
      <c r="D1724" s="56" t="b">
        <v>0</v>
      </c>
      <c r="E1724" s="56">
        <f ca="1">IF(PV[[#This Row],[Business Date]]=Control!$C$6, PV[[#This Row],[Notional Value Local Cur]], -PV[[#This Row],[Notional Value Local Cur]])</f>
        <v>0</v>
      </c>
    </row>
    <row r="1725" spans="1:5" x14ac:dyDescent="0.25">
      <c r="A1725" s="36" t="b">
        <v>0</v>
      </c>
      <c r="B1725" s="56" t="b">
        <v>0</v>
      </c>
      <c r="C1725" s="56" t="b">
        <v>0</v>
      </c>
      <c r="D1725" s="56" t="b">
        <v>0</v>
      </c>
      <c r="E1725" s="56">
        <f ca="1">IF(PV[[#This Row],[Business Date]]=Control!$C$6, PV[[#This Row],[Notional Value Local Cur]], -PV[[#This Row],[Notional Value Local Cur]])</f>
        <v>0</v>
      </c>
    </row>
    <row r="1726" spans="1:5" x14ac:dyDescent="0.25">
      <c r="A1726" s="36" t="b">
        <v>0</v>
      </c>
      <c r="B1726" s="56" t="b">
        <v>0</v>
      </c>
      <c r="C1726" s="56" t="b">
        <v>0</v>
      </c>
      <c r="D1726" s="56" t="b">
        <v>0</v>
      </c>
      <c r="E1726" s="56">
        <f ca="1">IF(PV[[#This Row],[Business Date]]=Control!$C$6, PV[[#This Row],[Notional Value Local Cur]], -PV[[#This Row],[Notional Value Local Cur]])</f>
        <v>0</v>
      </c>
    </row>
    <row r="1727" spans="1:5" x14ac:dyDescent="0.25">
      <c r="A1727" s="36" t="b">
        <v>0</v>
      </c>
      <c r="B1727" s="56" t="b">
        <v>0</v>
      </c>
      <c r="C1727" s="56" t="b">
        <v>0</v>
      </c>
      <c r="D1727" s="56" t="b">
        <v>0</v>
      </c>
      <c r="E1727" s="56">
        <f ca="1">IF(PV[[#This Row],[Business Date]]=Control!$C$6, PV[[#This Row],[Notional Value Local Cur]], -PV[[#This Row],[Notional Value Local Cur]])</f>
        <v>0</v>
      </c>
    </row>
    <row r="1728" spans="1:5" x14ac:dyDescent="0.25">
      <c r="A1728" s="36" t="b">
        <v>0</v>
      </c>
      <c r="B1728" s="56" t="b">
        <v>0</v>
      </c>
      <c r="C1728" s="56" t="b">
        <v>0</v>
      </c>
      <c r="D1728" s="56" t="b">
        <v>0</v>
      </c>
      <c r="E1728" s="56">
        <f ca="1">IF(PV[[#This Row],[Business Date]]=Control!$C$6, PV[[#This Row],[Notional Value Local Cur]], -PV[[#This Row],[Notional Value Local Cur]])</f>
        <v>0</v>
      </c>
    </row>
    <row r="1729" spans="1:5" x14ac:dyDescent="0.25">
      <c r="A1729" s="36" t="b">
        <v>0</v>
      </c>
      <c r="B1729" s="56" t="b">
        <v>0</v>
      </c>
      <c r="C1729" s="56" t="b">
        <v>0</v>
      </c>
      <c r="D1729" s="56" t="b">
        <v>0</v>
      </c>
      <c r="E1729" s="56">
        <f ca="1">IF(PV[[#This Row],[Business Date]]=Control!$C$6, PV[[#This Row],[Notional Value Local Cur]], -PV[[#This Row],[Notional Value Local Cur]])</f>
        <v>0</v>
      </c>
    </row>
    <row r="1730" spans="1:5" x14ac:dyDescent="0.25">
      <c r="A1730" s="36" t="b">
        <v>0</v>
      </c>
      <c r="B1730" s="56" t="b">
        <v>0</v>
      </c>
      <c r="C1730" s="56" t="b">
        <v>0</v>
      </c>
      <c r="D1730" s="56" t="b">
        <v>0</v>
      </c>
      <c r="E1730" s="56">
        <f ca="1">IF(PV[[#This Row],[Business Date]]=Control!$C$6, PV[[#This Row],[Notional Value Local Cur]], -PV[[#This Row],[Notional Value Local Cur]])</f>
        <v>0</v>
      </c>
    </row>
    <row r="1731" spans="1:5" x14ac:dyDescent="0.25">
      <c r="A1731" s="36" t="b">
        <v>0</v>
      </c>
      <c r="B1731" s="56" t="b">
        <v>0</v>
      </c>
      <c r="C1731" s="56" t="b">
        <v>0</v>
      </c>
      <c r="D1731" s="56" t="b">
        <v>0</v>
      </c>
      <c r="E1731" s="56">
        <f ca="1">IF(PV[[#This Row],[Business Date]]=Control!$C$6, PV[[#This Row],[Notional Value Local Cur]], -PV[[#This Row],[Notional Value Local Cur]])</f>
        <v>0</v>
      </c>
    </row>
    <row r="1732" spans="1:5" x14ac:dyDescent="0.25">
      <c r="A1732" s="36" t="b">
        <v>0</v>
      </c>
      <c r="B1732" s="56" t="b">
        <v>0</v>
      </c>
      <c r="C1732" s="56" t="b">
        <v>0</v>
      </c>
      <c r="D1732" s="56" t="b">
        <v>0</v>
      </c>
      <c r="E1732" s="56">
        <f ca="1">IF(PV[[#This Row],[Business Date]]=Control!$C$6, PV[[#This Row],[Notional Value Local Cur]], -PV[[#This Row],[Notional Value Local Cur]])</f>
        <v>0</v>
      </c>
    </row>
    <row r="1733" spans="1:5" x14ac:dyDescent="0.25">
      <c r="A1733" s="36" t="b">
        <v>0</v>
      </c>
      <c r="B1733" s="56" t="b">
        <v>0</v>
      </c>
      <c r="C1733" s="56" t="b">
        <v>0</v>
      </c>
      <c r="D1733" s="56" t="b">
        <v>0</v>
      </c>
      <c r="E1733" s="56">
        <f ca="1">IF(PV[[#This Row],[Business Date]]=Control!$C$6, PV[[#This Row],[Notional Value Local Cur]], -PV[[#This Row],[Notional Value Local Cur]])</f>
        <v>0</v>
      </c>
    </row>
    <row r="1734" spans="1:5" x14ac:dyDescent="0.25">
      <c r="A1734" s="36" t="b">
        <v>0</v>
      </c>
      <c r="B1734" s="56" t="b">
        <v>0</v>
      </c>
      <c r="C1734" s="56" t="b">
        <v>0</v>
      </c>
      <c r="D1734" s="56" t="b">
        <v>0</v>
      </c>
      <c r="E1734" s="56">
        <f ca="1">IF(PV[[#This Row],[Business Date]]=Control!$C$6, PV[[#This Row],[Notional Value Local Cur]], -PV[[#This Row],[Notional Value Local Cur]])</f>
        <v>0</v>
      </c>
    </row>
    <row r="1735" spans="1:5" x14ac:dyDescent="0.25">
      <c r="A1735" s="36" t="b">
        <v>0</v>
      </c>
      <c r="B1735" s="56" t="b">
        <v>0</v>
      </c>
      <c r="C1735" s="56" t="b">
        <v>0</v>
      </c>
      <c r="D1735" s="56" t="b">
        <v>0</v>
      </c>
      <c r="E1735" s="56">
        <f ca="1">IF(PV[[#This Row],[Business Date]]=Control!$C$6, PV[[#This Row],[Notional Value Local Cur]], -PV[[#This Row],[Notional Value Local Cur]])</f>
        <v>0</v>
      </c>
    </row>
    <row r="1736" spans="1:5" x14ac:dyDescent="0.25">
      <c r="A1736" s="36" t="b">
        <v>0</v>
      </c>
      <c r="B1736" s="56" t="b">
        <v>0</v>
      </c>
      <c r="C1736" s="56" t="b">
        <v>0</v>
      </c>
      <c r="D1736" s="56" t="b">
        <v>0</v>
      </c>
      <c r="E1736" s="56">
        <f ca="1">IF(PV[[#This Row],[Business Date]]=Control!$C$6, PV[[#This Row],[Notional Value Local Cur]], -PV[[#This Row],[Notional Value Local Cur]])</f>
        <v>0</v>
      </c>
    </row>
    <row r="1737" spans="1:5" x14ac:dyDescent="0.25">
      <c r="A1737" s="36" t="b">
        <v>0</v>
      </c>
      <c r="B1737" s="56" t="b">
        <v>0</v>
      </c>
      <c r="C1737" s="56" t="b">
        <v>0</v>
      </c>
      <c r="D1737" s="56" t="b">
        <v>0</v>
      </c>
      <c r="E1737" s="56">
        <f ca="1">IF(PV[[#This Row],[Business Date]]=Control!$C$6, PV[[#This Row],[Notional Value Local Cur]], -PV[[#This Row],[Notional Value Local Cur]])</f>
        <v>0</v>
      </c>
    </row>
    <row r="1738" spans="1:5" x14ac:dyDescent="0.25">
      <c r="A1738" s="36" t="b">
        <v>0</v>
      </c>
      <c r="B1738" s="56" t="b">
        <v>0</v>
      </c>
      <c r="C1738" s="56" t="b">
        <v>0</v>
      </c>
      <c r="D1738" s="56" t="b">
        <v>0</v>
      </c>
      <c r="E1738" s="56">
        <f ca="1">IF(PV[[#This Row],[Business Date]]=Control!$C$6, PV[[#This Row],[Notional Value Local Cur]], -PV[[#This Row],[Notional Value Local Cur]])</f>
        <v>0</v>
      </c>
    </row>
    <row r="1739" spans="1:5" x14ac:dyDescent="0.25">
      <c r="A1739" s="36" t="b">
        <v>0</v>
      </c>
      <c r="B1739" s="56" t="b">
        <v>0</v>
      </c>
      <c r="C1739" s="56" t="b">
        <v>0</v>
      </c>
      <c r="D1739" s="56" t="b">
        <v>0</v>
      </c>
      <c r="E1739" s="56">
        <f ca="1">IF(PV[[#This Row],[Business Date]]=Control!$C$6, PV[[#This Row],[Notional Value Local Cur]], -PV[[#This Row],[Notional Value Local Cur]])</f>
        <v>0</v>
      </c>
    </row>
    <row r="1740" spans="1:5" x14ac:dyDescent="0.25">
      <c r="A1740" s="36" t="b">
        <v>0</v>
      </c>
      <c r="B1740" s="56" t="b">
        <v>0</v>
      </c>
      <c r="C1740" s="56" t="b">
        <v>0</v>
      </c>
      <c r="D1740" s="56" t="b">
        <v>0</v>
      </c>
      <c r="E1740" s="56">
        <f ca="1">IF(PV[[#This Row],[Business Date]]=Control!$C$6, PV[[#This Row],[Notional Value Local Cur]], -PV[[#This Row],[Notional Value Local Cur]])</f>
        <v>0</v>
      </c>
    </row>
    <row r="1741" spans="1:5" x14ac:dyDescent="0.25">
      <c r="A1741" s="36" t="b">
        <v>0</v>
      </c>
      <c r="B1741" s="56" t="b">
        <v>0</v>
      </c>
      <c r="C1741" s="56" t="b">
        <v>0</v>
      </c>
      <c r="D1741" s="56" t="b">
        <v>0</v>
      </c>
      <c r="E1741" s="56">
        <f ca="1">IF(PV[[#This Row],[Business Date]]=Control!$C$6, PV[[#This Row],[Notional Value Local Cur]], -PV[[#This Row],[Notional Value Local Cur]])</f>
        <v>0</v>
      </c>
    </row>
    <row r="1742" spans="1:5" x14ac:dyDescent="0.25">
      <c r="A1742" s="36" t="b">
        <v>0</v>
      </c>
      <c r="B1742" s="56" t="b">
        <v>0</v>
      </c>
      <c r="C1742" s="56" t="b">
        <v>0</v>
      </c>
      <c r="D1742" s="56" t="b">
        <v>0</v>
      </c>
      <c r="E1742" s="56">
        <f ca="1">IF(PV[[#This Row],[Business Date]]=Control!$C$6, PV[[#This Row],[Notional Value Local Cur]], -PV[[#This Row],[Notional Value Local Cur]])</f>
        <v>0</v>
      </c>
    </row>
    <row r="1743" spans="1:5" x14ac:dyDescent="0.25">
      <c r="A1743" s="36" t="b">
        <v>0</v>
      </c>
      <c r="B1743" s="56" t="b">
        <v>0</v>
      </c>
      <c r="C1743" s="56" t="b">
        <v>0</v>
      </c>
      <c r="D1743" s="56" t="b">
        <v>0</v>
      </c>
      <c r="E1743" s="56">
        <f ca="1">IF(PV[[#This Row],[Business Date]]=Control!$C$6, PV[[#This Row],[Notional Value Local Cur]], -PV[[#This Row],[Notional Value Local Cur]])</f>
        <v>0</v>
      </c>
    </row>
    <row r="1744" spans="1:5" x14ac:dyDescent="0.25">
      <c r="A1744" s="36" t="b">
        <v>0</v>
      </c>
      <c r="B1744" s="56" t="b">
        <v>0</v>
      </c>
      <c r="C1744" s="56" t="b">
        <v>0</v>
      </c>
      <c r="D1744" s="56" t="b">
        <v>0</v>
      </c>
      <c r="E1744" s="56">
        <f ca="1">IF(PV[[#This Row],[Business Date]]=Control!$C$6, PV[[#This Row],[Notional Value Local Cur]], -PV[[#This Row],[Notional Value Local Cur]])</f>
        <v>0</v>
      </c>
    </row>
    <row r="1745" spans="1:5" x14ac:dyDescent="0.25">
      <c r="A1745" s="36" t="b">
        <v>0</v>
      </c>
      <c r="B1745" s="56" t="b">
        <v>0</v>
      </c>
      <c r="C1745" s="56" t="b">
        <v>0</v>
      </c>
      <c r="D1745" s="56" t="b">
        <v>0</v>
      </c>
      <c r="E1745" s="56">
        <f ca="1">IF(PV[[#This Row],[Business Date]]=Control!$C$6, PV[[#This Row],[Notional Value Local Cur]], -PV[[#This Row],[Notional Value Local Cur]])</f>
        <v>0</v>
      </c>
    </row>
    <row r="1746" spans="1:5" x14ac:dyDescent="0.25">
      <c r="A1746" s="36" t="b">
        <v>0</v>
      </c>
      <c r="B1746" s="56" t="b">
        <v>0</v>
      </c>
      <c r="C1746" s="56" t="b">
        <v>0</v>
      </c>
      <c r="D1746" s="56" t="b">
        <v>0</v>
      </c>
      <c r="E1746" s="56">
        <f ca="1">IF(PV[[#This Row],[Business Date]]=Control!$C$6, PV[[#This Row],[Notional Value Local Cur]], -PV[[#This Row],[Notional Value Local Cur]])</f>
        <v>0</v>
      </c>
    </row>
    <row r="1747" spans="1:5" x14ac:dyDescent="0.25">
      <c r="A1747" s="36" t="b">
        <v>0</v>
      </c>
      <c r="B1747" s="56" t="b">
        <v>0</v>
      </c>
      <c r="C1747" s="56" t="b">
        <v>0</v>
      </c>
      <c r="D1747" s="56" t="b">
        <v>0</v>
      </c>
      <c r="E1747" s="56">
        <f ca="1">IF(PV[[#This Row],[Business Date]]=Control!$C$6, PV[[#This Row],[Notional Value Local Cur]], -PV[[#This Row],[Notional Value Local Cur]])</f>
        <v>0</v>
      </c>
    </row>
    <row r="1748" spans="1:5" x14ac:dyDescent="0.25">
      <c r="A1748" s="36" t="b">
        <v>0</v>
      </c>
      <c r="B1748" s="56" t="b">
        <v>0</v>
      </c>
      <c r="C1748" s="56" t="b">
        <v>0</v>
      </c>
      <c r="D1748" s="56" t="b">
        <v>0</v>
      </c>
      <c r="E1748" s="56">
        <f ca="1">IF(PV[[#This Row],[Business Date]]=Control!$C$6, PV[[#This Row],[Notional Value Local Cur]], -PV[[#This Row],[Notional Value Local Cur]])</f>
        <v>0</v>
      </c>
    </row>
    <row r="1749" spans="1:5" x14ac:dyDescent="0.25">
      <c r="A1749" s="36" t="b">
        <v>0</v>
      </c>
      <c r="B1749" s="56" t="b">
        <v>0</v>
      </c>
      <c r="C1749" s="56" t="b">
        <v>0</v>
      </c>
      <c r="D1749" s="56" t="b">
        <v>0</v>
      </c>
      <c r="E1749" s="56">
        <f ca="1">IF(PV[[#This Row],[Business Date]]=Control!$C$6, PV[[#This Row],[Notional Value Local Cur]], -PV[[#This Row],[Notional Value Local Cur]])</f>
        <v>0</v>
      </c>
    </row>
    <row r="1750" spans="1:5" x14ac:dyDescent="0.25">
      <c r="A1750" s="36" t="b">
        <v>0</v>
      </c>
      <c r="B1750" s="56" t="b">
        <v>0</v>
      </c>
      <c r="C1750" s="56" t="b">
        <v>0</v>
      </c>
      <c r="D1750" s="56" t="b">
        <v>0</v>
      </c>
      <c r="E1750" s="56">
        <f ca="1">IF(PV[[#This Row],[Business Date]]=Control!$C$6, PV[[#This Row],[Notional Value Local Cur]], -PV[[#This Row],[Notional Value Local Cur]])</f>
        <v>0</v>
      </c>
    </row>
    <row r="1751" spans="1:5" x14ac:dyDescent="0.25">
      <c r="A1751" s="36" t="b">
        <v>0</v>
      </c>
      <c r="B1751" s="56" t="b">
        <v>0</v>
      </c>
      <c r="C1751" s="56" t="b">
        <v>0</v>
      </c>
      <c r="D1751" s="56" t="b">
        <v>0</v>
      </c>
      <c r="E1751" s="56">
        <f ca="1">IF(PV[[#This Row],[Business Date]]=Control!$C$6, PV[[#This Row],[Notional Value Local Cur]], -PV[[#This Row],[Notional Value Local Cur]])</f>
        <v>0</v>
      </c>
    </row>
    <row r="1752" spans="1:5" x14ac:dyDescent="0.25">
      <c r="A1752" s="36" t="b">
        <v>0</v>
      </c>
      <c r="B1752" s="56" t="b">
        <v>0</v>
      </c>
      <c r="C1752" s="56" t="b">
        <v>0</v>
      </c>
      <c r="D1752" s="56" t="b">
        <v>0</v>
      </c>
      <c r="E1752" s="56">
        <f ca="1">IF(PV[[#This Row],[Business Date]]=Control!$C$6, PV[[#This Row],[Notional Value Local Cur]], -PV[[#This Row],[Notional Value Local Cur]])</f>
        <v>0</v>
      </c>
    </row>
    <row r="1753" spans="1:5" x14ac:dyDescent="0.25">
      <c r="A1753" s="36" t="b">
        <v>0</v>
      </c>
      <c r="B1753" s="56" t="b">
        <v>0</v>
      </c>
      <c r="C1753" s="56" t="b">
        <v>0</v>
      </c>
      <c r="D1753" s="56" t="b">
        <v>0</v>
      </c>
      <c r="E1753" s="56">
        <f ca="1">IF(PV[[#This Row],[Business Date]]=Control!$C$6, PV[[#This Row],[Notional Value Local Cur]], -PV[[#This Row],[Notional Value Local Cur]])</f>
        <v>0</v>
      </c>
    </row>
    <row r="1754" spans="1:5" x14ac:dyDescent="0.25">
      <c r="A1754" s="36" t="b">
        <v>0</v>
      </c>
      <c r="B1754" s="56" t="b">
        <v>0</v>
      </c>
      <c r="C1754" s="56" t="b">
        <v>0</v>
      </c>
      <c r="D1754" s="56" t="b">
        <v>0</v>
      </c>
      <c r="E1754" s="56">
        <f ca="1">IF(PV[[#This Row],[Business Date]]=Control!$C$6, PV[[#This Row],[Notional Value Local Cur]], -PV[[#This Row],[Notional Value Local Cur]])</f>
        <v>0</v>
      </c>
    </row>
    <row r="1755" spans="1:5" x14ac:dyDescent="0.25">
      <c r="A1755" s="36" t="b">
        <v>0</v>
      </c>
      <c r="B1755" s="56" t="b">
        <v>0</v>
      </c>
      <c r="C1755" s="56" t="b">
        <v>0</v>
      </c>
      <c r="D1755" s="56" t="b">
        <v>0</v>
      </c>
      <c r="E1755" s="56">
        <f ca="1">IF(PV[[#This Row],[Business Date]]=Control!$C$6, PV[[#This Row],[Notional Value Local Cur]], -PV[[#This Row],[Notional Value Local Cur]])</f>
        <v>0</v>
      </c>
    </row>
    <row r="1756" spans="1:5" x14ac:dyDescent="0.25">
      <c r="A1756" s="36" t="b">
        <v>0</v>
      </c>
      <c r="B1756" s="56" t="b">
        <v>0</v>
      </c>
      <c r="C1756" s="56" t="b">
        <v>0</v>
      </c>
      <c r="D1756" s="56" t="b">
        <v>0</v>
      </c>
      <c r="E1756" s="56">
        <f ca="1">IF(PV[[#This Row],[Business Date]]=Control!$C$6, PV[[#This Row],[Notional Value Local Cur]], -PV[[#This Row],[Notional Value Local Cur]])</f>
        <v>0</v>
      </c>
    </row>
    <row r="1757" spans="1:5" x14ac:dyDescent="0.25">
      <c r="A1757" s="36" t="b">
        <v>0</v>
      </c>
      <c r="B1757" s="56" t="b">
        <v>0</v>
      </c>
      <c r="C1757" s="56" t="b">
        <v>0</v>
      </c>
      <c r="D1757" s="56" t="b">
        <v>0</v>
      </c>
      <c r="E1757" s="56">
        <f ca="1">IF(PV[[#This Row],[Business Date]]=Control!$C$6, PV[[#This Row],[Notional Value Local Cur]], -PV[[#This Row],[Notional Value Local Cur]])</f>
        <v>0</v>
      </c>
    </row>
    <row r="1758" spans="1:5" x14ac:dyDescent="0.25">
      <c r="A1758" s="36" t="b">
        <v>0</v>
      </c>
      <c r="B1758" s="56" t="b">
        <v>0</v>
      </c>
      <c r="C1758" s="56" t="b">
        <v>0</v>
      </c>
      <c r="D1758" s="56" t="b">
        <v>0</v>
      </c>
      <c r="E1758" s="56">
        <f ca="1">IF(PV[[#This Row],[Business Date]]=Control!$C$6, PV[[#This Row],[Notional Value Local Cur]], -PV[[#This Row],[Notional Value Local Cur]])</f>
        <v>0</v>
      </c>
    </row>
    <row r="1759" spans="1:5" x14ac:dyDescent="0.25">
      <c r="A1759" s="36" t="b">
        <v>0</v>
      </c>
      <c r="B1759" s="56" t="b">
        <v>0</v>
      </c>
      <c r="C1759" s="56" t="b">
        <v>0</v>
      </c>
      <c r="D1759" s="56" t="b">
        <v>0</v>
      </c>
      <c r="E1759" s="56">
        <f ca="1">IF(PV[[#This Row],[Business Date]]=Control!$C$6, PV[[#This Row],[Notional Value Local Cur]], -PV[[#This Row],[Notional Value Local Cur]])</f>
        <v>0</v>
      </c>
    </row>
    <row r="1760" spans="1:5" x14ac:dyDescent="0.25">
      <c r="A1760" s="36" t="b">
        <v>0</v>
      </c>
      <c r="B1760" s="56" t="b">
        <v>0</v>
      </c>
      <c r="C1760" s="56" t="b">
        <v>0</v>
      </c>
      <c r="D1760" s="56" t="b">
        <v>0</v>
      </c>
      <c r="E1760" s="56">
        <f ca="1">IF(PV[[#This Row],[Business Date]]=Control!$C$6, PV[[#This Row],[Notional Value Local Cur]], -PV[[#This Row],[Notional Value Local Cur]])</f>
        <v>0</v>
      </c>
    </row>
    <row r="1761" spans="1:5" x14ac:dyDescent="0.25">
      <c r="A1761" s="36" t="b">
        <v>0</v>
      </c>
      <c r="B1761" s="56" t="b">
        <v>0</v>
      </c>
      <c r="C1761" s="56" t="b">
        <v>0</v>
      </c>
      <c r="D1761" s="56" t="b">
        <v>0</v>
      </c>
      <c r="E1761" s="56">
        <f ca="1">IF(PV[[#This Row],[Business Date]]=Control!$C$6, PV[[#This Row],[Notional Value Local Cur]], -PV[[#This Row],[Notional Value Local Cur]])</f>
        <v>0</v>
      </c>
    </row>
    <row r="1762" spans="1:5" x14ac:dyDescent="0.25">
      <c r="A1762" s="36" t="b">
        <v>0</v>
      </c>
      <c r="B1762" s="56" t="b">
        <v>0</v>
      </c>
      <c r="C1762" s="56" t="b">
        <v>0</v>
      </c>
      <c r="D1762" s="56" t="b">
        <v>0</v>
      </c>
      <c r="E1762" s="56">
        <f ca="1">IF(PV[[#This Row],[Business Date]]=Control!$C$6, PV[[#This Row],[Notional Value Local Cur]], -PV[[#This Row],[Notional Value Local Cur]])</f>
        <v>0</v>
      </c>
    </row>
    <row r="1763" spans="1:5" x14ac:dyDescent="0.25">
      <c r="A1763" s="36" t="b">
        <v>0</v>
      </c>
      <c r="B1763" s="56" t="b">
        <v>0</v>
      </c>
      <c r="C1763" s="56" t="b">
        <v>0</v>
      </c>
      <c r="D1763" s="56" t="b">
        <v>0</v>
      </c>
      <c r="E1763" s="56">
        <f ca="1">IF(PV[[#This Row],[Business Date]]=Control!$C$6, PV[[#This Row],[Notional Value Local Cur]], -PV[[#This Row],[Notional Value Local Cur]])</f>
        <v>0</v>
      </c>
    </row>
    <row r="1764" spans="1:5" x14ac:dyDescent="0.25">
      <c r="A1764" s="36" t="b">
        <v>0</v>
      </c>
      <c r="B1764" s="56" t="b">
        <v>0</v>
      </c>
      <c r="C1764" s="56" t="b">
        <v>0</v>
      </c>
      <c r="D1764" s="56" t="b">
        <v>0</v>
      </c>
      <c r="E1764" s="56">
        <f ca="1">IF(PV[[#This Row],[Business Date]]=Control!$C$6, PV[[#This Row],[Notional Value Local Cur]], -PV[[#This Row],[Notional Value Local Cur]])</f>
        <v>0</v>
      </c>
    </row>
    <row r="1765" spans="1:5" x14ac:dyDescent="0.25">
      <c r="A1765" s="36" t="b">
        <v>0</v>
      </c>
      <c r="B1765" s="56" t="b">
        <v>0</v>
      </c>
      <c r="C1765" s="56" t="b">
        <v>0</v>
      </c>
      <c r="D1765" s="56" t="b">
        <v>0</v>
      </c>
      <c r="E1765" s="56">
        <f ca="1">IF(PV[[#This Row],[Business Date]]=Control!$C$6, PV[[#This Row],[Notional Value Local Cur]], -PV[[#This Row],[Notional Value Local Cur]])</f>
        <v>0</v>
      </c>
    </row>
    <row r="1766" spans="1:5" x14ac:dyDescent="0.25">
      <c r="A1766" s="36" t="b">
        <v>0</v>
      </c>
      <c r="B1766" s="56" t="b">
        <v>0</v>
      </c>
      <c r="C1766" s="56" t="b">
        <v>0</v>
      </c>
      <c r="D1766" s="56" t="b">
        <v>0</v>
      </c>
      <c r="E1766" s="56">
        <f ca="1">IF(PV[[#This Row],[Business Date]]=Control!$C$6, PV[[#This Row],[Notional Value Local Cur]], -PV[[#This Row],[Notional Value Local Cur]])</f>
        <v>0</v>
      </c>
    </row>
    <row r="1767" spans="1:5" x14ac:dyDescent="0.25">
      <c r="A1767" s="36" t="b">
        <v>0</v>
      </c>
      <c r="B1767" s="56" t="b">
        <v>0</v>
      </c>
      <c r="C1767" s="56" t="b">
        <v>0</v>
      </c>
      <c r="D1767" s="56" t="b">
        <v>0</v>
      </c>
      <c r="E1767" s="56">
        <f ca="1">IF(PV[[#This Row],[Business Date]]=Control!$C$6, PV[[#This Row],[Notional Value Local Cur]], -PV[[#This Row],[Notional Value Local Cur]])</f>
        <v>0</v>
      </c>
    </row>
    <row r="1768" spans="1:5" x14ac:dyDescent="0.25">
      <c r="A1768" s="36" t="b">
        <v>0</v>
      </c>
      <c r="B1768" s="56" t="b">
        <v>0</v>
      </c>
      <c r="C1768" s="56" t="b">
        <v>0</v>
      </c>
      <c r="D1768" s="56" t="b">
        <v>0</v>
      </c>
      <c r="E1768" s="56">
        <f ca="1">IF(PV[[#This Row],[Business Date]]=Control!$C$6, PV[[#This Row],[Notional Value Local Cur]], -PV[[#This Row],[Notional Value Local Cur]])</f>
        <v>0</v>
      </c>
    </row>
    <row r="1769" spans="1:5" x14ac:dyDescent="0.25">
      <c r="A1769" s="36" t="b">
        <v>0</v>
      </c>
      <c r="B1769" s="56" t="b">
        <v>0</v>
      </c>
      <c r="C1769" s="56" t="b">
        <v>0</v>
      </c>
      <c r="D1769" s="56" t="b">
        <v>0</v>
      </c>
      <c r="E1769" s="56">
        <f ca="1">IF(PV[[#This Row],[Business Date]]=Control!$C$6, PV[[#This Row],[Notional Value Local Cur]], -PV[[#This Row],[Notional Value Local Cur]])</f>
        <v>0</v>
      </c>
    </row>
    <row r="1770" spans="1:5" x14ac:dyDescent="0.25">
      <c r="A1770" s="36" t="b">
        <v>0</v>
      </c>
      <c r="B1770" s="56" t="b">
        <v>0</v>
      </c>
      <c r="C1770" s="56" t="b">
        <v>0</v>
      </c>
      <c r="D1770" s="56" t="b">
        <v>0</v>
      </c>
      <c r="E1770" s="56">
        <f ca="1">IF(PV[[#This Row],[Business Date]]=Control!$C$6, PV[[#This Row],[Notional Value Local Cur]], -PV[[#This Row],[Notional Value Local Cur]])</f>
        <v>0</v>
      </c>
    </row>
    <row r="1771" spans="1:5" x14ac:dyDescent="0.25">
      <c r="A1771" s="36" t="b">
        <v>0</v>
      </c>
      <c r="B1771" s="56" t="b">
        <v>0</v>
      </c>
      <c r="C1771" s="56" t="b">
        <v>0</v>
      </c>
      <c r="D1771" s="56" t="b">
        <v>0</v>
      </c>
      <c r="E1771" s="56">
        <f ca="1">IF(PV[[#This Row],[Business Date]]=Control!$C$6, PV[[#This Row],[Notional Value Local Cur]], -PV[[#This Row],[Notional Value Local Cur]])</f>
        <v>0</v>
      </c>
    </row>
    <row r="1772" spans="1:5" x14ac:dyDescent="0.25">
      <c r="A1772" s="36" t="b">
        <v>0</v>
      </c>
      <c r="B1772" s="56" t="b">
        <v>0</v>
      </c>
      <c r="C1772" s="56" t="b">
        <v>0</v>
      </c>
      <c r="D1772" s="56" t="b">
        <v>0</v>
      </c>
      <c r="E1772" s="56">
        <f ca="1">IF(PV[[#This Row],[Business Date]]=Control!$C$6, PV[[#This Row],[Notional Value Local Cur]], -PV[[#This Row],[Notional Value Local Cur]])</f>
        <v>0</v>
      </c>
    </row>
    <row r="1773" spans="1:5" x14ac:dyDescent="0.25">
      <c r="A1773" s="36" t="b">
        <v>0</v>
      </c>
      <c r="B1773" s="56" t="b">
        <v>0</v>
      </c>
      <c r="C1773" s="56" t="b">
        <v>0</v>
      </c>
      <c r="D1773" s="56" t="b">
        <v>0</v>
      </c>
      <c r="E1773" s="56">
        <f ca="1">IF(PV[[#This Row],[Business Date]]=Control!$C$6, PV[[#This Row],[Notional Value Local Cur]], -PV[[#This Row],[Notional Value Local Cur]])</f>
        <v>0</v>
      </c>
    </row>
    <row r="1774" spans="1:5" x14ac:dyDescent="0.25">
      <c r="A1774" s="36" t="b">
        <v>0</v>
      </c>
      <c r="B1774" s="56" t="b">
        <v>0</v>
      </c>
      <c r="C1774" s="56" t="b">
        <v>0</v>
      </c>
      <c r="D1774" s="56" t="b">
        <v>0</v>
      </c>
      <c r="E1774" s="56">
        <f ca="1">IF(PV[[#This Row],[Business Date]]=Control!$C$6, PV[[#This Row],[Notional Value Local Cur]], -PV[[#This Row],[Notional Value Local Cur]])</f>
        <v>0</v>
      </c>
    </row>
    <row r="1775" spans="1:5" x14ac:dyDescent="0.25">
      <c r="A1775" s="36" t="b">
        <v>0</v>
      </c>
      <c r="B1775" s="56" t="b">
        <v>0</v>
      </c>
      <c r="C1775" s="56" t="b">
        <v>0</v>
      </c>
      <c r="D1775" s="56" t="b">
        <v>0</v>
      </c>
      <c r="E1775" s="56">
        <f ca="1">IF(PV[[#This Row],[Business Date]]=Control!$C$6, PV[[#This Row],[Notional Value Local Cur]], -PV[[#This Row],[Notional Value Local Cur]])</f>
        <v>0</v>
      </c>
    </row>
    <row r="1776" spans="1:5" x14ac:dyDescent="0.25">
      <c r="A1776" s="36" t="b">
        <v>0</v>
      </c>
      <c r="B1776" s="56" t="b">
        <v>0</v>
      </c>
      <c r="C1776" s="56" t="b">
        <v>0</v>
      </c>
      <c r="D1776" s="56" t="b">
        <v>0</v>
      </c>
      <c r="E1776" s="56">
        <f ca="1">IF(PV[[#This Row],[Business Date]]=Control!$C$6, PV[[#This Row],[Notional Value Local Cur]], -PV[[#This Row],[Notional Value Local Cur]])</f>
        <v>0</v>
      </c>
    </row>
    <row r="1777" spans="1:5" x14ac:dyDescent="0.25">
      <c r="A1777" s="36" t="b">
        <v>0</v>
      </c>
      <c r="B1777" s="56" t="b">
        <v>0</v>
      </c>
      <c r="C1777" s="56" t="b">
        <v>0</v>
      </c>
      <c r="D1777" s="56" t="b">
        <v>0</v>
      </c>
      <c r="E1777" s="56">
        <f ca="1">IF(PV[[#This Row],[Business Date]]=Control!$C$6, PV[[#This Row],[Notional Value Local Cur]], -PV[[#This Row],[Notional Value Local Cur]])</f>
        <v>0</v>
      </c>
    </row>
    <row r="1778" spans="1:5" x14ac:dyDescent="0.25">
      <c r="A1778" s="36" t="b">
        <v>0</v>
      </c>
      <c r="B1778" s="56" t="b">
        <v>0</v>
      </c>
      <c r="C1778" s="56" t="b">
        <v>0</v>
      </c>
      <c r="D1778" s="56" t="b">
        <v>0</v>
      </c>
      <c r="E1778" s="56">
        <f ca="1">IF(PV[[#This Row],[Business Date]]=Control!$C$6, PV[[#This Row],[Notional Value Local Cur]], -PV[[#This Row],[Notional Value Local Cur]])</f>
        <v>0</v>
      </c>
    </row>
    <row r="1779" spans="1:5" x14ac:dyDescent="0.25">
      <c r="A1779" s="36" t="b">
        <v>0</v>
      </c>
      <c r="B1779" s="56" t="b">
        <v>0</v>
      </c>
      <c r="C1779" s="56" t="b">
        <v>0</v>
      </c>
      <c r="D1779" s="56" t="b">
        <v>0</v>
      </c>
      <c r="E1779" s="56">
        <f ca="1">IF(PV[[#This Row],[Business Date]]=Control!$C$6, PV[[#This Row],[Notional Value Local Cur]], -PV[[#This Row],[Notional Value Local Cur]])</f>
        <v>0</v>
      </c>
    </row>
    <row r="1780" spans="1:5" x14ac:dyDescent="0.25">
      <c r="A1780" s="36" t="b">
        <v>0</v>
      </c>
      <c r="B1780" s="56" t="b">
        <v>0</v>
      </c>
      <c r="C1780" s="56" t="b">
        <v>0</v>
      </c>
      <c r="D1780" s="56" t="b">
        <v>0</v>
      </c>
      <c r="E1780" s="56">
        <f ca="1">IF(PV[[#This Row],[Business Date]]=Control!$C$6, PV[[#This Row],[Notional Value Local Cur]], -PV[[#This Row],[Notional Value Local Cur]])</f>
        <v>0</v>
      </c>
    </row>
    <row r="1781" spans="1:5" x14ac:dyDescent="0.25">
      <c r="A1781" s="36" t="b">
        <v>0</v>
      </c>
      <c r="B1781" s="56" t="b">
        <v>0</v>
      </c>
      <c r="C1781" s="56" t="b">
        <v>0</v>
      </c>
      <c r="D1781" s="56" t="b">
        <v>0</v>
      </c>
      <c r="E1781" s="56">
        <f ca="1">IF(PV[[#This Row],[Business Date]]=Control!$C$6, PV[[#This Row],[Notional Value Local Cur]], -PV[[#This Row],[Notional Value Local Cur]])</f>
        <v>0</v>
      </c>
    </row>
    <row r="1782" spans="1:5" x14ac:dyDescent="0.25">
      <c r="A1782" s="36" t="b">
        <v>0</v>
      </c>
      <c r="B1782" s="56" t="b">
        <v>0</v>
      </c>
      <c r="C1782" s="56" t="b">
        <v>0</v>
      </c>
      <c r="D1782" s="56" t="b">
        <v>0</v>
      </c>
      <c r="E1782" s="56">
        <f ca="1">IF(PV[[#This Row],[Business Date]]=Control!$C$6, PV[[#This Row],[Notional Value Local Cur]], -PV[[#This Row],[Notional Value Local Cur]])</f>
        <v>0</v>
      </c>
    </row>
    <row r="1783" spans="1:5" x14ac:dyDescent="0.25">
      <c r="A1783" s="36" t="b">
        <v>0</v>
      </c>
      <c r="B1783" s="56" t="b">
        <v>0</v>
      </c>
      <c r="C1783" s="56" t="b">
        <v>0</v>
      </c>
      <c r="D1783" s="56" t="b">
        <v>0</v>
      </c>
      <c r="E1783" s="56">
        <f ca="1">IF(PV[[#This Row],[Business Date]]=Control!$C$6, PV[[#This Row],[Notional Value Local Cur]], -PV[[#This Row],[Notional Value Local Cur]])</f>
        <v>0</v>
      </c>
    </row>
    <row r="1784" spans="1:5" x14ac:dyDescent="0.25">
      <c r="A1784" s="36" t="b">
        <v>0</v>
      </c>
      <c r="B1784" s="56" t="b">
        <v>0</v>
      </c>
      <c r="C1784" s="56" t="b">
        <v>0</v>
      </c>
      <c r="D1784" s="56" t="b">
        <v>0</v>
      </c>
      <c r="E1784" s="56">
        <f ca="1">IF(PV[[#This Row],[Business Date]]=Control!$C$6, PV[[#This Row],[Notional Value Local Cur]], -PV[[#This Row],[Notional Value Local Cur]])</f>
        <v>0</v>
      </c>
    </row>
    <row r="1785" spans="1:5" x14ac:dyDescent="0.25">
      <c r="A1785" s="36" t="b">
        <v>0</v>
      </c>
      <c r="B1785" s="56" t="b">
        <v>0</v>
      </c>
      <c r="C1785" s="56" t="b">
        <v>0</v>
      </c>
      <c r="D1785" s="56" t="b">
        <v>0</v>
      </c>
      <c r="E1785" s="56">
        <f ca="1">IF(PV[[#This Row],[Business Date]]=Control!$C$6, PV[[#This Row],[Notional Value Local Cur]], -PV[[#This Row],[Notional Value Local Cur]])</f>
        <v>0</v>
      </c>
    </row>
    <row r="1786" spans="1:5" x14ac:dyDescent="0.25">
      <c r="A1786" s="36" t="b">
        <v>0</v>
      </c>
      <c r="B1786" s="56" t="b">
        <v>0</v>
      </c>
      <c r="C1786" s="56" t="b">
        <v>0</v>
      </c>
      <c r="D1786" s="56" t="b">
        <v>0</v>
      </c>
      <c r="E1786" s="56">
        <f ca="1">IF(PV[[#This Row],[Business Date]]=Control!$C$6, PV[[#This Row],[Notional Value Local Cur]], -PV[[#This Row],[Notional Value Local Cur]])</f>
        <v>0</v>
      </c>
    </row>
    <row r="1787" spans="1:5" x14ac:dyDescent="0.25">
      <c r="A1787" s="36" t="b">
        <v>0</v>
      </c>
      <c r="B1787" s="56" t="b">
        <v>0</v>
      </c>
      <c r="C1787" s="56" t="b">
        <v>0</v>
      </c>
      <c r="D1787" s="56" t="b">
        <v>0</v>
      </c>
      <c r="E1787" s="56">
        <f ca="1">IF(PV[[#This Row],[Business Date]]=Control!$C$6, PV[[#This Row],[Notional Value Local Cur]], -PV[[#This Row],[Notional Value Local Cur]])</f>
        <v>0</v>
      </c>
    </row>
    <row r="1788" spans="1:5" x14ac:dyDescent="0.25">
      <c r="A1788" s="36" t="b">
        <v>0</v>
      </c>
      <c r="B1788" s="56" t="b">
        <v>0</v>
      </c>
      <c r="C1788" s="56" t="b">
        <v>0</v>
      </c>
      <c r="D1788" s="56" t="b">
        <v>0</v>
      </c>
      <c r="E1788" s="56">
        <f ca="1">IF(PV[[#This Row],[Business Date]]=Control!$C$6, PV[[#This Row],[Notional Value Local Cur]], -PV[[#This Row],[Notional Value Local Cur]])</f>
        <v>0</v>
      </c>
    </row>
    <row r="1789" spans="1:5" x14ac:dyDescent="0.25">
      <c r="A1789" s="36" t="b">
        <v>0</v>
      </c>
      <c r="B1789" s="56" t="b">
        <v>0</v>
      </c>
      <c r="C1789" s="56" t="b">
        <v>0</v>
      </c>
      <c r="D1789" s="56" t="b">
        <v>0</v>
      </c>
      <c r="E1789" s="56">
        <f ca="1">IF(PV[[#This Row],[Business Date]]=Control!$C$6, PV[[#This Row],[Notional Value Local Cur]], -PV[[#This Row],[Notional Value Local Cur]])</f>
        <v>0</v>
      </c>
    </row>
    <row r="1790" spans="1:5" x14ac:dyDescent="0.25">
      <c r="A1790" s="36" t="b">
        <v>0</v>
      </c>
      <c r="B1790" s="56" t="b">
        <v>0</v>
      </c>
      <c r="C1790" s="56" t="b">
        <v>0</v>
      </c>
      <c r="D1790" s="56" t="b">
        <v>0</v>
      </c>
      <c r="E1790" s="56">
        <f ca="1">IF(PV[[#This Row],[Business Date]]=Control!$C$6, PV[[#This Row],[Notional Value Local Cur]], -PV[[#This Row],[Notional Value Local Cur]])</f>
        <v>0</v>
      </c>
    </row>
    <row r="1791" spans="1:5" x14ac:dyDescent="0.25">
      <c r="A1791" s="36" t="b">
        <v>0</v>
      </c>
      <c r="B1791" s="56" t="b">
        <v>0</v>
      </c>
      <c r="C1791" s="56" t="b">
        <v>0</v>
      </c>
      <c r="D1791" s="56" t="b">
        <v>0</v>
      </c>
      <c r="E1791" s="56">
        <f ca="1">IF(PV[[#This Row],[Business Date]]=Control!$C$6, PV[[#This Row],[Notional Value Local Cur]], -PV[[#This Row],[Notional Value Local Cur]])</f>
        <v>0</v>
      </c>
    </row>
    <row r="1792" spans="1:5" x14ac:dyDescent="0.25">
      <c r="A1792" s="36" t="b">
        <v>0</v>
      </c>
      <c r="B1792" s="56" t="b">
        <v>0</v>
      </c>
      <c r="C1792" s="56" t="b">
        <v>0</v>
      </c>
      <c r="D1792" s="56" t="b">
        <v>0</v>
      </c>
      <c r="E1792" s="56">
        <f ca="1">IF(PV[[#This Row],[Business Date]]=Control!$C$6, PV[[#This Row],[Notional Value Local Cur]], -PV[[#This Row],[Notional Value Local Cur]])</f>
        <v>0</v>
      </c>
    </row>
    <row r="1793" spans="1:5" x14ac:dyDescent="0.25">
      <c r="A1793" s="36" t="b">
        <v>0</v>
      </c>
      <c r="B1793" s="56" t="b">
        <v>0</v>
      </c>
      <c r="C1793" s="56" t="b">
        <v>0</v>
      </c>
      <c r="D1793" s="56" t="b">
        <v>0</v>
      </c>
      <c r="E1793" s="56">
        <f ca="1">IF(PV[[#This Row],[Business Date]]=Control!$C$6, PV[[#This Row],[Notional Value Local Cur]], -PV[[#This Row],[Notional Value Local Cur]])</f>
        <v>0</v>
      </c>
    </row>
    <row r="1794" spans="1:5" x14ac:dyDescent="0.25">
      <c r="A1794" s="36" t="b">
        <v>0</v>
      </c>
      <c r="B1794" s="56" t="b">
        <v>0</v>
      </c>
      <c r="C1794" s="56" t="b">
        <v>0</v>
      </c>
      <c r="D1794" s="56" t="b">
        <v>0</v>
      </c>
      <c r="E1794" s="56">
        <f ca="1">IF(PV[[#This Row],[Business Date]]=Control!$C$6, PV[[#This Row],[Notional Value Local Cur]], -PV[[#This Row],[Notional Value Local Cur]])</f>
        <v>0</v>
      </c>
    </row>
    <row r="1795" spans="1:5" x14ac:dyDescent="0.25">
      <c r="A1795" s="36" t="b">
        <v>0</v>
      </c>
      <c r="B1795" s="56" t="b">
        <v>0</v>
      </c>
      <c r="C1795" s="56" t="b">
        <v>0</v>
      </c>
      <c r="D1795" s="56" t="b">
        <v>0</v>
      </c>
      <c r="E1795" s="56">
        <f ca="1">IF(PV[[#This Row],[Business Date]]=Control!$C$6, PV[[#This Row],[Notional Value Local Cur]], -PV[[#This Row],[Notional Value Local Cur]])</f>
        <v>0</v>
      </c>
    </row>
    <row r="1796" spans="1:5" x14ac:dyDescent="0.25">
      <c r="A1796" s="36" t="b">
        <v>0</v>
      </c>
      <c r="B1796" s="56" t="b">
        <v>0</v>
      </c>
      <c r="C1796" s="56" t="b">
        <v>0</v>
      </c>
      <c r="D1796" s="56" t="b">
        <v>0</v>
      </c>
      <c r="E1796" s="56">
        <f ca="1">IF(PV[[#This Row],[Business Date]]=Control!$C$6, PV[[#This Row],[Notional Value Local Cur]], -PV[[#This Row],[Notional Value Local Cur]])</f>
        <v>0</v>
      </c>
    </row>
    <row r="1797" spans="1:5" x14ac:dyDescent="0.25">
      <c r="A1797" s="36" t="b">
        <v>0</v>
      </c>
      <c r="B1797" s="56" t="b">
        <v>0</v>
      </c>
      <c r="C1797" s="56" t="b">
        <v>0</v>
      </c>
      <c r="D1797" s="56" t="b">
        <v>0</v>
      </c>
      <c r="E1797" s="56">
        <f ca="1">IF(PV[[#This Row],[Business Date]]=Control!$C$6, PV[[#This Row],[Notional Value Local Cur]], -PV[[#This Row],[Notional Value Local Cur]])</f>
        <v>0</v>
      </c>
    </row>
    <row r="1798" spans="1:5" x14ac:dyDescent="0.25">
      <c r="A1798" s="36" t="b">
        <v>0</v>
      </c>
      <c r="B1798" s="56" t="b">
        <v>0</v>
      </c>
      <c r="C1798" s="56" t="b">
        <v>0</v>
      </c>
      <c r="D1798" s="56" t="b">
        <v>0</v>
      </c>
      <c r="E1798" s="56">
        <f ca="1">IF(PV[[#This Row],[Business Date]]=Control!$C$6, PV[[#This Row],[Notional Value Local Cur]], -PV[[#This Row],[Notional Value Local Cur]])</f>
        <v>0</v>
      </c>
    </row>
    <row r="1799" spans="1:5" x14ac:dyDescent="0.25">
      <c r="A1799" s="36" t="b">
        <v>0</v>
      </c>
      <c r="B1799" s="56" t="b">
        <v>0</v>
      </c>
      <c r="C1799" s="56" t="b">
        <v>0</v>
      </c>
      <c r="D1799" s="56" t="b">
        <v>0</v>
      </c>
      <c r="E1799" s="56">
        <f ca="1">IF(PV[[#This Row],[Business Date]]=Control!$C$6, PV[[#This Row],[Notional Value Local Cur]], -PV[[#This Row],[Notional Value Local Cur]])</f>
        <v>0</v>
      </c>
    </row>
    <row r="1800" spans="1:5" x14ac:dyDescent="0.25">
      <c r="A1800" s="36" t="b">
        <v>0</v>
      </c>
      <c r="B1800" s="56" t="b">
        <v>0</v>
      </c>
      <c r="C1800" s="56" t="b">
        <v>0</v>
      </c>
      <c r="D1800" s="56" t="b">
        <v>0</v>
      </c>
      <c r="E1800" s="56">
        <f ca="1">IF(PV[[#This Row],[Business Date]]=Control!$C$6, PV[[#This Row],[Notional Value Local Cur]], -PV[[#This Row],[Notional Value Local Cur]])</f>
        <v>0</v>
      </c>
    </row>
    <row r="1801" spans="1:5" x14ac:dyDescent="0.25">
      <c r="A1801" s="36" t="b">
        <v>0</v>
      </c>
      <c r="B1801" s="56" t="b">
        <v>0</v>
      </c>
      <c r="C1801" s="56" t="b">
        <v>0</v>
      </c>
      <c r="D1801" s="56" t="b">
        <v>0</v>
      </c>
      <c r="E1801" s="56">
        <f ca="1">IF(PV[[#This Row],[Business Date]]=Control!$C$6, PV[[#This Row],[Notional Value Local Cur]], -PV[[#This Row],[Notional Value Local Cur]])</f>
        <v>0</v>
      </c>
    </row>
    <row r="1802" spans="1:5" x14ac:dyDescent="0.25">
      <c r="A1802" s="36" t="b">
        <v>0</v>
      </c>
      <c r="B1802" s="56" t="b">
        <v>0</v>
      </c>
      <c r="C1802" s="56" t="b">
        <v>0</v>
      </c>
      <c r="D1802" s="56" t="b">
        <v>0</v>
      </c>
      <c r="E1802" s="56">
        <f ca="1">IF(PV[[#This Row],[Business Date]]=Control!$C$6, PV[[#This Row],[Notional Value Local Cur]], -PV[[#This Row],[Notional Value Local Cur]])</f>
        <v>0</v>
      </c>
    </row>
    <row r="1803" spans="1:5" x14ac:dyDescent="0.25">
      <c r="A1803" s="36" t="b">
        <v>0</v>
      </c>
      <c r="B1803" s="56" t="b">
        <v>0</v>
      </c>
      <c r="C1803" s="56" t="b">
        <v>0</v>
      </c>
      <c r="D1803" s="56" t="b">
        <v>0</v>
      </c>
      <c r="E1803" s="56">
        <f ca="1">IF(PV[[#This Row],[Business Date]]=Control!$C$6, PV[[#This Row],[Notional Value Local Cur]], -PV[[#This Row],[Notional Value Local Cur]])</f>
        <v>0</v>
      </c>
    </row>
    <row r="1804" spans="1:5" x14ac:dyDescent="0.25">
      <c r="A1804" s="36" t="b">
        <v>0</v>
      </c>
      <c r="B1804" s="56" t="b">
        <v>0</v>
      </c>
      <c r="C1804" s="56" t="b">
        <v>0</v>
      </c>
      <c r="D1804" s="56" t="b">
        <v>0</v>
      </c>
      <c r="E1804" s="56">
        <f ca="1">IF(PV[[#This Row],[Business Date]]=Control!$C$6, PV[[#This Row],[Notional Value Local Cur]], -PV[[#This Row],[Notional Value Local Cur]])</f>
        <v>0</v>
      </c>
    </row>
    <row r="1805" spans="1:5" x14ac:dyDescent="0.25">
      <c r="A1805" s="36" t="b">
        <v>0</v>
      </c>
      <c r="B1805" s="56" t="b">
        <v>0</v>
      </c>
      <c r="C1805" s="56" t="b">
        <v>0</v>
      </c>
      <c r="D1805" s="56" t="b">
        <v>0</v>
      </c>
      <c r="E1805" s="56">
        <f ca="1">IF(PV[[#This Row],[Business Date]]=Control!$C$6, PV[[#This Row],[Notional Value Local Cur]], -PV[[#This Row],[Notional Value Local Cur]])</f>
        <v>0</v>
      </c>
    </row>
    <row r="1806" spans="1:5" x14ac:dyDescent="0.25">
      <c r="A1806" s="36" t="b">
        <v>0</v>
      </c>
      <c r="B1806" s="56" t="b">
        <v>0</v>
      </c>
      <c r="C1806" s="56" t="b">
        <v>0</v>
      </c>
      <c r="D1806" s="56" t="b">
        <v>0</v>
      </c>
      <c r="E1806" s="56">
        <f ca="1">IF(PV[[#This Row],[Business Date]]=Control!$C$6, PV[[#This Row],[Notional Value Local Cur]], -PV[[#This Row],[Notional Value Local Cur]])</f>
        <v>0</v>
      </c>
    </row>
    <row r="1807" spans="1:5" x14ac:dyDescent="0.25">
      <c r="A1807" s="36" t="b">
        <v>0</v>
      </c>
      <c r="B1807" s="56" t="b">
        <v>0</v>
      </c>
      <c r="C1807" s="56" t="b">
        <v>0</v>
      </c>
      <c r="D1807" s="56" t="b">
        <v>0</v>
      </c>
      <c r="E1807" s="56">
        <f ca="1">IF(PV[[#This Row],[Business Date]]=Control!$C$6, PV[[#This Row],[Notional Value Local Cur]], -PV[[#This Row],[Notional Value Local Cur]])</f>
        <v>0</v>
      </c>
    </row>
    <row r="1808" spans="1:5" x14ac:dyDescent="0.25">
      <c r="A1808" s="36" t="b">
        <v>0</v>
      </c>
      <c r="B1808" s="56" t="b">
        <v>0</v>
      </c>
      <c r="C1808" s="56" t="b">
        <v>0</v>
      </c>
      <c r="D1808" s="56" t="b">
        <v>0</v>
      </c>
      <c r="E1808" s="56">
        <f ca="1">IF(PV[[#This Row],[Business Date]]=Control!$C$6, PV[[#This Row],[Notional Value Local Cur]], -PV[[#This Row],[Notional Value Local Cur]])</f>
        <v>0</v>
      </c>
    </row>
    <row r="1809" spans="1:5" x14ac:dyDescent="0.25">
      <c r="A1809" s="36" t="b">
        <v>0</v>
      </c>
      <c r="B1809" s="56" t="b">
        <v>0</v>
      </c>
      <c r="C1809" s="56" t="b">
        <v>0</v>
      </c>
      <c r="D1809" s="56" t="b">
        <v>0</v>
      </c>
      <c r="E1809" s="56">
        <f ca="1">IF(PV[[#This Row],[Business Date]]=Control!$C$6, PV[[#This Row],[Notional Value Local Cur]], -PV[[#This Row],[Notional Value Local Cur]])</f>
        <v>0</v>
      </c>
    </row>
    <row r="1810" spans="1:5" x14ac:dyDescent="0.25">
      <c r="A1810" s="36" t="b">
        <v>0</v>
      </c>
      <c r="B1810" s="56" t="b">
        <v>0</v>
      </c>
      <c r="C1810" s="56" t="b">
        <v>0</v>
      </c>
      <c r="D1810" s="56" t="b">
        <v>0</v>
      </c>
      <c r="E1810" s="56">
        <f ca="1">IF(PV[[#This Row],[Business Date]]=Control!$C$6, PV[[#This Row],[Notional Value Local Cur]], -PV[[#This Row],[Notional Value Local Cur]])</f>
        <v>0</v>
      </c>
    </row>
    <row r="1811" spans="1:5" x14ac:dyDescent="0.25">
      <c r="A1811" s="36" t="b">
        <v>0</v>
      </c>
      <c r="B1811" s="56" t="b">
        <v>0</v>
      </c>
      <c r="C1811" s="56" t="b">
        <v>0</v>
      </c>
      <c r="D1811" s="56" t="b">
        <v>0</v>
      </c>
      <c r="E1811" s="56">
        <f ca="1">IF(PV[[#This Row],[Business Date]]=Control!$C$6, PV[[#This Row],[Notional Value Local Cur]], -PV[[#This Row],[Notional Value Local Cur]])</f>
        <v>0</v>
      </c>
    </row>
    <row r="1812" spans="1:5" x14ac:dyDescent="0.25">
      <c r="A1812" s="36" t="b">
        <v>0</v>
      </c>
      <c r="B1812" s="56" t="b">
        <v>0</v>
      </c>
      <c r="C1812" s="56" t="b">
        <v>0</v>
      </c>
      <c r="D1812" s="56" t="b">
        <v>0</v>
      </c>
      <c r="E1812" s="56">
        <f ca="1">IF(PV[[#This Row],[Business Date]]=Control!$C$6, PV[[#This Row],[Notional Value Local Cur]], -PV[[#This Row],[Notional Value Local Cur]])</f>
        <v>0</v>
      </c>
    </row>
    <row r="1813" spans="1:5" x14ac:dyDescent="0.25">
      <c r="A1813" s="36" t="b">
        <v>0</v>
      </c>
      <c r="B1813" s="56" t="b">
        <v>0</v>
      </c>
      <c r="C1813" s="56" t="b">
        <v>0</v>
      </c>
      <c r="D1813" s="56" t="b">
        <v>0</v>
      </c>
      <c r="E1813" s="56">
        <f ca="1">IF(PV[[#This Row],[Business Date]]=Control!$C$6, PV[[#This Row],[Notional Value Local Cur]], -PV[[#This Row],[Notional Value Local Cur]])</f>
        <v>0</v>
      </c>
    </row>
    <row r="1814" spans="1:5" x14ac:dyDescent="0.25">
      <c r="A1814" s="36" t="b">
        <v>0</v>
      </c>
      <c r="B1814" s="56" t="b">
        <v>0</v>
      </c>
      <c r="C1814" s="56" t="b">
        <v>0</v>
      </c>
      <c r="D1814" s="56" t="b">
        <v>0</v>
      </c>
      <c r="E1814" s="56">
        <f ca="1">IF(PV[[#This Row],[Business Date]]=Control!$C$6, PV[[#This Row],[Notional Value Local Cur]], -PV[[#This Row],[Notional Value Local Cur]])</f>
        <v>0</v>
      </c>
    </row>
    <row r="1815" spans="1:5" x14ac:dyDescent="0.25">
      <c r="A1815" s="36" t="b">
        <v>0</v>
      </c>
      <c r="B1815" s="56" t="b">
        <v>0</v>
      </c>
      <c r="C1815" s="56" t="b">
        <v>0</v>
      </c>
      <c r="D1815" s="56" t="b">
        <v>0</v>
      </c>
      <c r="E1815" s="56">
        <f ca="1">IF(PV[[#This Row],[Business Date]]=Control!$C$6, PV[[#This Row],[Notional Value Local Cur]], -PV[[#This Row],[Notional Value Local Cur]])</f>
        <v>0</v>
      </c>
    </row>
    <row r="1816" spans="1:5" x14ac:dyDescent="0.25">
      <c r="A1816" s="36" t="b">
        <v>0</v>
      </c>
      <c r="B1816" s="56" t="b">
        <v>0</v>
      </c>
      <c r="C1816" s="56" t="b">
        <v>0</v>
      </c>
      <c r="D1816" s="56" t="b">
        <v>0</v>
      </c>
      <c r="E1816" s="56">
        <f ca="1">IF(PV[[#This Row],[Business Date]]=Control!$C$6, PV[[#This Row],[Notional Value Local Cur]], -PV[[#This Row],[Notional Value Local Cur]])</f>
        <v>0</v>
      </c>
    </row>
    <row r="1817" spans="1:5" x14ac:dyDescent="0.25">
      <c r="A1817" s="36" t="b">
        <v>0</v>
      </c>
      <c r="B1817" s="56" t="b">
        <v>0</v>
      </c>
      <c r="C1817" s="56" t="b">
        <v>0</v>
      </c>
      <c r="D1817" s="56" t="b">
        <v>0</v>
      </c>
      <c r="E1817" s="56">
        <f ca="1">IF(PV[[#This Row],[Business Date]]=Control!$C$6, PV[[#This Row],[Notional Value Local Cur]], -PV[[#This Row],[Notional Value Local Cur]])</f>
        <v>0</v>
      </c>
    </row>
    <row r="1818" spans="1:5" x14ac:dyDescent="0.25">
      <c r="A1818" s="36" t="b">
        <v>0</v>
      </c>
      <c r="B1818" s="56" t="b">
        <v>0</v>
      </c>
      <c r="C1818" s="56" t="b">
        <v>0</v>
      </c>
      <c r="D1818" s="56" t="b">
        <v>0</v>
      </c>
      <c r="E1818" s="56">
        <f ca="1">IF(PV[[#This Row],[Business Date]]=Control!$C$6, PV[[#This Row],[Notional Value Local Cur]], -PV[[#This Row],[Notional Value Local Cur]])</f>
        <v>0</v>
      </c>
    </row>
    <row r="1819" spans="1:5" x14ac:dyDescent="0.25">
      <c r="A1819" s="36" t="b">
        <v>0</v>
      </c>
      <c r="B1819" s="56" t="b">
        <v>0</v>
      </c>
      <c r="C1819" s="56" t="b">
        <v>0</v>
      </c>
      <c r="D1819" s="56" t="b">
        <v>0</v>
      </c>
      <c r="E1819" s="56">
        <f ca="1">IF(PV[[#This Row],[Business Date]]=Control!$C$6, PV[[#This Row],[Notional Value Local Cur]], -PV[[#This Row],[Notional Value Local Cur]])</f>
        <v>0</v>
      </c>
    </row>
    <row r="1820" spans="1:5" x14ac:dyDescent="0.25">
      <c r="A1820" s="36" t="b">
        <v>0</v>
      </c>
      <c r="B1820" s="56" t="b">
        <v>0</v>
      </c>
      <c r="C1820" s="56" t="b">
        <v>0</v>
      </c>
      <c r="D1820" s="56" t="b">
        <v>0</v>
      </c>
      <c r="E1820" s="56">
        <f ca="1">IF(PV[[#This Row],[Business Date]]=Control!$C$6, PV[[#This Row],[Notional Value Local Cur]], -PV[[#This Row],[Notional Value Local Cur]])</f>
        <v>0</v>
      </c>
    </row>
    <row r="1821" spans="1:5" x14ac:dyDescent="0.25">
      <c r="A1821" s="36" t="b">
        <v>0</v>
      </c>
      <c r="B1821" s="56" t="b">
        <v>0</v>
      </c>
      <c r="C1821" s="56" t="b">
        <v>0</v>
      </c>
      <c r="D1821" s="56" t="b">
        <v>0</v>
      </c>
      <c r="E1821" s="56">
        <f ca="1">IF(PV[[#This Row],[Business Date]]=Control!$C$6, PV[[#This Row],[Notional Value Local Cur]], -PV[[#This Row],[Notional Value Local Cur]])</f>
        <v>0</v>
      </c>
    </row>
    <row r="1822" spans="1:5" x14ac:dyDescent="0.25">
      <c r="A1822" s="36" t="b">
        <v>0</v>
      </c>
      <c r="B1822" s="56" t="b">
        <v>0</v>
      </c>
      <c r="C1822" s="56" t="b">
        <v>0</v>
      </c>
      <c r="D1822" s="56" t="b">
        <v>0</v>
      </c>
      <c r="E1822" s="56">
        <f ca="1">IF(PV[[#This Row],[Business Date]]=Control!$C$6, PV[[#This Row],[Notional Value Local Cur]], -PV[[#This Row],[Notional Value Local Cur]])</f>
        <v>0</v>
      </c>
    </row>
    <row r="1823" spans="1:5" x14ac:dyDescent="0.25">
      <c r="A1823" s="36" t="b">
        <v>0</v>
      </c>
      <c r="B1823" s="56" t="b">
        <v>0</v>
      </c>
      <c r="C1823" s="56" t="b">
        <v>0</v>
      </c>
      <c r="D1823" s="56" t="b">
        <v>0</v>
      </c>
      <c r="E1823" s="56">
        <f ca="1">IF(PV[[#This Row],[Business Date]]=Control!$C$6, PV[[#This Row],[Notional Value Local Cur]], -PV[[#This Row],[Notional Value Local Cur]])</f>
        <v>0</v>
      </c>
    </row>
    <row r="1824" spans="1:5" x14ac:dyDescent="0.25">
      <c r="A1824" s="36" t="b">
        <v>0</v>
      </c>
      <c r="B1824" s="56" t="b">
        <v>0</v>
      </c>
      <c r="C1824" s="56" t="b">
        <v>0</v>
      </c>
      <c r="D1824" s="56" t="b">
        <v>0</v>
      </c>
      <c r="E1824" s="56">
        <f ca="1">IF(PV[[#This Row],[Business Date]]=Control!$C$6, PV[[#This Row],[Notional Value Local Cur]], -PV[[#This Row],[Notional Value Local Cur]])</f>
        <v>0</v>
      </c>
    </row>
    <row r="1825" spans="1:5" x14ac:dyDescent="0.25">
      <c r="A1825" s="36" t="b">
        <v>0</v>
      </c>
      <c r="B1825" s="56" t="b">
        <v>0</v>
      </c>
      <c r="C1825" s="56" t="b">
        <v>0</v>
      </c>
      <c r="D1825" s="56" t="b">
        <v>0</v>
      </c>
      <c r="E1825" s="56">
        <f ca="1">IF(PV[[#This Row],[Business Date]]=Control!$C$6, PV[[#This Row],[Notional Value Local Cur]], -PV[[#This Row],[Notional Value Local Cur]])</f>
        <v>0</v>
      </c>
    </row>
    <row r="1826" spans="1:5" x14ac:dyDescent="0.25">
      <c r="A1826" s="36" t="b">
        <v>0</v>
      </c>
      <c r="B1826" s="56" t="b">
        <v>0</v>
      </c>
      <c r="C1826" s="56" t="b">
        <v>0</v>
      </c>
      <c r="D1826" s="56" t="b">
        <v>0</v>
      </c>
      <c r="E1826" s="56">
        <f ca="1">IF(PV[[#This Row],[Business Date]]=Control!$C$6, PV[[#This Row],[Notional Value Local Cur]], -PV[[#This Row],[Notional Value Local Cur]])</f>
        <v>0</v>
      </c>
    </row>
    <row r="1827" spans="1:5" x14ac:dyDescent="0.25">
      <c r="A1827" s="36" t="b">
        <v>0</v>
      </c>
      <c r="B1827" s="56" t="b">
        <v>0</v>
      </c>
      <c r="C1827" s="56" t="b">
        <v>0</v>
      </c>
      <c r="D1827" s="56" t="b">
        <v>0</v>
      </c>
      <c r="E1827" s="56">
        <f ca="1">IF(PV[[#This Row],[Business Date]]=Control!$C$6, PV[[#This Row],[Notional Value Local Cur]], -PV[[#This Row],[Notional Value Local Cur]])</f>
        <v>0</v>
      </c>
    </row>
    <row r="1828" spans="1:5" x14ac:dyDescent="0.25">
      <c r="A1828" s="36" t="b">
        <v>0</v>
      </c>
      <c r="B1828" s="56" t="b">
        <v>0</v>
      </c>
      <c r="C1828" s="56" t="b">
        <v>0</v>
      </c>
      <c r="D1828" s="56" t="b">
        <v>0</v>
      </c>
      <c r="E1828" s="56">
        <f ca="1">IF(PV[[#This Row],[Business Date]]=Control!$C$6, PV[[#This Row],[Notional Value Local Cur]], -PV[[#This Row],[Notional Value Local Cur]])</f>
        <v>0</v>
      </c>
    </row>
    <row r="1829" spans="1:5" x14ac:dyDescent="0.25">
      <c r="A1829" s="36" t="b">
        <v>0</v>
      </c>
      <c r="B1829" s="56" t="b">
        <v>0</v>
      </c>
      <c r="C1829" s="56" t="b">
        <v>0</v>
      </c>
      <c r="D1829" s="56" t="b">
        <v>0</v>
      </c>
      <c r="E1829" s="56">
        <f ca="1">IF(PV[[#This Row],[Business Date]]=Control!$C$6, PV[[#This Row],[Notional Value Local Cur]], -PV[[#This Row],[Notional Value Local Cur]])</f>
        <v>0</v>
      </c>
    </row>
    <row r="1830" spans="1:5" x14ac:dyDescent="0.25">
      <c r="A1830" s="36" t="b">
        <v>0</v>
      </c>
      <c r="B1830" s="56" t="b">
        <v>0</v>
      </c>
      <c r="C1830" s="56" t="b">
        <v>0</v>
      </c>
      <c r="D1830" s="56" t="b">
        <v>0</v>
      </c>
      <c r="E1830" s="56">
        <f ca="1">IF(PV[[#This Row],[Business Date]]=Control!$C$6, PV[[#This Row],[Notional Value Local Cur]], -PV[[#This Row],[Notional Value Local Cur]])</f>
        <v>0</v>
      </c>
    </row>
    <row r="1831" spans="1:5" x14ac:dyDescent="0.25">
      <c r="A1831" s="36" t="b">
        <v>0</v>
      </c>
      <c r="B1831" s="56" t="b">
        <v>0</v>
      </c>
      <c r="C1831" s="56" t="b">
        <v>0</v>
      </c>
      <c r="D1831" s="56" t="b">
        <v>0</v>
      </c>
      <c r="E1831" s="56">
        <f ca="1">IF(PV[[#This Row],[Business Date]]=Control!$C$6, PV[[#This Row],[Notional Value Local Cur]], -PV[[#This Row],[Notional Value Local Cur]])</f>
        <v>0</v>
      </c>
    </row>
    <row r="1832" spans="1:5" x14ac:dyDescent="0.25">
      <c r="A1832" s="36" t="b">
        <v>0</v>
      </c>
      <c r="B1832" s="56" t="b">
        <v>0</v>
      </c>
      <c r="C1832" s="56" t="b">
        <v>0</v>
      </c>
      <c r="D1832" s="56" t="b">
        <v>0</v>
      </c>
      <c r="E1832" s="56">
        <f ca="1">IF(PV[[#This Row],[Business Date]]=Control!$C$6, PV[[#This Row],[Notional Value Local Cur]], -PV[[#This Row],[Notional Value Local Cur]])</f>
        <v>0</v>
      </c>
    </row>
    <row r="1833" spans="1:5" x14ac:dyDescent="0.25">
      <c r="A1833" s="36" t="b">
        <v>0</v>
      </c>
      <c r="B1833" s="56" t="b">
        <v>0</v>
      </c>
      <c r="C1833" s="56" t="b">
        <v>0</v>
      </c>
      <c r="D1833" s="56" t="b">
        <v>0</v>
      </c>
      <c r="E1833" s="56">
        <f ca="1">IF(PV[[#This Row],[Business Date]]=Control!$C$6, PV[[#This Row],[Notional Value Local Cur]], -PV[[#This Row],[Notional Value Local Cur]])</f>
        <v>0</v>
      </c>
    </row>
    <row r="1834" spans="1:5" x14ac:dyDescent="0.25">
      <c r="A1834" s="36" t="b">
        <v>0</v>
      </c>
      <c r="B1834" s="56" t="b">
        <v>0</v>
      </c>
      <c r="C1834" s="56" t="b">
        <v>0</v>
      </c>
      <c r="D1834" s="56" t="b">
        <v>0</v>
      </c>
      <c r="E1834" s="56">
        <f ca="1">IF(PV[[#This Row],[Business Date]]=Control!$C$6, PV[[#This Row],[Notional Value Local Cur]], -PV[[#This Row],[Notional Value Local Cur]])</f>
        <v>0</v>
      </c>
    </row>
    <row r="1835" spans="1:5" x14ac:dyDescent="0.25">
      <c r="A1835" s="36" t="b">
        <v>0</v>
      </c>
      <c r="B1835" s="56" t="b">
        <v>0</v>
      </c>
      <c r="C1835" s="56" t="b">
        <v>0</v>
      </c>
      <c r="D1835" s="56" t="b">
        <v>0</v>
      </c>
      <c r="E1835" s="56">
        <f ca="1">IF(PV[[#This Row],[Business Date]]=Control!$C$6, PV[[#This Row],[Notional Value Local Cur]], -PV[[#This Row],[Notional Value Local Cur]])</f>
        <v>0</v>
      </c>
    </row>
    <row r="1836" spans="1:5" x14ac:dyDescent="0.25">
      <c r="A1836" s="36" t="b">
        <v>0</v>
      </c>
      <c r="B1836" s="56" t="b">
        <v>0</v>
      </c>
      <c r="C1836" s="56" t="b">
        <v>0</v>
      </c>
      <c r="D1836" s="56" t="b">
        <v>0</v>
      </c>
      <c r="E1836" s="56">
        <f ca="1">IF(PV[[#This Row],[Business Date]]=Control!$C$6, PV[[#This Row],[Notional Value Local Cur]], -PV[[#This Row],[Notional Value Local Cur]])</f>
        <v>0</v>
      </c>
    </row>
    <row r="1837" spans="1:5" x14ac:dyDescent="0.25">
      <c r="A1837" s="36" t="b">
        <v>0</v>
      </c>
      <c r="B1837" s="56" t="b">
        <v>0</v>
      </c>
      <c r="C1837" s="56" t="b">
        <v>0</v>
      </c>
      <c r="D1837" s="56" t="b">
        <v>0</v>
      </c>
      <c r="E1837" s="56">
        <f ca="1">IF(PV[[#This Row],[Business Date]]=Control!$C$6, PV[[#This Row],[Notional Value Local Cur]], -PV[[#This Row],[Notional Value Local Cur]])</f>
        <v>0</v>
      </c>
    </row>
    <row r="1838" spans="1:5" x14ac:dyDescent="0.25">
      <c r="A1838" s="36" t="b">
        <v>0</v>
      </c>
      <c r="B1838" s="56" t="b">
        <v>0</v>
      </c>
      <c r="C1838" s="56" t="b">
        <v>0</v>
      </c>
      <c r="D1838" s="56" t="b">
        <v>0</v>
      </c>
      <c r="E1838" s="56">
        <f ca="1">IF(PV[[#This Row],[Business Date]]=Control!$C$6, PV[[#This Row],[Notional Value Local Cur]], -PV[[#This Row],[Notional Value Local Cur]])</f>
        <v>0</v>
      </c>
    </row>
    <row r="1839" spans="1:5" x14ac:dyDescent="0.25">
      <c r="A1839" s="36" t="b">
        <v>0</v>
      </c>
      <c r="B1839" s="56" t="b">
        <v>0</v>
      </c>
      <c r="C1839" s="56" t="b">
        <v>0</v>
      </c>
      <c r="D1839" s="56" t="b">
        <v>0</v>
      </c>
      <c r="E1839" s="56">
        <f ca="1">IF(PV[[#This Row],[Business Date]]=Control!$C$6, PV[[#This Row],[Notional Value Local Cur]], -PV[[#This Row],[Notional Value Local Cur]])</f>
        <v>0</v>
      </c>
    </row>
    <row r="1840" spans="1:5" x14ac:dyDescent="0.25">
      <c r="A1840" s="36" t="b">
        <v>0</v>
      </c>
      <c r="B1840" s="56" t="b">
        <v>0</v>
      </c>
      <c r="C1840" s="56" t="b">
        <v>0</v>
      </c>
      <c r="D1840" s="56" t="b">
        <v>0</v>
      </c>
      <c r="E1840" s="56">
        <f ca="1">IF(PV[[#This Row],[Business Date]]=Control!$C$6, PV[[#This Row],[Notional Value Local Cur]], -PV[[#This Row],[Notional Value Local Cur]])</f>
        <v>0</v>
      </c>
    </row>
    <row r="1841" spans="1:5" x14ac:dyDescent="0.25">
      <c r="A1841" s="36" t="b">
        <v>0</v>
      </c>
      <c r="B1841" s="56" t="b">
        <v>0</v>
      </c>
      <c r="C1841" s="56" t="b">
        <v>0</v>
      </c>
      <c r="D1841" s="56" t="b">
        <v>0</v>
      </c>
      <c r="E1841" s="56">
        <f ca="1">IF(PV[[#This Row],[Business Date]]=Control!$C$6, PV[[#This Row],[Notional Value Local Cur]], -PV[[#This Row],[Notional Value Local Cur]])</f>
        <v>0</v>
      </c>
    </row>
    <row r="1842" spans="1:5" x14ac:dyDescent="0.25">
      <c r="A1842" s="36" t="b">
        <v>0</v>
      </c>
      <c r="B1842" s="56" t="b">
        <v>0</v>
      </c>
      <c r="C1842" s="56" t="b">
        <v>0</v>
      </c>
      <c r="D1842" s="56" t="b">
        <v>0</v>
      </c>
      <c r="E1842" s="56">
        <f ca="1">IF(PV[[#This Row],[Business Date]]=Control!$C$6, PV[[#This Row],[Notional Value Local Cur]], -PV[[#This Row],[Notional Value Local Cur]])</f>
        <v>0</v>
      </c>
    </row>
    <row r="1843" spans="1:5" x14ac:dyDescent="0.25">
      <c r="A1843" s="36" t="b">
        <v>0</v>
      </c>
      <c r="B1843" s="56" t="b">
        <v>0</v>
      </c>
      <c r="C1843" s="56" t="b">
        <v>0</v>
      </c>
      <c r="D1843" s="56" t="b">
        <v>0</v>
      </c>
      <c r="E1843" s="56">
        <f ca="1">IF(PV[[#This Row],[Business Date]]=Control!$C$6, PV[[#This Row],[Notional Value Local Cur]], -PV[[#This Row],[Notional Value Local Cur]])</f>
        <v>0</v>
      </c>
    </row>
    <row r="1844" spans="1:5" x14ac:dyDescent="0.25">
      <c r="A1844" s="36" t="b">
        <v>0</v>
      </c>
      <c r="B1844" s="56" t="b">
        <v>0</v>
      </c>
      <c r="C1844" s="56" t="b">
        <v>0</v>
      </c>
      <c r="D1844" s="56" t="b">
        <v>0</v>
      </c>
      <c r="E1844" s="56">
        <f ca="1">IF(PV[[#This Row],[Business Date]]=Control!$C$6, PV[[#This Row],[Notional Value Local Cur]], -PV[[#This Row],[Notional Value Local Cur]])</f>
        <v>0</v>
      </c>
    </row>
    <row r="1845" spans="1:5" x14ac:dyDescent="0.25">
      <c r="A1845" s="36" t="b">
        <v>0</v>
      </c>
      <c r="B1845" s="56" t="b">
        <v>0</v>
      </c>
      <c r="C1845" s="56" t="b">
        <v>0</v>
      </c>
      <c r="D1845" s="56" t="b">
        <v>0</v>
      </c>
      <c r="E1845" s="56">
        <f ca="1">IF(PV[[#This Row],[Business Date]]=Control!$C$6, PV[[#This Row],[Notional Value Local Cur]], -PV[[#This Row],[Notional Value Local Cur]])</f>
        <v>0</v>
      </c>
    </row>
    <row r="1846" spans="1:5" x14ac:dyDescent="0.25">
      <c r="A1846" s="36" t="b">
        <v>0</v>
      </c>
      <c r="B1846" s="56" t="b">
        <v>0</v>
      </c>
      <c r="C1846" s="56" t="b">
        <v>0</v>
      </c>
      <c r="D1846" s="56" t="b">
        <v>0</v>
      </c>
      <c r="E1846" s="56">
        <f ca="1">IF(PV[[#This Row],[Business Date]]=Control!$C$6, PV[[#This Row],[Notional Value Local Cur]], -PV[[#This Row],[Notional Value Local Cur]])</f>
        <v>0</v>
      </c>
    </row>
    <row r="1847" spans="1:5" x14ac:dyDescent="0.25">
      <c r="A1847" s="36" t="b">
        <v>0</v>
      </c>
      <c r="B1847" s="56" t="b">
        <v>0</v>
      </c>
      <c r="C1847" s="56" t="b">
        <v>0</v>
      </c>
      <c r="D1847" s="56" t="b">
        <v>0</v>
      </c>
      <c r="E1847" s="56">
        <f ca="1">IF(PV[[#This Row],[Business Date]]=Control!$C$6, PV[[#This Row],[Notional Value Local Cur]], -PV[[#This Row],[Notional Value Local Cur]])</f>
        <v>0</v>
      </c>
    </row>
    <row r="1848" spans="1:5" x14ac:dyDescent="0.25">
      <c r="A1848" s="36" t="b">
        <v>0</v>
      </c>
      <c r="B1848" s="56" t="b">
        <v>0</v>
      </c>
      <c r="C1848" s="56" t="b">
        <v>0</v>
      </c>
      <c r="D1848" s="56" t="b">
        <v>0</v>
      </c>
      <c r="E1848" s="56">
        <f ca="1">IF(PV[[#This Row],[Business Date]]=Control!$C$6, PV[[#This Row],[Notional Value Local Cur]], -PV[[#This Row],[Notional Value Local Cur]])</f>
        <v>0</v>
      </c>
    </row>
    <row r="1849" spans="1:5" x14ac:dyDescent="0.25">
      <c r="A1849" s="36" t="b">
        <v>0</v>
      </c>
      <c r="B1849" s="56" t="b">
        <v>0</v>
      </c>
      <c r="C1849" s="56" t="b">
        <v>0</v>
      </c>
      <c r="D1849" s="56" t="b">
        <v>0</v>
      </c>
      <c r="E1849" s="56">
        <f ca="1">IF(PV[[#This Row],[Business Date]]=Control!$C$6, PV[[#This Row],[Notional Value Local Cur]], -PV[[#This Row],[Notional Value Local Cur]])</f>
        <v>0</v>
      </c>
    </row>
    <row r="1850" spans="1:5" x14ac:dyDescent="0.25">
      <c r="A1850" s="36" t="b">
        <v>0</v>
      </c>
      <c r="B1850" s="56" t="b">
        <v>0</v>
      </c>
      <c r="C1850" s="56" t="b">
        <v>0</v>
      </c>
      <c r="D1850" s="56" t="b">
        <v>0</v>
      </c>
      <c r="E1850" s="56">
        <f ca="1">IF(PV[[#This Row],[Business Date]]=Control!$C$6, PV[[#This Row],[Notional Value Local Cur]], -PV[[#This Row],[Notional Value Local Cur]])</f>
        <v>0</v>
      </c>
    </row>
    <row r="1851" spans="1:5" x14ac:dyDescent="0.25">
      <c r="A1851" s="36" t="b">
        <v>0</v>
      </c>
      <c r="B1851" s="56" t="b">
        <v>0</v>
      </c>
      <c r="C1851" s="56" t="b">
        <v>0</v>
      </c>
      <c r="D1851" s="56" t="b">
        <v>0</v>
      </c>
      <c r="E1851" s="56">
        <f ca="1">IF(PV[[#This Row],[Business Date]]=Control!$C$6, PV[[#This Row],[Notional Value Local Cur]], -PV[[#This Row],[Notional Value Local Cur]])</f>
        <v>0</v>
      </c>
    </row>
    <row r="1852" spans="1:5" x14ac:dyDescent="0.25">
      <c r="A1852" s="36" t="b">
        <v>0</v>
      </c>
      <c r="B1852" s="56" t="b">
        <v>0</v>
      </c>
      <c r="C1852" s="56" t="b">
        <v>0</v>
      </c>
      <c r="D1852" s="56" t="b">
        <v>0</v>
      </c>
      <c r="E1852" s="56">
        <f ca="1">IF(PV[[#This Row],[Business Date]]=Control!$C$6, PV[[#This Row],[Notional Value Local Cur]], -PV[[#This Row],[Notional Value Local Cur]])</f>
        <v>0</v>
      </c>
    </row>
    <row r="1853" spans="1:5" x14ac:dyDescent="0.25">
      <c r="A1853" s="36" t="b">
        <v>0</v>
      </c>
      <c r="B1853" s="56" t="b">
        <v>0</v>
      </c>
      <c r="C1853" s="56" t="b">
        <v>0</v>
      </c>
      <c r="D1853" s="56" t="b">
        <v>0</v>
      </c>
      <c r="E1853" s="56">
        <f ca="1">IF(PV[[#This Row],[Business Date]]=Control!$C$6, PV[[#This Row],[Notional Value Local Cur]], -PV[[#This Row],[Notional Value Local Cur]])</f>
        <v>0</v>
      </c>
    </row>
    <row r="1854" spans="1:5" x14ac:dyDescent="0.25">
      <c r="A1854" s="36" t="b">
        <v>0</v>
      </c>
      <c r="B1854" s="56" t="b">
        <v>0</v>
      </c>
      <c r="C1854" s="56" t="b">
        <v>0</v>
      </c>
      <c r="D1854" s="56" t="b">
        <v>0</v>
      </c>
      <c r="E1854" s="56">
        <f ca="1">IF(PV[[#This Row],[Business Date]]=Control!$C$6, PV[[#This Row],[Notional Value Local Cur]], -PV[[#This Row],[Notional Value Local Cur]])</f>
        <v>0</v>
      </c>
    </row>
    <row r="1855" spans="1:5" x14ac:dyDescent="0.25">
      <c r="A1855" s="36" t="b">
        <v>0</v>
      </c>
      <c r="B1855" s="56" t="b">
        <v>0</v>
      </c>
      <c r="C1855" s="56" t="b">
        <v>0</v>
      </c>
      <c r="D1855" s="56" t="b">
        <v>0</v>
      </c>
      <c r="E1855" s="56">
        <f ca="1">IF(PV[[#This Row],[Business Date]]=Control!$C$6, PV[[#This Row],[Notional Value Local Cur]], -PV[[#This Row],[Notional Value Local Cur]])</f>
        <v>0</v>
      </c>
    </row>
    <row r="1856" spans="1:5" x14ac:dyDescent="0.25">
      <c r="A1856" s="36" t="b">
        <v>0</v>
      </c>
      <c r="B1856" s="56" t="b">
        <v>0</v>
      </c>
      <c r="C1856" s="56" t="b">
        <v>0</v>
      </c>
      <c r="D1856" s="56" t="b">
        <v>0</v>
      </c>
      <c r="E1856" s="56">
        <f ca="1">IF(PV[[#This Row],[Business Date]]=Control!$C$6, PV[[#This Row],[Notional Value Local Cur]], -PV[[#This Row],[Notional Value Local Cur]])</f>
        <v>0</v>
      </c>
    </row>
    <row r="1857" spans="1:5" x14ac:dyDescent="0.25">
      <c r="A1857" s="36" t="b">
        <v>0</v>
      </c>
      <c r="B1857" s="56" t="b">
        <v>0</v>
      </c>
      <c r="C1857" s="56" t="b">
        <v>0</v>
      </c>
      <c r="D1857" s="56" t="b">
        <v>0</v>
      </c>
      <c r="E1857" s="56">
        <f ca="1">IF(PV[[#This Row],[Business Date]]=Control!$C$6, PV[[#This Row],[Notional Value Local Cur]], -PV[[#This Row],[Notional Value Local Cur]])</f>
        <v>0</v>
      </c>
    </row>
    <row r="1858" spans="1:5" x14ac:dyDescent="0.25">
      <c r="A1858" s="36" t="b">
        <v>0</v>
      </c>
      <c r="B1858" s="56" t="b">
        <v>0</v>
      </c>
      <c r="C1858" s="56" t="b">
        <v>0</v>
      </c>
      <c r="D1858" s="56" t="b">
        <v>0</v>
      </c>
      <c r="E1858" s="56">
        <f ca="1">IF(PV[[#This Row],[Business Date]]=Control!$C$6, PV[[#This Row],[Notional Value Local Cur]], -PV[[#This Row],[Notional Value Local Cur]])</f>
        <v>0</v>
      </c>
    </row>
    <row r="1859" spans="1:5" x14ac:dyDescent="0.25">
      <c r="A1859" s="36" t="b">
        <v>0</v>
      </c>
      <c r="B1859" s="56" t="b">
        <v>0</v>
      </c>
      <c r="C1859" s="56" t="b">
        <v>0</v>
      </c>
      <c r="D1859" s="56" t="b">
        <v>0</v>
      </c>
      <c r="E1859" s="56">
        <f ca="1">IF(PV[[#This Row],[Business Date]]=Control!$C$6, PV[[#This Row],[Notional Value Local Cur]], -PV[[#This Row],[Notional Value Local Cur]])</f>
        <v>0</v>
      </c>
    </row>
    <row r="1860" spans="1:5" x14ac:dyDescent="0.25">
      <c r="A1860" s="36" t="b">
        <v>0</v>
      </c>
      <c r="B1860" s="56" t="b">
        <v>0</v>
      </c>
      <c r="C1860" s="56" t="b">
        <v>0</v>
      </c>
      <c r="D1860" s="56" t="b">
        <v>0</v>
      </c>
      <c r="E1860" s="56">
        <f ca="1">IF(PV[[#This Row],[Business Date]]=Control!$C$6, PV[[#This Row],[Notional Value Local Cur]], -PV[[#This Row],[Notional Value Local Cur]])</f>
        <v>0</v>
      </c>
    </row>
    <row r="1861" spans="1:5" x14ac:dyDescent="0.25">
      <c r="A1861" s="36" t="b">
        <v>0</v>
      </c>
      <c r="B1861" s="56" t="b">
        <v>0</v>
      </c>
      <c r="C1861" s="56" t="b">
        <v>0</v>
      </c>
      <c r="D1861" s="56" t="b">
        <v>0</v>
      </c>
      <c r="E1861" s="56">
        <f ca="1">IF(PV[[#This Row],[Business Date]]=Control!$C$6, PV[[#This Row],[Notional Value Local Cur]], -PV[[#This Row],[Notional Value Local Cur]])</f>
        <v>0</v>
      </c>
    </row>
    <row r="1862" spans="1:5" x14ac:dyDescent="0.25">
      <c r="A1862" s="36" t="b">
        <v>0</v>
      </c>
      <c r="B1862" s="56" t="b">
        <v>0</v>
      </c>
      <c r="C1862" s="56" t="b">
        <v>0</v>
      </c>
      <c r="D1862" s="56" t="b">
        <v>0</v>
      </c>
      <c r="E1862" s="56">
        <f ca="1">IF(PV[[#This Row],[Business Date]]=Control!$C$6, PV[[#This Row],[Notional Value Local Cur]], -PV[[#This Row],[Notional Value Local Cur]])</f>
        <v>0</v>
      </c>
    </row>
    <row r="1863" spans="1:5" x14ac:dyDescent="0.25">
      <c r="A1863" s="36" t="b">
        <v>0</v>
      </c>
      <c r="B1863" s="56" t="b">
        <v>0</v>
      </c>
      <c r="C1863" s="56" t="b">
        <v>0</v>
      </c>
      <c r="D1863" s="56" t="b">
        <v>0</v>
      </c>
      <c r="E1863" s="56">
        <f ca="1">IF(PV[[#This Row],[Business Date]]=Control!$C$6, PV[[#This Row],[Notional Value Local Cur]], -PV[[#This Row],[Notional Value Local Cur]])</f>
        <v>0</v>
      </c>
    </row>
    <row r="1864" spans="1:5" x14ac:dyDescent="0.25">
      <c r="A1864" s="36" t="b">
        <v>0</v>
      </c>
      <c r="B1864" s="56" t="b">
        <v>0</v>
      </c>
      <c r="C1864" s="56" t="b">
        <v>0</v>
      </c>
      <c r="D1864" s="56" t="b">
        <v>0</v>
      </c>
      <c r="E1864" s="56">
        <f ca="1">IF(PV[[#This Row],[Business Date]]=Control!$C$6, PV[[#This Row],[Notional Value Local Cur]], -PV[[#This Row],[Notional Value Local Cur]])</f>
        <v>0</v>
      </c>
    </row>
    <row r="1865" spans="1:5" x14ac:dyDescent="0.25">
      <c r="A1865" s="36" t="b">
        <v>0</v>
      </c>
      <c r="B1865" s="56" t="b">
        <v>0</v>
      </c>
      <c r="C1865" s="56" t="b">
        <v>0</v>
      </c>
      <c r="D1865" s="56" t="b">
        <v>0</v>
      </c>
      <c r="E1865" s="56">
        <f ca="1">IF(PV[[#This Row],[Business Date]]=Control!$C$6, PV[[#This Row],[Notional Value Local Cur]], -PV[[#This Row],[Notional Value Local Cur]])</f>
        <v>0</v>
      </c>
    </row>
    <row r="1866" spans="1:5" x14ac:dyDescent="0.25">
      <c r="A1866" s="36" t="b">
        <v>0</v>
      </c>
      <c r="B1866" s="56" t="b">
        <v>0</v>
      </c>
      <c r="C1866" s="56" t="b">
        <v>0</v>
      </c>
      <c r="D1866" s="56" t="b">
        <v>0</v>
      </c>
      <c r="E1866" s="56">
        <f ca="1">IF(PV[[#This Row],[Business Date]]=Control!$C$6, PV[[#This Row],[Notional Value Local Cur]], -PV[[#This Row],[Notional Value Local Cur]])</f>
        <v>0</v>
      </c>
    </row>
    <row r="1867" spans="1:5" x14ac:dyDescent="0.25">
      <c r="A1867" s="36" t="b">
        <v>0</v>
      </c>
      <c r="B1867" s="56" t="b">
        <v>0</v>
      </c>
      <c r="C1867" s="56" t="b">
        <v>0</v>
      </c>
      <c r="D1867" s="56" t="b">
        <v>0</v>
      </c>
      <c r="E1867" s="56">
        <f ca="1">IF(PV[[#This Row],[Business Date]]=Control!$C$6, PV[[#This Row],[Notional Value Local Cur]], -PV[[#This Row],[Notional Value Local Cur]])</f>
        <v>0</v>
      </c>
    </row>
    <row r="1868" spans="1:5" x14ac:dyDescent="0.25">
      <c r="A1868" s="36" t="b">
        <v>0</v>
      </c>
      <c r="B1868" s="56" t="b">
        <v>0</v>
      </c>
      <c r="C1868" s="56" t="b">
        <v>0</v>
      </c>
      <c r="D1868" s="56" t="b">
        <v>0</v>
      </c>
      <c r="E1868" s="56">
        <f ca="1">IF(PV[[#This Row],[Business Date]]=Control!$C$6, PV[[#This Row],[Notional Value Local Cur]], -PV[[#This Row],[Notional Value Local Cur]])</f>
        <v>0</v>
      </c>
    </row>
    <row r="1869" spans="1:5" x14ac:dyDescent="0.25">
      <c r="A1869" s="36" t="b">
        <v>0</v>
      </c>
      <c r="B1869" s="56" t="b">
        <v>0</v>
      </c>
      <c r="C1869" s="56" t="b">
        <v>0</v>
      </c>
      <c r="D1869" s="56" t="b">
        <v>0</v>
      </c>
      <c r="E1869" s="56">
        <f ca="1">IF(PV[[#This Row],[Business Date]]=Control!$C$6, PV[[#This Row],[Notional Value Local Cur]], -PV[[#This Row],[Notional Value Local Cur]])</f>
        <v>0</v>
      </c>
    </row>
    <row r="1870" spans="1:5" x14ac:dyDescent="0.25">
      <c r="A1870" s="36" t="b">
        <v>0</v>
      </c>
      <c r="B1870" s="56" t="b">
        <v>0</v>
      </c>
      <c r="C1870" s="56" t="b">
        <v>0</v>
      </c>
      <c r="D1870" s="56" t="b">
        <v>0</v>
      </c>
      <c r="E1870" s="56">
        <f ca="1">IF(PV[[#This Row],[Business Date]]=Control!$C$6, PV[[#This Row],[Notional Value Local Cur]], -PV[[#This Row],[Notional Value Local Cur]])</f>
        <v>0</v>
      </c>
    </row>
    <row r="1871" spans="1:5" x14ac:dyDescent="0.25">
      <c r="A1871" s="36" t="b">
        <v>0</v>
      </c>
      <c r="B1871" s="56" t="b">
        <v>0</v>
      </c>
      <c r="C1871" s="56" t="b">
        <v>0</v>
      </c>
      <c r="D1871" s="56" t="b">
        <v>0</v>
      </c>
      <c r="E1871" s="56">
        <f ca="1">IF(PV[[#This Row],[Business Date]]=Control!$C$6, PV[[#This Row],[Notional Value Local Cur]], -PV[[#This Row],[Notional Value Local Cur]])</f>
        <v>0</v>
      </c>
    </row>
    <row r="1872" spans="1:5" x14ac:dyDescent="0.25">
      <c r="A1872" s="36" t="b">
        <v>0</v>
      </c>
      <c r="B1872" s="56" t="b">
        <v>0</v>
      </c>
      <c r="C1872" s="56" t="b">
        <v>0</v>
      </c>
      <c r="D1872" s="56" t="b">
        <v>0</v>
      </c>
      <c r="E1872" s="56">
        <f ca="1">IF(PV[[#This Row],[Business Date]]=Control!$C$6, PV[[#This Row],[Notional Value Local Cur]], -PV[[#This Row],[Notional Value Local Cur]])</f>
        <v>0</v>
      </c>
    </row>
    <row r="1873" spans="1:5" x14ac:dyDescent="0.25">
      <c r="A1873" s="36" t="b">
        <v>0</v>
      </c>
      <c r="B1873" s="56" t="b">
        <v>0</v>
      </c>
      <c r="C1873" s="56" t="b">
        <v>0</v>
      </c>
      <c r="D1873" s="56" t="b">
        <v>0</v>
      </c>
      <c r="E1873" s="56">
        <f ca="1">IF(PV[[#This Row],[Business Date]]=Control!$C$6, PV[[#This Row],[Notional Value Local Cur]], -PV[[#This Row],[Notional Value Local Cur]])</f>
        <v>0</v>
      </c>
    </row>
    <row r="1874" spans="1:5" x14ac:dyDescent="0.25">
      <c r="A1874" s="36" t="b">
        <v>0</v>
      </c>
      <c r="B1874" s="56" t="b">
        <v>0</v>
      </c>
      <c r="C1874" s="56" t="b">
        <v>0</v>
      </c>
      <c r="D1874" s="56" t="b">
        <v>0</v>
      </c>
      <c r="E1874" s="56">
        <f ca="1">IF(PV[[#This Row],[Business Date]]=Control!$C$6, PV[[#This Row],[Notional Value Local Cur]], -PV[[#This Row],[Notional Value Local Cur]])</f>
        <v>0</v>
      </c>
    </row>
    <row r="1875" spans="1:5" x14ac:dyDescent="0.25">
      <c r="A1875" s="36" t="b">
        <v>0</v>
      </c>
      <c r="B1875" s="56" t="b">
        <v>0</v>
      </c>
      <c r="C1875" s="56" t="b">
        <v>0</v>
      </c>
      <c r="D1875" s="56" t="b">
        <v>0</v>
      </c>
      <c r="E1875" s="56">
        <f ca="1">IF(PV[[#This Row],[Business Date]]=Control!$C$6, PV[[#This Row],[Notional Value Local Cur]], -PV[[#This Row],[Notional Value Local Cur]])</f>
        <v>0</v>
      </c>
    </row>
    <row r="1876" spans="1:5" x14ac:dyDescent="0.25">
      <c r="A1876" s="36" t="b">
        <v>0</v>
      </c>
      <c r="B1876" s="56" t="b">
        <v>0</v>
      </c>
      <c r="C1876" s="56" t="b">
        <v>0</v>
      </c>
      <c r="D1876" s="56" t="b">
        <v>0</v>
      </c>
      <c r="E1876" s="56">
        <f ca="1">IF(PV[[#This Row],[Business Date]]=Control!$C$6, PV[[#This Row],[Notional Value Local Cur]], -PV[[#This Row],[Notional Value Local Cur]])</f>
        <v>0</v>
      </c>
    </row>
    <row r="1877" spans="1:5" x14ac:dyDescent="0.25">
      <c r="A1877" s="36" t="b">
        <v>0</v>
      </c>
      <c r="B1877" s="56" t="b">
        <v>0</v>
      </c>
      <c r="C1877" s="56" t="b">
        <v>0</v>
      </c>
      <c r="D1877" s="56" t="b">
        <v>0</v>
      </c>
      <c r="E1877" s="56">
        <f ca="1">IF(PV[[#This Row],[Business Date]]=Control!$C$6, PV[[#This Row],[Notional Value Local Cur]], -PV[[#This Row],[Notional Value Local Cur]])</f>
        <v>0</v>
      </c>
    </row>
    <row r="1878" spans="1:5" x14ac:dyDescent="0.25">
      <c r="A1878" s="36" t="b">
        <v>0</v>
      </c>
      <c r="B1878" s="56" t="b">
        <v>0</v>
      </c>
      <c r="C1878" s="56" t="b">
        <v>0</v>
      </c>
      <c r="D1878" s="56" t="b">
        <v>0</v>
      </c>
      <c r="E1878" s="56">
        <f ca="1">IF(PV[[#This Row],[Business Date]]=Control!$C$6, PV[[#This Row],[Notional Value Local Cur]], -PV[[#This Row],[Notional Value Local Cur]])</f>
        <v>0</v>
      </c>
    </row>
    <row r="1879" spans="1:5" x14ac:dyDescent="0.25">
      <c r="A1879" s="36" t="b">
        <v>0</v>
      </c>
      <c r="B1879" s="56" t="b">
        <v>0</v>
      </c>
      <c r="C1879" s="56" t="b">
        <v>0</v>
      </c>
      <c r="D1879" s="56" t="b">
        <v>0</v>
      </c>
      <c r="E1879" s="56">
        <f ca="1">IF(PV[[#This Row],[Business Date]]=Control!$C$6, PV[[#This Row],[Notional Value Local Cur]], -PV[[#This Row],[Notional Value Local Cur]])</f>
        <v>0</v>
      </c>
    </row>
    <row r="1880" spans="1:5" x14ac:dyDescent="0.25">
      <c r="A1880" s="36" t="b">
        <v>0</v>
      </c>
      <c r="B1880" s="56" t="b">
        <v>0</v>
      </c>
      <c r="C1880" s="56" t="b">
        <v>0</v>
      </c>
      <c r="D1880" s="56" t="b">
        <v>0</v>
      </c>
      <c r="E1880" s="56">
        <f ca="1">IF(PV[[#This Row],[Business Date]]=Control!$C$6, PV[[#This Row],[Notional Value Local Cur]], -PV[[#This Row],[Notional Value Local Cur]])</f>
        <v>0</v>
      </c>
    </row>
    <row r="1881" spans="1:5" x14ac:dyDescent="0.25">
      <c r="A1881" s="36" t="b">
        <v>0</v>
      </c>
      <c r="B1881" s="56" t="b">
        <v>0</v>
      </c>
      <c r="C1881" s="56" t="b">
        <v>0</v>
      </c>
      <c r="D1881" s="56" t="b">
        <v>0</v>
      </c>
      <c r="E1881" s="56">
        <f ca="1">IF(PV[[#This Row],[Business Date]]=Control!$C$6, PV[[#This Row],[Notional Value Local Cur]], -PV[[#This Row],[Notional Value Local Cur]])</f>
        <v>0</v>
      </c>
    </row>
    <row r="1882" spans="1:5" x14ac:dyDescent="0.25">
      <c r="A1882" s="36" t="b">
        <v>0</v>
      </c>
      <c r="B1882" s="56" t="b">
        <v>0</v>
      </c>
      <c r="C1882" s="56" t="b">
        <v>0</v>
      </c>
      <c r="D1882" s="56" t="b">
        <v>0</v>
      </c>
      <c r="E1882" s="56">
        <f ca="1">IF(PV[[#This Row],[Business Date]]=Control!$C$6, PV[[#This Row],[Notional Value Local Cur]], -PV[[#This Row],[Notional Value Local Cur]])</f>
        <v>0</v>
      </c>
    </row>
    <row r="1883" spans="1:5" x14ac:dyDescent="0.25">
      <c r="A1883" s="36" t="b">
        <v>0</v>
      </c>
      <c r="B1883" s="56" t="b">
        <v>0</v>
      </c>
      <c r="C1883" s="56" t="b">
        <v>0</v>
      </c>
      <c r="D1883" s="56" t="b">
        <v>0</v>
      </c>
      <c r="E1883" s="56">
        <f ca="1">IF(PV[[#This Row],[Business Date]]=Control!$C$6, PV[[#This Row],[Notional Value Local Cur]], -PV[[#This Row],[Notional Value Local Cur]])</f>
        <v>0</v>
      </c>
    </row>
    <row r="1884" spans="1:5" x14ac:dyDescent="0.25">
      <c r="A1884" s="36" t="b">
        <v>0</v>
      </c>
      <c r="B1884" s="56" t="b">
        <v>0</v>
      </c>
      <c r="C1884" s="56" t="b">
        <v>0</v>
      </c>
      <c r="D1884" s="56" t="b">
        <v>0</v>
      </c>
      <c r="E1884" s="56">
        <f ca="1">IF(PV[[#This Row],[Business Date]]=Control!$C$6, PV[[#This Row],[Notional Value Local Cur]], -PV[[#This Row],[Notional Value Local Cur]])</f>
        <v>0</v>
      </c>
    </row>
    <row r="1885" spans="1:5" x14ac:dyDescent="0.25">
      <c r="A1885" s="36" t="b">
        <v>0</v>
      </c>
      <c r="B1885" s="56" t="b">
        <v>0</v>
      </c>
      <c r="C1885" s="56" t="b">
        <v>0</v>
      </c>
      <c r="D1885" s="56" t="b">
        <v>0</v>
      </c>
      <c r="E1885" s="56">
        <f ca="1">IF(PV[[#This Row],[Business Date]]=Control!$C$6, PV[[#This Row],[Notional Value Local Cur]], -PV[[#This Row],[Notional Value Local Cur]])</f>
        <v>0</v>
      </c>
    </row>
    <row r="1886" spans="1:5" x14ac:dyDescent="0.25">
      <c r="A1886" s="36" t="b">
        <v>0</v>
      </c>
      <c r="B1886" s="56" t="b">
        <v>0</v>
      </c>
      <c r="C1886" s="56" t="b">
        <v>0</v>
      </c>
      <c r="D1886" s="56" t="b">
        <v>0</v>
      </c>
      <c r="E1886" s="56">
        <f ca="1">IF(PV[[#This Row],[Business Date]]=Control!$C$6, PV[[#This Row],[Notional Value Local Cur]], -PV[[#This Row],[Notional Value Local Cur]])</f>
        <v>0</v>
      </c>
    </row>
    <row r="1887" spans="1:5" x14ac:dyDescent="0.25">
      <c r="A1887" s="36" t="b">
        <v>0</v>
      </c>
      <c r="B1887" s="56" t="b">
        <v>0</v>
      </c>
      <c r="C1887" s="56" t="b">
        <v>0</v>
      </c>
      <c r="D1887" s="56" t="b">
        <v>0</v>
      </c>
      <c r="E1887" s="56">
        <f ca="1">IF(PV[[#This Row],[Business Date]]=Control!$C$6, PV[[#This Row],[Notional Value Local Cur]], -PV[[#This Row],[Notional Value Local Cur]])</f>
        <v>0</v>
      </c>
    </row>
    <row r="1888" spans="1:5" x14ac:dyDescent="0.25">
      <c r="A1888" s="36" t="b">
        <v>0</v>
      </c>
      <c r="B1888" s="56" t="b">
        <v>0</v>
      </c>
      <c r="C1888" s="56" t="b">
        <v>0</v>
      </c>
      <c r="D1888" s="56" t="b">
        <v>0</v>
      </c>
      <c r="E1888" s="56">
        <f ca="1">IF(PV[[#This Row],[Business Date]]=Control!$C$6, PV[[#This Row],[Notional Value Local Cur]], -PV[[#This Row],[Notional Value Local Cur]])</f>
        <v>0</v>
      </c>
    </row>
    <row r="1889" spans="1:5" x14ac:dyDescent="0.25">
      <c r="A1889" s="36" t="b">
        <v>0</v>
      </c>
      <c r="B1889" s="56" t="b">
        <v>0</v>
      </c>
      <c r="C1889" s="56" t="b">
        <v>0</v>
      </c>
      <c r="D1889" s="56" t="b">
        <v>0</v>
      </c>
      <c r="E1889" s="56">
        <f ca="1">IF(PV[[#This Row],[Business Date]]=Control!$C$6, PV[[#This Row],[Notional Value Local Cur]], -PV[[#This Row],[Notional Value Local Cur]])</f>
        <v>0</v>
      </c>
    </row>
    <row r="1890" spans="1:5" x14ac:dyDescent="0.25">
      <c r="A1890" s="36" t="b">
        <v>0</v>
      </c>
      <c r="B1890" s="56" t="b">
        <v>0</v>
      </c>
      <c r="C1890" s="56" t="b">
        <v>0</v>
      </c>
      <c r="D1890" s="56" t="b">
        <v>0</v>
      </c>
      <c r="E1890" s="56">
        <f ca="1">IF(PV[[#This Row],[Business Date]]=Control!$C$6, PV[[#This Row],[Notional Value Local Cur]], -PV[[#This Row],[Notional Value Local Cur]])</f>
        <v>0</v>
      </c>
    </row>
    <row r="1891" spans="1:5" x14ac:dyDescent="0.25">
      <c r="A1891" s="36" t="b">
        <v>0</v>
      </c>
      <c r="B1891" s="56" t="b">
        <v>0</v>
      </c>
      <c r="C1891" s="56" t="b">
        <v>0</v>
      </c>
      <c r="D1891" s="56" t="b">
        <v>0</v>
      </c>
      <c r="E1891" s="56">
        <f ca="1">IF(PV[[#This Row],[Business Date]]=Control!$C$6, PV[[#This Row],[Notional Value Local Cur]], -PV[[#This Row],[Notional Value Local Cur]])</f>
        <v>0</v>
      </c>
    </row>
    <row r="1892" spans="1:5" x14ac:dyDescent="0.25">
      <c r="A1892" s="36" t="b">
        <v>0</v>
      </c>
      <c r="B1892" s="56" t="b">
        <v>0</v>
      </c>
      <c r="C1892" s="56" t="b">
        <v>0</v>
      </c>
      <c r="D1892" s="56" t="b">
        <v>0</v>
      </c>
      <c r="E1892" s="56">
        <f ca="1">IF(PV[[#This Row],[Business Date]]=Control!$C$6, PV[[#This Row],[Notional Value Local Cur]], -PV[[#This Row],[Notional Value Local Cur]])</f>
        <v>0</v>
      </c>
    </row>
    <row r="1893" spans="1:5" x14ac:dyDescent="0.25">
      <c r="A1893" s="36" t="b">
        <v>0</v>
      </c>
      <c r="B1893" s="56" t="b">
        <v>0</v>
      </c>
      <c r="C1893" s="56" t="b">
        <v>0</v>
      </c>
      <c r="D1893" s="56" t="b">
        <v>0</v>
      </c>
      <c r="E1893" s="56">
        <f ca="1">IF(PV[[#This Row],[Business Date]]=Control!$C$6, PV[[#This Row],[Notional Value Local Cur]], -PV[[#This Row],[Notional Value Local Cur]])</f>
        <v>0</v>
      </c>
    </row>
    <row r="1894" spans="1:5" x14ac:dyDescent="0.25">
      <c r="A1894" s="36" t="b">
        <v>0</v>
      </c>
      <c r="B1894" s="56" t="b">
        <v>0</v>
      </c>
      <c r="C1894" s="56" t="b">
        <v>0</v>
      </c>
      <c r="D1894" s="56" t="b">
        <v>0</v>
      </c>
      <c r="E1894" s="56">
        <f ca="1">IF(PV[[#This Row],[Business Date]]=Control!$C$6, PV[[#This Row],[Notional Value Local Cur]], -PV[[#This Row],[Notional Value Local Cur]])</f>
        <v>0</v>
      </c>
    </row>
    <row r="1895" spans="1:5" x14ac:dyDescent="0.25">
      <c r="A1895" s="36" t="b">
        <v>0</v>
      </c>
      <c r="B1895" s="56" t="b">
        <v>0</v>
      </c>
      <c r="C1895" s="56" t="b">
        <v>0</v>
      </c>
      <c r="D1895" s="56" t="b">
        <v>0</v>
      </c>
      <c r="E1895" s="56">
        <f ca="1">IF(PV[[#This Row],[Business Date]]=Control!$C$6, PV[[#This Row],[Notional Value Local Cur]], -PV[[#This Row],[Notional Value Local Cur]])</f>
        <v>0</v>
      </c>
    </row>
    <row r="1896" spans="1:5" x14ac:dyDescent="0.25">
      <c r="A1896" s="36" t="b">
        <v>0</v>
      </c>
      <c r="B1896" s="56" t="b">
        <v>0</v>
      </c>
      <c r="C1896" s="56" t="b">
        <v>0</v>
      </c>
      <c r="D1896" s="56" t="b">
        <v>0</v>
      </c>
      <c r="E1896" s="56">
        <f ca="1">IF(PV[[#This Row],[Business Date]]=Control!$C$6, PV[[#This Row],[Notional Value Local Cur]], -PV[[#This Row],[Notional Value Local Cur]])</f>
        <v>0</v>
      </c>
    </row>
    <row r="1897" spans="1:5" x14ac:dyDescent="0.25">
      <c r="A1897" s="36" t="b">
        <v>0</v>
      </c>
      <c r="B1897" s="56" t="b">
        <v>0</v>
      </c>
      <c r="C1897" s="56" t="b">
        <v>0</v>
      </c>
      <c r="D1897" s="56" t="b">
        <v>0</v>
      </c>
      <c r="E1897" s="56">
        <f ca="1">IF(PV[[#This Row],[Business Date]]=Control!$C$6, PV[[#This Row],[Notional Value Local Cur]], -PV[[#This Row],[Notional Value Local Cur]])</f>
        <v>0</v>
      </c>
    </row>
    <row r="1898" spans="1:5" x14ac:dyDescent="0.25">
      <c r="A1898" s="36" t="b">
        <v>0</v>
      </c>
      <c r="B1898" s="56" t="b">
        <v>0</v>
      </c>
      <c r="C1898" s="56" t="b">
        <v>0</v>
      </c>
      <c r="D1898" s="56" t="b">
        <v>0</v>
      </c>
      <c r="E1898" s="56">
        <f ca="1">IF(PV[[#This Row],[Business Date]]=Control!$C$6, PV[[#This Row],[Notional Value Local Cur]], -PV[[#This Row],[Notional Value Local Cur]])</f>
        <v>0</v>
      </c>
    </row>
    <row r="1899" spans="1:5" x14ac:dyDescent="0.25">
      <c r="A1899" s="36" t="b">
        <v>0</v>
      </c>
      <c r="B1899" s="56" t="b">
        <v>0</v>
      </c>
      <c r="C1899" s="56" t="b">
        <v>0</v>
      </c>
      <c r="D1899" s="56" t="b">
        <v>0</v>
      </c>
      <c r="E1899" s="56">
        <f ca="1">IF(PV[[#This Row],[Business Date]]=Control!$C$6, PV[[#This Row],[Notional Value Local Cur]], -PV[[#This Row],[Notional Value Local Cur]])</f>
        <v>0</v>
      </c>
    </row>
    <row r="1900" spans="1:5" x14ac:dyDescent="0.25">
      <c r="A1900" s="36" t="b">
        <v>0</v>
      </c>
      <c r="B1900" s="56" t="b">
        <v>0</v>
      </c>
      <c r="C1900" s="56" t="b">
        <v>0</v>
      </c>
      <c r="D1900" s="56" t="b">
        <v>0</v>
      </c>
      <c r="E1900" s="56">
        <f ca="1">IF(PV[[#This Row],[Business Date]]=Control!$C$6, PV[[#This Row],[Notional Value Local Cur]], -PV[[#This Row],[Notional Value Local Cur]])</f>
        <v>0</v>
      </c>
    </row>
    <row r="1901" spans="1:5" x14ac:dyDescent="0.25">
      <c r="A1901" s="36" t="b">
        <v>0</v>
      </c>
      <c r="B1901" s="56" t="b">
        <v>0</v>
      </c>
      <c r="C1901" s="56" t="b">
        <v>0</v>
      </c>
      <c r="D1901" s="56" t="b">
        <v>0</v>
      </c>
      <c r="E1901" s="56">
        <f ca="1">IF(PV[[#This Row],[Business Date]]=Control!$C$6, PV[[#This Row],[Notional Value Local Cur]], -PV[[#This Row],[Notional Value Local Cur]])</f>
        <v>0</v>
      </c>
    </row>
    <row r="1902" spans="1:5" x14ac:dyDescent="0.25">
      <c r="A1902" s="36" t="b">
        <v>0</v>
      </c>
      <c r="B1902" s="56" t="b">
        <v>0</v>
      </c>
      <c r="C1902" s="56" t="b">
        <v>0</v>
      </c>
      <c r="D1902" s="56" t="b">
        <v>0</v>
      </c>
      <c r="E1902" s="56">
        <f ca="1">IF(PV[[#This Row],[Business Date]]=Control!$C$6, PV[[#This Row],[Notional Value Local Cur]], -PV[[#This Row],[Notional Value Local Cur]])</f>
        <v>0</v>
      </c>
    </row>
    <row r="1903" spans="1:5" x14ac:dyDescent="0.25">
      <c r="A1903" s="36" t="b">
        <v>0</v>
      </c>
      <c r="B1903" s="56" t="b">
        <v>0</v>
      </c>
      <c r="C1903" s="56" t="b">
        <v>0</v>
      </c>
      <c r="D1903" s="56" t="b">
        <v>0</v>
      </c>
      <c r="E1903" s="56">
        <f ca="1">IF(PV[[#This Row],[Business Date]]=Control!$C$6, PV[[#This Row],[Notional Value Local Cur]], -PV[[#This Row],[Notional Value Local Cur]])</f>
        <v>0</v>
      </c>
    </row>
    <row r="1904" spans="1:5" x14ac:dyDescent="0.25">
      <c r="A1904" s="36" t="b">
        <v>0</v>
      </c>
      <c r="B1904" s="56" t="b">
        <v>0</v>
      </c>
      <c r="C1904" s="56" t="b">
        <v>0</v>
      </c>
      <c r="D1904" s="56" t="b">
        <v>0</v>
      </c>
      <c r="E1904" s="56">
        <f ca="1">IF(PV[[#This Row],[Business Date]]=Control!$C$6, PV[[#This Row],[Notional Value Local Cur]], -PV[[#This Row],[Notional Value Local Cur]])</f>
        <v>0</v>
      </c>
    </row>
    <row r="1905" spans="1:5" x14ac:dyDescent="0.25">
      <c r="A1905" s="36" t="b">
        <v>0</v>
      </c>
      <c r="B1905" s="56" t="b">
        <v>0</v>
      </c>
      <c r="C1905" s="56" t="b">
        <v>0</v>
      </c>
      <c r="D1905" s="56" t="b">
        <v>0</v>
      </c>
      <c r="E1905" s="56">
        <f ca="1">IF(PV[[#This Row],[Business Date]]=Control!$C$6, PV[[#This Row],[Notional Value Local Cur]], -PV[[#This Row],[Notional Value Local Cur]])</f>
        <v>0</v>
      </c>
    </row>
    <row r="1906" spans="1:5" x14ac:dyDescent="0.25">
      <c r="A1906" s="36" t="b">
        <v>0</v>
      </c>
      <c r="B1906" s="56" t="b">
        <v>0</v>
      </c>
      <c r="C1906" s="56" t="b">
        <v>0</v>
      </c>
      <c r="D1906" s="56" t="b">
        <v>0</v>
      </c>
      <c r="E1906" s="56">
        <f ca="1">IF(PV[[#This Row],[Business Date]]=Control!$C$6, PV[[#This Row],[Notional Value Local Cur]], -PV[[#This Row],[Notional Value Local Cur]])</f>
        <v>0</v>
      </c>
    </row>
    <row r="1907" spans="1:5" x14ac:dyDescent="0.25">
      <c r="A1907" s="36" t="b">
        <v>0</v>
      </c>
      <c r="B1907" s="56" t="b">
        <v>0</v>
      </c>
      <c r="C1907" s="56" t="b">
        <v>0</v>
      </c>
      <c r="D1907" s="56" t="b">
        <v>0</v>
      </c>
      <c r="E1907" s="56">
        <f ca="1">IF(PV[[#This Row],[Business Date]]=Control!$C$6, PV[[#This Row],[Notional Value Local Cur]], -PV[[#This Row],[Notional Value Local Cur]])</f>
        <v>0</v>
      </c>
    </row>
    <row r="1908" spans="1:5" x14ac:dyDescent="0.25">
      <c r="A1908" s="36" t="b">
        <v>0</v>
      </c>
      <c r="B1908" s="56" t="b">
        <v>0</v>
      </c>
      <c r="C1908" s="56" t="b">
        <v>0</v>
      </c>
      <c r="D1908" s="56" t="b">
        <v>0</v>
      </c>
      <c r="E1908" s="56">
        <f ca="1">IF(PV[[#This Row],[Business Date]]=Control!$C$6, PV[[#This Row],[Notional Value Local Cur]], -PV[[#This Row],[Notional Value Local Cur]])</f>
        <v>0</v>
      </c>
    </row>
    <row r="1909" spans="1:5" x14ac:dyDescent="0.25">
      <c r="A1909" s="36" t="b">
        <v>0</v>
      </c>
      <c r="B1909" s="56" t="b">
        <v>0</v>
      </c>
      <c r="C1909" s="56" t="b">
        <v>0</v>
      </c>
      <c r="D1909" s="56" t="b">
        <v>0</v>
      </c>
      <c r="E1909" s="56">
        <f ca="1">IF(PV[[#This Row],[Business Date]]=Control!$C$6, PV[[#This Row],[Notional Value Local Cur]], -PV[[#This Row],[Notional Value Local Cur]])</f>
        <v>0</v>
      </c>
    </row>
    <row r="1910" spans="1:5" x14ac:dyDescent="0.25">
      <c r="A1910" s="36" t="b">
        <v>0</v>
      </c>
      <c r="B1910" s="56" t="b">
        <v>0</v>
      </c>
      <c r="C1910" s="56" t="b">
        <v>0</v>
      </c>
      <c r="D1910" s="56" t="b">
        <v>0</v>
      </c>
      <c r="E1910" s="56">
        <f ca="1">IF(PV[[#This Row],[Business Date]]=Control!$C$6, PV[[#This Row],[Notional Value Local Cur]], -PV[[#This Row],[Notional Value Local Cur]])</f>
        <v>0</v>
      </c>
    </row>
    <row r="1911" spans="1:5" x14ac:dyDescent="0.25">
      <c r="A1911" s="36" t="b">
        <v>0</v>
      </c>
      <c r="B1911" s="56" t="b">
        <v>0</v>
      </c>
      <c r="C1911" s="56" t="b">
        <v>0</v>
      </c>
      <c r="D1911" s="56" t="b">
        <v>0</v>
      </c>
      <c r="E1911" s="56">
        <f ca="1">IF(PV[[#This Row],[Business Date]]=Control!$C$6, PV[[#This Row],[Notional Value Local Cur]], -PV[[#This Row],[Notional Value Local Cur]])</f>
        <v>0</v>
      </c>
    </row>
    <row r="1912" spans="1:5" x14ac:dyDescent="0.25">
      <c r="A1912" s="36" t="b">
        <v>0</v>
      </c>
      <c r="B1912" s="56" t="b">
        <v>0</v>
      </c>
      <c r="C1912" s="56" t="b">
        <v>0</v>
      </c>
      <c r="D1912" s="56" t="b">
        <v>0</v>
      </c>
      <c r="E1912" s="56">
        <f ca="1">IF(PV[[#This Row],[Business Date]]=Control!$C$6, PV[[#This Row],[Notional Value Local Cur]], -PV[[#This Row],[Notional Value Local Cur]])</f>
        <v>0</v>
      </c>
    </row>
    <row r="1913" spans="1:5" x14ac:dyDescent="0.25">
      <c r="A1913" s="36" t="b">
        <v>0</v>
      </c>
      <c r="B1913" s="56" t="b">
        <v>0</v>
      </c>
      <c r="C1913" s="56" t="b">
        <v>0</v>
      </c>
      <c r="D1913" s="56" t="b">
        <v>0</v>
      </c>
      <c r="E1913" s="56">
        <f ca="1">IF(PV[[#This Row],[Business Date]]=Control!$C$6, PV[[#This Row],[Notional Value Local Cur]], -PV[[#This Row],[Notional Value Local Cur]])</f>
        <v>0</v>
      </c>
    </row>
    <row r="1914" spans="1:5" x14ac:dyDescent="0.25">
      <c r="A1914" s="36" t="b">
        <v>0</v>
      </c>
      <c r="B1914" s="56" t="b">
        <v>0</v>
      </c>
      <c r="C1914" s="56" t="b">
        <v>0</v>
      </c>
      <c r="D1914" s="56" t="b">
        <v>0</v>
      </c>
      <c r="E1914" s="56">
        <f ca="1">IF(PV[[#This Row],[Business Date]]=Control!$C$6, PV[[#This Row],[Notional Value Local Cur]], -PV[[#This Row],[Notional Value Local Cur]])</f>
        <v>0</v>
      </c>
    </row>
    <row r="1915" spans="1:5" x14ac:dyDescent="0.25">
      <c r="A1915" s="36" t="b">
        <v>0</v>
      </c>
      <c r="B1915" s="56" t="b">
        <v>0</v>
      </c>
      <c r="C1915" s="56" t="b">
        <v>0</v>
      </c>
      <c r="D1915" s="56" t="b">
        <v>0</v>
      </c>
      <c r="E1915" s="56">
        <f ca="1">IF(PV[[#This Row],[Business Date]]=Control!$C$6, PV[[#This Row],[Notional Value Local Cur]], -PV[[#This Row],[Notional Value Local Cur]])</f>
        <v>0</v>
      </c>
    </row>
    <row r="1916" spans="1:5" x14ac:dyDescent="0.25">
      <c r="A1916" s="36" t="b">
        <v>0</v>
      </c>
      <c r="B1916" s="56" t="b">
        <v>0</v>
      </c>
      <c r="C1916" s="56" t="b">
        <v>0</v>
      </c>
      <c r="D1916" s="56" t="b">
        <v>0</v>
      </c>
      <c r="E1916" s="56">
        <f ca="1">IF(PV[[#This Row],[Business Date]]=Control!$C$6, PV[[#This Row],[Notional Value Local Cur]], -PV[[#This Row],[Notional Value Local Cur]])</f>
        <v>0</v>
      </c>
    </row>
    <row r="1917" spans="1:5" x14ac:dyDescent="0.25">
      <c r="A1917" s="36" t="b">
        <v>0</v>
      </c>
      <c r="B1917" s="56" t="b">
        <v>0</v>
      </c>
      <c r="C1917" s="56" t="b">
        <v>0</v>
      </c>
      <c r="D1917" s="56" t="b">
        <v>0</v>
      </c>
      <c r="E1917" s="56">
        <f ca="1">IF(PV[[#This Row],[Business Date]]=Control!$C$6, PV[[#This Row],[Notional Value Local Cur]], -PV[[#This Row],[Notional Value Local Cur]])</f>
        <v>0</v>
      </c>
    </row>
    <row r="1918" spans="1:5" x14ac:dyDescent="0.25">
      <c r="A1918" s="36" t="b">
        <v>0</v>
      </c>
      <c r="B1918" s="56" t="b">
        <v>0</v>
      </c>
      <c r="C1918" s="56" t="b">
        <v>0</v>
      </c>
      <c r="D1918" s="56" t="b">
        <v>0</v>
      </c>
      <c r="E1918" s="56">
        <f ca="1">IF(PV[[#This Row],[Business Date]]=Control!$C$6, PV[[#This Row],[Notional Value Local Cur]], -PV[[#This Row],[Notional Value Local Cur]])</f>
        <v>0</v>
      </c>
    </row>
    <row r="1919" spans="1:5" x14ac:dyDescent="0.25">
      <c r="A1919" s="36" t="b">
        <v>0</v>
      </c>
      <c r="B1919" s="56" t="b">
        <v>0</v>
      </c>
      <c r="C1919" s="56" t="b">
        <v>0</v>
      </c>
      <c r="D1919" s="56" t="b">
        <v>0</v>
      </c>
      <c r="E1919" s="56">
        <f ca="1">IF(PV[[#This Row],[Business Date]]=Control!$C$6, PV[[#This Row],[Notional Value Local Cur]], -PV[[#This Row],[Notional Value Local Cur]])</f>
        <v>0</v>
      </c>
    </row>
    <row r="1920" spans="1:5" x14ac:dyDescent="0.25">
      <c r="A1920" s="36" t="b">
        <v>0</v>
      </c>
      <c r="B1920" s="56" t="b">
        <v>0</v>
      </c>
      <c r="C1920" s="56" t="b">
        <v>0</v>
      </c>
      <c r="D1920" s="56" t="b">
        <v>0</v>
      </c>
      <c r="E1920" s="56">
        <f ca="1">IF(PV[[#This Row],[Business Date]]=Control!$C$6, PV[[#This Row],[Notional Value Local Cur]], -PV[[#This Row],[Notional Value Local Cur]])</f>
        <v>0</v>
      </c>
    </row>
    <row r="1921" spans="1:5" x14ac:dyDescent="0.25">
      <c r="A1921" s="36" t="b">
        <v>0</v>
      </c>
      <c r="B1921" s="56" t="b">
        <v>0</v>
      </c>
      <c r="C1921" s="56" t="b">
        <v>0</v>
      </c>
      <c r="D1921" s="56" t="b">
        <v>0</v>
      </c>
      <c r="E1921" s="56">
        <f ca="1">IF(PV[[#This Row],[Business Date]]=Control!$C$6, PV[[#This Row],[Notional Value Local Cur]], -PV[[#This Row],[Notional Value Local Cur]])</f>
        <v>0</v>
      </c>
    </row>
    <row r="1922" spans="1:5" x14ac:dyDescent="0.25">
      <c r="A1922" s="36" t="b">
        <v>0</v>
      </c>
      <c r="B1922" s="56" t="b">
        <v>0</v>
      </c>
      <c r="C1922" s="56" t="b">
        <v>0</v>
      </c>
      <c r="D1922" s="56" t="b">
        <v>0</v>
      </c>
      <c r="E1922" s="56">
        <f ca="1">IF(PV[[#This Row],[Business Date]]=Control!$C$6, PV[[#This Row],[Notional Value Local Cur]], -PV[[#This Row],[Notional Value Local Cur]])</f>
        <v>0</v>
      </c>
    </row>
    <row r="1923" spans="1:5" x14ac:dyDescent="0.25">
      <c r="A1923" s="36" t="b">
        <v>0</v>
      </c>
      <c r="B1923" s="56" t="b">
        <v>0</v>
      </c>
      <c r="C1923" s="56" t="b">
        <v>0</v>
      </c>
      <c r="D1923" s="56" t="b">
        <v>0</v>
      </c>
      <c r="E1923" s="56">
        <f ca="1">IF(PV[[#This Row],[Business Date]]=Control!$C$6, PV[[#This Row],[Notional Value Local Cur]], -PV[[#This Row],[Notional Value Local Cur]])</f>
        <v>0</v>
      </c>
    </row>
    <row r="1924" spans="1:5" x14ac:dyDescent="0.25">
      <c r="A1924" s="36" t="b">
        <v>0</v>
      </c>
      <c r="B1924" s="56" t="b">
        <v>0</v>
      </c>
      <c r="C1924" s="56" t="b">
        <v>0</v>
      </c>
      <c r="D1924" s="56" t="b">
        <v>0</v>
      </c>
      <c r="E1924" s="56">
        <f ca="1">IF(PV[[#This Row],[Business Date]]=Control!$C$6, PV[[#This Row],[Notional Value Local Cur]], -PV[[#This Row],[Notional Value Local Cur]])</f>
        <v>0</v>
      </c>
    </row>
    <row r="1925" spans="1:5" x14ac:dyDescent="0.25">
      <c r="A1925" s="36" t="b">
        <v>0</v>
      </c>
      <c r="B1925" s="56" t="b">
        <v>0</v>
      </c>
      <c r="C1925" s="56" t="b">
        <v>0</v>
      </c>
      <c r="D1925" s="56" t="b">
        <v>0</v>
      </c>
      <c r="E1925" s="56">
        <f ca="1">IF(PV[[#This Row],[Business Date]]=Control!$C$6, PV[[#This Row],[Notional Value Local Cur]], -PV[[#This Row],[Notional Value Local Cur]])</f>
        <v>0</v>
      </c>
    </row>
    <row r="1926" spans="1:5" x14ac:dyDescent="0.25">
      <c r="A1926" s="36" t="b">
        <v>0</v>
      </c>
      <c r="B1926" s="56" t="b">
        <v>0</v>
      </c>
      <c r="C1926" s="56" t="b">
        <v>0</v>
      </c>
      <c r="D1926" s="56" t="b">
        <v>0</v>
      </c>
      <c r="E1926" s="56">
        <f ca="1">IF(PV[[#This Row],[Business Date]]=Control!$C$6, PV[[#This Row],[Notional Value Local Cur]], -PV[[#This Row],[Notional Value Local Cur]])</f>
        <v>0</v>
      </c>
    </row>
    <row r="1927" spans="1:5" x14ac:dyDescent="0.25">
      <c r="A1927" s="36" t="b">
        <v>0</v>
      </c>
      <c r="B1927" s="56" t="b">
        <v>0</v>
      </c>
      <c r="C1927" s="56" t="b">
        <v>0</v>
      </c>
      <c r="D1927" s="56" t="b">
        <v>0</v>
      </c>
      <c r="E1927" s="56">
        <f ca="1">IF(PV[[#This Row],[Business Date]]=Control!$C$6, PV[[#This Row],[Notional Value Local Cur]], -PV[[#This Row],[Notional Value Local Cur]])</f>
        <v>0</v>
      </c>
    </row>
    <row r="1928" spans="1:5" x14ac:dyDescent="0.25">
      <c r="A1928" s="36" t="b">
        <v>0</v>
      </c>
      <c r="B1928" s="56" t="b">
        <v>0</v>
      </c>
      <c r="C1928" s="56" t="b">
        <v>0</v>
      </c>
      <c r="D1928" s="56" t="b">
        <v>0</v>
      </c>
      <c r="E1928" s="56">
        <f ca="1">IF(PV[[#This Row],[Business Date]]=Control!$C$6, PV[[#This Row],[Notional Value Local Cur]], -PV[[#This Row],[Notional Value Local Cur]])</f>
        <v>0</v>
      </c>
    </row>
    <row r="1929" spans="1:5" x14ac:dyDescent="0.25">
      <c r="A1929" s="36" t="b">
        <v>0</v>
      </c>
      <c r="B1929" s="56" t="b">
        <v>0</v>
      </c>
      <c r="C1929" s="56" t="b">
        <v>0</v>
      </c>
      <c r="D1929" s="56" t="b">
        <v>0</v>
      </c>
      <c r="E1929" s="56">
        <f ca="1">IF(PV[[#This Row],[Business Date]]=Control!$C$6, PV[[#This Row],[Notional Value Local Cur]], -PV[[#This Row],[Notional Value Local Cur]])</f>
        <v>0</v>
      </c>
    </row>
    <row r="1930" spans="1:5" x14ac:dyDescent="0.25">
      <c r="A1930" s="36" t="b">
        <v>0</v>
      </c>
      <c r="B1930" s="56" t="b">
        <v>0</v>
      </c>
      <c r="C1930" s="56" t="b">
        <v>0</v>
      </c>
      <c r="D1930" s="56" t="b">
        <v>0</v>
      </c>
      <c r="E1930" s="56">
        <f ca="1">IF(PV[[#This Row],[Business Date]]=Control!$C$6, PV[[#This Row],[Notional Value Local Cur]], -PV[[#This Row],[Notional Value Local Cur]])</f>
        <v>0</v>
      </c>
    </row>
    <row r="1931" spans="1:5" x14ac:dyDescent="0.25">
      <c r="A1931" s="36" t="b">
        <v>0</v>
      </c>
      <c r="B1931" s="56" t="b">
        <v>0</v>
      </c>
      <c r="C1931" s="56" t="b">
        <v>0</v>
      </c>
      <c r="D1931" s="56" t="b">
        <v>0</v>
      </c>
      <c r="E1931" s="56">
        <f ca="1">IF(PV[[#This Row],[Business Date]]=Control!$C$6, PV[[#This Row],[Notional Value Local Cur]], -PV[[#This Row],[Notional Value Local Cur]])</f>
        <v>0</v>
      </c>
    </row>
    <row r="1932" spans="1:5" x14ac:dyDescent="0.25">
      <c r="A1932" s="36" t="b">
        <v>0</v>
      </c>
      <c r="B1932" s="56" t="b">
        <v>0</v>
      </c>
      <c r="C1932" s="56" t="b">
        <v>0</v>
      </c>
      <c r="D1932" s="56" t="b">
        <v>0</v>
      </c>
      <c r="E1932" s="56">
        <f ca="1">IF(PV[[#This Row],[Business Date]]=Control!$C$6, PV[[#This Row],[Notional Value Local Cur]], -PV[[#This Row],[Notional Value Local Cur]])</f>
        <v>0</v>
      </c>
    </row>
    <row r="1933" spans="1:5" x14ac:dyDescent="0.25">
      <c r="A1933" s="36" t="b">
        <v>0</v>
      </c>
      <c r="B1933" s="56" t="b">
        <v>0</v>
      </c>
      <c r="C1933" s="56" t="b">
        <v>0</v>
      </c>
      <c r="D1933" s="56" t="b">
        <v>0</v>
      </c>
      <c r="E1933" s="56">
        <f ca="1">IF(PV[[#This Row],[Business Date]]=Control!$C$6, PV[[#This Row],[Notional Value Local Cur]], -PV[[#This Row],[Notional Value Local Cur]])</f>
        <v>0</v>
      </c>
    </row>
    <row r="1934" spans="1:5" x14ac:dyDescent="0.25">
      <c r="A1934" s="36" t="b">
        <v>0</v>
      </c>
      <c r="B1934" s="56" t="b">
        <v>0</v>
      </c>
      <c r="C1934" s="56" t="b">
        <v>0</v>
      </c>
      <c r="D1934" s="56" t="b">
        <v>0</v>
      </c>
      <c r="E1934" s="56">
        <f ca="1">IF(PV[[#This Row],[Business Date]]=Control!$C$6, PV[[#This Row],[Notional Value Local Cur]], -PV[[#This Row],[Notional Value Local Cur]])</f>
        <v>0</v>
      </c>
    </row>
    <row r="1935" spans="1:5" x14ac:dyDescent="0.25">
      <c r="A1935" s="36" t="b">
        <v>0</v>
      </c>
      <c r="B1935" s="56" t="b">
        <v>0</v>
      </c>
      <c r="C1935" s="56" t="b">
        <v>0</v>
      </c>
      <c r="D1935" s="56" t="b">
        <v>0</v>
      </c>
      <c r="E1935" s="56">
        <f ca="1">IF(PV[[#This Row],[Business Date]]=Control!$C$6, PV[[#This Row],[Notional Value Local Cur]], -PV[[#This Row],[Notional Value Local Cur]])</f>
        <v>0</v>
      </c>
    </row>
    <row r="1936" spans="1:5" x14ac:dyDescent="0.25">
      <c r="A1936" s="36" t="b">
        <v>0</v>
      </c>
      <c r="B1936" s="56" t="b">
        <v>0</v>
      </c>
      <c r="C1936" s="56" t="b">
        <v>0</v>
      </c>
      <c r="D1936" s="56" t="b">
        <v>0</v>
      </c>
      <c r="E1936" s="56">
        <f ca="1">IF(PV[[#This Row],[Business Date]]=Control!$C$6, PV[[#This Row],[Notional Value Local Cur]], -PV[[#This Row],[Notional Value Local Cur]])</f>
        <v>0</v>
      </c>
    </row>
    <row r="1937" spans="1:5" x14ac:dyDescent="0.25">
      <c r="A1937" s="36" t="b">
        <v>0</v>
      </c>
      <c r="B1937" s="56" t="b">
        <v>0</v>
      </c>
      <c r="C1937" s="56" t="b">
        <v>0</v>
      </c>
      <c r="D1937" s="56" t="b">
        <v>0</v>
      </c>
      <c r="E1937" s="56">
        <f ca="1">IF(PV[[#This Row],[Business Date]]=Control!$C$6, PV[[#This Row],[Notional Value Local Cur]], -PV[[#This Row],[Notional Value Local Cur]])</f>
        <v>0</v>
      </c>
    </row>
    <row r="1938" spans="1:5" x14ac:dyDescent="0.25">
      <c r="A1938" s="36" t="b">
        <v>0</v>
      </c>
      <c r="B1938" s="56" t="b">
        <v>0</v>
      </c>
      <c r="C1938" s="56" t="b">
        <v>0</v>
      </c>
      <c r="D1938" s="56" t="b">
        <v>0</v>
      </c>
      <c r="E1938" s="56">
        <f ca="1">IF(PV[[#This Row],[Business Date]]=Control!$C$6, PV[[#This Row],[Notional Value Local Cur]], -PV[[#This Row],[Notional Value Local Cur]])</f>
        <v>0</v>
      </c>
    </row>
    <row r="1939" spans="1:5" x14ac:dyDescent="0.25">
      <c r="A1939" s="36" t="b">
        <v>0</v>
      </c>
      <c r="B1939" s="56" t="b">
        <v>0</v>
      </c>
      <c r="C1939" s="56" t="b">
        <v>0</v>
      </c>
      <c r="D1939" s="56" t="b">
        <v>0</v>
      </c>
      <c r="E1939" s="56">
        <f ca="1">IF(PV[[#This Row],[Business Date]]=Control!$C$6, PV[[#This Row],[Notional Value Local Cur]], -PV[[#This Row],[Notional Value Local Cur]])</f>
        <v>0</v>
      </c>
    </row>
    <row r="1940" spans="1:5" x14ac:dyDescent="0.25">
      <c r="A1940" s="36" t="b">
        <v>0</v>
      </c>
      <c r="B1940" s="56" t="b">
        <v>0</v>
      </c>
      <c r="C1940" s="56" t="b">
        <v>0</v>
      </c>
      <c r="D1940" s="56" t="b">
        <v>0</v>
      </c>
      <c r="E1940" s="56">
        <f ca="1">IF(PV[[#This Row],[Business Date]]=Control!$C$6, PV[[#This Row],[Notional Value Local Cur]], -PV[[#This Row],[Notional Value Local Cur]])</f>
        <v>0</v>
      </c>
    </row>
    <row r="1941" spans="1:5" x14ac:dyDescent="0.25">
      <c r="A1941" s="36" t="b">
        <v>0</v>
      </c>
      <c r="B1941" s="56" t="b">
        <v>0</v>
      </c>
      <c r="C1941" s="56" t="b">
        <v>0</v>
      </c>
      <c r="D1941" s="56" t="b">
        <v>0</v>
      </c>
      <c r="E1941" s="56">
        <f ca="1">IF(PV[[#This Row],[Business Date]]=Control!$C$6, PV[[#This Row],[Notional Value Local Cur]], -PV[[#This Row],[Notional Value Local Cur]])</f>
        <v>0</v>
      </c>
    </row>
    <row r="1942" spans="1:5" x14ac:dyDescent="0.25">
      <c r="A1942" s="36" t="b">
        <v>0</v>
      </c>
      <c r="B1942" s="56" t="b">
        <v>0</v>
      </c>
      <c r="C1942" s="56" t="b">
        <v>0</v>
      </c>
      <c r="D1942" s="56" t="b">
        <v>0</v>
      </c>
      <c r="E1942" s="56">
        <f ca="1">IF(PV[[#This Row],[Business Date]]=Control!$C$6, PV[[#This Row],[Notional Value Local Cur]], -PV[[#This Row],[Notional Value Local Cur]])</f>
        <v>0</v>
      </c>
    </row>
    <row r="1943" spans="1:5" x14ac:dyDescent="0.25">
      <c r="A1943" s="36" t="b">
        <v>0</v>
      </c>
      <c r="B1943" s="56" t="b">
        <v>0</v>
      </c>
      <c r="C1943" s="56" t="b">
        <v>0</v>
      </c>
      <c r="D1943" s="56" t="b">
        <v>0</v>
      </c>
      <c r="E1943" s="56">
        <f ca="1">IF(PV[[#This Row],[Business Date]]=Control!$C$6, PV[[#This Row],[Notional Value Local Cur]], -PV[[#This Row],[Notional Value Local Cur]])</f>
        <v>0</v>
      </c>
    </row>
    <row r="1944" spans="1:5" x14ac:dyDescent="0.25">
      <c r="A1944" s="36" t="b">
        <v>0</v>
      </c>
      <c r="B1944" s="56" t="b">
        <v>0</v>
      </c>
      <c r="C1944" s="56" t="b">
        <v>0</v>
      </c>
      <c r="D1944" s="56" t="b">
        <v>0</v>
      </c>
      <c r="E1944" s="56">
        <f ca="1">IF(PV[[#This Row],[Business Date]]=Control!$C$6, PV[[#This Row],[Notional Value Local Cur]], -PV[[#This Row],[Notional Value Local Cur]])</f>
        <v>0</v>
      </c>
    </row>
    <row r="1945" spans="1:5" x14ac:dyDescent="0.25">
      <c r="A1945" s="36" t="b">
        <v>0</v>
      </c>
      <c r="B1945" s="56" t="b">
        <v>0</v>
      </c>
      <c r="C1945" s="56" t="b">
        <v>0</v>
      </c>
      <c r="D1945" s="56" t="b">
        <v>0</v>
      </c>
      <c r="E1945" s="56">
        <f ca="1">IF(PV[[#This Row],[Business Date]]=Control!$C$6, PV[[#This Row],[Notional Value Local Cur]], -PV[[#This Row],[Notional Value Local Cur]])</f>
        <v>0</v>
      </c>
    </row>
    <row r="1946" spans="1:5" x14ac:dyDescent="0.25">
      <c r="A1946" s="36" t="b">
        <v>0</v>
      </c>
      <c r="B1946" s="56" t="b">
        <v>0</v>
      </c>
      <c r="C1946" s="56" t="b">
        <v>0</v>
      </c>
      <c r="D1946" s="56" t="b">
        <v>0</v>
      </c>
      <c r="E1946" s="56">
        <f ca="1">IF(PV[[#This Row],[Business Date]]=Control!$C$6, PV[[#This Row],[Notional Value Local Cur]], -PV[[#This Row],[Notional Value Local Cur]])</f>
        <v>0</v>
      </c>
    </row>
    <row r="1947" spans="1:5" x14ac:dyDescent="0.25">
      <c r="A1947" s="36" t="b">
        <v>0</v>
      </c>
      <c r="B1947" s="56" t="b">
        <v>0</v>
      </c>
      <c r="C1947" s="56" t="b">
        <v>0</v>
      </c>
      <c r="D1947" s="56" t="b">
        <v>0</v>
      </c>
      <c r="E1947" s="56">
        <f ca="1">IF(PV[[#This Row],[Business Date]]=Control!$C$6, PV[[#This Row],[Notional Value Local Cur]], -PV[[#This Row],[Notional Value Local Cur]])</f>
        <v>0</v>
      </c>
    </row>
    <row r="1948" spans="1:5" x14ac:dyDescent="0.25">
      <c r="A1948" s="36" t="b">
        <v>0</v>
      </c>
      <c r="B1948" s="56" t="b">
        <v>0</v>
      </c>
      <c r="C1948" s="56" t="b">
        <v>0</v>
      </c>
      <c r="D1948" s="56" t="b">
        <v>0</v>
      </c>
      <c r="E1948" s="56">
        <f ca="1">IF(PV[[#This Row],[Business Date]]=Control!$C$6, PV[[#This Row],[Notional Value Local Cur]], -PV[[#This Row],[Notional Value Local Cur]])</f>
        <v>0</v>
      </c>
    </row>
    <row r="1949" spans="1:5" x14ac:dyDescent="0.25">
      <c r="A1949" s="36" t="b">
        <v>0</v>
      </c>
      <c r="B1949" s="56" t="b">
        <v>0</v>
      </c>
      <c r="C1949" s="56" t="b">
        <v>0</v>
      </c>
      <c r="D1949" s="56" t="b">
        <v>0</v>
      </c>
      <c r="E1949" s="56">
        <f ca="1">IF(PV[[#This Row],[Business Date]]=Control!$C$6, PV[[#This Row],[Notional Value Local Cur]], -PV[[#This Row],[Notional Value Local Cur]])</f>
        <v>0</v>
      </c>
    </row>
    <row r="1950" spans="1:5" x14ac:dyDescent="0.25">
      <c r="A1950" s="36" t="b">
        <v>0</v>
      </c>
      <c r="B1950" s="56" t="b">
        <v>0</v>
      </c>
      <c r="C1950" s="56" t="b">
        <v>0</v>
      </c>
      <c r="D1950" s="56" t="b">
        <v>0</v>
      </c>
      <c r="E1950" s="56">
        <f ca="1">IF(PV[[#This Row],[Business Date]]=Control!$C$6, PV[[#This Row],[Notional Value Local Cur]], -PV[[#This Row],[Notional Value Local Cur]])</f>
        <v>0</v>
      </c>
    </row>
    <row r="1951" spans="1:5" x14ac:dyDescent="0.25">
      <c r="A1951" s="36" t="b">
        <v>0</v>
      </c>
      <c r="B1951" s="56" t="b">
        <v>0</v>
      </c>
      <c r="C1951" s="56" t="b">
        <v>0</v>
      </c>
      <c r="D1951" s="56" t="b">
        <v>0</v>
      </c>
      <c r="E1951" s="56">
        <f ca="1">IF(PV[[#This Row],[Business Date]]=Control!$C$6, PV[[#This Row],[Notional Value Local Cur]], -PV[[#This Row],[Notional Value Local Cur]])</f>
        <v>0</v>
      </c>
    </row>
    <row r="1952" spans="1:5" x14ac:dyDescent="0.25">
      <c r="A1952" s="36" t="b">
        <v>0</v>
      </c>
      <c r="B1952" s="56" t="b">
        <v>0</v>
      </c>
      <c r="C1952" s="56" t="b">
        <v>0</v>
      </c>
      <c r="D1952" s="56" t="b">
        <v>0</v>
      </c>
      <c r="E1952" s="56">
        <f ca="1">IF(PV[[#This Row],[Business Date]]=Control!$C$6, PV[[#This Row],[Notional Value Local Cur]], -PV[[#This Row],[Notional Value Local Cur]])</f>
        <v>0</v>
      </c>
    </row>
    <row r="1953" spans="1:5" x14ac:dyDescent="0.25">
      <c r="A1953" s="36" t="b">
        <v>0</v>
      </c>
      <c r="B1953" s="56" t="b">
        <v>0</v>
      </c>
      <c r="C1953" s="56" t="b">
        <v>0</v>
      </c>
      <c r="D1953" s="56" t="b">
        <v>0</v>
      </c>
      <c r="E1953" s="56">
        <f ca="1">IF(PV[[#This Row],[Business Date]]=Control!$C$6, PV[[#This Row],[Notional Value Local Cur]], -PV[[#This Row],[Notional Value Local Cur]])</f>
        <v>0</v>
      </c>
    </row>
    <row r="1954" spans="1:5" x14ac:dyDescent="0.25">
      <c r="A1954" s="36" t="b">
        <v>0</v>
      </c>
      <c r="B1954" s="56" t="b">
        <v>0</v>
      </c>
      <c r="C1954" s="56" t="b">
        <v>0</v>
      </c>
      <c r="D1954" s="56" t="b">
        <v>0</v>
      </c>
      <c r="E1954" s="56">
        <f ca="1">IF(PV[[#This Row],[Business Date]]=Control!$C$6, PV[[#This Row],[Notional Value Local Cur]], -PV[[#This Row],[Notional Value Local Cur]])</f>
        <v>0</v>
      </c>
    </row>
    <row r="1955" spans="1:5" x14ac:dyDescent="0.25">
      <c r="A1955" s="36" t="b">
        <v>0</v>
      </c>
      <c r="B1955" s="56" t="b">
        <v>0</v>
      </c>
      <c r="C1955" s="56" t="b">
        <v>0</v>
      </c>
      <c r="D1955" s="56" t="b">
        <v>0</v>
      </c>
      <c r="E1955" s="56">
        <f ca="1">IF(PV[[#This Row],[Business Date]]=Control!$C$6, PV[[#This Row],[Notional Value Local Cur]], -PV[[#This Row],[Notional Value Local Cur]])</f>
        <v>0</v>
      </c>
    </row>
    <row r="1956" spans="1:5" x14ac:dyDescent="0.25">
      <c r="A1956" s="36" t="b">
        <v>0</v>
      </c>
      <c r="B1956" s="56" t="b">
        <v>0</v>
      </c>
      <c r="C1956" s="56" t="b">
        <v>0</v>
      </c>
      <c r="D1956" s="56" t="b">
        <v>0</v>
      </c>
      <c r="E1956" s="56">
        <f ca="1">IF(PV[[#This Row],[Business Date]]=Control!$C$6, PV[[#This Row],[Notional Value Local Cur]], -PV[[#This Row],[Notional Value Local Cur]])</f>
        <v>0</v>
      </c>
    </row>
    <row r="1957" spans="1:5" x14ac:dyDescent="0.25">
      <c r="A1957" s="36" t="b">
        <v>0</v>
      </c>
      <c r="B1957" s="56" t="b">
        <v>0</v>
      </c>
      <c r="C1957" s="56" t="b">
        <v>0</v>
      </c>
      <c r="D1957" s="56" t="b">
        <v>0</v>
      </c>
      <c r="E1957" s="56">
        <f ca="1">IF(PV[[#This Row],[Business Date]]=Control!$C$6, PV[[#This Row],[Notional Value Local Cur]], -PV[[#This Row],[Notional Value Local Cur]])</f>
        <v>0</v>
      </c>
    </row>
    <row r="1958" spans="1:5" x14ac:dyDescent="0.25">
      <c r="A1958" s="36" t="b">
        <v>0</v>
      </c>
      <c r="B1958" s="56" t="b">
        <v>0</v>
      </c>
      <c r="C1958" s="56" t="b">
        <v>0</v>
      </c>
      <c r="D1958" s="56" t="b">
        <v>0</v>
      </c>
      <c r="E1958" s="56">
        <f ca="1">IF(PV[[#This Row],[Business Date]]=Control!$C$6, PV[[#This Row],[Notional Value Local Cur]], -PV[[#This Row],[Notional Value Local Cur]])</f>
        <v>0</v>
      </c>
    </row>
    <row r="1959" spans="1:5" x14ac:dyDescent="0.25">
      <c r="A1959" s="36" t="b">
        <v>0</v>
      </c>
      <c r="B1959" s="56" t="b">
        <v>0</v>
      </c>
      <c r="C1959" s="56" t="b">
        <v>0</v>
      </c>
      <c r="D1959" s="56" t="b">
        <v>0</v>
      </c>
      <c r="E1959" s="56">
        <f ca="1">IF(PV[[#This Row],[Business Date]]=Control!$C$6, PV[[#This Row],[Notional Value Local Cur]], -PV[[#This Row],[Notional Value Local Cur]])</f>
        <v>0</v>
      </c>
    </row>
    <row r="1960" spans="1:5" x14ac:dyDescent="0.25">
      <c r="A1960" s="36" t="b">
        <v>0</v>
      </c>
      <c r="B1960" s="56" t="b">
        <v>0</v>
      </c>
      <c r="C1960" s="56" t="b">
        <v>0</v>
      </c>
      <c r="D1960" s="56" t="b">
        <v>0</v>
      </c>
      <c r="E1960" s="56">
        <f ca="1">IF(PV[[#This Row],[Business Date]]=Control!$C$6, PV[[#This Row],[Notional Value Local Cur]], -PV[[#This Row],[Notional Value Local Cur]])</f>
        <v>0</v>
      </c>
    </row>
    <row r="1961" spans="1:5" x14ac:dyDescent="0.25">
      <c r="A1961" s="36" t="b">
        <v>0</v>
      </c>
      <c r="B1961" s="56" t="b">
        <v>0</v>
      </c>
      <c r="C1961" s="56" t="b">
        <v>0</v>
      </c>
      <c r="D1961" s="56" t="b">
        <v>0</v>
      </c>
      <c r="E1961" s="56">
        <f ca="1">IF(PV[[#This Row],[Business Date]]=Control!$C$6, PV[[#This Row],[Notional Value Local Cur]], -PV[[#This Row],[Notional Value Local Cur]])</f>
        <v>0</v>
      </c>
    </row>
    <row r="1962" spans="1:5" x14ac:dyDescent="0.25">
      <c r="A1962" s="36" t="b">
        <v>0</v>
      </c>
      <c r="B1962" s="56" t="b">
        <v>0</v>
      </c>
      <c r="C1962" s="56" t="b">
        <v>0</v>
      </c>
      <c r="D1962" s="56" t="b">
        <v>0</v>
      </c>
      <c r="E1962" s="56">
        <f ca="1">IF(PV[[#This Row],[Business Date]]=Control!$C$6, PV[[#This Row],[Notional Value Local Cur]], -PV[[#This Row],[Notional Value Local Cur]])</f>
        <v>0</v>
      </c>
    </row>
    <row r="1963" spans="1:5" x14ac:dyDescent="0.25">
      <c r="A1963" s="36" t="b">
        <v>0</v>
      </c>
      <c r="B1963" s="56" t="b">
        <v>0</v>
      </c>
      <c r="C1963" s="56" t="b">
        <v>0</v>
      </c>
      <c r="D1963" s="56" t="b">
        <v>0</v>
      </c>
      <c r="E1963" s="56">
        <f ca="1">IF(PV[[#This Row],[Business Date]]=Control!$C$6, PV[[#This Row],[Notional Value Local Cur]], -PV[[#This Row],[Notional Value Local Cur]])</f>
        <v>0</v>
      </c>
    </row>
    <row r="1964" spans="1:5" x14ac:dyDescent="0.25">
      <c r="A1964" s="36" t="b">
        <v>0</v>
      </c>
      <c r="B1964" s="56" t="b">
        <v>0</v>
      </c>
      <c r="C1964" s="56" t="b">
        <v>0</v>
      </c>
      <c r="D1964" s="56" t="b">
        <v>0</v>
      </c>
      <c r="E1964" s="56">
        <f ca="1">IF(PV[[#This Row],[Business Date]]=Control!$C$6, PV[[#This Row],[Notional Value Local Cur]], -PV[[#This Row],[Notional Value Local Cur]])</f>
        <v>0</v>
      </c>
    </row>
    <row r="1965" spans="1:5" x14ac:dyDescent="0.25">
      <c r="A1965" s="36" t="b">
        <v>0</v>
      </c>
      <c r="B1965" s="56" t="b">
        <v>0</v>
      </c>
      <c r="C1965" s="56" t="b">
        <v>0</v>
      </c>
      <c r="D1965" s="56" t="b">
        <v>0</v>
      </c>
      <c r="E1965" s="56">
        <f ca="1">IF(PV[[#This Row],[Business Date]]=Control!$C$6, PV[[#This Row],[Notional Value Local Cur]], -PV[[#This Row],[Notional Value Local Cur]])</f>
        <v>0</v>
      </c>
    </row>
    <row r="1966" spans="1:5" x14ac:dyDescent="0.25">
      <c r="A1966" s="36" t="b">
        <v>0</v>
      </c>
      <c r="B1966" s="56" t="b">
        <v>0</v>
      </c>
      <c r="C1966" s="56" t="b">
        <v>0</v>
      </c>
      <c r="D1966" s="56" t="b">
        <v>0</v>
      </c>
      <c r="E1966" s="56">
        <f ca="1">IF(PV[[#This Row],[Business Date]]=Control!$C$6, PV[[#This Row],[Notional Value Local Cur]], -PV[[#This Row],[Notional Value Local Cur]])</f>
        <v>0</v>
      </c>
    </row>
    <row r="1967" spans="1:5" x14ac:dyDescent="0.25">
      <c r="A1967" s="36" t="b">
        <v>0</v>
      </c>
      <c r="B1967" s="56" t="b">
        <v>0</v>
      </c>
      <c r="C1967" s="56" t="b">
        <v>0</v>
      </c>
      <c r="D1967" s="56" t="b">
        <v>0</v>
      </c>
      <c r="E1967" s="56">
        <f ca="1">IF(PV[[#This Row],[Business Date]]=Control!$C$6, PV[[#This Row],[Notional Value Local Cur]], -PV[[#This Row],[Notional Value Local Cur]])</f>
        <v>0</v>
      </c>
    </row>
    <row r="1968" spans="1:5" x14ac:dyDescent="0.25">
      <c r="A1968" s="36" t="b">
        <v>0</v>
      </c>
      <c r="B1968" s="56" t="b">
        <v>0</v>
      </c>
      <c r="C1968" s="56" t="b">
        <v>0</v>
      </c>
      <c r="D1968" s="56" t="b">
        <v>0</v>
      </c>
      <c r="E1968" s="56">
        <f ca="1">IF(PV[[#This Row],[Business Date]]=Control!$C$6, PV[[#This Row],[Notional Value Local Cur]], -PV[[#This Row],[Notional Value Local Cur]])</f>
        <v>0</v>
      </c>
    </row>
    <row r="1969" spans="1:5" x14ac:dyDescent="0.25">
      <c r="A1969" s="36" t="b">
        <v>0</v>
      </c>
      <c r="B1969" s="56" t="b">
        <v>0</v>
      </c>
      <c r="C1969" s="56" t="b">
        <v>0</v>
      </c>
      <c r="D1969" s="56" t="b">
        <v>0</v>
      </c>
      <c r="E1969" s="56">
        <f ca="1">IF(PV[[#This Row],[Business Date]]=Control!$C$6, PV[[#This Row],[Notional Value Local Cur]], -PV[[#This Row],[Notional Value Local Cur]])</f>
        <v>0</v>
      </c>
    </row>
    <row r="1970" spans="1:5" x14ac:dyDescent="0.25">
      <c r="A1970" s="36" t="b">
        <v>0</v>
      </c>
      <c r="B1970" s="56" t="b">
        <v>0</v>
      </c>
      <c r="C1970" s="56" t="b">
        <v>0</v>
      </c>
      <c r="D1970" s="56" t="b">
        <v>0</v>
      </c>
      <c r="E1970" s="56">
        <f ca="1">IF(PV[[#This Row],[Business Date]]=Control!$C$6, PV[[#This Row],[Notional Value Local Cur]], -PV[[#This Row],[Notional Value Local Cur]])</f>
        <v>0</v>
      </c>
    </row>
    <row r="1971" spans="1:5" x14ac:dyDescent="0.25">
      <c r="A1971" s="36" t="b">
        <v>0</v>
      </c>
      <c r="B1971" s="56" t="b">
        <v>0</v>
      </c>
      <c r="C1971" s="56" t="b">
        <v>0</v>
      </c>
      <c r="D1971" s="56" t="b">
        <v>0</v>
      </c>
      <c r="E1971" s="56">
        <f ca="1">IF(PV[[#This Row],[Business Date]]=Control!$C$6, PV[[#This Row],[Notional Value Local Cur]], -PV[[#This Row],[Notional Value Local Cur]])</f>
        <v>0</v>
      </c>
    </row>
    <row r="1972" spans="1:5" x14ac:dyDescent="0.25">
      <c r="A1972" s="36" t="b">
        <v>0</v>
      </c>
      <c r="B1972" s="56" t="b">
        <v>0</v>
      </c>
      <c r="C1972" s="56" t="b">
        <v>0</v>
      </c>
      <c r="D1972" s="56" t="b">
        <v>0</v>
      </c>
      <c r="E1972" s="56">
        <f ca="1">IF(PV[[#This Row],[Business Date]]=Control!$C$6, PV[[#This Row],[Notional Value Local Cur]], -PV[[#This Row],[Notional Value Local Cur]])</f>
        <v>0</v>
      </c>
    </row>
    <row r="1973" spans="1:5" x14ac:dyDescent="0.25">
      <c r="A1973" s="36" t="b">
        <v>0</v>
      </c>
      <c r="B1973" s="56" t="b">
        <v>0</v>
      </c>
      <c r="C1973" s="56" t="b">
        <v>0</v>
      </c>
      <c r="D1973" s="56" t="b">
        <v>0</v>
      </c>
      <c r="E1973" s="56">
        <f ca="1">IF(PV[[#This Row],[Business Date]]=Control!$C$6, PV[[#This Row],[Notional Value Local Cur]], -PV[[#This Row],[Notional Value Local Cur]])</f>
        <v>0</v>
      </c>
    </row>
    <row r="1974" spans="1:5" x14ac:dyDescent="0.25">
      <c r="A1974" s="36" t="b">
        <v>0</v>
      </c>
      <c r="B1974" s="56" t="b">
        <v>0</v>
      </c>
      <c r="C1974" s="56" t="b">
        <v>0</v>
      </c>
      <c r="D1974" s="56" t="b">
        <v>0</v>
      </c>
      <c r="E1974" s="56">
        <f ca="1">IF(PV[[#This Row],[Business Date]]=Control!$C$6, PV[[#This Row],[Notional Value Local Cur]], -PV[[#This Row],[Notional Value Local Cur]])</f>
        <v>0</v>
      </c>
    </row>
    <row r="1975" spans="1:5" x14ac:dyDescent="0.25">
      <c r="A1975" s="36" t="b">
        <v>0</v>
      </c>
      <c r="B1975" s="56" t="b">
        <v>0</v>
      </c>
      <c r="C1975" s="56" t="b">
        <v>0</v>
      </c>
      <c r="D1975" s="56" t="b">
        <v>0</v>
      </c>
      <c r="E1975" s="56">
        <f ca="1">IF(PV[[#This Row],[Business Date]]=Control!$C$6, PV[[#This Row],[Notional Value Local Cur]], -PV[[#This Row],[Notional Value Local Cur]])</f>
        <v>0</v>
      </c>
    </row>
    <row r="1976" spans="1:5" x14ac:dyDescent="0.25">
      <c r="A1976" s="36" t="b">
        <v>0</v>
      </c>
      <c r="B1976" s="56" t="b">
        <v>0</v>
      </c>
      <c r="C1976" s="56" t="b">
        <v>0</v>
      </c>
      <c r="D1976" s="56" t="b">
        <v>0</v>
      </c>
      <c r="E1976" s="56">
        <f ca="1">IF(PV[[#This Row],[Business Date]]=Control!$C$6, PV[[#This Row],[Notional Value Local Cur]], -PV[[#This Row],[Notional Value Local Cur]])</f>
        <v>0</v>
      </c>
    </row>
    <row r="1977" spans="1:5" x14ac:dyDescent="0.25">
      <c r="A1977" s="36" t="b">
        <v>0</v>
      </c>
      <c r="B1977" s="56" t="b">
        <v>0</v>
      </c>
      <c r="C1977" s="56" t="b">
        <v>0</v>
      </c>
      <c r="D1977" s="56" t="b">
        <v>0</v>
      </c>
      <c r="E1977" s="56">
        <f ca="1">IF(PV[[#This Row],[Business Date]]=Control!$C$6, PV[[#This Row],[Notional Value Local Cur]], -PV[[#This Row],[Notional Value Local Cur]])</f>
        <v>0</v>
      </c>
    </row>
    <row r="1978" spans="1:5" x14ac:dyDescent="0.25">
      <c r="A1978" s="36" t="b">
        <v>0</v>
      </c>
      <c r="B1978" s="56" t="b">
        <v>0</v>
      </c>
      <c r="C1978" s="56" t="b">
        <v>0</v>
      </c>
      <c r="D1978" s="56" t="b">
        <v>0</v>
      </c>
      <c r="E1978" s="56">
        <f ca="1">IF(PV[[#This Row],[Business Date]]=Control!$C$6, PV[[#This Row],[Notional Value Local Cur]], -PV[[#This Row],[Notional Value Local Cur]])</f>
        <v>0</v>
      </c>
    </row>
    <row r="1979" spans="1:5" x14ac:dyDescent="0.25">
      <c r="A1979" s="36" t="b">
        <v>0</v>
      </c>
      <c r="B1979" s="56" t="b">
        <v>0</v>
      </c>
      <c r="C1979" s="56" t="b">
        <v>0</v>
      </c>
      <c r="D1979" s="56" t="b">
        <v>0</v>
      </c>
      <c r="E1979" s="56">
        <f ca="1">IF(PV[[#This Row],[Business Date]]=Control!$C$6, PV[[#This Row],[Notional Value Local Cur]], -PV[[#This Row],[Notional Value Local Cur]])</f>
        <v>0</v>
      </c>
    </row>
    <row r="1980" spans="1:5" x14ac:dyDescent="0.25">
      <c r="A1980" s="36" t="b">
        <v>0</v>
      </c>
      <c r="B1980" s="56" t="b">
        <v>0</v>
      </c>
      <c r="C1980" s="56" t="b">
        <v>0</v>
      </c>
      <c r="D1980" s="56" t="b">
        <v>0</v>
      </c>
      <c r="E1980" s="56">
        <f ca="1">IF(PV[[#This Row],[Business Date]]=Control!$C$6, PV[[#This Row],[Notional Value Local Cur]], -PV[[#This Row],[Notional Value Local Cur]])</f>
        <v>0</v>
      </c>
    </row>
    <row r="1981" spans="1:5" x14ac:dyDescent="0.25">
      <c r="A1981" s="36" t="b">
        <v>0</v>
      </c>
      <c r="B1981" s="56" t="b">
        <v>0</v>
      </c>
      <c r="C1981" s="56" t="b">
        <v>0</v>
      </c>
      <c r="D1981" s="56" t="b">
        <v>0</v>
      </c>
      <c r="E1981" s="56">
        <f ca="1">IF(PV[[#This Row],[Business Date]]=Control!$C$6, PV[[#This Row],[Notional Value Local Cur]], -PV[[#This Row],[Notional Value Local Cur]])</f>
        <v>0</v>
      </c>
    </row>
    <row r="1982" spans="1:5" x14ac:dyDescent="0.25">
      <c r="A1982" s="36" t="b">
        <v>0</v>
      </c>
      <c r="B1982" s="56" t="b">
        <v>0</v>
      </c>
      <c r="C1982" s="56" t="b">
        <v>0</v>
      </c>
      <c r="D1982" s="56" t="b">
        <v>0</v>
      </c>
      <c r="E1982" s="56">
        <f ca="1">IF(PV[[#This Row],[Business Date]]=Control!$C$6, PV[[#This Row],[Notional Value Local Cur]], -PV[[#This Row],[Notional Value Local Cur]])</f>
        <v>0</v>
      </c>
    </row>
    <row r="1983" spans="1:5" x14ac:dyDescent="0.25">
      <c r="A1983" s="36" t="b">
        <v>0</v>
      </c>
      <c r="B1983" s="56" t="b">
        <v>0</v>
      </c>
      <c r="C1983" s="56" t="b">
        <v>0</v>
      </c>
      <c r="D1983" s="56" t="b">
        <v>0</v>
      </c>
      <c r="E1983" s="56">
        <f ca="1">IF(PV[[#This Row],[Business Date]]=Control!$C$6, PV[[#This Row],[Notional Value Local Cur]], -PV[[#This Row],[Notional Value Local Cur]])</f>
        <v>0</v>
      </c>
    </row>
    <row r="1984" spans="1:5" x14ac:dyDescent="0.25">
      <c r="A1984" s="36" t="b">
        <v>0</v>
      </c>
      <c r="B1984" s="56" t="b">
        <v>0</v>
      </c>
      <c r="C1984" s="56" t="b">
        <v>0</v>
      </c>
      <c r="D1984" s="56" t="b">
        <v>0</v>
      </c>
      <c r="E1984" s="56">
        <f ca="1">IF(PV[[#This Row],[Business Date]]=Control!$C$6, PV[[#This Row],[Notional Value Local Cur]], -PV[[#This Row],[Notional Value Local Cur]])</f>
        <v>0</v>
      </c>
    </row>
    <row r="1985" spans="1:5" x14ac:dyDescent="0.25">
      <c r="A1985" s="36" t="b">
        <v>0</v>
      </c>
      <c r="B1985" s="56" t="b">
        <v>0</v>
      </c>
      <c r="C1985" s="56" t="b">
        <v>0</v>
      </c>
      <c r="D1985" s="56" t="b">
        <v>0</v>
      </c>
      <c r="E1985" s="56">
        <f ca="1">IF(PV[[#This Row],[Business Date]]=Control!$C$6, PV[[#This Row],[Notional Value Local Cur]], -PV[[#This Row],[Notional Value Local Cur]])</f>
        <v>0</v>
      </c>
    </row>
    <row r="1986" spans="1:5" x14ac:dyDescent="0.25">
      <c r="A1986" s="36" t="b">
        <v>0</v>
      </c>
      <c r="B1986" s="56" t="b">
        <v>0</v>
      </c>
      <c r="C1986" s="56" t="b">
        <v>0</v>
      </c>
      <c r="D1986" s="56" t="b">
        <v>0</v>
      </c>
      <c r="E1986" s="56">
        <f ca="1">IF(PV[[#This Row],[Business Date]]=Control!$C$6, PV[[#This Row],[Notional Value Local Cur]], -PV[[#This Row],[Notional Value Local Cur]])</f>
        <v>0</v>
      </c>
    </row>
    <row r="1987" spans="1:5" x14ac:dyDescent="0.25">
      <c r="A1987" s="36" t="b">
        <v>0</v>
      </c>
      <c r="B1987" s="56" t="b">
        <v>0</v>
      </c>
      <c r="C1987" s="56" t="b">
        <v>0</v>
      </c>
      <c r="D1987" s="56" t="b">
        <v>0</v>
      </c>
      <c r="E1987" s="56">
        <f ca="1">IF(PV[[#This Row],[Business Date]]=Control!$C$6, PV[[#This Row],[Notional Value Local Cur]], -PV[[#This Row],[Notional Value Local Cur]])</f>
        <v>0</v>
      </c>
    </row>
    <row r="1988" spans="1:5" x14ac:dyDescent="0.25">
      <c r="A1988" s="36" t="b">
        <v>0</v>
      </c>
      <c r="B1988" s="56" t="b">
        <v>0</v>
      </c>
      <c r="C1988" s="56" t="b">
        <v>0</v>
      </c>
      <c r="D1988" s="56" t="b">
        <v>0</v>
      </c>
      <c r="E1988" s="56">
        <f ca="1">IF(PV[[#This Row],[Business Date]]=Control!$C$6, PV[[#This Row],[Notional Value Local Cur]], -PV[[#This Row],[Notional Value Local Cur]])</f>
        <v>0</v>
      </c>
    </row>
    <row r="1989" spans="1:5" x14ac:dyDescent="0.25">
      <c r="A1989" s="36" t="b">
        <v>0</v>
      </c>
      <c r="B1989" s="56" t="b">
        <v>0</v>
      </c>
      <c r="C1989" s="56" t="b">
        <v>0</v>
      </c>
      <c r="D1989" s="56" t="b">
        <v>0</v>
      </c>
      <c r="E1989" s="56">
        <f ca="1">IF(PV[[#This Row],[Business Date]]=Control!$C$6, PV[[#This Row],[Notional Value Local Cur]], -PV[[#This Row],[Notional Value Local Cur]])</f>
        <v>0</v>
      </c>
    </row>
    <row r="1990" spans="1:5" x14ac:dyDescent="0.25">
      <c r="A1990" s="36" t="b">
        <v>0</v>
      </c>
      <c r="B1990" s="56" t="b">
        <v>0</v>
      </c>
      <c r="C1990" s="56" t="b">
        <v>0</v>
      </c>
      <c r="D1990" s="56" t="b">
        <v>0</v>
      </c>
      <c r="E1990" s="56">
        <f ca="1">IF(PV[[#This Row],[Business Date]]=Control!$C$6, PV[[#This Row],[Notional Value Local Cur]], -PV[[#This Row],[Notional Value Local Cur]])</f>
        <v>0</v>
      </c>
    </row>
    <row r="1991" spans="1:5" x14ac:dyDescent="0.25">
      <c r="A1991" s="36" t="b">
        <v>0</v>
      </c>
      <c r="B1991" s="56" t="b">
        <v>0</v>
      </c>
      <c r="C1991" s="56" t="b">
        <v>0</v>
      </c>
      <c r="D1991" s="56" t="b">
        <v>0</v>
      </c>
      <c r="E1991" s="56">
        <f ca="1">IF(PV[[#This Row],[Business Date]]=Control!$C$6, PV[[#This Row],[Notional Value Local Cur]], -PV[[#This Row],[Notional Value Local Cur]])</f>
        <v>0</v>
      </c>
    </row>
    <row r="1992" spans="1:5" x14ac:dyDescent="0.25">
      <c r="A1992" s="36" t="b">
        <v>0</v>
      </c>
      <c r="B1992" s="56" t="b">
        <v>0</v>
      </c>
      <c r="C1992" s="56" t="b">
        <v>0</v>
      </c>
      <c r="D1992" s="56" t="b">
        <v>0</v>
      </c>
      <c r="E1992" s="56">
        <f ca="1">IF(PV[[#This Row],[Business Date]]=Control!$C$6, PV[[#This Row],[Notional Value Local Cur]], -PV[[#This Row],[Notional Value Local Cur]])</f>
        <v>0</v>
      </c>
    </row>
    <row r="1993" spans="1:5" x14ac:dyDescent="0.25">
      <c r="A1993" s="36" t="b">
        <v>0</v>
      </c>
      <c r="B1993" s="56" t="b">
        <v>0</v>
      </c>
      <c r="C1993" s="56" t="b">
        <v>0</v>
      </c>
      <c r="D1993" s="56" t="b">
        <v>0</v>
      </c>
      <c r="E1993" s="56">
        <f ca="1">IF(PV[[#This Row],[Business Date]]=Control!$C$6, PV[[#This Row],[Notional Value Local Cur]], -PV[[#This Row],[Notional Value Local Cur]])</f>
        <v>0</v>
      </c>
    </row>
    <row r="1994" spans="1:5" x14ac:dyDescent="0.25">
      <c r="A1994" s="36" t="b">
        <v>0</v>
      </c>
      <c r="B1994" s="56" t="b">
        <v>0</v>
      </c>
      <c r="C1994" s="56" t="b">
        <v>0</v>
      </c>
      <c r="D1994" s="56" t="b">
        <v>0</v>
      </c>
      <c r="E1994" s="56">
        <f ca="1">IF(PV[[#This Row],[Business Date]]=Control!$C$6, PV[[#This Row],[Notional Value Local Cur]], -PV[[#This Row],[Notional Value Local Cur]])</f>
        <v>0</v>
      </c>
    </row>
    <row r="1995" spans="1:5" x14ac:dyDescent="0.25">
      <c r="A1995" s="36" t="b">
        <v>0</v>
      </c>
      <c r="B1995" s="56" t="b">
        <v>0</v>
      </c>
      <c r="C1995" s="56" t="b">
        <v>0</v>
      </c>
      <c r="D1995" s="56" t="b">
        <v>0</v>
      </c>
      <c r="E1995" s="56">
        <f ca="1">IF(PV[[#This Row],[Business Date]]=Control!$C$6, PV[[#This Row],[Notional Value Local Cur]], -PV[[#This Row],[Notional Value Local Cur]])</f>
        <v>0</v>
      </c>
    </row>
    <row r="1996" spans="1:5" x14ac:dyDescent="0.25">
      <c r="A1996" s="36" t="b">
        <v>0</v>
      </c>
      <c r="B1996" s="56" t="b">
        <v>0</v>
      </c>
      <c r="C1996" s="56" t="b">
        <v>0</v>
      </c>
      <c r="D1996" s="56" t="b">
        <v>0</v>
      </c>
      <c r="E1996" s="56">
        <f ca="1">IF(PV[[#This Row],[Business Date]]=Control!$C$6, PV[[#This Row],[Notional Value Local Cur]], -PV[[#This Row],[Notional Value Local Cur]])</f>
        <v>0</v>
      </c>
    </row>
    <row r="1997" spans="1:5" x14ac:dyDescent="0.25">
      <c r="A1997" s="36" t="b">
        <v>0</v>
      </c>
      <c r="B1997" s="56" t="b">
        <v>0</v>
      </c>
      <c r="C1997" s="56" t="b">
        <v>0</v>
      </c>
      <c r="D1997" s="56" t="b">
        <v>0</v>
      </c>
      <c r="E1997" s="56">
        <f ca="1">IF(PV[[#This Row],[Business Date]]=Control!$C$6, PV[[#This Row],[Notional Value Local Cur]], -PV[[#This Row],[Notional Value Local Cur]])</f>
        <v>0</v>
      </c>
    </row>
    <row r="1998" spans="1:5" x14ac:dyDescent="0.25">
      <c r="A1998" s="36" t="b">
        <v>0</v>
      </c>
      <c r="B1998" s="56" t="b">
        <v>0</v>
      </c>
      <c r="C1998" s="56" t="b">
        <v>0</v>
      </c>
      <c r="D1998" s="56" t="b">
        <v>0</v>
      </c>
      <c r="E1998" s="56">
        <f ca="1">IF(PV[[#This Row],[Business Date]]=Control!$C$6, PV[[#This Row],[Notional Value Local Cur]], -PV[[#This Row],[Notional Value Local Cur]])</f>
        <v>0</v>
      </c>
    </row>
    <row r="1999" spans="1:5" x14ac:dyDescent="0.25">
      <c r="A1999" s="36" t="b">
        <v>0</v>
      </c>
      <c r="B1999" s="56" t="b">
        <v>0</v>
      </c>
      <c r="C1999" s="56" t="b">
        <v>0</v>
      </c>
      <c r="D1999" s="56" t="b">
        <v>0</v>
      </c>
      <c r="E1999" s="56">
        <f ca="1">IF(PV[[#This Row],[Business Date]]=Control!$C$6, PV[[#This Row],[Notional Value Local Cur]], -PV[[#This Row],[Notional Value Local Cur]])</f>
        <v>0</v>
      </c>
    </row>
    <row r="2000" spans="1:5" x14ac:dyDescent="0.25">
      <c r="A2000" s="36" t="b">
        <v>0</v>
      </c>
      <c r="B2000" s="56" t="b">
        <v>0</v>
      </c>
      <c r="C2000" s="56" t="b">
        <v>0</v>
      </c>
      <c r="D2000" s="56" t="b">
        <v>0</v>
      </c>
      <c r="E2000" s="56">
        <f ca="1">IF(PV[[#This Row],[Business Date]]=Control!$C$6, PV[[#This Row],[Notional Value Local Cur]], -PV[[#This Row],[Notional Value Local Cur]])</f>
        <v>0</v>
      </c>
    </row>
    <row r="2001" spans="1:5" x14ac:dyDescent="0.25">
      <c r="A2001" s="36" t="b">
        <v>0</v>
      </c>
      <c r="B2001" s="56" t="b">
        <v>0</v>
      </c>
      <c r="C2001" s="56" t="b">
        <v>0</v>
      </c>
      <c r="D2001" s="56" t="b">
        <v>0</v>
      </c>
      <c r="E2001" s="56">
        <f ca="1">IF(PV[[#This Row],[Business Date]]=Control!$C$6, PV[[#This Row],[Notional Value Local Cur]], -PV[[#This Row],[Notional Value Local Cur]])</f>
        <v>0</v>
      </c>
    </row>
    <row r="2002" spans="1:5" x14ac:dyDescent="0.25">
      <c r="A2002" s="36" t="b">
        <v>0</v>
      </c>
      <c r="B2002" s="56" t="b">
        <v>0</v>
      </c>
      <c r="C2002" s="56" t="b">
        <v>0</v>
      </c>
      <c r="D2002" s="56" t="b">
        <v>0</v>
      </c>
      <c r="E2002" s="56">
        <f ca="1">IF(PV[[#This Row],[Business Date]]=Control!$C$6, PV[[#This Row],[Notional Value Local Cur]], -PV[[#This Row],[Notional Value Local Cur]])</f>
        <v>0</v>
      </c>
    </row>
    <row r="2003" spans="1:5" x14ac:dyDescent="0.25">
      <c r="A2003" s="36" t="b">
        <v>0</v>
      </c>
      <c r="B2003" s="56" t="b">
        <v>0</v>
      </c>
      <c r="C2003" s="56" t="b">
        <v>0</v>
      </c>
      <c r="D2003" s="56" t="b">
        <v>0</v>
      </c>
      <c r="E2003" s="56">
        <f ca="1">IF(PV[[#This Row],[Business Date]]=Control!$C$6, PV[[#This Row],[Notional Value Local Cur]], -PV[[#This Row],[Notional Value Local Cur]])</f>
        <v>0</v>
      </c>
    </row>
    <row r="2004" spans="1:5" x14ac:dyDescent="0.25">
      <c r="A2004" s="36" t="b">
        <v>0</v>
      </c>
      <c r="B2004" s="56" t="b">
        <v>0</v>
      </c>
      <c r="C2004" s="56" t="b">
        <v>0</v>
      </c>
      <c r="D2004" s="56" t="b">
        <v>0</v>
      </c>
      <c r="E2004" s="56">
        <f ca="1">IF(PV[[#This Row],[Business Date]]=Control!$C$6, PV[[#This Row],[Notional Value Local Cur]], -PV[[#This Row],[Notional Value Local Cur]])</f>
        <v>0</v>
      </c>
    </row>
    <row r="2005" spans="1:5" x14ac:dyDescent="0.25">
      <c r="A2005" s="36" t="b">
        <v>0</v>
      </c>
      <c r="B2005" s="56" t="b">
        <v>0</v>
      </c>
      <c r="C2005" s="56" t="b">
        <v>0</v>
      </c>
      <c r="D2005" s="56" t="b">
        <v>0</v>
      </c>
      <c r="E2005" s="56">
        <f ca="1">IF(PV[[#This Row],[Business Date]]=Control!$C$6, PV[[#This Row],[Notional Value Local Cur]], -PV[[#This Row],[Notional Value Local Cur]])</f>
        <v>0</v>
      </c>
    </row>
    <row r="2006" spans="1:5" x14ac:dyDescent="0.25">
      <c r="A2006" s="36" t="b">
        <v>0</v>
      </c>
      <c r="B2006" s="56" t="b">
        <v>0</v>
      </c>
      <c r="C2006" s="56" t="b">
        <v>0</v>
      </c>
      <c r="D2006" s="56" t="b">
        <v>0</v>
      </c>
      <c r="E2006" s="56">
        <f ca="1">IF(PV[[#This Row],[Business Date]]=Control!$C$6, PV[[#This Row],[Notional Value Local Cur]], -PV[[#This Row],[Notional Value Local Cur]])</f>
        <v>0</v>
      </c>
    </row>
    <row r="2007" spans="1:5" x14ac:dyDescent="0.25">
      <c r="A2007" s="36" t="b">
        <v>0</v>
      </c>
      <c r="B2007" s="56" t="b">
        <v>0</v>
      </c>
      <c r="C2007" s="56" t="b">
        <v>0</v>
      </c>
      <c r="D2007" s="56" t="b">
        <v>0</v>
      </c>
      <c r="E2007" s="56">
        <f ca="1">IF(PV[[#This Row],[Business Date]]=Control!$C$6, PV[[#This Row],[Notional Value Local Cur]], -PV[[#This Row],[Notional Value Local Cur]])</f>
        <v>0</v>
      </c>
    </row>
    <row r="2008" spans="1:5" x14ac:dyDescent="0.25">
      <c r="A2008" s="36" t="b">
        <v>0</v>
      </c>
      <c r="B2008" s="56" t="b">
        <v>0</v>
      </c>
      <c r="C2008" s="56" t="b">
        <v>0</v>
      </c>
      <c r="D2008" s="56" t="b">
        <v>0</v>
      </c>
      <c r="E2008" s="56">
        <f ca="1">IF(PV[[#This Row],[Business Date]]=Control!$C$6, PV[[#This Row],[Notional Value Local Cur]], -PV[[#This Row],[Notional Value Local Cur]])</f>
        <v>0</v>
      </c>
    </row>
    <row r="2009" spans="1:5" x14ac:dyDescent="0.25">
      <c r="A2009" s="36" t="b">
        <v>0</v>
      </c>
      <c r="B2009" s="56" t="b">
        <v>0</v>
      </c>
      <c r="C2009" s="56" t="b">
        <v>0</v>
      </c>
      <c r="D2009" s="56" t="b">
        <v>0</v>
      </c>
      <c r="E2009" s="56">
        <f ca="1">IF(PV[[#This Row],[Business Date]]=Control!$C$6, PV[[#This Row],[Notional Value Local Cur]], -PV[[#This Row],[Notional Value Local Cur]])</f>
        <v>0</v>
      </c>
    </row>
    <row r="2010" spans="1:5" x14ac:dyDescent="0.25">
      <c r="A2010" s="36" t="b">
        <v>0</v>
      </c>
      <c r="B2010" s="56" t="b">
        <v>0</v>
      </c>
      <c r="C2010" s="56" t="b">
        <v>0</v>
      </c>
      <c r="D2010" s="56" t="b">
        <v>0</v>
      </c>
      <c r="E2010" s="56">
        <f ca="1">IF(PV[[#This Row],[Business Date]]=Control!$C$6, PV[[#This Row],[Notional Value Local Cur]], -PV[[#This Row],[Notional Value Local Cur]])</f>
        <v>0</v>
      </c>
    </row>
    <row r="2011" spans="1:5" x14ac:dyDescent="0.25">
      <c r="A2011" s="36" t="b">
        <v>0</v>
      </c>
      <c r="B2011" s="56" t="b">
        <v>0</v>
      </c>
      <c r="C2011" s="56" t="b">
        <v>0</v>
      </c>
      <c r="D2011" s="56" t="b">
        <v>0</v>
      </c>
      <c r="E2011" s="56">
        <f ca="1">IF(PV[[#This Row],[Business Date]]=Control!$C$6, PV[[#This Row],[Notional Value Local Cur]], -PV[[#This Row],[Notional Value Local Cur]])</f>
        <v>0</v>
      </c>
    </row>
    <row r="2012" spans="1:5" x14ac:dyDescent="0.25">
      <c r="A2012" s="36" t="b">
        <v>0</v>
      </c>
      <c r="B2012" s="56" t="b">
        <v>0</v>
      </c>
      <c r="C2012" s="56" t="b">
        <v>0</v>
      </c>
      <c r="D2012" s="56" t="b">
        <v>0</v>
      </c>
      <c r="E2012" s="56">
        <f ca="1">IF(PV[[#This Row],[Business Date]]=Control!$C$6, PV[[#This Row],[Notional Value Local Cur]], -PV[[#This Row],[Notional Value Local Cur]])</f>
        <v>0</v>
      </c>
    </row>
    <row r="2013" spans="1:5" x14ac:dyDescent="0.25">
      <c r="A2013" s="36" t="b">
        <v>0</v>
      </c>
      <c r="B2013" s="56" t="b">
        <v>0</v>
      </c>
      <c r="C2013" s="56" t="b">
        <v>0</v>
      </c>
      <c r="D2013" s="56" t="b">
        <v>0</v>
      </c>
      <c r="E2013" s="56">
        <f ca="1">IF(PV[[#This Row],[Business Date]]=Control!$C$6, PV[[#This Row],[Notional Value Local Cur]], -PV[[#This Row],[Notional Value Local Cur]])</f>
        <v>0</v>
      </c>
    </row>
    <row r="2014" spans="1:5" x14ac:dyDescent="0.25">
      <c r="A2014" s="36" t="b">
        <v>0</v>
      </c>
      <c r="B2014" s="56" t="b">
        <v>0</v>
      </c>
      <c r="C2014" s="56" t="b">
        <v>0</v>
      </c>
      <c r="D2014" s="56" t="b">
        <v>0</v>
      </c>
      <c r="E2014" s="56">
        <f ca="1">IF(PV[[#This Row],[Business Date]]=Control!$C$6, PV[[#This Row],[Notional Value Local Cur]], -PV[[#This Row],[Notional Value Local Cur]])</f>
        <v>0</v>
      </c>
    </row>
    <row r="2015" spans="1:5" x14ac:dyDescent="0.25">
      <c r="A2015" s="36" t="b">
        <v>0</v>
      </c>
      <c r="B2015" s="56" t="b">
        <v>0</v>
      </c>
      <c r="C2015" s="56" t="b">
        <v>0</v>
      </c>
      <c r="D2015" s="56" t="b">
        <v>0</v>
      </c>
      <c r="E2015" s="56">
        <f ca="1">IF(PV[[#This Row],[Business Date]]=Control!$C$6, PV[[#This Row],[Notional Value Local Cur]], -PV[[#This Row],[Notional Value Local Cur]])</f>
        <v>0</v>
      </c>
    </row>
    <row r="2016" spans="1:5" x14ac:dyDescent="0.25">
      <c r="A2016" s="36" t="b">
        <v>0</v>
      </c>
      <c r="B2016" s="56" t="b">
        <v>0</v>
      </c>
      <c r="C2016" s="56" t="b">
        <v>0</v>
      </c>
      <c r="D2016" s="56" t="b">
        <v>0</v>
      </c>
      <c r="E2016" s="56">
        <f ca="1">IF(PV[[#This Row],[Business Date]]=Control!$C$6, PV[[#This Row],[Notional Value Local Cur]], -PV[[#This Row],[Notional Value Local Cur]])</f>
        <v>0</v>
      </c>
    </row>
    <row r="2017" spans="1:5" x14ac:dyDescent="0.25">
      <c r="A2017" s="36" t="b">
        <v>0</v>
      </c>
      <c r="B2017" s="56" t="b">
        <v>0</v>
      </c>
      <c r="C2017" s="56" t="b">
        <v>0</v>
      </c>
      <c r="D2017" s="56" t="b">
        <v>0</v>
      </c>
      <c r="E2017" s="56">
        <f ca="1">IF(PV[[#This Row],[Business Date]]=Control!$C$6, PV[[#This Row],[Notional Value Local Cur]], -PV[[#This Row],[Notional Value Local Cur]])</f>
        <v>0</v>
      </c>
    </row>
    <row r="2018" spans="1:5" x14ac:dyDescent="0.25">
      <c r="A2018" s="36" t="b">
        <v>0</v>
      </c>
      <c r="B2018" s="56" t="b">
        <v>0</v>
      </c>
      <c r="C2018" s="56" t="b">
        <v>0</v>
      </c>
      <c r="D2018" s="56" t="b">
        <v>0</v>
      </c>
      <c r="E2018" s="56">
        <f ca="1">IF(PV[[#This Row],[Business Date]]=Control!$C$6, PV[[#This Row],[Notional Value Local Cur]], -PV[[#This Row],[Notional Value Local Cur]])</f>
        <v>0</v>
      </c>
    </row>
    <row r="2019" spans="1:5" x14ac:dyDescent="0.25">
      <c r="A2019" s="36" t="b">
        <v>0</v>
      </c>
      <c r="B2019" s="56" t="b">
        <v>0</v>
      </c>
      <c r="C2019" s="56" t="b">
        <v>0</v>
      </c>
      <c r="D2019" s="56" t="b">
        <v>0</v>
      </c>
      <c r="E2019" s="56">
        <f ca="1">IF(PV[[#This Row],[Business Date]]=Control!$C$6, PV[[#This Row],[Notional Value Local Cur]], -PV[[#This Row],[Notional Value Local Cur]])</f>
        <v>0</v>
      </c>
    </row>
    <row r="2020" spans="1:5" x14ac:dyDescent="0.25">
      <c r="A2020" s="36" t="b">
        <v>0</v>
      </c>
      <c r="B2020" s="56" t="b">
        <v>0</v>
      </c>
      <c r="C2020" s="56" t="b">
        <v>0</v>
      </c>
      <c r="D2020" s="56" t="b">
        <v>0</v>
      </c>
      <c r="E2020" s="56">
        <f ca="1">IF(PV[[#This Row],[Business Date]]=Control!$C$6, PV[[#This Row],[Notional Value Local Cur]], -PV[[#This Row],[Notional Value Local Cur]])</f>
        <v>0</v>
      </c>
    </row>
    <row r="2021" spans="1:5" x14ac:dyDescent="0.25">
      <c r="A2021" s="36" t="b">
        <v>0</v>
      </c>
      <c r="B2021" s="56" t="b">
        <v>0</v>
      </c>
      <c r="C2021" s="56" t="b">
        <v>0</v>
      </c>
      <c r="D2021" s="56" t="b">
        <v>0</v>
      </c>
      <c r="E2021" s="56">
        <f ca="1">IF(PV[[#This Row],[Business Date]]=Control!$C$6, PV[[#This Row],[Notional Value Local Cur]], -PV[[#This Row],[Notional Value Local Cur]])</f>
        <v>0</v>
      </c>
    </row>
    <row r="2022" spans="1:5" x14ac:dyDescent="0.25">
      <c r="A2022" s="36" t="b">
        <v>0</v>
      </c>
      <c r="B2022" s="56" t="b">
        <v>0</v>
      </c>
      <c r="C2022" s="56" t="b">
        <v>0</v>
      </c>
      <c r="D2022" s="56" t="b">
        <v>0</v>
      </c>
      <c r="E2022" s="56">
        <f ca="1">IF(PV[[#This Row],[Business Date]]=Control!$C$6, PV[[#This Row],[Notional Value Local Cur]], -PV[[#This Row],[Notional Value Local Cur]])</f>
        <v>0</v>
      </c>
    </row>
    <row r="2023" spans="1:5" x14ac:dyDescent="0.25">
      <c r="A2023" s="36" t="b">
        <v>0</v>
      </c>
      <c r="B2023" s="56" t="b">
        <v>0</v>
      </c>
      <c r="C2023" s="56" t="b">
        <v>0</v>
      </c>
      <c r="D2023" s="56" t="b">
        <v>0</v>
      </c>
      <c r="E2023" s="56">
        <f ca="1">IF(PV[[#This Row],[Business Date]]=Control!$C$6, PV[[#This Row],[Notional Value Local Cur]], -PV[[#This Row],[Notional Value Local Cur]])</f>
        <v>0</v>
      </c>
    </row>
    <row r="2024" spans="1:5" x14ac:dyDescent="0.25">
      <c r="A2024" s="36" t="b">
        <v>0</v>
      </c>
      <c r="B2024" s="56" t="b">
        <v>0</v>
      </c>
      <c r="C2024" s="56" t="b">
        <v>0</v>
      </c>
      <c r="D2024" s="56" t="b">
        <v>0</v>
      </c>
      <c r="E2024" s="56">
        <f ca="1">IF(PV[[#This Row],[Business Date]]=Control!$C$6, PV[[#This Row],[Notional Value Local Cur]], -PV[[#This Row],[Notional Value Local Cur]])</f>
        <v>0</v>
      </c>
    </row>
    <row r="2025" spans="1:5" x14ac:dyDescent="0.25">
      <c r="A2025" s="36" t="b">
        <v>0</v>
      </c>
      <c r="B2025" s="56" t="b">
        <v>0</v>
      </c>
      <c r="C2025" s="56" t="b">
        <v>0</v>
      </c>
      <c r="D2025" s="56" t="b">
        <v>0</v>
      </c>
      <c r="E2025" s="56">
        <f ca="1">IF(PV[[#This Row],[Business Date]]=Control!$C$6, PV[[#This Row],[Notional Value Local Cur]], -PV[[#This Row],[Notional Value Local Cur]])</f>
        <v>0</v>
      </c>
    </row>
    <row r="2026" spans="1:5" x14ac:dyDescent="0.25">
      <c r="A2026" s="36" t="b">
        <v>0</v>
      </c>
      <c r="B2026" s="56" t="b">
        <v>0</v>
      </c>
      <c r="C2026" s="56" t="b">
        <v>0</v>
      </c>
      <c r="D2026" s="56" t="b">
        <v>0</v>
      </c>
      <c r="E2026" s="56">
        <f ca="1">IF(PV[[#This Row],[Business Date]]=Control!$C$6, PV[[#This Row],[Notional Value Local Cur]], -PV[[#This Row],[Notional Value Local Cur]])</f>
        <v>0</v>
      </c>
    </row>
    <row r="2027" spans="1:5" x14ac:dyDescent="0.25">
      <c r="A2027" s="36" t="b">
        <v>0</v>
      </c>
      <c r="B2027" s="56" t="b">
        <v>0</v>
      </c>
      <c r="C2027" s="56" t="b">
        <v>0</v>
      </c>
      <c r="D2027" s="56" t="b">
        <v>0</v>
      </c>
      <c r="E2027" s="56">
        <f ca="1">IF(PV[[#This Row],[Business Date]]=Control!$C$6, PV[[#This Row],[Notional Value Local Cur]], -PV[[#This Row],[Notional Value Local Cur]])</f>
        <v>0</v>
      </c>
    </row>
    <row r="2028" spans="1:5" x14ac:dyDescent="0.25">
      <c r="A2028" s="36" t="b">
        <v>0</v>
      </c>
      <c r="B2028" s="56" t="b">
        <v>0</v>
      </c>
      <c r="C2028" s="56" t="b">
        <v>0</v>
      </c>
      <c r="D2028" s="56" t="b">
        <v>0</v>
      </c>
      <c r="E2028" s="56">
        <f ca="1">IF(PV[[#This Row],[Business Date]]=Control!$C$6, PV[[#This Row],[Notional Value Local Cur]], -PV[[#This Row],[Notional Value Local Cur]])</f>
        <v>0</v>
      </c>
    </row>
    <row r="2029" spans="1:5" x14ac:dyDescent="0.25">
      <c r="A2029" s="36" t="b">
        <v>0</v>
      </c>
      <c r="B2029" s="56" t="b">
        <v>0</v>
      </c>
      <c r="C2029" s="56" t="b">
        <v>0</v>
      </c>
      <c r="D2029" s="56" t="b">
        <v>0</v>
      </c>
      <c r="E2029" s="56">
        <f ca="1">IF(PV[[#This Row],[Business Date]]=Control!$C$6, PV[[#This Row],[Notional Value Local Cur]], -PV[[#This Row],[Notional Value Local Cur]])</f>
        <v>0</v>
      </c>
    </row>
    <row r="2030" spans="1:5" x14ac:dyDescent="0.25">
      <c r="A2030" s="36" t="b">
        <v>0</v>
      </c>
      <c r="B2030" s="56" t="b">
        <v>0</v>
      </c>
      <c r="C2030" s="56" t="b">
        <v>0</v>
      </c>
      <c r="D2030" s="56" t="b">
        <v>0</v>
      </c>
      <c r="E2030" s="56">
        <f ca="1">IF(PV[[#This Row],[Business Date]]=Control!$C$6, PV[[#This Row],[Notional Value Local Cur]], -PV[[#This Row],[Notional Value Local Cur]])</f>
        <v>0</v>
      </c>
    </row>
    <row r="2031" spans="1:5" x14ac:dyDescent="0.25">
      <c r="A2031" s="36" t="b">
        <v>0</v>
      </c>
      <c r="B2031" s="56" t="b">
        <v>0</v>
      </c>
      <c r="C2031" s="56" t="b">
        <v>0</v>
      </c>
      <c r="D2031" s="56" t="b">
        <v>0</v>
      </c>
      <c r="E2031" s="56">
        <f ca="1">IF(PV[[#This Row],[Business Date]]=Control!$C$6, PV[[#This Row],[Notional Value Local Cur]], -PV[[#This Row],[Notional Value Local Cur]])</f>
        <v>0</v>
      </c>
    </row>
    <row r="2032" spans="1:5" x14ac:dyDescent="0.25">
      <c r="A2032" s="36" t="b">
        <v>0</v>
      </c>
      <c r="B2032" s="56" t="b">
        <v>0</v>
      </c>
      <c r="C2032" s="56" t="b">
        <v>0</v>
      </c>
      <c r="D2032" s="56" t="b">
        <v>0</v>
      </c>
      <c r="E2032" s="56">
        <f ca="1">IF(PV[[#This Row],[Business Date]]=Control!$C$6, PV[[#This Row],[Notional Value Local Cur]], -PV[[#This Row],[Notional Value Local Cur]])</f>
        <v>0</v>
      </c>
    </row>
    <row r="2033" spans="1:5" x14ac:dyDescent="0.25">
      <c r="A2033" s="36" t="b">
        <v>0</v>
      </c>
      <c r="B2033" s="56" t="b">
        <v>0</v>
      </c>
      <c r="C2033" s="56" t="b">
        <v>0</v>
      </c>
      <c r="D2033" s="56" t="b">
        <v>0</v>
      </c>
      <c r="E2033" s="56">
        <f ca="1">IF(PV[[#This Row],[Business Date]]=Control!$C$6, PV[[#This Row],[Notional Value Local Cur]], -PV[[#This Row],[Notional Value Local Cur]])</f>
        <v>0</v>
      </c>
    </row>
    <row r="2034" spans="1:5" x14ac:dyDescent="0.25">
      <c r="A2034" s="36" t="b">
        <v>0</v>
      </c>
      <c r="B2034" s="56" t="b">
        <v>0</v>
      </c>
      <c r="C2034" s="56" t="b">
        <v>0</v>
      </c>
      <c r="D2034" s="56" t="b">
        <v>0</v>
      </c>
      <c r="E2034" s="56">
        <f ca="1">IF(PV[[#This Row],[Business Date]]=Control!$C$6, PV[[#This Row],[Notional Value Local Cur]], -PV[[#This Row],[Notional Value Local Cur]])</f>
        <v>0</v>
      </c>
    </row>
    <row r="2035" spans="1:5" x14ac:dyDescent="0.25">
      <c r="A2035" s="36" t="b">
        <v>0</v>
      </c>
      <c r="B2035" s="56" t="b">
        <v>0</v>
      </c>
      <c r="C2035" s="56" t="b">
        <v>0</v>
      </c>
      <c r="D2035" s="56" t="b">
        <v>0</v>
      </c>
      <c r="E2035" s="56">
        <f ca="1">IF(PV[[#This Row],[Business Date]]=Control!$C$6, PV[[#This Row],[Notional Value Local Cur]], -PV[[#This Row],[Notional Value Local Cur]])</f>
        <v>0</v>
      </c>
    </row>
    <row r="2036" spans="1:5" x14ac:dyDescent="0.25">
      <c r="A2036" s="36" t="b">
        <v>0</v>
      </c>
      <c r="B2036" s="56" t="b">
        <v>0</v>
      </c>
      <c r="C2036" s="56" t="b">
        <v>0</v>
      </c>
      <c r="D2036" s="56" t="b">
        <v>0</v>
      </c>
      <c r="E2036" s="56">
        <f ca="1">IF(PV[[#This Row],[Business Date]]=Control!$C$6, PV[[#This Row],[Notional Value Local Cur]], -PV[[#This Row],[Notional Value Local Cur]])</f>
        <v>0</v>
      </c>
    </row>
    <row r="2037" spans="1:5" x14ac:dyDescent="0.25">
      <c r="A2037" s="36" t="b">
        <v>0</v>
      </c>
      <c r="B2037" s="56" t="b">
        <v>0</v>
      </c>
      <c r="C2037" s="56" t="b">
        <v>0</v>
      </c>
      <c r="D2037" s="56" t="b">
        <v>0</v>
      </c>
      <c r="E2037" s="56">
        <f ca="1">IF(PV[[#This Row],[Business Date]]=Control!$C$6, PV[[#This Row],[Notional Value Local Cur]], -PV[[#This Row],[Notional Value Local Cur]])</f>
        <v>0</v>
      </c>
    </row>
    <row r="2038" spans="1:5" x14ac:dyDescent="0.25">
      <c r="A2038" s="36" t="b">
        <v>0</v>
      </c>
      <c r="B2038" s="56" t="b">
        <v>0</v>
      </c>
      <c r="C2038" s="56" t="b">
        <v>0</v>
      </c>
      <c r="D2038" s="56" t="b">
        <v>0</v>
      </c>
      <c r="E2038" s="56">
        <f ca="1">IF(PV[[#This Row],[Business Date]]=Control!$C$6, PV[[#This Row],[Notional Value Local Cur]], -PV[[#This Row],[Notional Value Local Cur]])</f>
        <v>0</v>
      </c>
    </row>
    <row r="2039" spans="1:5" x14ac:dyDescent="0.25">
      <c r="A2039" s="36" t="b">
        <v>0</v>
      </c>
      <c r="B2039" s="56" t="b">
        <v>0</v>
      </c>
      <c r="C2039" s="56" t="b">
        <v>0</v>
      </c>
      <c r="D2039" s="56" t="b">
        <v>0</v>
      </c>
      <c r="E2039" s="56">
        <f ca="1">IF(PV[[#This Row],[Business Date]]=Control!$C$6, PV[[#This Row],[Notional Value Local Cur]], -PV[[#This Row],[Notional Value Local Cur]])</f>
        <v>0</v>
      </c>
    </row>
    <row r="2040" spans="1:5" x14ac:dyDescent="0.25">
      <c r="A2040" s="36" t="b">
        <v>0</v>
      </c>
      <c r="B2040" s="56" t="b">
        <v>0</v>
      </c>
      <c r="C2040" s="56" t="b">
        <v>0</v>
      </c>
      <c r="D2040" s="56" t="b">
        <v>0</v>
      </c>
      <c r="E2040" s="56">
        <f ca="1">IF(PV[[#This Row],[Business Date]]=Control!$C$6, PV[[#This Row],[Notional Value Local Cur]], -PV[[#This Row],[Notional Value Local Cur]])</f>
        <v>0</v>
      </c>
    </row>
    <row r="2041" spans="1:5" x14ac:dyDescent="0.25">
      <c r="A2041" s="36" t="b">
        <v>0</v>
      </c>
      <c r="B2041" s="56" t="b">
        <v>0</v>
      </c>
      <c r="C2041" s="56" t="b">
        <v>0</v>
      </c>
      <c r="D2041" s="56" t="b">
        <v>0</v>
      </c>
      <c r="E2041" s="56">
        <f ca="1">IF(PV[[#This Row],[Business Date]]=Control!$C$6, PV[[#This Row],[Notional Value Local Cur]], -PV[[#This Row],[Notional Value Local Cur]])</f>
        <v>0</v>
      </c>
    </row>
    <row r="2042" spans="1:5" x14ac:dyDescent="0.25">
      <c r="A2042" s="36" t="b">
        <v>0</v>
      </c>
      <c r="B2042" s="56" t="b">
        <v>0</v>
      </c>
      <c r="C2042" s="56" t="b">
        <v>0</v>
      </c>
      <c r="D2042" s="56" t="b">
        <v>0</v>
      </c>
      <c r="E2042" s="56">
        <f ca="1">IF(PV[[#This Row],[Business Date]]=Control!$C$6, PV[[#This Row],[Notional Value Local Cur]], -PV[[#This Row],[Notional Value Local Cur]])</f>
        <v>0</v>
      </c>
    </row>
    <row r="2043" spans="1:5" x14ac:dyDescent="0.25">
      <c r="A2043" s="36" t="b">
        <v>0</v>
      </c>
      <c r="B2043" s="56" t="b">
        <v>0</v>
      </c>
      <c r="C2043" s="56" t="b">
        <v>0</v>
      </c>
      <c r="D2043" s="56" t="b">
        <v>0</v>
      </c>
      <c r="E2043" s="56">
        <f ca="1">IF(PV[[#This Row],[Business Date]]=Control!$C$6, PV[[#This Row],[Notional Value Local Cur]], -PV[[#This Row],[Notional Value Local Cur]])</f>
        <v>0</v>
      </c>
    </row>
    <row r="2044" spans="1:5" x14ac:dyDescent="0.25">
      <c r="A2044" s="36" t="b">
        <v>0</v>
      </c>
      <c r="B2044" s="56" t="b">
        <v>0</v>
      </c>
      <c r="C2044" s="56" t="b">
        <v>0</v>
      </c>
      <c r="D2044" s="56" t="b">
        <v>0</v>
      </c>
      <c r="E2044" s="56">
        <f ca="1">IF(PV[[#This Row],[Business Date]]=Control!$C$6, PV[[#This Row],[Notional Value Local Cur]], -PV[[#This Row],[Notional Value Local Cur]])</f>
        <v>0</v>
      </c>
    </row>
    <row r="2045" spans="1:5" x14ac:dyDescent="0.25">
      <c r="A2045" s="36" t="b">
        <v>0</v>
      </c>
      <c r="B2045" s="56" t="b">
        <v>0</v>
      </c>
      <c r="C2045" s="56" t="b">
        <v>0</v>
      </c>
      <c r="D2045" s="56" t="b">
        <v>0</v>
      </c>
      <c r="E2045" s="56">
        <f ca="1">IF(PV[[#This Row],[Business Date]]=Control!$C$6, PV[[#This Row],[Notional Value Local Cur]], -PV[[#This Row],[Notional Value Local Cur]])</f>
        <v>0</v>
      </c>
    </row>
    <row r="2046" spans="1:5" x14ac:dyDescent="0.25">
      <c r="A2046" s="36" t="b">
        <v>0</v>
      </c>
      <c r="B2046" s="56" t="b">
        <v>0</v>
      </c>
      <c r="C2046" s="56" t="b">
        <v>0</v>
      </c>
      <c r="D2046" s="56" t="b">
        <v>0</v>
      </c>
      <c r="E2046" s="56">
        <f ca="1">IF(PV[[#This Row],[Business Date]]=Control!$C$6, PV[[#This Row],[Notional Value Local Cur]], -PV[[#This Row],[Notional Value Local Cur]])</f>
        <v>0</v>
      </c>
    </row>
    <row r="2047" spans="1:5" x14ac:dyDescent="0.25">
      <c r="A2047" s="36" t="b">
        <v>0</v>
      </c>
      <c r="B2047" s="56" t="b">
        <v>0</v>
      </c>
      <c r="C2047" s="56" t="b">
        <v>0</v>
      </c>
      <c r="D2047" s="56" t="b">
        <v>0</v>
      </c>
      <c r="E2047" s="56">
        <f ca="1">IF(PV[[#This Row],[Business Date]]=Control!$C$6, PV[[#This Row],[Notional Value Local Cur]], -PV[[#This Row],[Notional Value Local Cur]])</f>
        <v>0</v>
      </c>
    </row>
    <row r="2048" spans="1:5" x14ac:dyDescent="0.25">
      <c r="A2048" s="36" t="b">
        <v>0</v>
      </c>
      <c r="B2048" s="56" t="b">
        <v>0</v>
      </c>
      <c r="C2048" s="56" t="b">
        <v>0</v>
      </c>
      <c r="D2048" s="56" t="b">
        <v>0</v>
      </c>
      <c r="E2048" s="56">
        <f ca="1">IF(PV[[#This Row],[Business Date]]=Control!$C$6, PV[[#This Row],[Notional Value Local Cur]], -PV[[#This Row],[Notional Value Local Cur]])</f>
        <v>0</v>
      </c>
    </row>
    <row r="2049" spans="1:5" x14ac:dyDescent="0.25">
      <c r="A2049" s="36" t="b">
        <v>0</v>
      </c>
      <c r="B2049" s="56" t="b">
        <v>0</v>
      </c>
      <c r="C2049" s="56" t="b">
        <v>0</v>
      </c>
      <c r="D2049" s="56" t="b">
        <v>0</v>
      </c>
      <c r="E2049" s="56">
        <f ca="1">IF(PV[[#This Row],[Business Date]]=Control!$C$6, PV[[#This Row],[Notional Value Local Cur]], -PV[[#This Row],[Notional Value Local Cur]])</f>
        <v>0</v>
      </c>
    </row>
    <row r="2050" spans="1:5" x14ac:dyDescent="0.25">
      <c r="A2050" s="36" t="b">
        <v>0</v>
      </c>
      <c r="B2050" s="56" t="b">
        <v>0</v>
      </c>
      <c r="C2050" s="56" t="b">
        <v>0</v>
      </c>
      <c r="D2050" s="56" t="b">
        <v>0</v>
      </c>
      <c r="E2050" s="56">
        <f ca="1">IF(PV[[#This Row],[Business Date]]=Control!$C$6, PV[[#This Row],[Notional Value Local Cur]], -PV[[#This Row],[Notional Value Local Cur]])</f>
        <v>0</v>
      </c>
    </row>
    <row r="2051" spans="1:5" x14ac:dyDescent="0.25">
      <c r="A2051" s="36" t="b">
        <v>0</v>
      </c>
      <c r="B2051" s="56" t="b">
        <v>0</v>
      </c>
      <c r="C2051" s="56" t="b">
        <v>0</v>
      </c>
      <c r="D2051" s="56" t="b">
        <v>0</v>
      </c>
      <c r="E2051" s="56">
        <f ca="1">IF(PV[[#This Row],[Business Date]]=Control!$C$6, PV[[#This Row],[Notional Value Local Cur]], -PV[[#This Row],[Notional Value Local Cur]])</f>
        <v>0</v>
      </c>
    </row>
    <row r="2052" spans="1:5" x14ac:dyDescent="0.25">
      <c r="A2052" s="36" t="b">
        <v>0</v>
      </c>
      <c r="B2052" s="56" t="b">
        <v>0</v>
      </c>
      <c r="C2052" s="56" t="b">
        <v>0</v>
      </c>
      <c r="D2052" s="56" t="b">
        <v>0</v>
      </c>
      <c r="E2052" s="56">
        <f ca="1">IF(PV[[#This Row],[Business Date]]=Control!$C$6, PV[[#This Row],[Notional Value Local Cur]], -PV[[#This Row],[Notional Value Local Cur]])</f>
        <v>0</v>
      </c>
    </row>
    <row r="2053" spans="1:5" x14ac:dyDescent="0.25">
      <c r="A2053" s="36" t="b">
        <v>0</v>
      </c>
      <c r="B2053" s="56" t="b">
        <v>0</v>
      </c>
      <c r="C2053" s="56" t="b">
        <v>0</v>
      </c>
      <c r="D2053" s="56" t="b">
        <v>0</v>
      </c>
      <c r="E2053" s="56">
        <f ca="1">IF(PV[[#This Row],[Business Date]]=Control!$C$6, PV[[#This Row],[Notional Value Local Cur]], -PV[[#This Row],[Notional Value Local Cur]])</f>
        <v>0</v>
      </c>
    </row>
    <row r="2054" spans="1:5" x14ac:dyDescent="0.25">
      <c r="A2054" s="36" t="b">
        <v>0</v>
      </c>
      <c r="B2054" s="56" t="b">
        <v>0</v>
      </c>
      <c r="C2054" s="56" t="b">
        <v>0</v>
      </c>
      <c r="D2054" s="56" t="b">
        <v>0</v>
      </c>
      <c r="E2054" s="56">
        <f ca="1">IF(PV[[#This Row],[Business Date]]=Control!$C$6, PV[[#This Row],[Notional Value Local Cur]], -PV[[#This Row],[Notional Value Local Cur]])</f>
        <v>0</v>
      </c>
    </row>
    <row r="2055" spans="1:5" x14ac:dyDescent="0.25">
      <c r="A2055" s="36" t="b">
        <v>0</v>
      </c>
      <c r="B2055" s="56" t="b">
        <v>0</v>
      </c>
      <c r="C2055" s="56" t="b">
        <v>0</v>
      </c>
      <c r="D2055" s="56" t="b">
        <v>0</v>
      </c>
      <c r="E2055" s="56">
        <f ca="1">IF(PV[[#This Row],[Business Date]]=Control!$C$6, PV[[#This Row],[Notional Value Local Cur]], -PV[[#This Row],[Notional Value Local Cur]])</f>
        <v>0</v>
      </c>
    </row>
    <row r="2056" spans="1:5" x14ac:dyDescent="0.25">
      <c r="A2056" s="36" t="b">
        <v>0</v>
      </c>
      <c r="B2056" s="56" t="b">
        <v>0</v>
      </c>
      <c r="C2056" s="56" t="b">
        <v>0</v>
      </c>
      <c r="D2056" s="56" t="b">
        <v>0</v>
      </c>
      <c r="E2056" s="56">
        <f ca="1">IF(PV[[#This Row],[Business Date]]=Control!$C$6, PV[[#This Row],[Notional Value Local Cur]], -PV[[#This Row],[Notional Value Local Cur]])</f>
        <v>0</v>
      </c>
    </row>
    <row r="2057" spans="1:5" x14ac:dyDescent="0.25">
      <c r="A2057" s="36" t="b">
        <v>0</v>
      </c>
      <c r="B2057" s="56" t="b">
        <v>0</v>
      </c>
      <c r="C2057" s="56" t="b">
        <v>0</v>
      </c>
      <c r="D2057" s="56" t="b">
        <v>0</v>
      </c>
      <c r="E2057" s="56">
        <f ca="1">IF(PV[[#This Row],[Business Date]]=Control!$C$6, PV[[#This Row],[Notional Value Local Cur]], -PV[[#This Row],[Notional Value Local Cur]])</f>
        <v>0</v>
      </c>
    </row>
    <row r="2058" spans="1:5" x14ac:dyDescent="0.25">
      <c r="A2058" s="36" t="b">
        <v>0</v>
      </c>
      <c r="B2058" s="56" t="b">
        <v>0</v>
      </c>
      <c r="C2058" s="56" t="b">
        <v>0</v>
      </c>
      <c r="D2058" s="56" t="b">
        <v>0</v>
      </c>
      <c r="E2058" s="56">
        <f ca="1">IF(PV[[#This Row],[Business Date]]=Control!$C$6, PV[[#This Row],[Notional Value Local Cur]], -PV[[#This Row],[Notional Value Local Cur]])</f>
        <v>0</v>
      </c>
    </row>
    <row r="2059" spans="1:5" x14ac:dyDescent="0.25">
      <c r="A2059" s="36" t="b">
        <v>0</v>
      </c>
      <c r="B2059" s="56" t="b">
        <v>0</v>
      </c>
      <c r="C2059" s="56" t="b">
        <v>0</v>
      </c>
      <c r="D2059" s="56" t="b">
        <v>0</v>
      </c>
      <c r="E2059" s="56">
        <f ca="1">IF(PV[[#This Row],[Business Date]]=Control!$C$6, PV[[#This Row],[Notional Value Local Cur]], -PV[[#This Row],[Notional Value Local Cur]])</f>
        <v>0</v>
      </c>
    </row>
    <row r="2060" spans="1:5" x14ac:dyDescent="0.25">
      <c r="A2060" s="36" t="b">
        <v>0</v>
      </c>
      <c r="B2060" s="56" t="b">
        <v>0</v>
      </c>
      <c r="C2060" s="56" t="b">
        <v>0</v>
      </c>
      <c r="D2060" s="56" t="b">
        <v>0</v>
      </c>
      <c r="E2060" s="56">
        <f ca="1">IF(PV[[#This Row],[Business Date]]=Control!$C$6, PV[[#This Row],[Notional Value Local Cur]], -PV[[#This Row],[Notional Value Local Cur]])</f>
        <v>0</v>
      </c>
    </row>
    <row r="2061" spans="1:5" x14ac:dyDescent="0.25">
      <c r="A2061" s="36" t="b">
        <v>0</v>
      </c>
      <c r="B2061" s="56" t="b">
        <v>0</v>
      </c>
      <c r="C2061" s="56" t="b">
        <v>0</v>
      </c>
      <c r="D2061" s="56" t="b">
        <v>0</v>
      </c>
      <c r="E2061" s="56">
        <f ca="1">IF(PV[[#This Row],[Business Date]]=Control!$C$6, PV[[#This Row],[Notional Value Local Cur]], -PV[[#This Row],[Notional Value Local Cur]])</f>
        <v>0</v>
      </c>
    </row>
    <row r="2062" spans="1:5" x14ac:dyDescent="0.25">
      <c r="A2062" s="36" t="b">
        <v>0</v>
      </c>
      <c r="B2062" s="56" t="b">
        <v>0</v>
      </c>
      <c r="C2062" s="56" t="b">
        <v>0</v>
      </c>
      <c r="D2062" s="56" t="b">
        <v>0</v>
      </c>
      <c r="E2062" s="56">
        <f ca="1">IF(PV[[#This Row],[Business Date]]=Control!$C$6, PV[[#This Row],[Notional Value Local Cur]], -PV[[#This Row],[Notional Value Local Cur]])</f>
        <v>0</v>
      </c>
    </row>
    <row r="2063" spans="1:5" x14ac:dyDescent="0.25">
      <c r="A2063" s="36" t="b">
        <v>0</v>
      </c>
      <c r="B2063" s="56" t="b">
        <v>0</v>
      </c>
      <c r="C2063" s="56" t="b">
        <v>0</v>
      </c>
      <c r="D2063" s="56" t="b">
        <v>0</v>
      </c>
      <c r="E2063" s="56">
        <f ca="1">IF(PV[[#This Row],[Business Date]]=Control!$C$6, PV[[#This Row],[Notional Value Local Cur]], -PV[[#This Row],[Notional Value Local Cur]])</f>
        <v>0</v>
      </c>
    </row>
    <row r="2064" spans="1:5" x14ac:dyDescent="0.25">
      <c r="A2064" s="36" t="b">
        <v>0</v>
      </c>
      <c r="B2064" s="56" t="b">
        <v>0</v>
      </c>
      <c r="C2064" s="56" t="b">
        <v>0</v>
      </c>
      <c r="D2064" s="56" t="b">
        <v>0</v>
      </c>
      <c r="E2064" s="56">
        <f ca="1">IF(PV[[#This Row],[Business Date]]=Control!$C$6, PV[[#This Row],[Notional Value Local Cur]], -PV[[#This Row],[Notional Value Local Cur]])</f>
        <v>0</v>
      </c>
    </row>
    <row r="2065" spans="1:5" x14ac:dyDescent="0.25">
      <c r="A2065" s="36" t="b">
        <v>0</v>
      </c>
      <c r="B2065" s="56" t="b">
        <v>0</v>
      </c>
      <c r="C2065" s="56" t="b">
        <v>0</v>
      </c>
      <c r="D2065" s="56" t="b">
        <v>0</v>
      </c>
      <c r="E2065" s="56">
        <f ca="1">IF(PV[[#This Row],[Business Date]]=Control!$C$6, PV[[#This Row],[Notional Value Local Cur]], -PV[[#This Row],[Notional Value Local Cur]])</f>
        <v>0</v>
      </c>
    </row>
    <row r="2066" spans="1:5" x14ac:dyDescent="0.25">
      <c r="A2066" s="36" t="b">
        <v>0</v>
      </c>
      <c r="B2066" s="56" t="b">
        <v>0</v>
      </c>
      <c r="C2066" s="56" t="b">
        <v>0</v>
      </c>
      <c r="D2066" s="56" t="b">
        <v>0</v>
      </c>
      <c r="E2066" s="56">
        <f ca="1">IF(PV[[#This Row],[Business Date]]=Control!$C$6, PV[[#This Row],[Notional Value Local Cur]], -PV[[#This Row],[Notional Value Local Cur]])</f>
        <v>0</v>
      </c>
    </row>
    <row r="2067" spans="1:5" x14ac:dyDescent="0.25">
      <c r="A2067" s="36" t="b">
        <v>0</v>
      </c>
      <c r="B2067" s="56" t="b">
        <v>0</v>
      </c>
      <c r="C2067" s="56" t="b">
        <v>0</v>
      </c>
      <c r="D2067" s="56" t="b">
        <v>0</v>
      </c>
      <c r="E2067" s="56">
        <f ca="1">IF(PV[[#This Row],[Business Date]]=Control!$C$6, PV[[#This Row],[Notional Value Local Cur]], -PV[[#This Row],[Notional Value Local Cur]])</f>
        <v>0</v>
      </c>
    </row>
    <row r="2068" spans="1:5" x14ac:dyDescent="0.25">
      <c r="A2068" s="36" t="b">
        <v>0</v>
      </c>
      <c r="B2068" s="56" t="b">
        <v>0</v>
      </c>
      <c r="C2068" s="56" t="b">
        <v>0</v>
      </c>
      <c r="D2068" s="56" t="b">
        <v>0</v>
      </c>
      <c r="E2068" s="56">
        <f ca="1">IF(PV[[#This Row],[Business Date]]=Control!$C$6, PV[[#This Row],[Notional Value Local Cur]], -PV[[#This Row],[Notional Value Local Cur]])</f>
        <v>0</v>
      </c>
    </row>
    <row r="2069" spans="1:5" x14ac:dyDescent="0.25">
      <c r="A2069" s="36" t="b">
        <v>0</v>
      </c>
      <c r="B2069" s="56" t="b">
        <v>0</v>
      </c>
      <c r="C2069" s="56" t="b">
        <v>0</v>
      </c>
      <c r="D2069" s="56" t="b">
        <v>0</v>
      </c>
      <c r="E2069" s="56">
        <f ca="1">IF(PV[[#This Row],[Business Date]]=Control!$C$6, PV[[#This Row],[Notional Value Local Cur]], -PV[[#This Row],[Notional Value Local Cur]])</f>
        <v>0</v>
      </c>
    </row>
    <row r="2070" spans="1:5" x14ac:dyDescent="0.25">
      <c r="A2070" s="36" t="b">
        <v>0</v>
      </c>
      <c r="B2070" s="56" t="b">
        <v>0</v>
      </c>
      <c r="C2070" s="56" t="b">
        <v>0</v>
      </c>
      <c r="D2070" s="56" t="b">
        <v>0</v>
      </c>
      <c r="E2070" s="56">
        <f ca="1">IF(PV[[#This Row],[Business Date]]=Control!$C$6, PV[[#This Row],[Notional Value Local Cur]], -PV[[#This Row],[Notional Value Local Cur]])</f>
        <v>0</v>
      </c>
    </row>
    <row r="2071" spans="1:5" x14ac:dyDescent="0.25">
      <c r="A2071" s="36" t="b">
        <v>0</v>
      </c>
      <c r="B2071" s="56" t="b">
        <v>0</v>
      </c>
      <c r="C2071" s="56" t="b">
        <v>0</v>
      </c>
      <c r="D2071" s="56" t="b">
        <v>0</v>
      </c>
      <c r="E2071" s="56">
        <f ca="1">IF(PV[[#This Row],[Business Date]]=Control!$C$6, PV[[#This Row],[Notional Value Local Cur]], -PV[[#This Row],[Notional Value Local Cur]])</f>
        <v>0</v>
      </c>
    </row>
    <row r="2072" spans="1:5" x14ac:dyDescent="0.25">
      <c r="A2072" s="36" t="b">
        <v>0</v>
      </c>
      <c r="B2072" s="56" t="b">
        <v>0</v>
      </c>
      <c r="C2072" s="56" t="b">
        <v>0</v>
      </c>
      <c r="D2072" s="56" t="b">
        <v>0</v>
      </c>
      <c r="E2072" s="56">
        <f ca="1">IF(PV[[#This Row],[Business Date]]=Control!$C$6, PV[[#This Row],[Notional Value Local Cur]], -PV[[#This Row],[Notional Value Local Cur]])</f>
        <v>0</v>
      </c>
    </row>
    <row r="2073" spans="1:5" x14ac:dyDescent="0.25">
      <c r="A2073" s="36" t="b">
        <v>0</v>
      </c>
      <c r="B2073" s="56" t="b">
        <v>0</v>
      </c>
      <c r="C2073" s="56" t="b">
        <v>0</v>
      </c>
      <c r="D2073" s="56" t="b">
        <v>0</v>
      </c>
      <c r="E2073" s="56">
        <f ca="1">IF(PV[[#This Row],[Business Date]]=Control!$C$6, PV[[#This Row],[Notional Value Local Cur]], -PV[[#This Row],[Notional Value Local Cur]])</f>
        <v>0</v>
      </c>
    </row>
    <row r="2074" spans="1:5" x14ac:dyDescent="0.25">
      <c r="A2074" s="36" t="b">
        <v>0</v>
      </c>
      <c r="B2074" s="56" t="b">
        <v>0</v>
      </c>
      <c r="C2074" s="56" t="b">
        <v>0</v>
      </c>
      <c r="D2074" s="56" t="b">
        <v>0</v>
      </c>
      <c r="E2074" s="56">
        <f ca="1">IF(PV[[#This Row],[Business Date]]=Control!$C$6, PV[[#This Row],[Notional Value Local Cur]], -PV[[#This Row],[Notional Value Local Cur]])</f>
        <v>0</v>
      </c>
    </row>
    <row r="2075" spans="1:5" x14ac:dyDescent="0.25">
      <c r="A2075" s="36" t="b">
        <v>0</v>
      </c>
      <c r="B2075" s="56" t="b">
        <v>0</v>
      </c>
      <c r="C2075" s="56" t="b">
        <v>0</v>
      </c>
      <c r="D2075" s="56" t="b">
        <v>0</v>
      </c>
      <c r="E2075" s="56">
        <f ca="1">IF(PV[[#This Row],[Business Date]]=Control!$C$6, PV[[#This Row],[Notional Value Local Cur]], -PV[[#This Row],[Notional Value Local Cur]])</f>
        <v>0</v>
      </c>
    </row>
    <row r="2076" spans="1:5" x14ac:dyDescent="0.25">
      <c r="A2076" s="36" t="b">
        <v>0</v>
      </c>
      <c r="B2076" s="56" t="b">
        <v>0</v>
      </c>
      <c r="C2076" s="56" t="b">
        <v>0</v>
      </c>
      <c r="D2076" s="56" t="b">
        <v>0</v>
      </c>
      <c r="E2076" s="56">
        <f ca="1">IF(PV[[#This Row],[Business Date]]=Control!$C$6, PV[[#This Row],[Notional Value Local Cur]], -PV[[#This Row],[Notional Value Local Cur]])</f>
        <v>0</v>
      </c>
    </row>
    <row r="2077" spans="1:5" x14ac:dyDescent="0.25">
      <c r="A2077" s="36" t="b">
        <v>0</v>
      </c>
      <c r="B2077" s="56" t="b">
        <v>0</v>
      </c>
      <c r="C2077" s="56" t="b">
        <v>0</v>
      </c>
      <c r="D2077" s="56" t="b">
        <v>0</v>
      </c>
      <c r="E2077" s="56">
        <f ca="1">IF(PV[[#This Row],[Business Date]]=Control!$C$6, PV[[#This Row],[Notional Value Local Cur]], -PV[[#This Row],[Notional Value Local Cur]])</f>
        <v>0</v>
      </c>
    </row>
    <row r="2078" spans="1:5" x14ac:dyDescent="0.25">
      <c r="A2078" s="36" t="b">
        <v>0</v>
      </c>
      <c r="B2078" s="56" t="b">
        <v>0</v>
      </c>
      <c r="C2078" s="56" t="b">
        <v>0</v>
      </c>
      <c r="D2078" s="56" t="b">
        <v>0</v>
      </c>
      <c r="E2078" s="56">
        <f ca="1">IF(PV[[#This Row],[Business Date]]=Control!$C$6, PV[[#This Row],[Notional Value Local Cur]], -PV[[#This Row],[Notional Value Local Cur]])</f>
        <v>0</v>
      </c>
    </row>
    <row r="2079" spans="1:5" x14ac:dyDescent="0.25">
      <c r="A2079" s="36" t="b">
        <v>0</v>
      </c>
      <c r="B2079" s="56" t="b">
        <v>0</v>
      </c>
      <c r="C2079" s="56" t="b">
        <v>0</v>
      </c>
      <c r="D2079" s="56" t="b">
        <v>0</v>
      </c>
      <c r="E2079" s="56">
        <f ca="1">IF(PV[[#This Row],[Business Date]]=Control!$C$6, PV[[#This Row],[Notional Value Local Cur]], -PV[[#This Row],[Notional Value Local Cur]])</f>
        <v>0</v>
      </c>
    </row>
    <row r="2080" spans="1:5" x14ac:dyDescent="0.25">
      <c r="A2080" s="36" t="b">
        <v>0</v>
      </c>
      <c r="B2080" s="56" t="b">
        <v>0</v>
      </c>
      <c r="C2080" s="56" t="b">
        <v>0</v>
      </c>
      <c r="D2080" s="56" t="b">
        <v>0</v>
      </c>
      <c r="E2080" s="56">
        <f ca="1">IF(PV[[#This Row],[Business Date]]=Control!$C$6, PV[[#This Row],[Notional Value Local Cur]], -PV[[#This Row],[Notional Value Local Cur]])</f>
        <v>0</v>
      </c>
    </row>
    <row r="2081" spans="1:5" x14ac:dyDescent="0.25">
      <c r="A2081" s="36" t="b">
        <v>0</v>
      </c>
      <c r="B2081" s="56" t="b">
        <v>0</v>
      </c>
      <c r="C2081" s="56" t="b">
        <v>0</v>
      </c>
      <c r="D2081" s="56" t="b">
        <v>0</v>
      </c>
      <c r="E2081" s="56">
        <f ca="1">IF(PV[[#This Row],[Business Date]]=Control!$C$6, PV[[#This Row],[Notional Value Local Cur]], -PV[[#This Row],[Notional Value Local Cur]])</f>
        <v>0</v>
      </c>
    </row>
    <row r="2082" spans="1:5" x14ac:dyDescent="0.25">
      <c r="A2082" s="36" t="b">
        <v>0</v>
      </c>
      <c r="B2082" s="56" t="b">
        <v>0</v>
      </c>
      <c r="C2082" s="56" t="b">
        <v>0</v>
      </c>
      <c r="D2082" s="56" t="b">
        <v>0</v>
      </c>
      <c r="E2082" s="56">
        <f ca="1">IF(PV[[#This Row],[Business Date]]=Control!$C$6, PV[[#This Row],[Notional Value Local Cur]], -PV[[#This Row],[Notional Value Local Cur]])</f>
        <v>0</v>
      </c>
    </row>
    <row r="2083" spans="1:5" x14ac:dyDescent="0.25">
      <c r="A2083" s="36" t="b">
        <v>0</v>
      </c>
      <c r="B2083" s="56" t="b">
        <v>0</v>
      </c>
      <c r="C2083" s="56" t="b">
        <v>0</v>
      </c>
      <c r="D2083" s="56" t="b">
        <v>0</v>
      </c>
      <c r="E2083" s="56">
        <f ca="1">IF(PV[[#This Row],[Business Date]]=Control!$C$6, PV[[#This Row],[Notional Value Local Cur]], -PV[[#This Row],[Notional Value Local Cur]])</f>
        <v>0</v>
      </c>
    </row>
    <row r="2084" spans="1:5" x14ac:dyDescent="0.25">
      <c r="A2084" s="36" t="b">
        <v>0</v>
      </c>
      <c r="B2084" s="56" t="b">
        <v>0</v>
      </c>
      <c r="C2084" s="56" t="b">
        <v>0</v>
      </c>
      <c r="D2084" s="56" t="b">
        <v>0</v>
      </c>
      <c r="E2084" s="56">
        <f ca="1">IF(PV[[#This Row],[Business Date]]=Control!$C$6, PV[[#This Row],[Notional Value Local Cur]], -PV[[#This Row],[Notional Value Local Cur]])</f>
        <v>0</v>
      </c>
    </row>
    <row r="2085" spans="1:5" x14ac:dyDescent="0.25">
      <c r="A2085" s="36" t="b">
        <v>0</v>
      </c>
      <c r="B2085" s="56" t="b">
        <v>0</v>
      </c>
      <c r="C2085" s="56" t="b">
        <v>0</v>
      </c>
      <c r="D2085" s="56" t="b">
        <v>0</v>
      </c>
      <c r="E2085" s="56">
        <f ca="1">IF(PV[[#This Row],[Business Date]]=Control!$C$6, PV[[#This Row],[Notional Value Local Cur]], -PV[[#This Row],[Notional Value Local Cur]])</f>
        <v>0</v>
      </c>
    </row>
    <row r="2086" spans="1:5" x14ac:dyDescent="0.25">
      <c r="A2086" s="36" t="b">
        <v>0</v>
      </c>
      <c r="B2086" s="56" t="b">
        <v>0</v>
      </c>
      <c r="C2086" s="56" t="b">
        <v>0</v>
      </c>
      <c r="D2086" s="56" t="b">
        <v>0</v>
      </c>
      <c r="E2086" s="56">
        <f ca="1">IF(PV[[#This Row],[Business Date]]=Control!$C$6, PV[[#This Row],[Notional Value Local Cur]], -PV[[#This Row],[Notional Value Local Cur]])</f>
        <v>0</v>
      </c>
    </row>
    <row r="2087" spans="1:5" x14ac:dyDescent="0.25">
      <c r="A2087" s="36" t="b">
        <v>0</v>
      </c>
      <c r="B2087" s="56" t="b">
        <v>0</v>
      </c>
      <c r="C2087" s="56" t="b">
        <v>0</v>
      </c>
      <c r="D2087" s="56" t="b">
        <v>0</v>
      </c>
      <c r="E2087" s="56">
        <f ca="1">IF(PV[[#This Row],[Business Date]]=Control!$C$6, PV[[#This Row],[Notional Value Local Cur]], -PV[[#This Row],[Notional Value Local Cur]])</f>
        <v>0</v>
      </c>
    </row>
    <row r="2088" spans="1:5" x14ac:dyDescent="0.25">
      <c r="A2088" s="36" t="b">
        <v>0</v>
      </c>
      <c r="B2088" s="56" t="b">
        <v>0</v>
      </c>
      <c r="C2088" s="56" t="b">
        <v>0</v>
      </c>
      <c r="D2088" s="56" t="b">
        <v>0</v>
      </c>
      <c r="E2088" s="56">
        <f ca="1">IF(PV[[#This Row],[Business Date]]=Control!$C$6, PV[[#This Row],[Notional Value Local Cur]], -PV[[#This Row],[Notional Value Local Cur]])</f>
        <v>0</v>
      </c>
    </row>
    <row r="2089" spans="1:5" x14ac:dyDescent="0.25">
      <c r="A2089" s="36" t="b">
        <v>0</v>
      </c>
      <c r="B2089" s="56" t="b">
        <v>0</v>
      </c>
      <c r="C2089" s="56" t="b">
        <v>0</v>
      </c>
      <c r="D2089" s="56" t="b">
        <v>0</v>
      </c>
      <c r="E2089" s="56">
        <f ca="1">IF(PV[[#This Row],[Business Date]]=Control!$C$6, PV[[#This Row],[Notional Value Local Cur]], -PV[[#This Row],[Notional Value Local Cur]])</f>
        <v>0</v>
      </c>
    </row>
    <row r="2090" spans="1:5" x14ac:dyDescent="0.25">
      <c r="A2090" s="36" t="b">
        <v>0</v>
      </c>
      <c r="B2090" s="56" t="b">
        <v>0</v>
      </c>
      <c r="C2090" s="56" t="b">
        <v>0</v>
      </c>
      <c r="D2090" s="56" t="b">
        <v>0</v>
      </c>
      <c r="E2090" s="56">
        <f ca="1">IF(PV[[#This Row],[Business Date]]=Control!$C$6, PV[[#This Row],[Notional Value Local Cur]], -PV[[#This Row],[Notional Value Local Cur]])</f>
        <v>0</v>
      </c>
    </row>
    <row r="2091" spans="1:5" x14ac:dyDescent="0.25">
      <c r="A2091" s="36" t="b">
        <v>0</v>
      </c>
      <c r="B2091" s="56" t="b">
        <v>0</v>
      </c>
      <c r="C2091" s="56" t="b">
        <v>0</v>
      </c>
      <c r="D2091" s="56" t="b">
        <v>0</v>
      </c>
      <c r="E2091" s="56">
        <f ca="1">IF(PV[[#This Row],[Business Date]]=Control!$C$6, PV[[#This Row],[Notional Value Local Cur]], -PV[[#This Row],[Notional Value Local Cur]])</f>
        <v>0</v>
      </c>
    </row>
    <row r="2092" spans="1:5" x14ac:dyDescent="0.25">
      <c r="A2092" s="36" t="b">
        <v>0</v>
      </c>
      <c r="B2092" s="56" t="b">
        <v>0</v>
      </c>
      <c r="C2092" s="56" t="b">
        <v>0</v>
      </c>
      <c r="D2092" s="56" t="b">
        <v>0</v>
      </c>
      <c r="E2092" s="56">
        <f ca="1">IF(PV[[#This Row],[Business Date]]=Control!$C$6, PV[[#This Row],[Notional Value Local Cur]], -PV[[#This Row],[Notional Value Local Cur]])</f>
        <v>0</v>
      </c>
    </row>
    <row r="2093" spans="1:5" x14ac:dyDescent="0.25">
      <c r="A2093" s="36" t="b">
        <v>0</v>
      </c>
      <c r="B2093" s="56" t="b">
        <v>0</v>
      </c>
      <c r="C2093" s="56" t="b">
        <v>0</v>
      </c>
      <c r="D2093" s="56" t="b">
        <v>0</v>
      </c>
      <c r="E2093" s="56">
        <f ca="1">IF(PV[[#This Row],[Business Date]]=Control!$C$6, PV[[#This Row],[Notional Value Local Cur]], -PV[[#This Row],[Notional Value Local Cur]])</f>
        <v>0</v>
      </c>
    </row>
    <row r="2094" spans="1:5" x14ac:dyDescent="0.25">
      <c r="A2094" s="36" t="b">
        <v>0</v>
      </c>
      <c r="B2094" s="56" t="b">
        <v>0</v>
      </c>
      <c r="C2094" s="56" t="b">
        <v>0</v>
      </c>
      <c r="D2094" s="56" t="b">
        <v>0</v>
      </c>
      <c r="E2094" s="56">
        <f ca="1">IF(PV[[#This Row],[Business Date]]=Control!$C$6, PV[[#This Row],[Notional Value Local Cur]], -PV[[#This Row],[Notional Value Local Cur]])</f>
        <v>0</v>
      </c>
    </row>
    <row r="2095" spans="1:5" x14ac:dyDescent="0.25">
      <c r="A2095" s="36" t="b">
        <v>0</v>
      </c>
      <c r="B2095" s="56" t="b">
        <v>0</v>
      </c>
      <c r="C2095" s="56" t="b">
        <v>0</v>
      </c>
      <c r="D2095" s="56" t="b">
        <v>0</v>
      </c>
      <c r="E2095" s="56">
        <f ca="1">IF(PV[[#This Row],[Business Date]]=Control!$C$6, PV[[#This Row],[Notional Value Local Cur]], -PV[[#This Row],[Notional Value Local Cur]])</f>
        <v>0</v>
      </c>
    </row>
    <row r="2096" spans="1:5" x14ac:dyDescent="0.25">
      <c r="A2096" s="36" t="b">
        <v>0</v>
      </c>
      <c r="B2096" s="56" t="b">
        <v>0</v>
      </c>
      <c r="C2096" s="56" t="b">
        <v>0</v>
      </c>
      <c r="D2096" s="56" t="b">
        <v>0</v>
      </c>
      <c r="E2096" s="56">
        <f ca="1">IF(PV[[#This Row],[Business Date]]=Control!$C$6, PV[[#This Row],[Notional Value Local Cur]], -PV[[#This Row],[Notional Value Local Cur]])</f>
        <v>0</v>
      </c>
    </row>
    <row r="2097" spans="1:5" x14ac:dyDescent="0.25">
      <c r="A2097" s="36" t="b">
        <v>0</v>
      </c>
      <c r="B2097" s="56" t="b">
        <v>0</v>
      </c>
      <c r="C2097" s="56" t="b">
        <v>0</v>
      </c>
      <c r="D2097" s="56" t="b">
        <v>0</v>
      </c>
      <c r="E2097" s="56">
        <f ca="1">IF(PV[[#This Row],[Business Date]]=Control!$C$6, PV[[#This Row],[Notional Value Local Cur]], -PV[[#This Row],[Notional Value Local Cur]])</f>
        <v>0</v>
      </c>
    </row>
    <row r="2098" spans="1:5" x14ac:dyDescent="0.25">
      <c r="A2098" s="36" t="b">
        <v>0</v>
      </c>
      <c r="B2098" s="56" t="b">
        <v>0</v>
      </c>
      <c r="C2098" s="56" t="b">
        <v>0</v>
      </c>
      <c r="D2098" s="56" t="b">
        <v>0</v>
      </c>
      <c r="E2098" s="56">
        <f ca="1">IF(PV[[#This Row],[Business Date]]=Control!$C$6, PV[[#This Row],[Notional Value Local Cur]], -PV[[#This Row],[Notional Value Local Cur]])</f>
        <v>0</v>
      </c>
    </row>
    <row r="2099" spans="1:5" x14ac:dyDescent="0.25">
      <c r="A2099" s="36" t="b">
        <v>0</v>
      </c>
      <c r="B2099" s="56" t="b">
        <v>0</v>
      </c>
      <c r="C2099" s="56" t="b">
        <v>0</v>
      </c>
      <c r="D2099" s="56" t="b">
        <v>0</v>
      </c>
      <c r="E2099" s="56">
        <f ca="1">IF(PV[[#This Row],[Business Date]]=Control!$C$6, PV[[#This Row],[Notional Value Local Cur]], -PV[[#This Row],[Notional Value Local Cur]])</f>
        <v>0</v>
      </c>
    </row>
    <row r="2100" spans="1:5" x14ac:dyDescent="0.25">
      <c r="A2100" s="36" t="b">
        <v>0</v>
      </c>
      <c r="B2100" s="56" t="b">
        <v>0</v>
      </c>
      <c r="C2100" s="56" t="b">
        <v>0</v>
      </c>
      <c r="D2100" s="56" t="b">
        <v>0</v>
      </c>
      <c r="E2100" s="56">
        <f ca="1">IF(PV[[#This Row],[Business Date]]=Control!$C$6, PV[[#This Row],[Notional Value Local Cur]], -PV[[#This Row],[Notional Value Local Cur]])</f>
        <v>0</v>
      </c>
    </row>
    <row r="2101" spans="1:5" x14ac:dyDescent="0.25">
      <c r="A2101" s="36" t="b">
        <v>0</v>
      </c>
      <c r="B2101" s="56" t="b">
        <v>0</v>
      </c>
      <c r="C2101" s="56" t="b">
        <v>0</v>
      </c>
      <c r="D2101" s="56" t="b">
        <v>0</v>
      </c>
      <c r="E2101" s="56">
        <f ca="1">IF(PV[[#This Row],[Business Date]]=Control!$C$6, PV[[#This Row],[Notional Value Local Cur]], -PV[[#This Row],[Notional Value Local Cur]])</f>
        <v>0</v>
      </c>
    </row>
    <row r="2102" spans="1:5" x14ac:dyDescent="0.25">
      <c r="A2102" s="36" t="b">
        <v>0</v>
      </c>
      <c r="B2102" s="56" t="b">
        <v>0</v>
      </c>
      <c r="C2102" s="56" t="b">
        <v>0</v>
      </c>
      <c r="D2102" s="56" t="b">
        <v>0</v>
      </c>
      <c r="E2102" s="56">
        <f ca="1">IF(PV[[#This Row],[Business Date]]=Control!$C$6, PV[[#This Row],[Notional Value Local Cur]], -PV[[#This Row],[Notional Value Local Cur]])</f>
        <v>0</v>
      </c>
    </row>
    <row r="2103" spans="1:5" x14ac:dyDescent="0.25">
      <c r="A2103" s="36" t="b">
        <v>0</v>
      </c>
      <c r="B2103" s="56" t="b">
        <v>0</v>
      </c>
      <c r="C2103" s="56" t="b">
        <v>0</v>
      </c>
      <c r="D2103" s="56" t="b">
        <v>0</v>
      </c>
      <c r="E2103" s="56">
        <f ca="1">IF(PV[[#This Row],[Business Date]]=Control!$C$6, PV[[#This Row],[Notional Value Local Cur]], -PV[[#This Row],[Notional Value Local Cur]])</f>
        <v>0</v>
      </c>
    </row>
    <row r="2104" spans="1:5" x14ac:dyDescent="0.25">
      <c r="A2104" s="36" t="b">
        <v>0</v>
      </c>
      <c r="B2104" s="56" t="b">
        <v>0</v>
      </c>
      <c r="C2104" s="56" t="b">
        <v>0</v>
      </c>
      <c r="D2104" s="56" t="b">
        <v>0</v>
      </c>
      <c r="E2104" s="56">
        <f ca="1">IF(PV[[#This Row],[Business Date]]=Control!$C$6, PV[[#This Row],[Notional Value Local Cur]], -PV[[#This Row],[Notional Value Local Cur]])</f>
        <v>0</v>
      </c>
    </row>
    <row r="2105" spans="1:5" x14ac:dyDescent="0.25">
      <c r="A2105" s="36" t="b">
        <v>0</v>
      </c>
      <c r="B2105" s="56" t="b">
        <v>0</v>
      </c>
      <c r="C2105" s="56" t="b">
        <v>0</v>
      </c>
      <c r="D2105" s="56" t="b">
        <v>0</v>
      </c>
      <c r="E2105" s="56">
        <f ca="1">IF(PV[[#This Row],[Business Date]]=Control!$C$6, PV[[#This Row],[Notional Value Local Cur]], -PV[[#This Row],[Notional Value Local Cur]])</f>
        <v>0</v>
      </c>
    </row>
    <row r="2106" spans="1:5" x14ac:dyDescent="0.25">
      <c r="A2106" s="36" t="b">
        <v>0</v>
      </c>
      <c r="B2106" s="56" t="b">
        <v>0</v>
      </c>
      <c r="C2106" s="56" t="b">
        <v>0</v>
      </c>
      <c r="D2106" s="56" t="b">
        <v>0</v>
      </c>
      <c r="E2106" s="56">
        <f ca="1">IF(PV[[#This Row],[Business Date]]=Control!$C$6, PV[[#This Row],[Notional Value Local Cur]], -PV[[#This Row],[Notional Value Local Cur]])</f>
        <v>0</v>
      </c>
    </row>
    <row r="2107" spans="1:5" x14ac:dyDescent="0.25">
      <c r="A2107" s="36" t="b">
        <v>0</v>
      </c>
      <c r="B2107" s="56" t="b">
        <v>0</v>
      </c>
      <c r="C2107" s="56" t="b">
        <v>0</v>
      </c>
      <c r="D2107" s="56" t="b">
        <v>0</v>
      </c>
      <c r="E2107" s="56">
        <f ca="1">IF(PV[[#This Row],[Business Date]]=Control!$C$6, PV[[#This Row],[Notional Value Local Cur]], -PV[[#This Row],[Notional Value Local Cur]])</f>
        <v>0</v>
      </c>
    </row>
    <row r="2108" spans="1:5" x14ac:dyDescent="0.25">
      <c r="A2108" s="36" t="b">
        <v>0</v>
      </c>
      <c r="B2108" s="56" t="b">
        <v>0</v>
      </c>
      <c r="C2108" s="56" t="b">
        <v>0</v>
      </c>
      <c r="D2108" s="56" t="b">
        <v>0</v>
      </c>
      <c r="E2108" s="56">
        <f ca="1">IF(PV[[#This Row],[Business Date]]=Control!$C$6, PV[[#This Row],[Notional Value Local Cur]], -PV[[#This Row],[Notional Value Local Cur]])</f>
        <v>0</v>
      </c>
    </row>
    <row r="2109" spans="1:5" x14ac:dyDescent="0.25">
      <c r="A2109" s="36" t="b">
        <v>0</v>
      </c>
      <c r="B2109" s="56" t="b">
        <v>0</v>
      </c>
      <c r="C2109" s="56" t="b">
        <v>0</v>
      </c>
      <c r="D2109" s="56" t="b">
        <v>0</v>
      </c>
      <c r="E2109" s="56">
        <f ca="1">IF(PV[[#This Row],[Business Date]]=Control!$C$6, PV[[#This Row],[Notional Value Local Cur]], -PV[[#This Row],[Notional Value Local Cur]])</f>
        <v>0</v>
      </c>
    </row>
    <row r="2110" spans="1:5" x14ac:dyDescent="0.25">
      <c r="A2110" s="36" t="b">
        <v>0</v>
      </c>
      <c r="B2110" s="56" t="b">
        <v>0</v>
      </c>
      <c r="C2110" s="56" t="b">
        <v>0</v>
      </c>
      <c r="D2110" s="56" t="b">
        <v>0</v>
      </c>
      <c r="E2110" s="56">
        <f ca="1">IF(PV[[#This Row],[Business Date]]=Control!$C$6, PV[[#This Row],[Notional Value Local Cur]], -PV[[#This Row],[Notional Value Local Cur]])</f>
        <v>0</v>
      </c>
    </row>
    <row r="2111" spans="1:5" x14ac:dyDescent="0.25">
      <c r="A2111" s="36" t="b">
        <v>0</v>
      </c>
      <c r="B2111" s="56" t="b">
        <v>0</v>
      </c>
      <c r="C2111" s="56" t="b">
        <v>0</v>
      </c>
      <c r="D2111" s="56" t="b">
        <v>0</v>
      </c>
      <c r="E2111" s="56">
        <f ca="1">IF(PV[[#This Row],[Business Date]]=Control!$C$6, PV[[#This Row],[Notional Value Local Cur]], -PV[[#This Row],[Notional Value Local Cur]])</f>
        <v>0</v>
      </c>
    </row>
    <row r="2112" spans="1:5" x14ac:dyDescent="0.25">
      <c r="A2112" s="36" t="b">
        <v>0</v>
      </c>
      <c r="B2112" s="56" t="b">
        <v>0</v>
      </c>
      <c r="C2112" s="56" t="b">
        <v>0</v>
      </c>
      <c r="D2112" s="56" t="b">
        <v>0</v>
      </c>
      <c r="E2112" s="56">
        <f ca="1">IF(PV[[#This Row],[Business Date]]=Control!$C$6, PV[[#This Row],[Notional Value Local Cur]], -PV[[#This Row],[Notional Value Local Cur]])</f>
        <v>0</v>
      </c>
    </row>
    <row r="2113" spans="1:5" x14ac:dyDescent="0.25">
      <c r="A2113" s="36" t="b">
        <v>0</v>
      </c>
      <c r="B2113" s="56" t="b">
        <v>0</v>
      </c>
      <c r="C2113" s="56" t="b">
        <v>0</v>
      </c>
      <c r="D2113" s="56" t="b">
        <v>0</v>
      </c>
      <c r="E2113" s="56">
        <f ca="1">IF(PV[[#This Row],[Business Date]]=Control!$C$6, PV[[#This Row],[Notional Value Local Cur]], -PV[[#This Row],[Notional Value Local Cur]])</f>
        <v>0</v>
      </c>
    </row>
    <row r="2114" spans="1:5" x14ac:dyDescent="0.25">
      <c r="A2114" s="36" t="b">
        <v>0</v>
      </c>
      <c r="B2114" s="56" t="b">
        <v>0</v>
      </c>
      <c r="C2114" s="56" t="b">
        <v>0</v>
      </c>
      <c r="D2114" s="56" t="b">
        <v>0</v>
      </c>
      <c r="E2114" s="56">
        <f ca="1">IF(PV[[#This Row],[Business Date]]=Control!$C$6, PV[[#This Row],[Notional Value Local Cur]], -PV[[#This Row],[Notional Value Local Cur]])</f>
        <v>0</v>
      </c>
    </row>
    <row r="2115" spans="1:5" x14ac:dyDescent="0.25">
      <c r="A2115" s="36" t="b">
        <v>0</v>
      </c>
      <c r="B2115" s="56" t="b">
        <v>0</v>
      </c>
      <c r="C2115" s="56" t="b">
        <v>0</v>
      </c>
      <c r="D2115" s="56" t="b">
        <v>0</v>
      </c>
      <c r="E2115" s="56">
        <f ca="1">IF(PV[[#This Row],[Business Date]]=Control!$C$6, PV[[#This Row],[Notional Value Local Cur]], -PV[[#This Row],[Notional Value Local Cur]])</f>
        <v>0</v>
      </c>
    </row>
    <row r="2116" spans="1:5" x14ac:dyDescent="0.25">
      <c r="A2116" s="36" t="b">
        <v>0</v>
      </c>
      <c r="B2116" s="56" t="b">
        <v>0</v>
      </c>
      <c r="C2116" s="56" t="b">
        <v>0</v>
      </c>
      <c r="D2116" s="56" t="b">
        <v>0</v>
      </c>
      <c r="E2116" s="56">
        <f ca="1">IF(PV[[#This Row],[Business Date]]=Control!$C$6, PV[[#This Row],[Notional Value Local Cur]], -PV[[#This Row],[Notional Value Local Cur]])</f>
        <v>0</v>
      </c>
    </row>
    <row r="2117" spans="1:5" x14ac:dyDescent="0.25">
      <c r="A2117" s="36" t="b">
        <v>0</v>
      </c>
      <c r="B2117" s="56" t="b">
        <v>0</v>
      </c>
      <c r="C2117" s="56" t="b">
        <v>0</v>
      </c>
      <c r="D2117" s="56" t="b">
        <v>0</v>
      </c>
      <c r="E2117" s="56">
        <f ca="1">IF(PV[[#This Row],[Business Date]]=Control!$C$6, PV[[#This Row],[Notional Value Local Cur]], -PV[[#This Row],[Notional Value Local Cur]])</f>
        <v>0</v>
      </c>
    </row>
    <row r="2118" spans="1:5" x14ac:dyDescent="0.25">
      <c r="A2118" s="36" t="b">
        <v>0</v>
      </c>
      <c r="B2118" s="56" t="b">
        <v>0</v>
      </c>
      <c r="C2118" s="56" t="b">
        <v>0</v>
      </c>
      <c r="D2118" s="56" t="b">
        <v>0</v>
      </c>
      <c r="E2118" s="56">
        <f ca="1">IF(PV[[#This Row],[Business Date]]=Control!$C$6, PV[[#This Row],[Notional Value Local Cur]], -PV[[#This Row],[Notional Value Local Cur]])</f>
        <v>0</v>
      </c>
    </row>
    <row r="2119" spans="1:5" x14ac:dyDescent="0.25">
      <c r="A2119" s="36" t="b">
        <v>0</v>
      </c>
      <c r="B2119" s="56" t="b">
        <v>0</v>
      </c>
      <c r="C2119" s="56" t="b">
        <v>0</v>
      </c>
      <c r="D2119" s="56" t="b">
        <v>0</v>
      </c>
      <c r="E2119" s="56">
        <f ca="1">IF(PV[[#This Row],[Business Date]]=Control!$C$6, PV[[#This Row],[Notional Value Local Cur]], -PV[[#This Row],[Notional Value Local Cur]])</f>
        <v>0</v>
      </c>
    </row>
    <row r="2120" spans="1:5" x14ac:dyDescent="0.25">
      <c r="A2120" s="36" t="b">
        <v>0</v>
      </c>
      <c r="B2120" s="56" t="b">
        <v>0</v>
      </c>
      <c r="C2120" s="56" t="b">
        <v>0</v>
      </c>
      <c r="D2120" s="56" t="b">
        <v>0</v>
      </c>
      <c r="E2120" s="56">
        <f ca="1">IF(PV[[#This Row],[Business Date]]=Control!$C$6, PV[[#This Row],[Notional Value Local Cur]], -PV[[#This Row],[Notional Value Local Cur]])</f>
        <v>0</v>
      </c>
    </row>
    <row r="2121" spans="1:5" x14ac:dyDescent="0.25">
      <c r="A2121" s="36" t="b">
        <v>0</v>
      </c>
      <c r="B2121" s="56" t="b">
        <v>0</v>
      </c>
      <c r="C2121" s="56" t="b">
        <v>0</v>
      </c>
      <c r="D2121" s="56" t="b">
        <v>0</v>
      </c>
      <c r="E2121" s="56">
        <f ca="1">IF(PV[[#This Row],[Business Date]]=Control!$C$6, PV[[#This Row],[Notional Value Local Cur]], -PV[[#This Row],[Notional Value Local Cur]])</f>
        <v>0</v>
      </c>
    </row>
    <row r="2122" spans="1:5" x14ac:dyDescent="0.25">
      <c r="A2122" s="36" t="b">
        <v>0</v>
      </c>
      <c r="B2122" s="56" t="b">
        <v>0</v>
      </c>
      <c r="C2122" s="56" t="b">
        <v>0</v>
      </c>
      <c r="D2122" s="56" t="b">
        <v>0</v>
      </c>
      <c r="E2122" s="56">
        <f ca="1">IF(PV[[#This Row],[Business Date]]=Control!$C$6, PV[[#This Row],[Notional Value Local Cur]], -PV[[#This Row],[Notional Value Local Cur]])</f>
        <v>0</v>
      </c>
    </row>
    <row r="2123" spans="1:5" x14ac:dyDescent="0.25">
      <c r="A2123" s="36" t="b">
        <v>0</v>
      </c>
      <c r="B2123" s="56" t="b">
        <v>0</v>
      </c>
      <c r="C2123" s="56" t="b">
        <v>0</v>
      </c>
      <c r="D2123" s="56" t="b">
        <v>0</v>
      </c>
      <c r="E2123" s="56">
        <f ca="1">IF(PV[[#This Row],[Business Date]]=Control!$C$6, PV[[#This Row],[Notional Value Local Cur]], -PV[[#This Row],[Notional Value Local Cur]])</f>
        <v>0</v>
      </c>
    </row>
    <row r="2124" spans="1:5" x14ac:dyDescent="0.25">
      <c r="A2124" s="36" t="b">
        <v>0</v>
      </c>
      <c r="B2124" s="56" t="b">
        <v>0</v>
      </c>
      <c r="C2124" s="56" t="b">
        <v>0</v>
      </c>
      <c r="D2124" s="56" t="b">
        <v>0</v>
      </c>
      <c r="E2124" s="56">
        <f ca="1">IF(PV[[#This Row],[Business Date]]=Control!$C$6, PV[[#This Row],[Notional Value Local Cur]], -PV[[#This Row],[Notional Value Local Cur]])</f>
        <v>0</v>
      </c>
    </row>
    <row r="2125" spans="1:5" x14ac:dyDescent="0.25">
      <c r="A2125" s="36" t="b">
        <v>0</v>
      </c>
      <c r="B2125" s="56" t="b">
        <v>0</v>
      </c>
      <c r="C2125" s="56" t="b">
        <v>0</v>
      </c>
      <c r="D2125" s="56" t="b">
        <v>0</v>
      </c>
      <c r="E2125" s="56">
        <f ca="1">IF(PV[[#This Row],[Business Date]]=Control!$C$6, PV[[#This Row],[Notional Value Local Cur]], -PV[[#This Row],[Notional Value Local Cur]])</f>
        <v>0</v>
      </c>
    </row>
    <row r="2126" spans="1:5" x14ac:dyDescent="0.25">
      <c r="A2126" s="36" t="b">
        <v>0</v>
      </c>
      <c r="B2126" s="56" t="b">
        <v>0</v>
      </c>
      <c r="C2126" s="56" t="b">
        <v>0</v>
      </c>
      <c r="D2126" s="56" t="b">
        <v>0</v>
      </c>
      <c r="E2126" s="56">
        <f ca="1">IF(PV[[#This Row],[Business Date]]=Control!$C$6, PV[[#This Row],[Notional Value Local Cur]], -PV[[#This Row],[Notional Value Local Cur]])</f>
        <v>0</v>
      </c>
    </row>
    <row r="2127" spans="1:5" x14ac:dyDescent="0.25">
      <c r="A2127" s="36" t="b">
        <v>0</v>
      </c>
      <c r="B2127" s="56" t="b">
        <v>0</v>
      </c>
      <c r="C2127" s="56" t="b">
        <v>0</v>
      </c>
      <c r="D2127" s="56" t="b">
        <v>0</v>
      </c>
      <c r="E2127" s="56">
        <f ca="1">IF(PV[[#This Row],[Business Date]]=Control!$C$6, PV[[#This Row],[Notional Value Local Cur]], -PV[[#This Row],[Notional Value Local Cur]])</f>
        <v>0</v>
      </c>
    </row>
    <row r="2128" spans="1:5" x14ac:dyDescent="0.25">
      <c r="A2128" s="36" t="b">
        <v>0</v>
      </c>
      <c r="B2128" s="56" t="b">
        <v>0</v>
      </c>
      <c r="C2128" s="56" t="b">
        <v>0</v>
      </c>
      <c r="D2128" s="56" t="b">
        <v>0</v>
      </c>
      <c r="E2128" s="56">
        <f ca="1">IF(PV[[#This Row],[Business Date]]=Control!$C$6, PV[[#This Row],[Notional Value Local Cur]], -PV[[#This Row],[Notional Value Local Cur]])</f>
        <v>0</v>
      </c>
    </row>
    <row r="2129" spans="1:5" x14ac:dyDescent="0.25">
      <c r="A2129" s="36" t="b">
        <v>0</v>
      </c>
      <c r="B2129" s="56" t="b">
        <v>0</v>
      </c>
      <c r="C2129" s="56" t="b">
        <v>0</v>
      </c>
      <c r="D2129" s="56" t="b">
        <v>0</v>
      </c>
      <c r="E2129" s="56">
        <f ca="1">IF(PV[[#This Row],[Business Date]]=Control!$C$6, PV[[#This Row],[Notional Value Local Cur]], -PV[[#This Row],[Notional Value Local Cur]])</f>
        <v>0</v>
      </c>
    </row>
    <row r="2130" spans="1:5" x14ac:dyDescent="0.25">
      <c r="A2130" s="36" t="b">
        <v>0</v>
      </c>
      <c r="B2130" s="56" t="b">
        <v>0</v>
      </c>
      <c r="C2130" s="56" t="b">
        <v>0</v>
      </c>
      <c r="D2130" s="56" t="b">
        <v>0</v>
      </c>
      <c r="E2130" s="56">
        <f ca="1">IF(PV[[#This Row],[Business Date]]=Control!$C$6, PV[[#This Row],[Notional Value Local Cur]], -PV[[#This Row],[Notional Value Local Cur]])</f>
        <v>0</v>
      </c>
    </row>
    <row r="2131" spans="1:5" x14ac:dyDescent="0.25">
      <c r="A2131" s="36" t="b">
        <v>0</v>
      </c>
      <c r="B2131" s="56" t="b">
        <v>0</v>
      </c>
      <c r="C2131" s="56" t="b">
        <v>0</v>
      </c>
      <c r="D2131" s="56" t="b">
        <v>0</v>
      </c>
      <c r="E2131" s="56">
        <f ca="1">IF(PV[[#This Row],[Business Date]]=Control!$C$6, PV[[#This Row],[Notional Value Local Cur]], -PV[[#This Row],[Notional Value Local Cur]])</f>
        <v>0</v>
      </c>
    </row>
    <row r="2132" spans="1:5" x14ac:dyDescent="0.25">
      <c r="A2132" s="36" t="b">
        <v>0</v>
      </c>
      <c r="B2132" s="56" t="b">
        <v>0</v>
      </c>
      <c r="C2132" s="56" t="b">
        <v>0</v>
      </c>
      <c r="D2132" s="56" t="b">
        <v>0</v>
      </c>
      <c r="E2132" s="56">
        <f ca="1">IF(PV[[#This Row],[Business Date]]=Control!$C$6, PV[[#This Row],[Notional Value Local Cur]], -PV[[#This Row],[Notional Value Local Cur]])</f>
        <v>0</v>
      </c>
    </row>
    <row r="2133" spans="1:5" x14ac:dyDescent="0.25">
      <c r="A2133" s="36" t="b">
        <v>0</v>
      </c>
      <c r="B2133" s="56" t="b">
        <v>0</v>
      </c>
      <c r="C2133" s="56" t="b">
        <v>0</v>
      </c>
      <c r="D2133" s="56" t="b">
        <v>0</v>
      </c>
      <c r="E2133" s="56">
        <f ca="1">IF(PV[[#This Row],[Business Date]]=Control!$C$6, PV[[#This Row],[Notional Value Local Cur]], -PV[[#This Row],[Notional Value Local Cur]])</f>
        <v>0</v>
      </c>
    </row>
    <row r="2134" spans="1:5" x14ac:dyDescent="0.25">
      <c r="A2134" s="36" t="b">
        <v>0</v>
      </c>
      <c r="B2134" s="56" t="b">
        <v>0</v>
      </c>
      <c r="C2134" s="56" t="b">
        <v>0</v>
      </c>
      <c r="D2134" s="56" t="b">
        <v>0</v>
      </c>
      <c r="E2134" s="56">
        <f ca="1">IF(PV[[#This Row],[Business Date]]=Control!$C$6, PV[[#This Row],[Notional Value Local Cur]], -PV[[#This Row],[Notional Value Local Cur]])</f>
        <v>0</v>
      </c>
    </row>
    <row r="2135" spans="1:5" x14ac:dyDescent="0.25">
      <c r="A2135" s="36" t="b">
        <v>0</v>
      </c>
      <c r="B2135" s="56" t="b">
        <v>0</v>
      </c>
      <c r="C2135" s="56" t="b">
        <v>0</v>
      </c>
      <c r="D2135" s="56" t="b">
        <v>0</v>
      </c>
      <c r="E2135" s="56">
        <f ca="1">IF(PV[[#This Row],[Business Date]]=Control!$C$6, PV[[#This Row],[Notional Value Local Cur]], -PV[[#This Row],[Notional Value Local Cur]])</f>
        <v>0</v>
      </c>
    </row>
    <row r="2136" spans="1:5" x14ac:dyDescent="0.25">
      <c r="A2136" s="36" t="b">
        <v>0</v>
      </c>
      <c r="B2136" s="56" t="b">
        <v>0</v>
      </c>
      <c r="C2136" s="56" t="b">
        <v>0</v>
      </c>
      <c r="D2136" s="56" t="b">
        <v>0</v>
      </c>
      <c r="E2136" s="56">
        <f ca="1">IF(PV[[#This Row],[Business Date]]=Control!$C$6, PV[[#This Row],[Notional Value Local Cur]], -PV[[#This Row],[Notional Value Local Cur]])</f>
        <v>0</v>
      </c>
    </row>
    <row r="2137" spans="1:5" x14ac:dyDescent="0.25">
      <c r="A2137" s="36" t="b">
        <v>0</v>
      </c>
      <c r="B2137" s="56" t="b">
        <v>0</v>
      </c>
      <c r="C2137" s="56" t="b">
        <v>0</v>
      </c>
      <c r="D2137" s="56" t="b">
        <v>0</v>
      </c>
      <c r="E2137" s="56">
        <f ca="1">IF(PV[[#This Row],[Business Date]]=Control!$C$6, PV[[#This Row],[Notional Value Local Cur]], -PV[[#This Row],[Notional Value Local Cur]])</f>
        <v>0</v>
      </c>
    </row>
    <row r="2138" spans="1:5" x14ac:dyDescent="0.25">
      <c r="A2138" s="36" t="b">
        <v>0</v>
      </c>
      <c r="B2138" s="56" t="b">
        <v>0</v>
      </c>
      <c r="C2138" s="56" t="b">
        <v>0</v>
      </c>
      <c r="D2138" s="56" t="b">
        <v>0</v>
      </c>
      <c r="E2138" s="56">
        <f ca="1">IF(PV[[#This Row],[Business Date]]=Control!$C$6, PV[[#This Row],[Notional Value Local Cur]], -PV[[#This Row],[Notional Value Local Cur]])</f>
        <v>0</v>
      </c>
    </row>
    <row r="2139" spans="1:5" x14ac:dyDescent="0.25">
      <c r="A2139" s="36" t="b">
        <v>0</v>
      </c>
      <c r="B2139" s="56" t="b">
        <v>0</v>
      </c>
      <c r="C2139" s="56" t="b">
        <v>0</v>
      </c>
      <c r="D2139" s="56" t="b">
        <v>0</v>
      </c>
      <c r="E2139" s="56">
        <f ca="1">IF(PV[[#This Row],[Business Date]]=Control!$C$6, PV[[#This Row],[Notional Value Local Cur]], -PV[[#This Row],[Notional Value Local Cur]])</f>
        <v>0</v>
      </c>
    </row>
    <row r="2140" spans="1:5" x14ac:dyDescent="0.25">
      <c r="A2140" s="36" t="b">
        <v>0</v>
      </c>
      <c r="B2140" s="56" t="b">
        <v>0</v>
      </c>
      <c r="C2140" s="56" t="b">
        <v>0</v>
      </c>
      <c r="D2140" s="56" t="b">
        <v>0</v>
      </c>
      <c r="E2140" s="56">
        <f ca="1">IF(PV[[#This Row],[Business Date]]=Control!$C$6, PV[[#This Row],[Notional Value Local Cur]], -PV[[#This Row],[Notional Value Local Cur]])</f>
        <v>0</v>
      </c>
    </row>
    <row r="2141" spans="1:5" x14ac:dyDescent="0.25">
      <c r="A2141" s="36" t="b">
        <v>0</v>
      </c>
      <c r="B2141" s="56" t="b">
        <v>0</v>
      </c>
      <c r="C2141" s="56" t="b">
        <v>0</v>
      </c>
      <c r="D2141" s="56" t="b">
        <v>0</v>
      </c>
      <c r="E2141" s="56">
        <f ca="1">IF(PV[[#This Row],[Business Date]]=Control!$C$6, PV[[#This Row],[Notional Value Local Cur]], -PV[[#This Row],[Notional Value Local Cur]])</f>
        <v>0</v>
      </c>
    </row>
    <row r="2142" spans="1:5" x14ac:dyDescent="0.25">
      <c r="A2142" s="36" t="b">
        <v>0</v>
      </c>
      <c r="B2142" s="56" t="b">
        <v>0</v>
      </c>
      <c r="C2142" s="56" t="b">
        <v>0</v>
      </c>
      <c r="D2142" s="56" t="b">
        <v>0</v>
      </c>
      <c r="E2142" s="56">
        <f ca="1">IF(PV[[#This Row],[Business Date]]=Control!$C$6, PV[[#This Row],[Notional Value Local Cur]], -PV[[#This Row],[Notional Value Local Cur]])</f>
        <v>0</v>
      </c>
    </row>
    <row r="2143" spans="1:5" x14ac:dyDescent="0.25">
      <c r="A2143" s="36" t="b">
        <v>0</v>
      </c>
      <c r="B2143" s="56" t="b">
        <v>0</v>
      </c>
      <c r="C2143" s="56" t="b">
        <v>0</v>
      </c>
      <c r="D2143" s="56" t="b">
        <v>0</v>
      </c>
      <c r="E2143" s="56">
        <f ca="1">IF(PV[[#This Row],[Business Date]]=Control!$C$6, PV[[#This Row],[Notional Value Local Cur]], -PV[[#This Row],[Notional Value Local Cur]])</f>
        <v>0</v>
      </c>
    </row>
    <row r="2144" spans="1:5" x14ac:dyDescent="0.25">
      <c r="A2144" s="36" t="b">
        <v>0</v>
      </c>
      <c r="B2144" s="56" t="b">
        <v>0</v>
      </c>
      <c r="C2144" s="56" t="b">
        <v>0</v>
      </c>
      <c r="D2144" s="56" t="b">
        <v>0</v>
      </c>
      <c r="E2144" s="56">
        <f ca="1">IF(PV[[#This Row],[Business Date]]=Control!$C$6, PV[[#This Row],[Notional Value Local Cur]], -PV[[#This Row],[Notional Value Local Cur]])</f>
        <v>0</v>
      </c>
    </row>
    <row r="2145" spans="1:5" x14ac:dyDescent="0.25">
      <c r="A2145" s="36" t="b">
        <v>0</v>
      </c>
      <c r="B2145" s="56" t="b">
        <v>0</v>
      </c>
      <c r="C2145" s="56" t="b">
        <v>0</v>
      </c>
      <c r="D2145" s="56" t="b">
        <v>0</v>
      </c>
      <c r="E2145" s="56">
        <f ca="1">IF(PV[[#This Row],[Business Date]]=Control!$C$6, PV[[#This Row],[Notional Value Local Cur]], -PV[[#This Row],[Notional Value Local Cur]])</f>
        <v>0</v>
      </c>
    </row>
    <row r="2146" spans="1:5" x14ac:dyDescent="0.25">
      <c r="A2146" s="36" t="b">
        <v>0</v>
      </c>
      <c r="B2146" s="56" t="b">
        <v>0</v>
      </c>
      <c r="C2146" s="56" t="b">
        <v>0</v>
      </c>
      <c r="D2146" s="56" t="b">
        <v>0</v>
      </c>
      <c r="E2146" s="56">
        <f ca="1">IF(PV[[#This Row],[Business Date]]=Control!$C$6, PV[[#This Row],[Notional Value Local Cur]], -PV[[#This Row],[Notional Value Local Cur]])</f>
        <v>0</v>
      </c>
    </row>
    <row r="2147" spans="1:5" x14ac:dyDescent="0.25">
      <c r="A2147" s="36" t="b">
        <v>0</v>
      </c>
      <c r="B2147" s="56" t="b">
        <v>0</v>
      </c>
      <c r="C2147" s="56" t="b">
        <v>0</v>
      </c>
      <c r="D2147" s="56" t="b">
        <v>0</v>
      </c>
      <c r="E2147" s="56">
        <f ca="1">IF(PV[[#This Row],[Business Date]]=Control!$C$6, PV[[#This Row],[Notional Value Local Cur]], -PV[[#This Row],[Notional Value Local Cur]])</f>
        <v>0</v>
      </c>
    </row>
    <row r="2148" spans="1:5" x14ac:dyDescent="0.25">
      <c r="A2148" s="36" t="b">
        <v>0</v>
      </c>
      <c r="B2148" s="56" t="b">
        <v>0</v>
      </c>
      <c r="C2148" s="56" t="b">
        <v>0</v>
      </c>
      <c r="D2148" s="56" t="b">
        <v>0</v>
      </c>
      <c r="E2148" s="56">
        <f ca="1">IF(PV[[#This Row],[Business Date]]=Control!$C$6, PV[[#This Row],[Notional Value Local Cur]], -PV[[#This Row],[Notional Value Local Cur]])</f>
        <v>0</v>
      </c>
    </row>
    <row r="2149" spans="1:5" x14ac:dyDescent="0.25">
      <c r="A2149" s="36" t="b">
        <v>0</v>
      </c>
      <c r="B2149" s="56" t="b">
        <v>0</v>
      </c>
      <c r="C2149" s="56" t="b">
        <v>0</v>
      </c>
      <c r="D2149" s="56" t="b">
        <v>0</v>
      </c>
      <c r="E2149" s="56">
        <f ca="1">IF(PV[[#This Row],[Business Date]]=Control!$C$6, PV[[#This Row],[Notional Value Local Cur]], -PV[[#This Row],[Notional Value Local Cur]])</f>
        <v>0</v>
      </c>
    </row>
    <row r="2150" spans="1:5" x14ac:dyDescent="0.25">
      <c r="A2150" s="36" t="b">
        <v>0</v>
      </c>
      <c r="B2150" s="56" t="b">
        <v>0</v>
      </c>
      <c r="C2150" s="56" t="b">
        <v>0</v>
      </c>
      <c r="D2150" s="56" t="b">
        <v>0</v>
      </c>
      <c r="E2150" s="56">
        <f ca="1">IF(PV[[#This Row],[Business Date]]=Control!$C$6, PV[[#This Row],[Notional Value Local Cur]], -PV[[#This Row],[Notional Value Local Cur]])</f>
        <v>0</v>
      </c>
    </row>
    <row r="2151" spans="1:5" x14ac:dyDescent="0.25">
      <c r="A2151" s="36" t="b">
        <v>0</v>
      </c>
      <c r="B2151" s="56" t="b">
        <v>0</v>
      </c>
      <c r="C2151" s="56" t="b">
        <v>0</v>
      </c>
      <c r="D2151" s="56" t="b">
        <v>0</v>
      </c>
      <c r="E2151" s="56">
        <f ca="1">IF(PV[[#This Row],[Business Date]]=Control!$C$6, PV[[#This Row],[Notional Value Local Cur]], -PV[[#This Row],[Notional Value Local Cur]])</f>
        <v>0</v>
      </c>
    </row>
    <row r="2152" spans="1:5" x14ac:dyDescent="0.25">
      <c r="A2152" s="36" t="b">
        <v>0</v>
      </c>
      <c r="B2152" s="56" t="b">
        <v>0</v>
      </c>
      <c r="C2152" s="56" t="b">
        <v>0</v>
      </c>
      <c r="D2152" s="56" t="b">
        <v>0</v>
      </c>
      <c r="E2152" s="56">
        <f ca="1">IF(PV[[#This Row],[Business Date]]=Control!$C$6, PV[[#This Row],[Notional Value Local Cur]], -PV[[#This Row],[Notional Value Local Cur]])</f>
        <v>0</v>
      </c>
    </row>
    <row r="2153" spans="1:5" x14ac:dyDescent="0.25">
      <c r="A2153" s="36" t="b">
        <v>0</v>
      </c>
      <c r="B2153" s="56" t="b">
        <v>0</v>
      </c>
      <c r="C2153" s="56" t="b">
        <v>0</v>
      </c>
      <c r="D2153" s="56" t="b">
        <v>0</v>
      </c>
      <c r="E2153" s="56">
        <f ca="1">IF(PV[[#This Row],[Business Date]]=Control!$C$6, PV[[#This Row],[Notional Value Local Cur]], -PV[[#This Row],[Notional Value Local Cur]])</f>
        <v>0</v>
      </c>
    </row>
    <row r="2154" spans="1:5" x14ac:dyDescent="0.25">
      <c r="A2154" s="36" t="b">
        <v>0</v>
      </c>
      <c r="B2154" s="56" t="b">
        <v>0</v>
      </c>
      <c r="C2154" s="56" t="b">
        <v>0</v>
      </c>
      <c r="D2154" s="56" t="b">
        <v>0</v>
      </c>
      <c r="E2154" s="56">
        <f ca="1">IF(PV[[#This Row],[Business Date]]=Control!$C$6, PV[[#This Row],[Notional Value Local Cur]], -PV[[#This Row],[Notional Value Local Cur]])</f>
        <v>0</v>
      </c>
    </row>
    <row r="2155" spans="1:5" x14ac:dyDescent="0.25">
      <c r="A2155" s="36" t="b">
        <v>0</v>
      </c>
      <c r="B2155" s="56" t="b">
        <v>0</v>
      </c>
      <c r="C2155" s="56" t="b">
        <v>0</v>
      </c>
      <c r="D2155" s="56" t="b">
        <v>0</v>
      </c>
      <c r="E2155" s="56">
        <f ca="1">IF(PV[[#This Row],[Business Date]]=Control!$C$6, PV[[#This Row],[Notional Value Local Cur]], -PV[[#This Row],[Notional Value Local Cur]])</f>
        <v>0</v>
      </c>
    </row>
    <row r="2156" spans="1:5" x14ac:dyDescent="0.25">
      <c r="A2156" s="36" t="b">
        <v>0</v>
      </c>
      <c r="B2156" s="56" t="b">
        <v>0</v>
      </c>
      <c r="C2156" s="56" t="b">
        <v>0</v>
      </c>
      <c r="D2156" s="56" t="b">
        <v>0</v>
      </c>
      <c r="E2156" s="56">
        <f ca="1">IF(PV[[#This Row],[Business Date]]=Control!$C$6, PV[[#This Row],[Notional Value Local Cur]], -PV[[#This Row],[Notional Value Local Cur]])</f>
        <v>0</v>
      </c>
    </row>
    <row r="2157" spans="1:5" x14ac:dyDescent="0.25">
      <c r="A2157" s="36" t="b">
        <v>0</v>
      </c>
      <c r="B2157" s="56" t="b">
        <v>0</v>
      </c>
      <c r="C2157" s="56" t="b">
        <v>0</v>
      </c>
      <c r="D2157" s="56" t="b">
        <v>0</v>
      </c>
      <c r="E2157" s="56">
        <f ca="1">IF(PV[[#This Row],[Business Date]]=Control!$C$6, PV[[#This Row],[Notional Value Local Cur]], -PV[[#This Row],[Notional Value Local Cur]])</f>
        <v>0</v>
      </c>
    </row>
    <row r="2158" spans="1:5" x14ac:dyDescent="0.25">
      <c r="A2158" s="36" t="b">
        <v>0</v>
      </c>
      <c r="B2158" s="56" t="b">
        <v>0</v>
      </c>
      <c r="C2158" s="56" t="b">
        <v>0</v>
      </c>
      <c r="D2158" s="56" t="b">
        <v>0</v>
      </c>
      <c r="E2158" s="56">
        <f ca="1">IF(PV[[#This Row],[Business Date]]=Control!$C$6, PV[[#This Row],[Notional Value Local Cur]], -PV[[#This Row],[Notional Value Local Cur]])</f>
        <v>0</v>
      </c>
    </row>
    <row r="2159" spans="1:5" x14ac:dyDescent="0.25">
      <c r="A2159" s="36" t="b">
        <v>0</v>
      </c>
      <c r="B2159" s="56" t="b">
        <v>0</v>
      </c>
      <c r="C2159" s="56" t="b">
        <v>0</v>
      </c>
      <c r="D2159" s="56" t="b">
        <v>0</v>
      </c>
      <c r="E2159" s="56">
        <f ca="1">IF(PV[[#This Row],[Business Date]]=Control!$C$6, PV[[#This Row],[Notional Value Local Cur]], -PV[[#This Row],[Notional Value Local Cur]])</f>
        <v>0</v>
      </c>
    </row>
    <row r="2160" spans="1:5" x14ac:dyDescent="0.25">
      <c r="A2160" s="36" t="b">
        <v>0</v>
      </c>
      <c r="B2160" s="56" t="b">
        <v>0</v>
      </c>
      <c r="C2160" s="56" t="b">
        <v>0</v>
      </c>
      <c r="D2160" s="56" t="b">
        <v>0</v>
      </c>
      <c r="E2160" s="56">
        <f ca="1">IF(PV[[#This Row],[Business Date]]=Control!$C$6, PV[[#This Row],[Notional Value Local Cur]], -PV[[#This Row],[Notional Value Local Cur]])</f>
        <v>0</v>
      </c>
    </row>
    <row r="2161" spans="1:5" x14ac:dyDescent="0.25">
      <c r="A2161" s="36" t="b">
        <v>0</v>
      </c>
      <c r="B2161" s="56" t="b">
        <v>0</v>
      </c>
      <c r="C2161" s="56" t="b">
        <v>0</v>
      </c>
      <c r="D2161" s="56" t="b">
        <v>0</v>
      </c>
      <c r="E2161" s="56">
        <f ca="1">IF(PV[[#This Row],[Business Date]]=Control!$C$6, PV[[#This Row],[Notional Value Local Cur]], -PV[[#This Row],[Notional Value Local Cur]])</f>
        <v>0</v>
      </c>
    </row>
    <row r="2162" spans="1:5" x14ac:dyDescent="0.25">
      <c r="A2162" s="36" t="b">
        <v>0</v>
      </c>
      <c r="B2162" s="56" t="b">
        <v>0</v>
      </c>
      <c r="C2162" s="56" t="b">
        <v>0</v>
      </c>
      <c r="D2162" s="56" t="b">
        <v>0</v>
      </c>
      <c r="E2162" s="56">
        <f ca="1">IF(PV[[#This Row],[Business Date]]=Control!$C$6, PV[[#This Row],[Notional Value Local Cur]], -PV[[#This Row],[Notional Value Local Cur]])</f>
        <v>0</v>
      </c>
    </row>
    <row r="2163" spans="1:5" x14ac:dyDescent="0.25">
      <c r="A2163" s="36" t="b">
        <v>0</v>
      </c>
      <c r="B2163" s="56" t="b">
        <v>0</v>
      </c>
      <c r="C2163" s="56" t="b">
        <v>0</v>
      </c>
      <c r="D2163" s="56" t="b">
        <v>0</v>
      </c>
      <c r="E2163" s="56">
        <f ca="1">IF(PV[[#This Row],[Business Date]]=Control!$C$6, PV[[#This Row],[Notional Value Local Cur]], -PV[[#This Row],[Notional Value Local Cur]])</f>
        <v>0</v>
      </c>
    </row>
    <row r="2164" spans="1:5" x14ac:dyDescent="0.25">
      <c r="A2164" s="36" t="b">
        <v>0</v>
      </c>
      <c r="B2164" s="56" t="b">
        <v>0</v>
      </c>
      <c r="C2164" s="56" t="b">
        <v>0</v>
      </c>
      <c r="D2164" s="56" t="b">
        <v>0</v>
      </c>
      <c r="E2164" s="56">
        <f ca="1">IF(PV[[#This Row],[Business Date]]=Control!$C$6, PV[[#This Row],[Notional Value Local Cur]], -PV[[#This Row],[Notional Value Local Cur]])</f>
        <v>0</v>
      </c>
    </row>
    <row r="2165" spans="1:5" x14ac:dyDescent="0.25">
      <c r="A2165" s="36" t="b">
        <v>0</v>
      </c>
      <c r="B2165" s="56" t="b">
        <v>0</v>
      </c>
      <c r="C2165" s="56" t="b">
        <v>0</v>
      </c>
      <c r="D2165" s="56" t="b">
        <v>0</v>
      </c>
      <c r="E2165" s="56">
        <f ca="1">IF(PV[[#This Row],[Business Date]]=Control!$C$6, PV[[#This Row],[Notional Value Local Cur]], -PV[[#This Row],[Notional Value Local Cur]])</f>
        <v>0</v>
      </c>
    </row>
    <row r="2166" spans="1:5" x14ac:dyDescent="0.25">
      <c r="A2166" s="36" t="b">
        <v>0</v>
      </c>
      <c r="B2166" s="56" t="b">
        <v>0</v>
      </c>
      <c r="C2166" s="56" t="b">
        <v>0</v>
      </c>
      <c r="D2166" s="56" t="b">
        <v>0</v>
      </c>
      <c r="E2166" s="56">
        <f ca="1">IF(PV[[#This Row],[Business Date]]=Control!$C$6, PV[[#This Row],[Notional Value Local Cur]], -PV[[#This Row],[Notional Value Local Cur]])</f>
        <v>0</v>
      </c>
    </row>
    <row r="2167" spans="1:5" x14ac:dyDescent="0.25">
      <c r="A2167" s="36" t="b">
        <v>0</v>
      </c>
      <c r="B2167" s="56" t="b">
        <v>0</v>
      </c>
      <c r="C2167" s="56" t="b">
        <v>0</v>
      </c>
      <c r="D2167" s="56" t="b">
        <v>0</v>
      </c>
      <c r="E2167" s="56">
        <f ca="1">IF(PV[[#This Row],[Business Date]]=Control!$C$6, PV[[#This Row],[Notional Value Local Cur]], -PV[[#This Row],[Notional Value Local Cur]])</f>
        <v>0</v>
      </c>
    </row>
    <row r="2168" spans="1:5" x14ac:dyDescent="0.25">
      <c r="A2168" s="36" t="b">
        <v>0</v>
      </c>
      <c r="B2168" s="56" t="b">
        <v>0</v>
      </c>
      <c r="C2168" s="56" t="b">
        <v>0</v>
      </c>
      <c r="D2168" s="56" t="b">
        <v>0</v>
      </c>
      <c r="E2168" s="56">
        <f ca="1">IF(PV[[#This Row],[Business Date]]=Control!$C$6, PV[[#This Row],[Notional Value Local Cur]], -PV[[#This Row],[Notional Value Local Cur]])</f>
        <v>0</v>
      </c>
    </row>
    <row r="2169" spans="1:5" x14ac:dyDescent="0.25">
      <c r="A2169" s="36" t="b">
        <v>0</v>
      </c>
      <c r="B2169" s="56" t="b">
        <v>0</v>
      </c>
      <c r="C2169" s="56" t="b">
        <v>0</v>
      </c>
      <c r="D2169" s="56" t="b">
        <v>0</v>
      </c>
      <c r="E2169" s="56">
        <f ca="1">IF(PV[[#This Row],[Business Date]]=Control!$C$6, PV[[#This Row],[Notional Value Local Cur]], -PV[[#This Row],[Notional Value Local Cur]])</f>
        <v>0</v>
      </c>
    </row>
    <row r="2170" spans="1:5" x14ac:dyDescent="0.25">
      <c r="A2170" s="36" t="b">
        <v>0</v>
      </c>
      <c r="B2170" s="56" t="b">
        <v>0</v>
      </c>
      <c r="C2170" s="56" t="b">
        <v>0</v>
      </c>
      <c r="D2170" s="56" t="b">
        <v>0</v>
      </c>
      <c r="E2170" s="56">
        <f ca="1">IF(PV[[#This Row],[Business Date]]=Control!$C$6, PV[[#This Row],[Notional Value Local Cur]], -PV[[#This Row],[Notional Value Local Cur]])</f>
        <v>0</v>
      </c>
    </row>
    <row r="2171" spans="1:5" x14ac:dyDescent="0.25">
      <c r="A2171" s="36" t="b">
        <v>0</v>
      </c>
      <c r="B2171" s="56" t="b">
        <v>0</v>
      </c>
      <c r="C2171" s="56" t="b">
        <v>0</v>
      </c>
      <c r="D2171" s="56" t="b">
        <v>0</v>
      </c>
      <c r="E2171" s="56">
        <f ca="1">IF(PV[[#This Row],[Business Date]]=Control!$C$6, PV[[#This Row],[Notional Value Local Cur]], -PV[[#This Row],[Notional Value Local Cur]])</f>
        <v>0</v>
      </c>
    </row>
    <row r="2172" spans="1:5" x14ac:dyDescent="0.25">
      <c r="A2172" s="36" t="b">
        <v>0</v>
      </c>
      <c r="B2172" s="56" t="b">
        <v>0</v>
      </c>
      <c r="C2172" s="56" t="b">
        <v>0</v>
      </c>
      <c r="D2172" s="56" t="b">
        <v>0</v>
      </c>
      <c r="E2172" s="56">
        <f ca="1">IF(PV[[#This Row],[Business Date]]=Control!$C$6, PV[[#This Row],[Notional Value Local Cur]], -PV[[#This Row],[Notional Value Local Cur]])</f>
        <v>0</v>
      </c>
    </row>
    <row r="2173" spans="1:5" x14ac:dyDescent="0.25">
      <c r="A2173" s="36" t="b">
        <v>0</v>
      </c>
      <c r="B2173" s="56" t="b">
        <v>0</v>
      </c>
      <c r="C2173" s="56" t="b">
        <v>0</v>
      </c>
      <c r="D2173" s="56" t="b">
        <v>0</v>
      </c>
      <c r="E2173" s="56">
        <f ca="1">IF(PV[[#This Row],[Business Date]]=Control!$C$6, PV[[#This Row],[Notional Value Local Cur]], -PV[[#This Row],[Notional Value Local Cur]])</f>
        <v>0</v>
      </c>
    </row>
    <row r="2174" spans="1:5" x14ac:dyDescent="0.25">
      <c r="A2174" s="36" t="b">
        <v>0</v>
      </c>
      <c r="B2174" s="56" t="b">
        <v>0</v>
      </c>
      <c r="C2174" s="56" t="b">
        <v>0</v>
      </c>
      <c r="D2174" s="56" t="b">
        <v>0</v>
      </c>
      <c r="E2174" s="56">
        <f ca="1">IF(PV[[#This Row],[Business Date]]=Control!$C$6, PV[[#This Row],[Notional Value Local Cur]], -PV[[#This Row],[Notional Value Local Cur]])</f>
        <v>0</v>
      </c>
    </row>
    <row r="2175" spans="1:5" x14ac:dyDescent="0.25">
      <c r="A2175" s="36" t="b">
        <v>0</v>
      </c>
      <c r="B2175" s="56" t="b">
        <v>0</v>
      </c>
      <c r="C2175" s="56" t="b">
        <v>0</v>
      </c>
      <c r="D2175" s="56" t="b">
        <v>0</v>
      </c>
      <c r="E2175" s="56">
        <f ca="1">IF(PV[[#This Row],[Business Date]]=Control!$C$6, PV[[#This Row],[Notional Value Local Cur]], -PV[[#This Row],[Notional Value Local Cur]])</f>
        <v>0</v>
      </c>
    </row>
    <row r="2176" spans="1:5" x14ac:dyDescent="0.25">
      <c r="A2176" s="36" t="b">
        <v>0</v>
      </c>
      <c r="B2176" s="56" t="b">
        <v>0</v>
      </c>
      <c r="C2176" s="56" t="b">
        <v>0</v>
      </c>
      <c r="D2176" s="56" t="b">
        <v>0</v>
      </c>
      <c r="E2176" s="56">
        <f ca="1">IF(PV[[#This Row],[Business Date]]=Control!$C$6, PV[[#This Row],[Notional Value Local Cur]], -PV[[#This Row],[Notional Value Local Cur]])</f>
        <v>0</v>
      </c>
    </row>
    <row r="2177" spans="1:5" x14ac:dyDescent="0.25">
      <c r="A2177" s="36" t="b">
        <v>0</v>
      </c>
      <c r="B2177" s="56" t="b">
        <v>0</v>
      </c>
      <c r="C2177" s="56" t="b">
        <v>0</v>
      </c>
      <c r="D2177" s="56" t="b">
        <v>0</v>
      </c>
      <c r="E2177" s="56">
        <f ca="1">IF(PV[[#This Row],[Business Date]]=Control!$C$6, PV[[#This Row],[Notional Value Local Cur]], -PV[[#This Row],[Notional Value Local Cur]])</f>
        <v>0</v>
      </c>
    </row>
    <row r="2178" spans="1:5" x14ac:dyDescent="0.25">
      <c r="A2178" s="36" t="b">
        <v>0</v>
      </c>
      <c r="B2178" s="56" t="b">
        <v>0</v>
      </c>
      <c r="C2178" s="56" t="b">
        <v>0</v>
      </c>
      <c r="D2178" s="56" t="b">
        <v>0</v>
      </c>
      <c r="E2178" s="56">
        <f ca="1">IF(PV[[#This Row],[Business Date]]=Control!$C$6, PV[[#This Row],[Notional Value Local Cur]], -PV[[#This Row],[Notional Value Local Cur]])</f>
        <v>0</v>
      </c>
    </row>
    <row r="2179" spans="1:5" x14ac:dyDescent="0.25">
      <c r="A2179" s="36" t="b">
        <v>0</v>
      </c>
      <c r="B2179" s="56" t="b">
        <v>0</v>
      </c>
      <c r="C2179" s="56" t="b">
        <v>0</v>
      </c>
      <c r="D2179" s="56" t="b">
        <v>0</v>
      </c>
      <c r="E2179" s="56">
        <f ca="1">IF(PV[[#This Row],[Business Date]]=Control!$C$6, PV[[#This Row],[Notional Value Local Cur]], -PV[[#This Row],[Notional Value Local Cur]])</f>
        <v>0</v>
      </c>
    </row>
    <row r="2180" spans="1:5" x14ac:dyDescent="0.25">
      <c r="A2180" s="36" t="b">
        <v>0</v>
      </c>
      <c r="B2180" s="56" t="b">
        <v>0</v>
      </c>
      <c r="C2180" s="56" t="b">
        <v>0</v>
      </c>
      <c r="D2180" s="56" t="b">
        <v>0</v>
      </c>
      <c r="E2180" s="56">
        <f ca="1">IF(PV[[#This Row],[Business Date]]=Control!$C$6, PV[[#This Row],[Notional Value Local Cur]], -PV[[#This Row],[Notional Value Local Cur]])</f>
        <v>0</v>
      </c>
    </row>
    <row r="2181" spans="1:5" x14ac:dyDescent="0.25">
      <c r="A2181" s="36" t="b">
        <v>0</v>
      </c>
      <c r="B2181" s="56" t="b">
        <v>0</v>
      </c>
      <c r="C2181" s="56" t="b">
        <v>0</v>
      </c>
      <c r="D2181" s="56" t="b">
        <v>0</v>
      </c>
      <c r="E2181" s="56">
        <f ca="1">IF(PV[[#This Row],[Business Date]]=Control!$C$6, PV[[#This Row],[Notional Value Local Cur]], -PV[[#This Row],[Notional Value Local Cur]])</f>
        <v>0</v>
      </c>
    </row>
    <row r="2182" spans="1:5" x14ac:dyDescent="0.25">
      <c r="A2182" s="36" t="b">
        <v>0</v>
      </c>
      <c r="B2182" s="56" t="b">
        <v>0</v>
      </c>
      <c r="C2182" s="56" t="b">
        <v>0</v>
      </c>
      <c r="D2182" s="56" t="b">
        <v>0</v>
      </c>
      <c r="E2182" s="56">
        <f ca="1">IF(PV[[#This Row],[Business Date]]=Control!$C$6, PV[[#This Row],[Notional Value Local Cur]], -PV[[#This Row],[Notional Value Local Cur]])</f>
        <v>0</v>
      </c>
    </row>
    <row r="2183" spans="1:5" x14ac:dyDescent="0.25">
      <c r="A2183" s="36" t="b">
        <v>0</v>
      </c>
      <c r="B2183" s="56" t="b">
        <v>0</v>
      </c>
      <c r="C2183" s="56" t="b">
        <v>0</v>
      </c>
      <c r="D2183" s="56" t="b">
        <v>0</v>
      </c>
      <c r="E2183" s="56">
        <f ca="1">IF(PV[[#This Row],[Business Date]]=Control!$C$6, PV[[#This Row],[Notional Value Local Cur]], -PV[[#This Row],[Notional Value Local Cur]])</f>
        <v>0</v>
      </c>
    </row>
    <row r="2184" spans="1:5" x14ac:dyDescent="0.25">
      <c r="A2184" s="36" t="b">
        <v>0</v>
      </c>
      <c r="B2184" s="56" t="b">
        <v>0</v>
      </c>
      <c r="C2184" s="56" t="b">
        <v>0</v>
      </c>
      <c r="D2184" s="56" t="b">
        <v>0</v>
      </c>
      <c r="E2184" s="56">
        <f ca="1">IF(PV[[#This Row],[Business Date]]=Control!$C$6, PV[[#This Row],[Notional Value Local Cur]], -PV[[#This Row],[Notional Value Local Cur]])</f>
        <v>0</v>
      </c>
    </row>
    <row r="2185" spans="1:5" x14ac:dyDescent="0.25">
      <c r="A2185" s="36" t="b">
        <v>0</v>
      </c>
      <c r="B2185" s="56" t="b">
        <v>0</v>
      </c>
      <c r="C2185" s="56" t="b">
        <v>0</v>
      </c>
      <c r="D2185" s="56" t="b">
        <v>0</v>
      </c>
      <c r="E2185" s="56">
        <f ca="1">IF(PV[[#This Row],[Business Date]]=Control!$C$6, PV[[#This Row],[Notional Value Local Cur]], -PV[[#This Row],[Notional Value Local Cur]])</f>
        <v>0</v>
      </c>
    </row>
    <row r="2186" spans="1:5" x14ac:dyDescent="0.25">
      <c r="A2186" s="36" t="b">
        <v>0</v>
      </c>
      <c r="B2186" s="56" t="b">
        <v>0</v>
      </c>
      <c r="C2186" s="56" t="b">
        <v>0</v>
      </c>
      <c r="D2186" s="56" t="b">
        <v>0</v>
      </c>
      <c r="E2186" s="56">
        <f ca="1">IF(PV[[#This Row],[Business Date]]=Control!$C$6, PV[[#This Row],[Notional Value Local Cur]], -PV[[#This Row],[Notional Value Local Cur]])</f>
        <v>0</v>
      </c>
    </row>
    <row r="2187" spans="1:5" x14ac:dyDescent="0.25">
      <c r="A2187" s="36" t="b">
        <v>0</v>
      </c>
      <c r="B2187" s="56" t="b">
        <v>0</v>
      </c>
      <c r="C2187" s="56" t="b">
        <v>0</v>
      </c>
      <c r="D2187" s="56" t="b">
        <v>0</v>
      </c>
      <c r="E2187" s="56">
        <f ca="1">IF(PV[[#This Row],[Business Date]]=Control!$C$6, PV[[#This Row],[Notional Value Local Cur]], -PV[[#This Row],[Notional Value Local Cur]])</f>
        <v>0</v>
      </c>
    </row>
    <row r="2188" spans="1:5" x14ac:dyDescent="0.25">
      <c r="A2188" s="36" t="b">
        <v>0</v>
      </c>
      <c r="B2188" s="56" t="b">
        <v>0</v>
      </c>
      <c r="C2188" s="56" t="b">
        <v>0</v>
      </c>
      <c r="D2188" s="56" t="b">
        <v>0</v>
      </c>
      <c r="E2188" s="56">
        <f ca="1">IF(PV[[#This Row],[Business Date]]=Control!$C$6, PV[[#This Row],[Notional Value Local Cur]], -PV[[#This Row],[Notional Value Local Cur]])</f>
        <v>0</v>
      </c>
    </row>
    <row r="2189" spans="1:5" x14ac:dyDescent="0.25">
      <c r="A2189" s="36" t="b">
        <v>0</v>
      </c>
      <c r="B2189" s="56" t="b">
        <v>0</v>
      </c>
      <c r="C2189" s="56" t="b">
        <v>0</v>
      </c>
      <c r="D2189" s="56" t="b">
        <v>0</v>
      </c>
      <c r="E2189" s="56">
        <f ca="1">IF(PV[[#This Row],[Business Date]]=Control!$C$6, PV[[#This Row],[Notional Value Local Cur]], -PV[[#This Row],[Notional Value Local Cur]])</f>
        <v>0</v>
      </c>
    </row>
    <row r="2190" spans="1:5" x14ac:dyDescent="0.25">
      <c r="A2190" s="36" t="b">
        <v>0</v>
      </c>
      <c r="B2190" s="56" t="b">
        <v>0</v>
      </c>
      <c r="C2190" s="56" t="b">
        <v>0</v>
      </c>
      <c r="D2190" s="56" t="b">
        <v>0</v>
      </c>
      <c r="E2190" s="56">
        <f ca="1">IF(PV[[#This Row],[Business Date]]=Control!$C$6, PV[[#This Row],[Notional Value Local Cur]], -PV[[#This Row],[Notional Value Local Cur]])</f>
        <v>0</v>
      </c>
    </row>
    <row r="2191" spans="1:5" x14ac:dyDescent="0.25">
      <c r="A2191" s="36" t="b">
        <v>0</v>
      </c>
      <c r="B2191" s="56" t="b">
        <v>0</v>
      </c>
      <c r="C2191" s="56" t="b">
        <v>0</v>
      </c>
      <c r="D2191" s="56" t="b">
        <v>0</v>
      </c>
      <c r="E2191" s="56">
        <f ca="1">IF(PV[[#This Row],[Business Date]]=Control!$C$6, PV[[#This Row],[Notional Value Local Cur]], -PV[[#This Row],[Notional Value Local Cur]])</f>
        <v>0</v>
      </c>
    </row>
    <row r="2192" spans="1:5" x14ac:dyDescent="0.25">
      <c r="A2192" s="36" t="b">
        <v>0</v>
      </c>
      <c r="B2192" s="56" t="b">
        <v>0</v>
      </c>
      <c r="C2192" s="56" t="b">
        <v>0</v>
      </c>
      <c r="D2192" s="56" t="b">
        <v>0</v>
      </c>
      <c r="E2192" s="56">
        <f ca="1">IF(PV[[#This Row],[Business Date]]=Control!$C$6, PV[[#This Row],[Notional Value Local Cur]], -PV[[#This Row],[Notional Value Local Cur]])</f>
        <v>0</v>
      </c>
    </row>
    <row r="2193" spans="1:5" x14ac:dyDescent="0.25">
      <c r="A2193" s="36" t="b">
        <v>0</v>
      </c>
      <c r="B2193" s="56" t="b">
        <v>0</v>
      </c>
      <c r="C2193" s="56" t="b">
        <v>0</v>
      </c>
      <c r="D2193" s="56" t="b">
        <v>0</v>
      </c>
      <c r="E2193" s="56">
        <f ca="1">IF(PV[[#This Row],[Business Date]]=Control!$C$6, PV[[#This Row],[Notional Value Local Cur]], -PV[[#This Row],[Notional Value Local Cur]])</f>
        <v>0</v>
      </c>
    </row>
    <row r="2194" spans="1:5" x14ac:dyDescent="0.25">
      <c r="A2194" s="36" t="b">
        <v>0</v>
      </c>
      <c r="B2194" s="56" t="b">
        <v>0</v>
      </c>
      <c r="C2194" s="56" t="b">
        <v>0</v>
      </c>
      <c r="D2194" s="56" t="b">
        <v>0</v>
      </c>
      <c r="E2194" s="56">
        <f ca="1">IF(PV[[#This Row],[Business Date]]=Control!$C$6, PV[[#This Row],[Notional Value Local Cur]], -PV[[#This Row],[Notional Value Local Cur]])</f>
        <v>0</v>
      </c>
    </row>
    <row r="2195" spans="1:5" x14ac:dyDescent="0.25">
      <c r="A2195" s="36" t="b">
        <v>0</v>
      </c>
      <c r="B2195" s="56" t="b">
        <v>0</v>
      </c>
      <c r="C2195" s="56" t="b">
        <v>0</v>
      </c>
      <c r="D2195" s="56" t="b">
        <v>0</v>
      </c>
      <c r="E2195" s="56">
        <f ca="1">IF(PV[[#This Row],[Business Date]]=Control!$C$6, PV[[#This Row],[Notional Value Local Cur]], -PV[[#This Row],[Notional Value Local Cur]])</f>
        <v>0</v>
      </c>
    </row>
    <row r="2196" spans="1:5" x14ac:dyDescent="0.25">
      <c r="A2196" s="36" t="b">
        <v>0</v>
      </c>
      <c r="B2196" s="56" t="b">
        <v>0</v>
      </c>
      <c r="C2196" s="56" t="b">
        <v>0</v>
      </c>
      <c r="D2196" s="56" t="b">
        <v>0</v>
      </c>
      <c r="E2196" s="56">
        <f ca="1">IF(PV[[#This Row],[Business Date]]=Control!$C$6, PV[[#This Row],[Notional Value Local Cur]], -PV[[#This Row],[Notional Value Local Cur]])</f>
        <v>0</v>
      </c>
    </row>
    <row r="2197" spans="1:5" x14ac:dyDescent="0.25">
      <c r="A2197" s="36" t="b">
        <v>0</v>
      </c>
      <c r="B2197" s="56" t="b">
        <v>0</v>
      </c>
      <c r="C2197" s="56" t="b">
        <v>0</v>
      </c>
      <c r="D2197" s="56" t="b">
        <v>0</v>
      </c>
      <c r="E2197" s="56">
        <f ca="1">IF(PV[[#This Row],[Business Date]]=Control!$C$6, PV[[#This Row],[Notional Value Local Cur]], -PV[[#This Row],[Notional Value Local Cur]])</f>
        <v>0</v>
      </c>
    </row>
    <row r="2198" spans="1:5" x14ac:dyDescent="0.25">
      <c r="A2198" s="36" t="b">
        <v>0</v>
      </c>
      <c r="B2198" s="56" t="b">
        <v>0</v>
      </c>
      <c r="C2198" s="56" t="b">
        <v>0</v>
      </c>
      <c r="D2198" s="56" t="b">
        <v>0</v>
      </c>
      <c r="E2198" s="56">
        <f ca="1">IF(PV[[#This Row],[Business Date]]=Control!$C$6, PV[[#This Row],[Notional Value Local Cur]], -PV[[#This Row],[Notional Value Local Cur]])</f>
        <v>0</v>
      </c>
    </row>
    <row r="2199" spans="1:5" x14ac:dyDescent="0.25">
      <c r="A2199" s="36" t="b">
        <v>0</v>
      </c>
      <c r="B2199" s="56" t="b">
        <v>0</v>
      </c>
      <c r="C2199" s="56" t="b">
        <v>0</v>
      </c>
      <c r="D2199" s="56" t="b">
        <v>0</v>
      </c>
      <c r="E2199" s="56">
        <f ca="1">IF(PV[[#This Row],[Business Date]]=Control!$C$6, PV[[#This Row],[Notional Value Local Cur]], -PV[[#This Row],[Notional Value Local Cur]])</f>
        <v>0</v>
      </c>
    </row>
    <row r="2200" spans="1:5" x14ac:dyDescent="0.25">
      <c r="A2200" s="36" t="b">
        <v>0</v>
      </c>
      <c r="B2200" s="56" t="b">
        <v>0</v>
      </c>
      <c r="C2200" s="56" t="b">
        <v>0</v>
      </c>
      <c r="D2200" s="56" t="b">
        <v>0</v>
      </c>
      <c r="E2200" s="56">
        <f ca="1">IF(PV[[#This Row],[Business Date]]=Control!$C$6, PV[[#This Row],[Notional Value Local Cur]], -PV[[#This Row],[Notional Value Local Cur]])</f>
        <v>0</v>
      </c>
    </row>
    <row r="2201" spans="1:5" x14ac:dyDescent="0.25">
      <c r="A2201" s="36" t="b">
        <v>0</v>
      </c>
      <c r="B2201" s="56" t="b">
        <v>0</v>
      </c>
      <c r="C2201" s="56" t="b">
        <v>0</v>
      </c>
      <c r="D2201" s="56" t="b">
        <v>0</v>
      </c>
      <c r="E2201" s="56">
        <f ca="1">IF(PV[[#This Row],[Business Date]]=Control!$C$6, PV[[#This Row],[Notional Value Local Cur]], -PV[[#This Row],[Notional Value Local Cur]])</f>
        <v>0</v>
      </c>
    </row>
    <row r="2202" spans="1:5" x14ac:dyDescent="0.25">
      <c r="A2202" s="36" t="b">
        <v>0</v>
      </c>
      <c r="B2202" s="56" t="b">
        <v>0</v>
      </c>
      <c r="C2202" s="56" t="b">
        <v>0</v>
      </c>
      <c r="D2202" s="56" t="b">
        <v>0</v>
      </c>
      <c r="E2202" s="56">
        <f ca="1">IF(PV[[#This Row],[Business Date]]=Control!$C$6, PV[[#This Row],[Notional Value Local Cur]], -PV[[#This Row],[Notional Value Local Cur]])</f>
        <v>0</v>
      </c>
    </row>
    <row r="2203" spans="1:5" x14ac:dyDescent="0.25">
      <c r="A2203" s="36" t="b">
        <v>0</v>
      </c>
      <c r="B2203" s="56" t="b">
        <v>0</v>
      </c>
      <c r="C2203" s="56" t="b">
        <v>0</v>
      </c>
      <c r="D2203" s="56" t="b">
        <v>0</v>
      </c>
      <c r="E2203" s="56">
        <f ca="1">IF(PV[[#This Row],[Business Date]]=Control!$C$6, PV[[#This Row],[Notional Value Local Cur]], -PV[[#This Row],[Notional Value Local Cur]])</f>
        <v>0</v>
      </c>
    </row>
    <row r="2204" spans="1:5" x14ac:dyDescent="0.25">
      <c r="A2204" s="36" t="b">
        <v>0</v>
      </c>
      <c r="B2204" s="56" t="b">
        <v>0</v>
      </c>
      <c r="C2204" s="56" t="b">
        <v>0</v>
      </c>
      <c r="D2204" s="56" t="b">
        <v>0</v>
      </c>
      <c r="E2204" s="56">
        <f ca="1">IF(PV[[#This Row],[Business Date]]=Control!$C$6, PV[[#This Row],[Notional Value Local Cur]], -PV[[#This Row],[Notional Value Local Cur]])</f>
        <v>0</v>
      </c>
    </row>
    <row r="2205" spans="1:5" x14ac:dyDescent="0.25">
      <c r="A2205" s="36" t="b">
        <v>0</v>
      </c>
      <c r="B2205" s="56" t="b">
        <v>0</v>
      </c>
      <c r="C2205" s="56" t="b">
        <v>0</v>
      </c>
      <c r="D2205" s="56" t="b">
        <v>0</v>
      </c>
      <c r="E2205" s="56">
        <f ca="1">IF(PV[[#This Row],[Business Date]]=Control!$C$6, PV[[#This Row],[Notional Value Local Cur]], -PV[[#This Row],[Notional Value Local Cur]])</f>
        <v>0</v>
      </c>
    </row>
    <row r="2206" spans="1:5" x14ac:dyDescent="0.25">
      <c r="A2206" s="36" t="b">
        <v>0</v>
      </c>
      <c r="B2206" s="56" t="b">
        <v>0</v>
      </c>
      <c r="C2206" s="56" t="b">
        <v>0</v>
      </c>
      <c r="D2206" s="56" t="b">
        <v>0</v>
      </c>
      <c r="E2206" s="56">
        <f ca="1">IF(PV[[#This Row],[Business Date]]=Control!$C$6, PV[[#This Row],[Notional Value Local Cur]], -PV[[#This Row],[Notional Value Local Cur]])</f>
        <v>0</v>
      </c>
    </row>
    <row r="2207" spans="1:5" x14ac:dyDescent="0.25">
      <c r="A2207" s="36" t="b">
        <v>0</v>
      </c>
      <c r="B2207" s="56" t="b">
        <v>0</v>
      </c>
      <c r="C2207" s="56" t="b">
        <v>0</v>
      </c>
      <c r="D2207" s="56" t="b">
        <v>0</v>
      </c>
      <c r="E2207" s="56">
        <f ca="1">IF(PV[[#This Row],[Business Date]]=Control!$C$6, PV[[#This Row],[Notional Value Local Cur]], -PV[[#This Row],[Notional Value Local Cur]])</f>
        <v>0</v>
      </c>
    </row>
    <row r="2208" spans="1:5" x14ac:dyDescent="0.25">
      <c r="A2208" s="36" t="b">
        <v>0</v>
      </c>
      <c r="B2208" s="56" t="b">
        <v>0</v>
      </c>
      <c r="C2208" s="56" t="b">
        <v>0</v>
      </c>
      <c r="D2208" s="56" t="b">
        <v>0</v>
      </c>
      <c r="E2208" s="56">
        <f ca="1">IF(PV[[#This Row],[Business Date]]=Control!$C$6, PV[[#This Row],[Notional Value Local Cur]], -PV[[#This Row],[Notional Value Local Cur]])</f>
        <v>0</v>
      </c>
    </row>
    <row r="2209" spans="1:5" x14ac:dyDescent="0.25">
      <c r="A2209" s="36" t="b">
        <v>0</v>
      </c>
      <c r="B2209" s="56" t="b">
        <v>0</v>
      </c>
      <c r="C2209" s="56" t="b">
        <v>0</v>
      </c>
      <c r="D2209" s="56" t="b">
        <v>0</v>
      </c>
      <c r="E2209" s="56">
        <f ca="1">IF(PV[[#This Row],[Business Date]]=Control!$C$6, PV[[#This Row],[Notional Value Local Cur]], -PV[[#This Row],[Notional Value Local Cur]])</f>
        <v>0</v>
      </c>
    </row>
    <row r="2210" spans="1:5" x14ac:dyDescent="0.25">
      <c r="A2210" s="36" t="b">
        <v>0</v>
      </c>
      <c r="B2210" s="56" t="b">
        <v>0</v>
      </c>
      <c r="C2210" s="56" t="b">
        <v>0</v>
      </c>
      <c r="D2210" s="56" t="b">
        <v>0</v>
      </c>
      <c r="E2210" s="56">
        <f ca="1">IF(PV[[#This Row],[Business Date]]=Control!$C$6, PV[[#This Row],[Notional Value Local Cur]], -PV[[#This Row],[Notional Value Local Cur]])</f>
        <v>0</v>
      </c>
    </row>
    <row r="2211" spans="1:5" x14ac:dyDescent="0.25">
      <c r="A2211" s="36" t="b">
        <v>0</v>
      </c>
      <c r="B2211" s="56" t="b">
        <v>0</v>
      </c>
      <c r="C2211" s="56" t="b">
        <v>0</v>
      </c>
      <c r="D2211" s="56" t="b">
        <v>0</v>
      </c>
      <c r="E2211" s="56">
        <f ca="1">IF(PV[[#This Row],[Business Date]]=Control!$C$6, PV[[#This Row],[Notional Value Local Cur]], -PV[[#This Row],[Notional Value Local Cur]])</f>
        <v>0</v>
      </c>
    </row>
    <row r="2212" spans="1:5" x14ac:dyDescent="0.25">
      <c r="A2212" s="36" t="b">
        <v>0</v>
      </c>
      <c r="B2212" s="56" t="b">
        <v>0</v>
      </c>
      <c r="C2212" s="56" t="b">
        <v>0</v>
      </c>
      <c r="D2212" s="56" t="b">
        <v>0</v>
      </c>
      <c r="E2212" s="56">
        <f ca="1">IF(PV[[#This Row],[Business Date]]=Control!$C$6, PV[[#This Row],[Notional Value Local Cur]], -PV[[#This Row],[Notional Value Local Cur]])</f>
        <v>0</v>
      </c>
    </row>
    <row r="2213" spans="1:5" x14ac:dyDescent="0.25">
      <c r="A2213" s="36" t="b">
        <v>0</v>
      </c>
      <c r="B2213" s="56" t="b">
        <v>0</v>
      </c>
      <c r="C2213" s="56" t="b">
        <v>0</v>
      </c>
      <c r="D2213" s="56" t="b">
        <v>0</v>
      </c>
      <c r="E2213" s="56">
        <f ca="1">IF(PV[[#This Row],[Business Date]]=Control!$C$6, PV[[#This Row],[Notional Value Local Cur]], -PV[[#This Row],[Notional Value Local Cur]])</f>
        <v>0</v>
      </c>
    </row>
    <row r="2214" spans="1:5" x14ac:dyDescent="0.25">
      <c r="A2214" s="36" t="b">
        <v>0</v>
      </c>
      <c r="B2214" s="56" t="b">
        <v>0</v>
      </c>
      <c r="C2214" s="56" t="b">
        <v>0</v>
      </c>
      <c r="D2214" s="56" t="b">
        <v>0</v>
      </c>
      <c r="E2214" s="56">
        <f ca="1">IF(PV[[#This Row],[Business Date]]=Control!$C$6, PV[[#This Row],[Notional Value Local Cur]], -PV[[#This Row],[Notional Value Local Cur]])</f>
        <v>0</v>
      </c>
    </row>
    <row r="2215" spans="1:5" x14ac:dyDescent="0.25">
      <c r="A2215" s="36" t="b">
        <v>0</v>
      </c>
      <c r="B2215" s="56" t="b">
        <v>0</v>
      </c>
      <c r="C2215" s="56" t="b">
        <v>0</v>
      </c>
      <c r="D2215" s="56" t="b">
        <v>0</v>
      </c>
      <c r="E2215" s="56">
        <f ca="1">IF(PV[[#This Row],[Business Date]]=Control!$C$6, PV[[#This Row],[Notional Value Local Cur]], -PV[[#This Row],[Notional Value Local Cur]])</f>
        <v>0</v>
      </c>
    </row>
    <row r="2216" spans="1:5" x14ac:dyDescent="0.25">
      <c r="A2216" s="36" t="b">
        <v>0</v>
      </c>
      <c r="B2216" s="56" t="b">
        <v>0</v>
      </c>
      <c r="C2216" s="56" t="b">
        <v>0</v>
      </c>
      <c r="D2216" s="56" t="b">
        <v>0</v>
      </c>
      <c r="E2216" s="56">
        <f ca="1">IF(PV[[#This Row],[Business Date]]=Control!$C$6, PV[[#This Row],[Notional Value Local Cur]], -PV[[#This Row],[Notional Value Local Cur]])</f>
        <v>0</v>
      </c>
    </row>
    <row r="2217" spans="1:5" x14ac:dyDescent="0.25">
      <c r="A2217" s="36" t="b">
        <v>0</v>
      </c>
      <c r="B2217" s="56" t="b">
        <v>0</v>
      </c>
      <c r="C2217" s="56" t="b">
        <v>0</v>
      </c>
      <c r="D2217" s="56" t="b">
        <v>0</v>
      </c>
      <c r="E2217" s="56">
        <f ca="1">IF(PV[[#This Row],[Business Date]]=Control!$C$6, PV[[#This Row],[Notional Value Local Cur]], -PV[[#This Row],[Notional Value Local Cur]])</f>
        <v>0</v>
      </c>
    </row>
    <row r="2218" spans="1:5" x14ac:dyDescent="0.25">
      <c r="A2218" s="36" t="b">
        <v>0</v>
      </c>
      <c r="B2218" s="56" t="b">
        <v>0</v>
      </c>
      <c r="C2218" s="56" t="b">
        <v>0</v>
      </c>
      <c r="D2218" s="56" t="b">
        <v>0</v>
      </c>
      <c r="E2218" s="56">
        <f ca="1">IF(PV[[#This Row],[Business Date]]=Control!$C$6, PV[[#This Row],[Notional Value Local Cur]], -PV[[#This Row],[Notional Value Local Cur]])</f>
        <v>0</v>
      </c>
    </row>
    <row r="2219" spans="1:5" x14ac:dyDescent="0.25">
      <c r="A2219" s="36" t="b">
        <v>0</v>
      </c>
      <c r="B2219" s="56" t="b">
        <v>0</v>
      </c>
      <c r="C2219" s="56" t="b">
        <v>0</v>
      </c>
      <c r="D2219" s="56" t="b">
        <v>0</v>
      </c>
      <c r="E2219" s="56">
        <f ca="1">IF(PV[[#This Row],[Business Date]]=Control!$C$6, PV[[#This Row],[Notional Value Local Cur]], -PV[[#This Row],[Notional Value Local Cur]])</f>
        <v>0</v>
      </c>
    </row>
    <row r="2220" spans="1:5" x14ac:dyDescent="0.25">
      <c r="A2220" s="36" t="b">
        <v>0</v>
      </c>
      <c r="B2220" s="56" t="b">
        <v>0</v>
      </c>
      <c r="C2220" s="56" t="b">
        <v>0</v>
      </c>
      <c r="D2220" s="56" t="b">
        <v>0</v>
      </c>
      <c r="E2220" s="56">
        <f ca="1">IF(PV[[#This Row],[Business Date]]=Control!$C$6, PV[[#This Row],[Notional Value Local Cur]], -PV[[#This Row],[Notional Value Local Cur]])</f>
        <v>0</v>
      </c>
    </row>
    <row r="2221" spans="1:5" x14ac:dyDescent="0.25">
      <c r="A2221" s="36" t="b">
        <v>0</v>
      </c>
      <c r="B2221" s="56" t="b">
        <v>0</v>
      </c>
      <c r="C2221" s="56" t="b">
        <v>0</v>
      </c>
      <c r="D2221" s="56" t="b">
        <v>0</v>
      </c>
      <c r="E2221" s="56">
        <f ca="1">IF(PV[[#This Row],[Business Date]]=Control!$C$6, PV[[#This Row],[Notional Value Local Cur]], -PV[[#This Row],[Notional Value Local Cur]])</f>
        <v>0</v>
      </c>
    </row>
    <row r="2222" spans="1:5" x14ac:dyDescent="0.25">
      <c r="A2222" s="36" t="b">
        <v>0</v>
      </c>
      <c r="B2222" s="56" t="b">
        <v>0</v>
      </c>
      <c r="C2222" s="56" t="b">
        <v>0</v>
      </c>
      <c r="D2222" s="56" t="b">
        <v>0</v>
      </c>
      <c r="E2222" s="56">
        <f ca="1">IF(PV[[#This Row],[Business Date]]=Control!$C$6, PV[[#This Row],[Notional Value Local Cur]], -PV[[#This Row],[Notional Value Local Cur]])</f>
        <v>0</v>
      </c>
    </row>
    <row r="2223" spans="1:5" x14ac:dyDescent="0.25">
      <c r="A2223" s="36" t="b">
        <v>0</v>
      </c>
      <c r="B2223" s="56" t="b">
        <v>0</v>
      </c>
      <c r="C2223" s="56" t="b">
        <v>0</v>
      </c>
      <c r="D2223" s="56" t="b">
        <v>0</v>
      </c>
      <c r="E2223" s="56">
        <f ca="1">IF(PV[[#This Row],[Business Date]]=Control!$C$6, PV[[#This Row],[Notional Value Local Cur]], -PV[[#This Row],[Notional Value Local Cur]])</f>
        <v>0</v>
      </c>
    </row>
    <row r="2224" spans="1:5" x14ac:dyDescent="0.25">
      <c r="A2224" s="36" t="b">
        <v>0</v>
      </c>
      <c r="B2224" s="56" t="b">
        <v>0</v>
      </c>
      <c r="C2224" s="56" t="b">
        <v>0</v>
      </c>
      <c r="D2224" s="56" t="b">
        <v>0</v>
      </c>
      <c r="E2224" s="56">
        <f ca="1">IF(PV[[#This Row],[Business Date]]=Control!$C$6, PV[[#This Row],[Notional Value Local Cur]], -PV[[#This Row],[Notional Value Local Cur]])</f>
        <v>0</v>
      </c>
    </row>
    <row r="2225" spans="1:5" x14ac:dyDescent="0.25">
      <c r="A2225" s="36" t="b">
        <v>0</v>
      </c>
      <c r="B2225" s="56" t="b">
        <v>0</v>
      </c>
      <c r="C2225" s="56" t="b">
        <v>0</v>
      </c>
      <c r="D2225" s="56" t="b">
        <v>0</v>
      </c>
      <c r="E2225" s="56">
        <f ca="1">IF(PV[[#This Row],[Business Date]]=Control!$C$6, PV[[#This Row],[Notional Value Local Cur]], -PV[[#This Row],[Notional Value Local Cur]])</f>
        <v>0</v>
      </c>
    </row>
    <row r="2226" spans="1:5" x14ac:dyDescent="0.25">
      <c r="A2226" s="36" t="b">
        <v>0</v>
      </c>
      <c r="B2226" s="56" t="b">
        <v>0</v>
      </c>
      <c r="C2226" s="56" t="b">
        <v>0</v>
      </c>
      <c r="D2226" s="56" t="b">
        <v>0</v>
      </c>
      <c r="E2226" s="56">
        <f ca="1">IF(PV[[#This Row],[Business Date]]=Control!$C$6, PV[[#This Row],[Notional Value Local Cur]], -PV[[#This Row],[Notional Value Local Cur]])</f>
        <v>0</v>
      </c>
    </row>
    <row r="2227" spans="1:5" x14ac:dyDescent="0.25">
      <c r="A2227" s="36" t="b">
        <v>0</v>
      </c>
      <c r="B2227" s="56" t="b">
        <v>0</v>
      </c>
      <c r="C2227" s="56" t="b">
        <v>0</v>
      </c>
      <c r="D2227" s="56" t="b">
        <v>0</v>
      </c>
      <c r="E2227" s="56">
        <f ca="1">IF(PV[[#This Row],[Business Date]]=Control!$C$6, PV[[#This Row],[Notional Value Local Cur]], -PV[[#This Row],[Notional Value Local Cur]])</f>
        <v>0</v>
      </c>
    </row>
    <row r="2228" spans="1:5" x14ac:dyDescent="0.25">
      <c r="A2228" s="36" t="b">
        <v>0</v>
      </c>
      <c r="B2228" s="56" t="b">
        <v>0</v>
      </c>
      <c r="C2228" s="56" t="b">
        <v>0</v>
      </c>
      <c r="D2228" s="56" t="b">
        <v>0</v>
      </c>
      <c r="E2228" s="56">
        <f ca="1">IF(PV[[#This Row],[Business Date]]=Control!$C$6, PV[[#This Row],[Notional Value Local Cur]], -PV[[#This Row],[Notional Value Local Cur]])</f>
        <v>0</v>
      </c>
    </row>
    <row r="2229" spans="1:5" x14ac:dyDescent="0.25">
      <c r="A2229" s="36" t="b">
        <v>0</v>
      </c>
      <c r="B2229" s="56" t="b">
        <v>0</v>
      </c>
      <c r="C2229" s="56" t="b">
        <v>0</v>
      </c>
      <c r="D2229" s="56" t="b">
        <v>0</v>
      </c>
      <c r="E2229" s="56">
        <f ca="1">IF(PV[[#This Row],[Business Date]]=Control!$C$6, PV[[#This Row],[Notional Value Local Cur]], -PV[[#This Row],[Notional Value Local Cur]])</f>
        <v>0</v>
      </c>
    </row>
    <row r="2230" spans="1:5" x14ac:dyDescent="0.25">
      <c r="A2230" s="36" t="b">
        <v>0</v>
      </c>
      <c r="B2230" s="56" t="b">
        <v>0</v>
      </c>
      <c r="C2230" s="56" t="b">
        <v>0</v>
      </c>
      <c r="D2230" s="56" t="b">
        <v>0</v>
      </c>
      <c r="E2230" s="56">
        <f ca="1">IF(PV[[#This Row],[Business Date]]=Control!$C$6, PV[[#This Row],[Notional Value Local Cur]], -PV[[#This Row],[Notional Value Local Cur]])</f>
        <v>0</v>
      </c>
    </row>
    <row r="2231" spans="1:5" x14ac:dyDescent="0.25">
      <c r="A2231" s="36" t="b">
        <v>0</v>
      </c>
      <c r="B2231" s="56" t="b">
        <v>0</v>
      </c>
      <c r="C2231" s="56" t="b">
        <v>0</v>
      </c>
      <c r="D2231" s="56" t="b">
        <v>0</v>
      </c>
      <c r="E2231" s="56">
        <f ca="1">IF(PV[[#This Row],[Business Date]]=Control!$C$6, PV[[#This Row],[Notional Value Local Cur]], -PV[[#This Row],[Notional Value Local Cur]])</f>
        <v>0</v>
      </c>
    </row>
    <row r="2232" spans="1:5" x14ac:dyDescent="0.25">
      <c r="A2232" s="36" t="b">
        <v>0</v>
      </c>
      <c r="B2232" s="56" t="b">
        <v>0</v>
      </c>
      <c r="C2232" s="56" t="b">
        <v>0</v>
      </c>
      <c r="D2232" s="56" t="b">
        <v>0</v>
      </c>
      <c r="E2232" s="56">
        <f ca="1">IF(PV[[#This Row],[Business Date]]=Control!$C$6, PV[[#This Row],[Notional Value Local Cur]], -PV[[#This Row],[Notional Value Local Cur]])</f>
        <v>0</v>
      </c>
    </row>
    <row r="2233" spans="1:5" x14ac:dyDescent="0.25">
      <c r="A2233" s="36" t="b">
        <v>0</v>
      </c>
      <c r="B2233" s="56" t="b">
        <v>0</v>
      </c>
      <c r="C2233" s="56" t="b">
        <v>0</v>
      </c>
      <c r="D2233" s="56" t="b">
        <v>0</v>
      </c>
      <c r="E2233" s="56">
        <f ca="1">IF(PV[[#This Row],[Business Date]]=Control!$C$6, PV[[#This Row],[Notional Value Local Cur]], -PV[[#This Row],[Notional Value Local Cur]])</f>
        <v>0</v>
      </c>
    </row>
    <row r="2234" spans="1:5" x14ac:dyDescent="0.25">
      <c r="A2234" s="36" t="b">
        <v>0</v>
      </c>
      <c r="B2234" s="56" t="b">
        <v>0</v>
      </c>
      <c r="C2234" s="56" t="b">
        <v>0</v>
      </c>
      <c r="D2234" s="56" t="b">
        <v>0</v>
      </c>
      <c r="E2234" s="56">
        <f ca="1">IF(PV[[#This Row],[Business Date]]=Control!$C$6, PV[[#This Row],[Notional Value Local Cur]], -PV[[#This Row],[Notional Value Local Cur]])</f>
        <v>0</v>
      </c>
    </row>
    <row r="2235" spans="1:5" x14ac:dyDescent="0.25">
      <c r="A2235" s="36" t="b">
        <v>0</v>
      </c>
      <c r="B2235" s="56" t="b">
        <v>0</v>
      </c>
      <c r="C2235" s="56" t="b">
        <v>0</v>
      </c>
      <c r="D2235" s="56" t="b">
        <v>0</v>
      </c>
      <c r="E2235" s="56">
        <f ca="1">IF(PV[[#This Row],[Business Date]]=Control!$C$6, PV[[#This Row],[Notional Value Local Cur]], -PV[[#This Row],[Notional Value Local Cur]])</f>
        <v>0</v>
      </c>
    </row>
    <row r="2236" spans="1:5" x14ac:dyDescent="0.25">
      <c r="A2236" s="36" t="b">
        <v>0</v>
      </c>
      <c r="B2236" s="56" t="b">
        <v>0</v>
      </c>
      <c r="C2236" s="56" t="b">
        <v>0</v>
      </c>
      <c r="D2236" s="56" t="b">
        <v>0</v>
      </c>
      <c r="E2236" s="56">
        <f ca="1">IF(PV[[#This Row],[Business Date]]=Control!$C$6, PV[[#This Row],[Notional Value Local Cur]], -PV[[#This Row],[Notional Value Local Cur]])</f>
        <v>0</v>
      </c>
    </row>
    <row r="2237" spans="1:5" x14ac:dyDescent="0.25">
      <c r="A2237" s="36" t="b">
        <v>0</v>
      </c>
      <c r="B2237" s="56" t="b">
        <v>0</v>
      </c>
      <c r="C2237" s="56" t="b">
        <v>0</v>
      </c>
      <c r="D2237" s="56" t="b">
        <v>0</v>
      </c>
      <c r="E2237" s="56">
        <f ca="1">IF(PV[[#This Row],[Business Date]]=Control!$C$6, PV[[#This Row],[Notional Value Local Cur]], -PV[[#This Row],[Notional Value Local Cur]])</f>
        <v>0</v>
      </c>
    </row>
    <row r="2238" spans="1:5" x14ac:dyDescent="0.25">
      <c r="A2238" s="36" t="b">
        <v>0</v>
      </c>
      <c r="B2238" s="56" t="b">
        <v>0</v>
      </c>
      <c r="C2238" s="56" t="b">
        <v>0</v>
      </c>
      <c r="D2238" s="56" t="b">
        <v>0</v>
      </c>
      <c r="E2238" s="56">
        <f ca="1">IF(PV[[#This Row],[Business Date]]=Control!$C$6, PV[[#This Row],[Notional Value Local Cur]], -PV[[#This Row],[Notional Value Local Cur]])</f>
        <v>0</v>
      </c>
    </row>
    <row r="2239" spans="1:5" x14ac:dyDescent="0.25">
      <c r="A2239" s="36" t="b">
        <v>0</v>
      </c>
      <c r="B2239" s="56" t="b">
        <v>0</v>
      </c>
      <c r="C2239" s="56" t="b">
        <v>0</v>
      </c>
      <c r="D2239" s="56" t="b">
        <v>0</v>
      </c>
      <c r="E2239" s="56">
        <f ca="1">IF(PV[[#This Row],[Business Date]]=Control!$C$6, PV[[#This Row],[Notional Value Local Cur]], -PV[[#This Row],[Notional Value Local Cur]])</f>
        <v>0</v>
      </c>
    </row>
    <row r="2240" spans="1:5" x14ac:dyDescent="0.25">
      <c r="A2240" s="36" t="b">
        <v>0</v>
      </c>
      <c r="B2240" s="56" t="b">
        <v>0</v>
      </c>
      <c r="C2240" s="56" t="b">
        <v>0</v>
      </c>
      <c r="D2240" s="56" t="b">
        <v>0</v>
      </c>
      <c r="E2240" s="56">
        <f ca="1">IF(PV[[#This Row],[Business Date]]=Control!$C$6, PV[[#This Row],[Notional Value Local Cur]], -PV[[#This Row],[Notional Value Local Cur]])</f>
        <v>0</v>
      </c>
    </row>
    <row r="2241" spans="1:5" x14ac:dyDescent="0.25">
      <c r="A2241" s="36" t="b">
        <v>0</v>
      </c>
      <c r="B2241" s="56" t="b">
        <v>0</v>
      </c>
      <c r="C2241" s="56" t="b">
        <v>0</v>
      </c>
      <c r="D2241" s="56" t="b">
        <v>0</v>
      </c>
      <c r="E2241" s="56">
        <f ca="1">IF(PV[[#This Row],[Business Date]]=Control!$C$6, PV[[#This Row],[Notional Value Local Cur]], -PV[[#This Row],[Notional Value Local Cur]])</f>
        <v>0</v>
      </c>
    </row>
    <row r="2242" spans="1:5" x14ac:dyDescent="0.25">
      <c r="A2242" s="36" t="b">
        <v>0</v>
      </c>
      <c r="B2242" s="56" t="b">
        <v>0</v>
      </c>
      <c r="C2242" s="56" t="b">
        <v>0</v>
      </c>
      <c r="D2242" s="56" t="b">
        <v>0</v>
      </c>
      <c r="E2242" s="56">
        <f ca="1">IF(PV[[#This Row],[Business Date]]=Control!$C$6, PV[[#This Row],[Notional Value Local Cur]], -PV[[#This Row],[Notional Value Local Cur]])</f>
        <v>0</v>
      </c>
    </row>
    <row r="2243" spans="1:5" x14ac:dyDescent="0.25">
      <c r="A2243" s="36" t="b">
        <v>0</v>
      </c>
      <c r="B2243" s="56" t="b">
        <v>0</v>
      </c>
      <c r="C2243" s="56" t="b">
        <v>0</v>
      </c>
      <c r="D2243" s="56" t="b">
        <v>0</v>
      </c>
      <c r="E2243" s="56">
        <f ca="1">IF(PV[[#This Row],[Business Date]]=Control!$C$6, PV[[#This Row],[Notional Value Local Cur]], -PV[[#This Row],[Notional Value Local Cur]])</f>
        <v>0</v>
      </c>
    </row>
    <row r="2244" spans="1:5" x14ac:dyDescent="0.25">
      <c r="A2244" s="36" t="b">
        <v>0</v>
      </c>
      <c r="B2244" s="56" t="b">
        <v>0</v>
      </c>
      <c r="C2244" s="56" t="b">
        <v>0</v>
      </c>
      <c r="D2244" s="56" t="b">
        <v>0</v>
      </c>
      <c r="E2244" s="56">
        <f ca="1">IF(PV[[#This Row],[Business Date]]=Control!$C$6, PV[[#This Row],[Notional Value Local Cur]], -PV[[#This Row],[Notional Value Local Cur]])</f>
        <v>0</v>
      </c>
    </row>
    <row r="2245" spans="1:5" x14ac:dyDescent="0.25">
      <c r="A2245" s="36" t="b">
        <v>0</v>
      </c>
      <c r="B2245" s="56" t="b">
        <v>0</v>
      </c>
      <c r="C2245" s="56" t="b">
        <v>0</v>
      </c>
      <c r="D2245" s="56" t="b">
        <v>0</v>
      </c>
      <c r="E2245" s="56">
        <f ca="1">IF(PV[[#This Row],[Business Date]]=Control!$C$6, PV[[#This Row],[Notional Value Local Cur]], -PV[[#This Row],[Notional Value Local Cur]])</f>
        <v>0</v>
      </c>
    </row>
    <row r="2246" spans="1:5" x14ac:dyDescent="0.25">
      <c r="A2246" s="36" t="b">
        <v>0</v>
      </c>
      <c r="B2246" s="56" t="b">
        <v>0</v>
      </c>
      <c r="C2246" s="56" t="b">
        <v>0</v>
      </c>
      <c r="D2246" s="56" t="b">
        <v>0</v>
      </c>
      <c r="E2246" s="56">
        <f ca="1">IF(PV[[#This Row],[Business Date]]=Control!$C$6, PV[[#This Row],[Notional Value Local Cur]], -PV[[#This Row],[Notional Value Local Cur]])</f>
        <v>0</v>
      </c>
    </row>
    <row r="2247" spans="1:5" x14ac:dyDescent="0.25">
      <c r="A2247" s="36" t="b">
        <v>0</v>
      </c>
      <c r="B2247" s="56" t="b">
        <v>0</v>
      </c>
      <c r="C2247" s="56" t="b">
        <v>0</v>
      </c>
      <c r="D2247" s="56" t="b">
        <v>0</v>
      </c>
      <c r="E2247" s="56">
        <f ca="1">IF(PV[[#This Row],[Business Date]]=Control!$C$6, PV[[#This Row],[Notional Value Local Cur]], -PV[[#This Row],[Notional Value Local Cur]])</f>
        <v>0</v>
      </c>
    </row>
    <row r="2248" spans="1:5" x14ac:dyDescent="0.25">
      <c r="A2248" s="36" t="b">
        <v>0</v>
      </c>
      <c r="B2248" s="56" t="b">
        <v>0</v>
      </c>
      <c r="C2248" s="56" t="b">
        <v>0</v>
      </c>
      <c r="D2248" s="56" t="b">
        <v>0</v>
      </c>
      <c r="E2248" s="56">
        <f ca="1">IF(PV[[#This Row],[Business Date]]=Control!$C$6, PV[[#This Row],[Notional Value Local Cur]], -PV[[#This Row],[Notional Value Local Cur]])</f>
        <v>0</v>
      </c>
    </row>
    <row r="2249" spans="1:5" x14ac:dyDescent="0.25">
      <c r="A2249" s="36" t="b">
        <v>0</v>
      </c>
      <c r="B2249" s="56" t="b">
        <v>0</v>
      </c>
      <c r="C2249" s="56" t="b">
        <v>0</v>
      </c>
      <c r="D2249" s="56" t="b">
        <v>0</v>
      </c>
      <c r="E2249" s="56">
        <f ca="1">IF(PV[[#This Row],[Business Date]]=Control!$C$6, PV[[#This Row],[Notional Value Local Cur]], -PV[[#This Row],[Notional Value Local Cur]])</f>
        <v>0</v>
      </c>
    </row>
    <row r="2250" spans="1:5" x14ac:dyDescent="0.25">
      <c r="A2250" s="36" t="b">
        <v>0</v>
      </c>
      <c r="B2250" s="56" t="b">
        <v>0</v>
      </c>
      <c r="C2250" s="56" t="b">
        <v>0</v>
      </c>
      <c r="D2250" s="56" t="b">
        <v>0</v>
      </c>
      <c r="E2250" s="56">
        <f ca="1">IF(PV[[#This Row],[Business Date]]=Control!$C$6, PV[[#This Row],[Notional Value Local Cur]], -PV[[#This Row],[Notional Value Local Cur]])</f>
        <v>0</v>
      </c>
    </row>
    <row r="2251" spans="1:5" x14ac:dyDescent="0.25">
      <c r="A2251" s="36" t="b">
        <v>0</v>
      </c>
      <c r="B2251" s="56" t="b">
        <v>0</v>
      </c>
      <c r="C2251" s="56" t="b">
        <v>0</v>
      </c>
      <c r="D2251" s="56" t="b">
        <v>0</v>
      </c>
      <c r="E2251" s="56">
        <f ca="1">IF(PV[[#This Row],[Business Date]]=Control!$C$6, PV[[#This Row],[Notional Value Local Cur]], -PV[[#This Row],[Notional Value Local Cur]])</f>
        <v>0</v>
      </c>
    </row>
    <row r="2252" spans="1:5" x14ac:dyDescent="0.25">
      <c r="A2252" s="36" t="b">
        <v>0</v>
      </c>
      <c r="B2252" s="56" t="b">
        <v>0</v>
      </c>
      <c r="C2252" s="56" t="b">
        <v>0</v>
      </c>
      <c r="D2252" s="56" t="b">
        <v>0</v>
      </c>
      <c r="E2252" s="56">
        <f ca="1">IF(PV[[#This Row],[Business Date]]=Control!$C$6, PV[[#This Row],[Notional Value Local Cur]], -PV[[#This Row],[Notional Value Local Cur]])</f>
        <v>0</v>
      </c>
    </row>
    <row r="2253" spans="1:5" x14ac:dyDescent="0.25">
      <c r="A2253" s="36" t="b">
        <v>0</v>
      </c>
      <c r="B2253" s="56" t="b">
        <v>0</v>
      </c>
      <c r="C2253" s="56" t="b">
        <v>0</v>
      </c>
      <c r="D2253" s="56" t="b">
        <v>0</v>
      </c>
      <c r="E2253" s="56">
        <f ca="1">IF(PV[[#This Row],[Business Date]]=Control!$C$6, PV[[#This Row],[Notional Value Local Cur]], -PV[[#This Row],[Notional Value Local Cur]])</f>
        <v>0</v>
      </c>
    </row>
    <row r="2254" spans="1:5" x14ac:dyDescent="0.25">
      <c r="A2254" s="36" t="b">
        <v>0</v>
      </c>
      <c r="B2254" s="56" t="b">
        <v>0</v>
      </c>
      <c r="C2254" s="56" t="b">
        <v>0</v>
      </c>
      <c r="D2254" s="56" t="b">
        <v>0</v>
      </c>
      <c r="E2254" s="56">
        <f ca="1">IF(PV[[#This Row],[Business Date]]=Control!$C$6, PV[[#This Row],[Notional Value Local Cur]], -PV[[#This Row],[Notional Value Local Cur]])</f>
        <v>0</v>
      </c>
    </row>
    <row r="2255" spans="1:5" x14ac:dyDescent="0.25">
      <c r="A2255" s="36" t="b">
        <v>0</v>
      </c>
      <c r="B2255" s="56" t="b">
        <v>0</v>
      </c>
      <c r="C2255" s="56" t="b">
        <v>0</v>
      </c>
      <c r="D2255" s="56" t="b">
        <v>0</v>
      </c>
      <c r="E2255" s="56">
        <f ca="1">IF(PV[[#This Row],[Business Date]]=Control!$C$6, PV[[#This Row],[Notional Value Local Cur]], -PV[[#This Row],[Notional Value Local Cur]])</f>
        <v>0</v>
      </c>
    </row>
    <row r="2256" spans="1:5" x14ac:dyDescent="0.25">
      <c r="A2256" s="36" t="b">
        <v>0</v>
      </c>
      <c r="B2256" s="56" t="b">
        <v>0</v>
      </c>
      <c r="C2256" s="56" t="b">
        <v>0</v>
      </c>
      <c r="D2256" s="56" t="b">
        <v>0</v>
      </c>
      <c r="E2256" s="56">
        <f ca="1">IF(PV[[#This Row],[Business Date]]=Control!$C$6, PV[[#This Row],[Notional Value Local Cur]], -PV[[#This Row],[Notional Value Local Cur]])</f>
        <v>0</v>
      </c>
    </row>
    <row r="2257" spans="1:5" x14ac:dyDescent="0.25">
      <c r="A2257" s="36" t="b">
        <v>0</v>
      </c>
      <c r="B2257" s="56" t="b">
        <v>0</v>
      </c>
      <c r="C2257" s="56" t="b">
        <v>0</v>
      </c>
      <c r="D2257" s="56" t="b">
        <v>0</v>
      </c>
      <c r="E2257" s="56">
        <f ca="1">IF(PV[[#This Row],[Business Date]]=Control!$C$6, PV[[#This Row],[Notional Value Local Cur]], -PV[[#This Row],[Notional Value Local Cur]])</f>
        <v>0</v>
      </c>
    </row>
    <row r="2258" spans="1:5" x14ac:dyDescent="0.25">
      <c r="A2258" s="36" t="b">
        <v>0</v>
      </c>
      <c r="B2258" s="56" t="b">
        <v>0</v>
      </c>
      <c r="C2258" s="56" t="b">
        <v>0</v>
      </c>
      <c r="D2258" s="56" t="b">
        <v>0</v>
      </c>
      <c r="E2258" s="56">
        <f ca="1">IF(PV[[#This Row],[Business Date]]=Control!$C$6, PV[[#This Row],[Notional Value Local Cur]], -PV[[#This Row],[Notional Value Local Cur]])</f>
        <v>0</v>
      </c>
    </row>
    <row r="2259" spans="1:5" x14ac:dyDescent="0.25">
      <c r="A2259" s="36" t="b">
        <v>0</v>
      </c>
      <c r="B2259" s="56" t="b">
        <v>0</v>
      </c>
      <c r="C2259" s="56" t="b">
        <v>0</v>
      </c>
      <c r="D2259" s="56" t="b">
        <v>0</v>
      </c>
      <c r="E2259" s="56">
        <f ca="1">IF(PV[[#This Row],[Business Date]]=Control!$C$6, PV[[#This Row],[Notional Value Local Cur]], -PV[[#This Row],[Notional Value Local Cur]])</f>
        <v>0</v>
      </c>
    </row>
    <row r="2260" spans="1:5" x14ac:dyDescent="0.25">
      <c r="A2260" s="36" t="b">
        <v>0</v>
      </c>
      <c r="B2260" s="56" t="b">
        <v>0</v>
      </c>
      <c r="C2260" s="56" t="b">
        <v>0</v>
      </c>
      <c r="D2260" s="56" t="b">
        <v>0</v>
      </c>
      <c r="E2260" s="56">
        <f ca="1">IF(PV[[#This Row],[Business Date]]=Control!$C$6, PV[[#This Row],[Notional Value Local Cur]], -PV[[#This Row],[Notional Value Local Cur]])</f>
        <v>0</v>
      </c>
    </row>
    <row r="2261" spans="1:5" x14ac:dyDescent="0.25">
      <c r="A2261" s="36" t="b">
        <v>0</v>
      </c>
      <c r="B2261" s="56" t="b">
        <v>0</v>
      </c>
      <c r="C2261" s="56" t="b">
        <v>0</v>
      </c>
      <c r="D2261" s="56" t="b">
        <v>0</v>
      </c>
      <c r="E2261" s="56">
        <f ca="1">IF(PV[[#This Row],[Business Date]]=Control!$C$6, PV[[#This Row],[Notional Value Local Cur]], -PV[[#This Row],[Notional Value Local Cur]])</f>
        <v>0</v>
      </c>
    </row>
    <row r="2262" spans="1:5" x14ac:dyDescent="0.25">
      <c r="A2262" s="36" t="b">
        <v>0</v>
      </c>
      <c r="B2262" s="56" t="b">
        <v>0</v>
      </c>
      <c r="C2262" s="56" t="b">
        <v>0</v>
      </c>
      <c r="D2262" s="56" t="b">
        <v>0</v>
      </c>
      <c r="E2262" s="56">
        <f ca="1">IF(PV[[#This Row],[Business Date]]=Control!$C$6, PV[[#This Row],[Notional Value Local Cur]], -PV[[#This Row],[Notional Value Local Cur]])</f>
        <v>0</v>
      </c>
    </row>
    <row r="2263" spans="1:5" x14ac:dyDescent="0.25">
      <c r="A2263" s="36" t="b">
        <v>0</v>
      </c>
      <c r="B2263" s="56" t="b">
        <v>0</v>
      </c>
      <c r="C2263" s="56" t="b">
        <v>0</v>
      </c>
      <c r="D2263" s="56" t="b">
        <v>0</v>
      </c>
      <c r="E2263" s="56">
        <f ca="1">IF(PV[[#This Row],[Business Date]]=Control!$C$6, PV[[#This Row],[Notional Value Local Cur]], -PV[[#This Row],[Notional Value Local Cur]])</f>
        <v>0</v>
      </c>
    </row>
    <row r="2264" spans="1:5" x14ac:dyDescent="0.25">
      <c r="A2264" s="36" t="b">
        <v>0</v>
      </c>
      <c r="B2264" s="56" t="b">
        <v>0</v>
      </c>
      <c r="C2264" s="56" t="b">
        <v>0</v>
      </c>
      <c r="D2264" s="56" t="b">
        <v>0</v>
      </c>
      <c r="E2264" s="56">
        <f ca="1">IF(PV[[#This Row],[Business Date]]=Control!$C$6, PV[[#This Row],[Notional Value Local Cur]], -PV[[#This Row],[Notional Value Local Cur]])</f>
        <v>0</v>
      </c>
    </row>
    <row r="2265" spans="1:5" x14ac:dyDescent="0.25">
      <c r="A2265" s="36" t="b">
        <v>0</v>
      </c>
      <c r="B2265" s="56" t="b">
        <v>0</v>
      </c>
      <c r="C2265" s="56" t="b">
        <v>0</v>
      </c>
      <c r="D2265" s="56" t="b">
        <v>0</v>
      </c>
      <c r="E2265" s="56">
        <f ca="1">IF(PV[[#This Row],[Business Date]]=Control!$C$6, PV[[#This Row],[Notional Value Local Cur]], -PV[[#This Row],[Notional Value Local Cur]])</f>
        <v>0</v>
      </c>
    </row>
    <row r="2266" spans="1:5" x14ac:dyDescent="0.25">
      <c r="A2266" s="36" t="b">
        <v>0</v>
      </c>
      <c r="B2266" s="56" t="b">
        <v>0</v>
      </c>
      <c r="C2266" s="56" t="b">
        <v>0</v>
      </c>
      <c r="D2266" s="56" t="b">
        <v>0</v>
      </c>
      <c r="E2266" s="56">
        <f ca="1">IF(PV[[#This Row],[Business Date]]=Control!$C$6, PV[[#This Row],[Notional Value Local Cur]], -PV[[#This Row],[Notional Value Local Cur]])</f>
        <v>0</v>
      </c>
    </row>
    <row r="2267" spans="1:5" x14ac:dyDescent="0.25">
      <c r="A2267" s="36" t="b">
        <v>0</v>
      </c>
      <c r="B2267" s="56" t="b">
        <v>0</v>
      </c>
      <c r="C2267" s="56" t="b">
        <v>0</v>
      </c>
      <c r="D2267" s="56" t="b">
        <v>0</v>
      </c>
      <c r="E2267" s="56">
        <f ca="1">IF(PV[[#This Row],[Business Date]]=Control!$C$6, PV[[#This Row],[Notional Value Local Cur]], -PV[[#This Row],[Notional Value Local Cur]])</f>
        <v>0</v>
      </c>
    </row>
    <row r="2268" spans="1:5" x14ac:dyDescent="0.25">
      <c r="A2268" s="36" t="b">
        <v>0</v>
      </c>
      <c r="B2268" s="56" t="b">
        <v>0</v>
      </c>
      <c r="C2268" s="56" t="b">
        <v>0</v>
      </c>
      <c r="D2268" s="56" t="b">
        <v>0</v>
      </c>
      <c r="E2268" s="56">
        <f ca="1">IF(PV[[#This Row],[Business Date]]=Control!$C$6, PV[[#This Row],[Notional Value Local Cur]], -PV[[#This Row],[Notional Value Local Cur]])</f>
        <v>0</v>
      </c>
    </row>
    <row r="2269" spans="1:5" x14ac:dyDescent="0.25">
      <c r="A2269" s="36" t="b">
        <v>0</v>
      </c>
      <c r="B2269" s="56" t="b">
        <v>0</v>
      </c>
      <c r="C2269" s="56" t="b">
        <v>0</v>
      </c>
      <c r="D2269" s="56" t="b">
        <v>0</v>
      </c>
      <c r="E2269" s="56">
        <f ca="1">IF(PV[[#This Row],[Business Date]]=Control!$C$6, PV[[#This Row],[Notional Value Local Cur]], -PV[[#This Row],[Notional Value Local Cur]])</f>
        <v>0</v>
      </c>
    </row>
    <row r="2270" spans="1:5" x14ac:dyDescent="0.25">
      <c r="A2270" s="36" t="b">
        <v>0</v>
      </c>
      <c r="B2270" s="56" t="b">
        <v>0</v>
      </c>
      <c r="C2270" s="56" t="b">
        <v>0</v>
      </c>
      <c r="D2270" s="56" t="b">
        <v>0</v>
      </c>
      <c r="E2270" s="56">
        <f ca="1">IF(PV[[#This Row],[Business Date]]=Control!$C$6, PV[[#This Row],[Notional Value Local Cur]], -PV[[#This Row],[Notional Value Local Cur]])</f>
        <v>0</v>
      </c>
    </row>
    <row r="2271" spans="1:5" x14ac:dyDescent="0.25">
      <c r="A2271" s="36" t="b">
        <v>0</v>
      </c>
      <c r="B2271" s="56" t="b">
        <v>0</v>
      </c>
      <c r="C2271" s="56" t="b">
        <v>0</v>
      </c>
      <c r="D2271" s="56" t="b">
        <v>0</v>
      </c>
      <c r="E2271" s="56">
        <f ca="1">IF(PV[[#This Row],[Business Date]]=Control!$C$6, PV[[#This Row],[Notional Value Local Cur]], -PV[[#This Row],[Notional Value Local Cur]])</f>
        <v>0</v>
      </c>
    </row>
    <row r="2272" spans="1:5" x14ac:dyDescent="0.25">
      <c r="A2272" s="36" t="b">
        <v>0</v>
      </c>
      <c r="B2272" s="56" t="b">
        <v>0</v>
      </c>
      <c r="C2272" s="56" t="b">
        <v>0</v>
      </c>
      <c r="D2272" s="56" t="b">
        <v>0</v>
      </c>
      <c r="E2272" s="56">
        <f ca="1">IF(PV[[#This Row],[Business Date]]=Control!$C$6, PV[[#This Row],[Notional Value Local Cur]], -PV[[#This Row],[Notional Value Local Cur]])</f>
        <v>0</v>
      </c>
    </row>
    <row r="2273" spans="1:5" x14ac:dyDescent="0.25">
      <c r="A2273" s="36" t="b">
        <v>0</v>
      </c>
      <c r="B2273" s="56" t="b">
        <v>0</v>
      </c>
      <c r="C2273" s="56" t="b">
        <v>0</v>
      </c>
      <c r="D2273" s="56" t="b">
        <v>0</v>
      </c>
      <c r="E2273" s="56">
        <f ca="1">IF(PV[[#This Row],[Business Date]]=Control!$C$6, PV[[#This Row],[Notional Value Local Cur]], -PV[[#This Row],[Notional Value Local Cur]])</f>
        <v>0</v>
      </c>
    </row>
    <row r="2274" spans="1:5" x14ac:dyDescent="0.25">
      <c r="A2274" s="36" t="b">
        <v>0</v>
      </c>
      <c r="B2274" s="56" t="b">
        <v>0</v>
      </c>
      <c r="C2274" s="56" t="b">
        <v>0</v>
      </c>
      <c r="D2274" s="56" t="b">
        <v>0</v>
      </c>
      <c r="E2274" s="56">
        <f ca="1">IF(PV[[#This Row],[Business Date]]=Control!$C$6, PV[[#This Row],[Notional Value Local Cur]], -PV[[#This Row],[Notional Value Local Cur]])</f>
        <v>0</v>
      </c>
    </row>
    <row r="2275" spans="1:5" x14ac:dyDescent="0.25">
      <c r="A2275" s="36" t="b">
        <v>0</v>
      </c>
      <c r="B2275" s="56" t="b">
        <v>0</v>
      </c>
      <c r="C2275" s="56" t="b">
        <v>0</v>
      </c>
      <c r="D2275" s="56" t="b">
        <v>0</v>
      </c>
      <c r="E2275" s="56">
        <f ca="1">IF(PV[[#This Row],[Business Date]]=Control!$C$6, PV[[#This Row],[Notional Value Local Cur]], -PV[[#This Row],[Notional Value Local Cur]])</f>
        <v>0</v>
      </c>
    </row>
    <row r="2276" spans="1:5" x14ac:dyDescent="0.25">
      <c r="A2276" s="36" t="b">
        <v>0</v>
      </c>
      <c r="B2276" s="56" t="b">
        <v>0</v>
      </c>
      <c r="C2276" s="56" t="b">
        <v>0</v>
      </c>
      <c r="D2276" s="56" t="b">
        <v>0</v>
      </c>
      <c r="E2276" s="56">
        <f ca="1">IF(PV[[#This Row],[Business Date]]=Control!$C$6, PV[[#This Row],[Notional Value Local Cur]], -PV[[#This Row],[Notional Value Local Cur]])</f>
        <v>0</v>
      </c>
    </row>
    <row r="2277" spans="1:5" x14ac:dyDescent="0.25">
      <c r="A2277" s="36" t="b">
        <v>0</v>
      </c>
      <c r="B2277" s="56" t="b">
        <v>0</v>
      </c>
      <c r="C2277" s="56" t="b">
        <v>0</v>
      </c>
      <c r="D2277" s="56" t="b">
        <v>0</v>
      </c>
      <c r="E2277" s="56">
        <f ca="1">IF(PV[[#This Row],[Business Date]]=Control!$C$6, PV[[#This Row],[Notional Value Local Cur]], -PV[[#This Row],[Notional Value Local Cur]])</f>
        <v>0</v>
      </c>
    </row>
    <row r="2278" spans="1:5" x14ac:dyDescent="0.25">
      <c r="A2278" s="36" t="b">
        <v>0</v>
      </c>
      <c r="B2278" s="56" t="b">
        <v>0</v>
      </c>
      <c r="C2278" s="56" t="b">
        <v>0</v>
      </c>
      <c r="D2278" s="56" t="b">
        <v>0</v>
      </c>
      <c r="E2278" s="56">
        <f ca="1">IF(PV[[#This Row],[Business Date]]=Control!$C$6, PV[[#This Row],[Notional Value Local Cur]], -PV[[#This Row],[Notional Value Local Cur]])</f>
        <v>0</v>
      </c>
    </row>
    <row r="2279" spans="1:5" x14ac:dyDescent="0.25">
      <c r="A2279" s="36" t="b">
        <v>0</v>
      </c>
      <c r="B2279" s="56" t="b">
        <v>0</v>
      </c>
      <c r="C2279" s="56" t="b">
        <v>0</v>
      </c>
      <c r="D2279" s="56" t="b">
        <v>0</v>
      </c>
      <c r="E2279" s="56">
        <f ca="1">IF(PV[[#This Row],[Business Date]]=Control!$C$6, PV[[#This Row],[Notional Value Local Cur]], -PV[[#This Row],[Notional Value Local Cur]])</f>
        <v>0</v>
      </c>
    </row>
    <row r="2280" spans="1:5" x14ac:dyDescent="0.25">
      <c r="A2280" s="36" t="b">
        <v>0</v>
      </c>
      <c r="B2280" s="56" t="b">
        <v>0</v>
      </c>
      <c r="C2280" s="56" t="b">
        <v>0</v>
      </c>
      <c r="D2280" s="56" t="b">
        <v>0</v>
      </c>
      <c r="E2280" s="56">
        <f ca="1">IF(PV[[#This Row],[Business Date]]=Control!$C$6, PV[[#This Row],[Notional Value Local Cur]], -PV[[#This Row],[Notional Value Local Cur]])</f>
        <v>0</v>
      </c>
    </row>
    <row r="2281" spans="1:5" x14ac:dyDescent="0.25">
      <c r="A2281" s="36" t="b">
        <v>0</v>
      </c>
      <c r="B2281" s="56" t="b">
        <v>0</v>
      </c>
      <c r="C2281" s="56" t="b">
        <v>0</v>
      </c>
      <c r="D2281" s="56" t="b">
        <v>0</v>
      </c>
      <c r="E2281" s="56">
        <f ca="1">IF(PV[[#This Row],[Business Date]]=Control!$C$6, PV[[#This Row],[Notional Value Local Cur]], -PV[[#This Row],[Notional Value Local Cur]])</f>
        <v>0</v>
      </c>
    </row>
    <row r="2282" spans="1:5" x14ac:dyDescent="0.25">
      <c r="A2282" s="36" t="b">
        <v>0</v>
      </c>
      <c r="B2282" s="56" t="b">
        <v>0</v>
      </c>
      <c r="C2282" s="56" t="b">
        <v>0</v>
      </c>
      <c r="D2282" s="56" t="b">
        <v>0</v>
      </c>
      <c r="E2282" s="56">
        <f ca="1">IF(PV[[#This Row],[Business Date]]=Control!$C$6, PV[[#This Row],[Notional Value Local Cur]], -PV[[#This Row],[Notional Value Local Cur]])</f>
        <v>0</v>
      </c>
    </row>
    <row r="2283" spans="1:5" x14ac:dyDescent="0.25">
      <c r="A2283" s="36" t="b">
        <v>0</v>
      </c>
      <c r="B2283" s="56" t="b">
        <v>0</v>
      </c>
      <c r="C2283" s="56" t="b">
        <v>0</v>
      </c>
      <c r="D2283" s="56" t="b">
        <v>0</v>
      </c>
      <c r="E2283" s="56">
        <f ca="1">IF(PV[[#This Row],[Business Date]]=Control!$C$6, PV[[#This Row],[Notional Value Local Cur]], -PV[[#This Row],[Notional Value Local Cur]])</f>
        <v>0</v>
      </c>
    </row>
    <row r="2284" spans="1:5" x14ac:dyDescent="0.25">
      <c r="A2284" s="36" t="b">
        <v>0</v>
      </c>
      <c r="B2284" s="56" t="b">
        <v>0</v>
      </c>
      <c r="C2284" s="56" t="b">
        <v>0</v>
      </c>
      <c r="D2284" s="56" t="b">
        <v>0</v>
      </c>
      <c r="E2284" s="56">
        <f ca="1">IF(PV[[#This Row],[Business Date]]=Control!$C$6, PV[[#This Row],[Notional Value Local Cur]], -PV[[#This Row],[Notional Value Local Cur]])</f>
        <v>0</v>
      </c>
    </row>
    <row r="2285" spans="1:5" x14ac:dyDescent="0.25">
      <c r="A2285" s="36" t="b">
        <v>0</v>
      </c>
      <c r="B2285" s="56" t="b">
        <v>0</v>
      </c>
      <c r="C2285" s="56" t="b">
        <v>0</v>
      </c>
      <c r="D2285" s="56" t="b">
        <v>0</v>
      </c>
      <c r="E2285" s="56">
        <f ca="1">IF(PV[[#This Row],[Business Date]]=Control!$C$6, PV[[#This Row],[Notional Value Local Cur]], -PV[[#This Row],[Notional Value Local Cur]])</f>
        <v>0</v>
      </c>
    </row>
    <row r="2286" spans="1:5" x14ac:dyDescent="0.25">
      <c r="A2286" s="36" t="b">
        <v>0</v>
      </c>
      <c r="B2286" s="56" t="b">
        <v>0</v>
      </c>
      <c r="C2286" s="56" t="b">
        <v>0</v>
      </c>
      <c r="D2286" s="56" t="b">
        <v>0</v>
      </c>
      <c r="E2286" s="56">
        <f ca="1">IF(PV[[#This Row],[Business Date]]=Control!$C$6, PV[[#This Row],[Notional Value Local Cur]], -PV[[#This Row],[Notional Value Local Cur]])</f>
        <v>0</v>
      </c>
    </row>
    <row r="2287" spans="1:5" x14ac:dyDescent="0.25">
      <c r="A2287" s="36" t="b">
        <v>0</v>
      </c>
      <c r="B2287" s="56" t="b">
        <v>0</v>
      </c>
      <c r="C2287" s="56" t="b">
        <v>0</v>
      </c>
      <c r="D2287" s="56" t="b">
        <v>0</v>
      </c>
      <c r="E2287" s="56">
        <f ca="1">IF(PV[[#This Row],[Business Date]]=Control!$C$6, PV[[#This Row],[Notional Value Local Cur]], -PV[[#This Row],[Notional Value Local Cur]])</f>
        <v>0</v>
      </c>
    </row>
    <row r="2288" spans="1:5" x14ac:dyDescent="0.25">
      <c r="A2288" s="36" t="b">
        <v>0</v>
      </c>
      <c r="B2288" s="56" t="b">
        <v>0</v>
      </c>
      <c r="C2288" s="56" t="b">
        <v>0</v>
      </c>
      <c r="D2288" s="56" t="b">
        <v>0</v>
      </c>
      <c r="E2288" s="56">
        <f ca="1">IF(PV[[#This Row],[Business Date]]=Control!$C$6, PV[[#This Row],[Notional Value Local Cur]], -PV[[#This Row],[Notional Value Local Cur]])</f>
        <v>0</v>
      </c>
    </row>
    <row r="2289" spans="1:5" x14ac:dyDescent="0.25">
      <c r="A2289" s="36" t="b">
        <v>0</v>
      </c>
      <c r="B2289" s="56" t="b">
        <v>0</v>
      </c>
      <c r="C2289" s="56" t="b">
        <v>0</v>
      </c>
      <c r="D2289" s="56" t="b">
        <v>0</v>
      </c>
      <c r="E2289" s="56">
        <f ca="1">IF(PV[[#This Row],[Business Date]]=Control!$C$6, PV[[#This Row],[Notional Value Local Cur]], -PV[[#This Row],[Notional Value Local Cur]])</f>
        <v>0</v>
      </c>
    </row>
    <row r="2290" spans="1:5" x14ac:dyDescent="0.25">
      <c r="A2290" s="36" t="b">
        <v>0</v>
      </c>
      <c r="B2290" s="56" t="b">
        <v>0</v>
      </c>
      <c r="C2290" s="56" t="b">
        <v>0</v>
      </c>
      <c r="D2290" s="56" t="b">
        <v>0</v>
      </c>
      <c r="E2290" s="56">
        <f ca="1">IF(PV[[#This Row],[Business Date]]=Control!$C$6, PV[[#This Row],[Notional Value Local Cur]], -PV[[#This Row],[Notional Value Local Cur]])</f>
        <v>0</v>
      </c>
    </row>
    <row r="2291" spans="1:5" x14ac:dyDescent="0.25">
      <c r="A2291" s="36" t="b">
        <v>0</v>
      </c>
      <c r="B2291" s="56" t="b">
        <v>0</v>
      </c>
      <c r="C2291" s="56" t="b">
        <v>0</v>
      </c>
      <c r="D2291" s="56" t="b">
        <v>0</v>
      </c>
      <c r="E2291" s="56">
        <f ca="1">IF(PV[[#This Row],[Business Date]]=Control!$C$6, PV[[#This Row],[Notional Value Local Cur]], -PV[[#This Row],[Notional Value Local Cur]])</f>
        <v>0</v>
      </c>
    </row>
    <row r="2292" spans="1:5" x14ac:dyDescent="0.25">
      <c r="A2292" s="36" t="b">
        <v>0</v>
      </c>
      <c r="B2292" s="56" t="b">
        <v>0</v>
      </c>
      <c r="C2292" s="56" t="b">
        <v>0</v>
      </c>
      <c r="D2292" s="56" t="b">
        <v>0</v>
      </c>
      <c r="E2292" s="56">
        <f ca="1">IF(PV[[#This Row],[Business Date]]=Control!$C$6, PV[[#This Row],[Notional Value Local Cur]], -PV[[#This Row],[Notional Value Local Cur]])</f>
        <v>0</v>
      </c>
    </row>
    <row r="2293" spans="1:5" x14ac:dyDescent="0.25">
      <c r="A2293" s="36" t="b">
        <v>0</v>
      </c>
      <c r="B2293" s="56" t="b">
        <v>0</v>
      </c>
      <c r="C2293" s="56" t="b">
        <v>0</v>
      </c>
      <c r="D2293" s="56" t="b">
        <v>0</v>
      </c>
      <c r="E2293" s="56">
        <f ca="1">IF(PV[[#This Row],[Business Date]]=Control!$C$6, PV[[#This Row],[Notional Value Local Cur]], -PV[[#This Row],[Notional Value Local Cur]])</f>
        <v>0</v>
      </c>
    </row>
    <row r="2294" spans="1:5" x14ac:dyDescent="0.25">
      <c r="A2294" s="36" t="b">
        <v>0</v>
      </c>
      <c r="B2294" s="56" t="b">
        <v>0</v>
      </c>
      <c r="C2294" s="56" t="b">
        <v>0</v>
      </c>
      <c r="D2294" s="56" t="b">
        <v>0</v>
      </c>
      <c r="E2294" s="56">
        <f ca="1">IF(PV[[#This Row],[Business Date]]=Control!$C$6, PV[[#This Row],[Notional Value Local Cur]], -PV[[#This Row],[Notional Value Local Cur]])</f>
        <v>0</v>
      </c>
    </row>
    <row r="2295" spans="1:5" x14ac:dyDescent="0.25">
      <c r="A2295" s="36" t="b">
        <v>0</v>
      </c>
      <c r="B2295" s="56" t="b">
        <v>0</v>
      </c>
      <c r="C2295" s="56" t="b">
        <v>0</v>
      </c>
      <c r="D2295" s="56" t="b">
        <v>0</v>
      </c>
      <c r="E2295" s="56">
        <f ca="1">IF(PV[[#This Row],[Business Date]]=Control!$C$6, PV[[#This Row],[Notional Value Local Cur]], -PV[[#This Row],[Notional Value Local Cur]])</f>
        <v>0</v>
      </c>
    </row>
    <row r="2296" spans="1:5" x14ac:dyDescent="0.25">
      <c r="A2296" s="36" t="b">
        <v>0</v>
      </c>
      <c r="B2296" s="56" t="b">
        <v>0</v>
      </c>
      <c r="C2296" s="56" t="b">
        <v>0</v>
      </c>
      <c r="D2296" s="56" t="b">
        <v>0</v>
      </c>
      <c r="E2296" s="56">
        <f ca="1">IF(PV[[#This Row],[Business Date]]=Control!$C$6, PV[[#This Row],[Notional Value Local Cur]], -PV[[#This Row],[Notional Value Local Cur]])</f>
        <v>0</v>
      </c>
    </row>
    <row r="2297" spans="1:5" x14ac:dyDescent="0.25">
      <c r="A2297" s="36" t="b">
        <v>0</v>
      </c>
      <c r="B2297" s="56" t="b">
        <v>0</v>
      </c>
      <c r="C2297" s="56" t="b">
        <v>0</v>
      </c>
      <c r="D2297" s="56" t="b">
        <v>0</v>
      </c>
      <c r="E2297" s="56">
        <f ca="1">IF(PV[[#This Row],[Business Date]]=Control!$C$6, PV[[#This Row],[Notional Value Local Cur]], -PV[[#This Row],[Notional Value Local Cur]])</f>
        <v>0</v>
      </c>
    </row>
    <row r="2298" spans="1:5" x14ac:dyDescent="0.25">
      <c r="A2298" s="36" t="b">
        <v>0</v>
      </c>
      <c r="B2298" s="56" t="b">
        <v>0</v>
      </c>
      <c r="C2298" s="56" t="b">
        <v>0</v>
      </c>
      <c r="D2298" s="56" t="b">
        <v>0</v>
      </c>
      <c r="E2298" s="56">
        <f ca="1">IF(PV[[#This Row],[Business Date]]=Control!$C$6, PV[[#This Row],[Notional Value Local Cur]], -PV[[#This Row],[Notional Value Local Cur]])</f>
        <v>0</v>
      </c>
    </row>
    <row r="2299" spans="1:5" x14ac:dyDescent="0.25">
      <c r="A2299" s="36" t="b">
        <v>0</v>
      </c>
      <c r="B2299" s="56" t="b">
        <v>0</v>
      </c>
      <c r="C2299" s="56" t="b">
        <v>0</v>
      </c>
      <c r="D2299" s="56" t="b">
        <v>0</v>
      </c>
      <c r="E2299" s="56">
        <f ca="1">IF(PV[[#This Row],[Business Date]]=Control!$C$6, PV[[#This Row],[Notional Value Local Cur]], -PV[[#This Row],[Notional Value Local Cur]])</f>
        <v>0</v>
      </c>
    </row>
    <row r="2300" spans="1:5" x14ac:dyDescent="0.25">
      <c r="A2300" s="36" t="b">
        <v>0</v>
      </c>
      <c r="B2300" s="56" t="b">
        <v>0</v>
      </c>
      <c r="C2300" s="56" t="b">
        <v>0</v>
      </c>
      <c r="D2300" s="56" t="b">
        <v>0</v>
      </c>
      <c r="E2300" s="56">
        <f ca="1">IF(PV[[#This Row],[Business Date]]=Control!$C$6, PV[[#This Row],[Notional Value Local Cur]], -PV[[#This Row],[Notional Value Local Cur]])</f>
        <v>0</v>
      </c>
    </row>
    <row r="2301" spans="1:5" x14ac:dyDescent="0.25">
      <c r="A2301" s="36" t="b">
        <v>0</v>
      </c>
      <c r="B2301" s="56" t="b">
        <v>0</v>
      </c>
      <c r="C2301" s="56" t="b">
        <v>0</v>
      </c>
      <c r="D2301" s="56" t="b">
        <v>0</v>
      </c>
      <c r="E2301" s="56">
        <f ca="1">IF(PV[[#This Row],[Business Date]]=Control!$C$6, PV[[#This Row],[Notional Value Local Cur]], -PV[[#This Row],[Notional Value Local Cur]])</f>
        <v>0</v>
      </c>
    </row>
    <row r="2302" spans="1:5" x14ac:dyDescent="0.25">
      <c r="A2302" s="36" t="b">
        <v>0</v>
      </c>
      <c r="B2302" s="56" t="b">
        <v>0</v>
      </c>
      <c r="C2302" s="56" t="b">
        <v>0</v>
      </c>
      <c r="D2302" s="56" t="b">
        <v>0</v>
      </c>
      <c r="E2302" s="56">
        <f ca="1">IF(PV[[#This Row],[Business Date]]=Control!$C$6, PV[[#This Row],[Notional Value Local Cur]], -PV[[#This Row],[Notional Value Local Cur]])</f>
        <v>0</v>
      </c>
    </row>
    <row r="2303" spans="1:5" x14ac:dyDescent="0.25">
      <c r="A2303" s="36" t="b">
        <v>0</v>
      </c>
      <c r="B2303" s="56" t="b">
        <v>0</v>
      </c>
      <c r="C2303" s="56" t="b">
        <v>0</v>
      </c>
      <c r="D2303" s="56" t="b">
        <v>0</v>
      </c>
      <c r="E2303" s="56">
        <f ca="1">IF(PV[[#This Row],[Business Date]]=Control!$C$6, PV[[#This Row],[Notional Value Local Cur]], -PV[[#This Row],[Notional Value Local Cur]])</f>
        <v>0</v>
      </c>
    </row>
    <row r="2304" spans="1:5" x14ac:dyDescent="0.25">
      <c r="A2304" s="36" t="b">
        <v>0</v>
      </c>
      <c r="B2304" s="56" t="b">
        <v>0</v>
      </c>
      <c r="C2304" s="56" t="b">
        <v>0</v>
      </c>
      <c r="D2304" s="56" t="b">
        <v>0</v>
      </c>
      <c r="E2304" s="56">
        <f ca="1">IF(PV[[#This Row],[Business Date]]=Control!$C$6, PV[[#This Row],[Notional Value Local Cur]], -PV[[#This Row],[Notional Value Local Cur]])</f>
        <v>0</v>
      </c>
    </row>
    <row r="2305" spans="1:5" x14ac:dyDescent="0.25">
      <c r="A2305" s="36" t="b">
        <v>0</v>
      </c>
      <c r="B2305" s="56" t="b">
        <v>0</v>
      </c>
      <c r="C2305" s="56" t="b">
        <v>0</v>
      </c>
      <c r="D2305" s="56" t="b">
        <v>0</v>
      </c>
      <c r="E2305" s="56">
        <f ca="1">IF(PV[[#This Row],[Business Date]]=Control!$C$6, PV[[#This Row],[Notional Value Local Cur]], -PV[[#This Row],[Notional Value Local Cur]])</f>
        <v>0</v>
      </c>
    </row>
    <row r="2306" spans="1:5" x14ac:dyDescent="0.25">
      <c r="A2306" s="36" t="b">
        <v>0</v>
      </c>
      <c r="B2306" s="56" t="b">
        <v>0</v>
      </c>
      <c r="C2306" s="56" t="b">
        <v>0</v>
      </c>
      <c r="D2306" s="56" t="b">
        <v>0</v>
      </c>
      <c r="E2306" s="56">
        <f ca="1">IF(PV[[#This Row],[Business Date]]=Control!$C$6, PV[[#This Row],[Notional Value Local Cur]], -PV[[#This Row],[Notional Value Local Cur]])</f>
        <v>0</v>
      </c>
    </row>
    <row r="2307" spans="1:5" x14ac:dyDescent="0.25">
      <c r="A2307" s="36" t="b">
        <v>0</v>
      </c>
      <c r="B2307" s="56" t="b">
        <v>0</v>
      </c>
      <c r="C2307" s="56" t="b">
        <v>0</v>
      </c>
      <c r="D2307" s="56" t="b">
        <v>0</v>
      </c>
      <c r="E2307" s="56">
        <f ca="1">IF(PV[[#This Row],[Business Date]]=Control!$C$6, PV[[#This Row],[Notional Value Local Cur]], -PV[[#This Row],[Notional Value Local Cur]])</f>
        <v>0</v>
      </c>
    </row>
    <row r="2308" spans="1:5" x14ac:dyDescent="0.25">
      <c r="A2308" s="36" t="b">
        <v>0</v>
      </c>
      <c r="B2308" s="56" t="b">
        <v>0</v>
      </c>
      <c r="C2308" s="56" t="b">
        <v>0</v>
      </c>
      <c r="D2308" s="56" t="b">
        <v>0</v>
      </c>
      <c r="E2308" s="56">
        <f ca="1">IF(PV[[#This Row],[Business Date]]=Control!$C$6, PV[[#This Row],[Notional Value Local Cur]], -PV[[#This Row],[Notional Value Local Cur]])</f>
        <v>0</v>
      </c>
    </row>
    <row r="2309" spans="1:5" x14ac:dyDescent="0.25">
      <c r="A2309" s="36" t="b">
        <v>0</v>
      </c>
      <c r="B2309" s="56" t="b">
        <v>0</v>
      </c>
      <c r="C2309" s="56" t="b">
        <v>0</v>
      </c>
      <c r="D2309" s="56" t="b">
        <v>0</v>
      </c>
      <c r="E2309" s="56">
        <f ca="1">IF(PV[[#This Row],[Business Date]]=Control!$C$6, PV[[#This Row],[Notional Value Local Cur]], -PV[[#This Row],[Notional Value Local Cur]])</f>
        <v>0</v>
      </c>
    </row>
    <row r="2310" spans="1:5" x14ac:dyDescent="0.25">
      <c r="A2310" s="36" t="b">
        <v>0</v>
      </c>
      <c r="B2310" s="56" t="b">
        <v>0</v>
      </c>
      <c r="C2310" s="56" t="b">
        <v>0</v>
      </c>
      <c r="D2310" s="56" t="b">
        <v>0</v>
      </c>
      <c r="E2310" s="56">
        <f ca="1">IF(PV[[#This Row],[Business Date]]=Control!$C$6, PV[[#This Row],[Notional Value Local Cur]], -PV[[#This Row],[Notional Value Local Cur]])</f>
        <v>0</v>
      </c>
    </row>
    <row r="2311" spans="1:5" x14ac:dyDescent="0.25">
      <c r="A2311" s="36" t="b">
        <v>0</v>
      </c>
      <c r="B2311" s="56" t="b">
        <v>0</v>
      </c>
      <c r="C2311" s="56" t="b">
        <v>0</v>
      </c>
      <c r="D2311" s="56" t="b">
        <v>0</v>
      </c>
      <c r="E2311" s="56">
        <f ca="1">IF(PV[[#This Row],[Business Date]]=Control!$C$6, PV[[#This Row],[Notional Value Local Cur]], -PV[[#This Row],[Notional Value Local Cur]])</f>
        <v>0</v>
      </c>
    </row>
    <row r="2312" spans="1:5" x14ac:dyDescent="0.25">
      <c r="A2312" s="36" t="b">
        <v>0</v>
      </c>
      <c r="B2312" s="56" t="b">
        <v>0</v>
      </c>
      <c r="C2312" s="56" t="b">
        <v>0</v>
      </c>
      <c r="D2312" s="56" t="b">
        <v>0</v>
      </c>
      <c r="E2312" s="56">
        <f ca="1">IF(PV[[#This Row],[Business Date]]=Control!$C$6, PV[[#This Row],[Notional Value Local Cur]], -PV[[#This Row],[Notional Value Local Cur]])</f>
        <v>0</v>
      </c>
    </row>
    <row r="2313" spans="1:5" x14ac:dyDescent="0.25">
      <c r="A2313" s="36" t="b">
        <v>0</v>
      </c>
      <c r="B2313" s="56" t="b">
        <v>0</v>
      </c>
      <c r="C2313" s="56" t="b">
        <v>0</v>
      </c>
      <c r="D2313" s="56" t="b">
        <v>0</v>
      </c>
      <c r="E2313" s="56">
        <f ca="1">IF(PV[[#This Row],[Business Date]]=Control!$C$6, PV[[#This Row],[Notional Value Local Cur]], -PV[[#This Row],[Notional Value Local Cur]])</f>
        <v>0</v>
      </c>
    </row>
    <row r="2314" spans="1:5" x14ac:dyDescent="0.25">
      <c r="A2314" s="36" t="b">
        <v>0</v>
      </c>
      <c r="B2314" s="56" t="b">
        <v>0</v>
      </c>
      <c r="C2314" s="56" t="b">
        <v>0</v>
      </c>
      <c r="D2314" s="56" t="b">
        <v>0</v>
      </c>
      <c r="E2314" s="56">
        <f ca="1">IF(PV[[#This Row],[Business Date]]=Control!$C$6, PV[[#This Row],[Notional Value Local Cur]], -PV[[#This Row],[Notional Value Local Cur]])</f>
        <v>0</v>
      </c>
    </row>
    <row r="2315" spans="1:5" x14ac:dyDescent="0.25">
      <c r="A2315" s="36" t="b">
        <v>0</v>
      </c>
      <c r="B2315" s="56" t="b">
        <v>0</v>
      </c>
      <c r="C2315" s="56" t="b">
        <v>0</v>
      </c>
      <c r="D2315" s="56" t="b">
        <v>0</v>
      </c>
      <c r="E2315" s="56">
        <f ca="1">IF(PV[[#This Row],[Business Date]]=Control!$C$6, PV[[#This Row],[Notional Value Local Cur]], -PV[[#This Row],[Notional Value Local Cur]])</f>
        <v>0</v>
      </c>
    </row>
    <row r="2316" spans="1:5" x14ac:dyDescent="0.25">
      <c r="A2316" s="36" t="b">
        <v>0</v>
      </c>
      <c r="B2316" s="56" t="b">
        <v>0</v>
      </c>
      <c r="C2316" s="56" t="b">
        <v>0</v>
      </c>
      <c r="D2316" s="56" t="b">
        <v>0</v>
      </c>
      <c r="E2316" s="56">
        <f ca="1">IF(PV[[#This Row],[Business Date]]=Control!$C$6, PV[[#This Row],[Notional Value Local Cur]], -PV[[#This Row],[Notional Value Local Cur]])</f>
        <v>0</v>
      </c>
    </row>
    <row r="2317" spans="1:5" x14ac:dyDescent="0.25">
      <c r="A2317" s="36" t="b">
        <v>0</v>
      </c>
      <c r="B2317" s="56" t="b">
        <v>0</v>
      </c>
      <c r="C2317" s="56" t="b">
        <v>0</v>
      </c>
      <c r="D2317" s="56" t="b">
        <v>0</v>
      </c>
      <c r="E2317" s="56">
        <f ca="1">IF(PV[[#This Row],[Business Date]]=Control!$C$6, PV[[#This Row],[Notional Value Local Cur]], -PV[[#This Row],[Notional Value Local Cur]])</f>
        <v>0</v>
      </c>
    </row>
    <row r="2318" spans="1:5" x14ac:dyDescent="0.25">
      <c r="A2318" s="36" t="b">
        <v>0</v>
      </c>
      <c r="B2318" s="56" t="b">
        <v>0</v>
      </c>
      <c r="C2318" s="56" t="b">
        <v>0</v>
      </c>
      <c r="D2318" s="56" t="b">
        <v>0</v>
      </c>
      <c r="E2318" s="56">
        <f ca="1">IF(PV[[#This Row],[Business Date]]=Control!$C$6, PV[[#This Row],[Notional Value Local Cur]], -PV[[#This Row],[Notional Value Local Cur]])</f>
        <v>0</v>
      </c>
    </row>
    <row r="2319" spans="1:5" x14ac:dyDescent="0.25">
      <c r="A2319" s="36" t="b">
        <v>0</v>
      </c>
      <c r="B2319" s="56" t="b">
        <v>0</v>
      </c>
      <c r="C2319" s="56" t="b">
        <v>0</v>
      </c>
      <c r="D2319" s="56" t="b">
        <v>0</v>
      </c>
      <c r="E2319" s="56">
        <f ca="1">IF(PV[[#This Row],[Business Date]]=Control!$C$6, PV[[#This Row],[Notional Value Local Cur]], -PV[[#This Row],[Notional Value Local Cur]])</f>
        <v>0</v>
      </c>
    </row>
    <row r="2320" spans="1:5" x14ac:dyDescent="0.25">
      <c r="A2320" s="36" t="b">
        <v>0</v>
      </c>
      <c r="B2320" s="56" t="b">
        <v>0</v>
      </c>
      <c r="C2320" s="56" t="b">
        <v>0</v>
      </c>
      <c r="D2320" s="56" t="b">
        <v>0</v>
      </c>
      <c r="E2320" s="56">
        <f ca="1">IF(PV[[#This Row],[Business Date]]=Control!$C$6, PV[[#This Row],[Notional Value Local Cur]], -PV[[#This Row],[Notional Value Local Cur]])</f>
        <v>0</v>
      </c>
    </row>
    <row r="2321" spans="1:5" x14ac:dyDescent="0.25">
      <c r="A2321" s="36" t="b">
        <v>0</v>
      </c>
      <c r="B2321" s="56" t="b">
        <v>0</v>
      </c>
      <c r="C2321" s="56" t="b">
        <v>0</v>
      </c>
      <c r="D2321" s="56" t="b">
        <v>0</v>
      </c>
      <c r="E2321" s="56">
        <f ca="1">IF(PV[[#This Row],[Business Date]]=Control!$C$6, PV[[#This Row],[Notional Value Local Cur]], -PV[[#This Row],[Notional Value Local Cur]])</f>
        <v>0</v>
      </c>
    </row>
    <row r="2322" spans="1:5" x14ac:dyDescent="0.25">
      <c r="A2322" s="36" t="b">
        <v>0</v>
      </c>
      <c r="B2322" s="56" t="b">
        <v>0</v>
      </c>
      <c r="C2322" s="56" t="b">
        <v>0</v>
      </c>
      <c r="D2322" s="56" t="b">
        <v>0</v>
      </c>
      <c r="E2322" s="56">
        <f ca="1">IF(PV[[#This Row],[Business Date]]=Control!$C$6, PV[[#This Row],[Notional Value Local Cur]], -PV[[#This Row],[Notional Value Local Cur]])</f>
        <v>0</v>
      </c>
    </row>
    <row r="2323" spans="1:5" x14ac:dyDescent="0.25">
      <c r="A2323" s="36" t="b">
        <v>0</v>
      </c>
      <c r="B2323" s="56" t="b">
        <v>0</v>
      </c>
      <c r="C2323" s="56" t="b">
        <v>0</v>
      </c>
      <c r="D2323" s="56" t="b">
        <v>0</v>
      </c>
      <c r="E2323" s="56">
        <f ca="1">IF(PV[[#This Row],[Business Date]]=Control!$C$6, PV[[#This Row],[Notional Value Local Cur]], -PV[[#This Row],[Notional Value Local Cur]])</f>
        <v>0</v>
      </c>
    </row>
    <row r="2324" spans="1:5" x14ac:dyDescent="0.25">
      <c r="A2324" s="36" t="b">
        <v>0</v>
      </c>
      <c r="B2324" s="56" t="b">
        <v>0</v>
      </c>
      <c r="C2324" s="56" t="b">
        <v>0</v>
      </c>
      <c r="D2324" s="56" t="b">
        <v>0</v>
      </c>
      <c r="E2324" s="56">
        <f ca="1">IF(PV[[#This Row],[Business Date]]=Control!$C$6, PV[[#This Row],[Notional Value Local Cur]], -PV[[#This Row],[Notional Value Local Cur]])</f>
        <v>0</v>
      </c>
    </row>
    <row r="2325" spans="1:5" x14ac:dyDescent="0.25">
      <c r="A2325" s="36" t="b">
        <v>0</v>
      </c>
      <c r="B2325" s="56" t="b">
        <v>0</v>
      </c>
      <c r="C2325" s="56" t="b">
        <v>0</v>
      </c>
      <c r="D2325" s="56" t="b">
        <v>0</v>
      </c>
      <c r="E2325" s="56">
        <f ca="1">IF(PV[[#This Row],[Business Date]]=Control!$C$6, PV[[#This Row],[Notional Value Local Cur]], -PV[[#This Row],[Notional Value Local Cur]])</f>
        <v>0</v>
      </c>
    </row>
    <row r="2326" spans="1:5" x14ac:dyDescent="0.25">
      <c r="A2326" s="36" t="b">
        <v>0</v>
      </c>
      <c r="B2326" s="56" t="b">
        <v>0</v>
      </c>
      <c r="C2326" s="56" t="b">
        <v>0</v>
      </c>
      <c r="D2326" s="56" t="b">
        <v>0</v>
      </c>
      <c r="E2326" s="56">
        <f ca="1">IF(PV[[#This Row],[Business Date]]=Control!$C$6, PV[[#This Row],[Notional Value Local Cur]], -PV[[#This Row],[Notional Value Local Cur]])</f>
        <v>0</v>
      </c>
    </row>
    <row r="2327" spans="1:5" x14ac:dyDescent="0.25">
      <c r="A2327" s="36" t="b">
        <v>0</v>
      </c>
      <c r="B2327" s="56" t="b">
        <v>0</v>
      </c>
      <c r="C2327" s="56" t="b">
        <v>0</v>
      </c>
      <c r="D2327" s="56" t="b">
        <v>0</v>
      </c>
      <c r="E2327" s="56">
        <f ca="1">IF(PV[[#This Row],[Business Date]]=Control!$C$6, PV[[#This Row],[Notional Value Local Cur]], -PV[[#This Row],[Notional Value Local Cur]])</f>
        <v>0</v>
      </c>
    </row>
    <row r="2328" spans="1:5" x14ac:dyDescent="0.25">
      <c r="A2328" s="36" t="b">
        <v>0</v>
      </c>
      <c r="B2328" s="56" t="b">
        <v>0</v>
      </c>
      <c r="C2328" s="56" t="b">
        <v>0</v>
      </c>
      <c r="D2328" s="56" t="b">
        <v>0</v>
      </c>
      <c r="E2328" s="56">
        <f ca="1">IF(PV[[#This Row],[Business Date]]=Control!$C$6, PV[[#This Row],[Notional Value Local Cur]], -PV[[#This Row],[Notional Value Local Cur]])</f>
        <v>0</v>
      </c>
    </row>
    <row r="2329" spans="1:5" x14ac:dyDescent="0.25">
      <c r="A2329" s="36" t="b">
        <v>0</v>
      </c>
      <c r="B2329" s="56" t="b">
        <v>0</v>
      </c>
      <c r="C2329" s="56" t="b">
        <v>0</v>
      </c>
      <c r="D2329" s="56" t="b">
        <v>0</v>
      </c>
      <c r="E2329" s="56">
        <f ca="1">IF(PV[[#This Row],[Business Date]]=Control!$C$6, PV[[#This Row],[Notional Value Local Cur]], -PV[[#This Row],[Notional Value Local Cur]])</f>
        <v>0</v>
      </c>
    </row>
    <row r="2330" spans="1:5" x14ac:dyDescent="0.25">
      <c r="A2330" s="36" t="b">
        <v>0</v>
      </c>
      <c r="B2330" s="56" t="b">
        <v>0</v>
      </c>
      <c r="C2330" s="56" t="b">
        <v>0</v>
      </c>
      <c r="D2330" s="56" t="b">
        <v>0</v>
      </c>
      <c r="E2330" s="56">
        <f ca="1">IF(PV[[#This Row],[Business Date]]=Control!$C$6, PV[[#This Row],[Notional Value Local Cur]], -PV[[#This Row],[Notional Value Local Cur]])</f>
        <v>0</v>
      </c>
    </row>
    <row r="2331" spans="1:5" x14ac:dyDescent="0.25">
      <c r="A2331" s="36" t="b">
        <v>0</v>
      </c>
      <c r="B2331" s="56" t="b">
        <v>0</v>
      </c>
      <c r="C2331" s="56" t="b">
        <v>0</v>
      </c>
      <c r="D2331" s="56" t="b">
        <v>0</v>
      </c>
      <c r="E2331" s="56">
        <f ca="1">IF(PV[[#This Row],[Business Date]]=Control!$C$6, PV[[#This Row],[Notional Value Local Cur]], -PV[[#This Row],[Notional Value Local Cur]])</f>
        <v>0</v>
      </c>
    </row>
    <row r="2332" spans="1:5" x14ac:dyDescent="0.25">
      <c r="A2332" s="36" t="b">
        <v>0</v>
      </c>
      <c r="B2332" s="56" t="b">
        <v>0</v>
      </c>
      <c r="C2332" s="56" t="b">
        <v>0</v>
      </c>
      <c r="D2332" s="56" t="b">
        <v>0</v>
      </c>
      <c r="E2332" s="56">
        <f ca="1">IF(PV[[#This Row],[Business Date]]=Control!$C$6, PV[[#This Row],[Notional Value Local Cur]], -PV[[#This Row],[Notional Value Local Cur]])</f>
        <v>0</v>
      </c>
    </row>
    <row r="2333" spans="1:5" x14ac:dyDescent="0.25">
      <c r="A2333" s="36" t="b">
        <v>0</v>
      </c>
      <c r="B2333" s="56" t="b">
        <v>0</v>
      </c>
      <c r="C2333" s="56" t="b">
        <v>0</v>
      </c>
      <c r="D2333" s="56" t="b">
        <v>0</v>
      </c>
      <c r="E2333" s="56">
        <f ca="1">IF(PV[[#This Row],[Business Date]]=Control!$C$6, PV[[#This Row],[Notional Value Local Cur]], -PV[[#This Row],[Notional Value Local Cur]])</f>
        <v>0</v>
      </c>
    </row>
    <row r="2334" spans="1:5" x14ac:dyDescent="0.25">
      <c r="A2334" s="36" t="b">
        <v>0</v>
      </c>
      <c r="B2334" s="56" t="b">
        <v>0</v>
      </c>
      <c r="C2334" s="56" t="b">
        <v>0</v>
      </c>
      <c r="D2334" s="56" t="b">
        <v>0</v>
      </c>
      <c r="E2334" s="56">
        <f ca="1">IF(PV[[#This Row],[Business Date]]=Control!$C$6, PV[[#This Row],[Notional Value Local Cur]], -PV[[#This Row],[Notional Value Local Cur]])</f>
        <v>0</v>
      </c>
    </row>
    <row r="2335" spans="1:5" x14ac:dyDescent="0.25">
      <c r="A2335" s="36" t="b">
        <v>0</v>
      </c>
      <c r="B2335" s="56" t="b">
        <v>0</v>
      </c>
      <c r="C2335" s="56" t="b">
        <v>0</v>
      </c>
      <c r="D2335" s="56" t="b">
        <v>0</v>
      </c>
      <c r="E2335" s="56">
        <f ca="1">IF(PV[[#This Row],[Business Date]]=Control!$C$6, PV[[#This Row],[Notional Value Local Cur]], -PV[[#This Row],[Notional Value Local Cur]])</f>
        <v>0</v>
      </c>
    </row>
    <row r="2336" spans="1:5" x14ac:dyDescent="0.25">
      <c r="A2336" s="36" t="b">
        <v>0</v>
      </c>
      <c r="B2336" s="56" t="b">
        <v>0</v>
      </c>
      <c r="C2336" s="56" t="b">
        <v>0</v>
      </c>
      <c r="D2336" s="56" t="b">
        <v>0</v>
      </c>
      <c r="E2336" s="56">
        <f ca="1">IF(PV[[#This Row],[Business Date]]=Control!$C$6, PV[[#This Row],[Notional Value Local Cur]], -PV[[#This Row],[Notional Value Local Cur]])</f>
        <v>0</v>
      </c>
    </row>
    <row r="2337" spans="1:5" x14ac:dyDescent="0.25">
      <c r="A2337" s="36" t="b">
        <v>0</v>
      </c>
      <c r="B2337" s="56" t="b">
        <v>0</v>
      </c>
      <c r="C2337" s="56" t="b">
        <v>0</v>
      </c>
      <c r="D2337" s="56" t="b">
        <v>0</v>
      </c>
      <c r="E2337" s="56">
        <f ca="1">IF(PV[[#This Row],[Business Date]]=Control!$C$6, PV[[#This Row],[Notional Value Local Cur]], -PV[[#This Row],[Notional Value Local Cur]])</f>
        <v>0</v>
      </c>
    </row>
    <row r="2338" spans="1:5" x14ac:dyDescent="0.25">
      <c r="A2338" s="36" t="b">
        <v>0</v>
      </c>
      <c r="B2338" s="56" t="b">
        <v>0</v>
      </c>
      <c r="C2338" s="56" t="b">
        <v>0</v>
      </c>
      <c r="D2338" s="56" t="b">
        <v>0</v>
      </c>
      <c r="E2338" s="56">
        <f ca="1">IF(PV[[#This Row],[Business Date]]=Control!$C$6, PV[[#This Row],[Notional Value Local Cur]], -PV[[#This Row],[Notional Value Local Cur]])</f>
        <v>0</v>
      </c>
    </row>
    <row r="2339" spans="1:5" x14ac:dyDescent="0.25">
      <c r="A2339" s="36" t="b">
        <v>0</v>
      </c>
      <c r="B2339" s="56" t="b">
        <v>0</v>
      </c>
      <c r="C2339" s="56" t="b">
        <v>0</v>
      </c>
      <c r="D2339" s="56" t="b">
        <v>0</v>
      </c>
      <c r="E2339" s="56">
        <f ca="1">IF(PV[[#This Row],[Business Date]]=Control!$C$6, PV[[#This Row],[Notional Value Local Cur]], -PV[[#This Row],[Notional Value Local Cur]])</f>
        <v>0</v>
      </c>
    </row>
    <row r="2340" spans="1:5" x14ac:dyDescent="0.25">
      <c r="A2340" s="36" t="b">
        <v>0</v>
      </c>
      <c r="B2340" s="56" t="b">
        <v>0</v>
      </c>
      <c r="C2340" s="56" t="b">
        <v>0</v>
      </c>
      <c r="D2340" s="56" t="b">
        <v>0</v>
      </c>
      <c r="E2340" s="56">
        <f ca="1">IF(PV[[#This Row],[Business Date]]=Control!$C$6, PV[[#This Row],[Notional Value Local Cur]], -PV[[#This Row],[Notional Value Local Cur]])</f>
        <v>0</v>
      </c>
    </row>
    <row r="2341" spans="1:5" x14ac:dyDescent="0.25">
      <c r="A2341" s="36" t="b">
        <v>0</v>
      </c>
      <c r="B2341" s="56" t="b">
        <v>0</v>
      </c>
      <c r="C2341" s="56" t="b">
        <v>0</v>
      </c>
      <c r="D2341" s="56" t="b">
        <v>0</v>
      </c>
      <c r="E2341" s="56">
        <f ca="1">IF(PV[[#This Row],[Business Date]]=Control!$C$6, PV[[#This Row],[Notional Value Local Cur]], -PV[[#This Row],[Notional Value Local Cur]])</f>
        <v>0</v>
      </c>
    </row>
    <row r="2342" spans="1:5" x14ac:dyDescent="0.25">
      <c r="A2342" s="36" t="b">
        <v>0</v>
      </c>
      <c r="B2342" s="56" t="b">
        <v>0</v>
      </c>
      <c r="C2342" s="56" t="b">
        <v>0</v>
      </c>
      <c r="D2342" s="56" t="b">
        <v>0</v>
      </c>
      <c r="E2342" s="56">
        <f ca="1">IF(PV[[#This Row],[Business Date]]=Control!$C$6, PV[[#This Row],[Notional Value Local Cur]], -PV[[#This Row],[Notional Value Local Cur]])</f>
        <v>0</v>
      </c>
    </row>
    <row r="2343" spans="1:5" x14ac:dyDescent="0.25">
      <c r="A2343" s="36" t="b">
        <v>0</v>
      </c>
      <c r="B2343" s="56" t="b">
        <v>0</v>
      </c>
      <c r="C2343" s="56" t="b">
        <v>0</v>
      </c>
      <c r="D2343" s="56" t="b">
        <v>0</v>
      </c>
      <c r="E2343" s="56">
        <f ca="1">IF(PV[[#This Row],[Business Date]]=Control!$C$6, PV[[#This Row],[Notional Value Local Cur]], -PV[[#This Row],[Notional Value Local Cur]])</f>
        <v>0</v>
      </c>
    </row>
    <row r="2344" spans="1:5" x14ac:dyDescent="0.25">
      <c r="A2344" s="36" t="b">
        <v>0</v>
      </c>
      <c r="B2344" s="56" t="b">
        <v>0</v>
      </c>
      <c r="C2344" s="56" t="b">
        <v>0</v>
      </c>
      <c r="D2344" s="56" t="b">
        <v>0</v>
      </c>
      <c r="E2344" s="56">
        <f ca="1">IF(PV[[#This Row],[Business Date]]=Control!$C$6, PV[[#This Row],[Notional Value Local Cur]], -PV[[#This Row],[Notional Value Local Cur]])</f>
        <v>0</v>
      </c>
    </row>
    <row r="2345" spans="1:5" x14ac:dyDescent="0.25">
      <c r="A2345" s="36" t="b">
        <v>0</v>
      </c>
      <c r="B2345" s="56" t="b">
        <v>0</v>
      </c>
      <c r="C2345" s="56" t="b">
        <v>0</v>
      </c>
      <c r="D2345" s="56" t="b">
        <v>0</v>
      </c>
      <c r="E2345" s="56">
        <f ca="1">IF(PV[[#This Row],[Business Date]]=Control!$C$6, PV[[#This Row],[Notional Value Local Cur]], -PV[[#This Row],[Notional Value Local Cur]])</f>
        <v>0</v>
      </c>
    </row>
    <row r="2346" spans="1:5" x14ac:dyDescent="0.25">
      <c r="A2346" s="36" t="b">
        <v>0</v>
      </c>
      <c r="B2346" s="56" t="b">
        <v>0</v>
      </c>
      <c r="C2346" s="56" t="b">
        <v>0</v>
      </c>
      <c r="D2346" s="56" t="b">
        <v>0</v>
      </c>
      <c r="E2346" s="56">
        <f ca="1">IF(PV[[#This Row],[Business Date]]=Control!$C$6, PV[[#This Row],[Notional Value Local Cur]], -PV[[#This Row],[Notional Value Local Cur]])</f>
        <v>0</v>
      </c>
    </row>
    <row r="2347" spans="1:5" x14ac:dyDescent="0.25">
      <c r="A2347" s="36" t="b">
        <v>0</v>
      </c>
      <c r="B2347" s="56" t="b">
        <v>0</v>
      </c>
      <c r="C2347" s="56" t="b">
        <v>0</v>
      </c>
      <c r="D2347" s="56" t="b">
        <v>0</v>
      </c>
      <c r="E2347" s="56">
        <f ca="1">IF(PV[[#This Row],[Business Date]]=Control!$C$6, PV[[#This Row],[Notional Value Local Cur]], -PV[[#This Row],[Notional Value Local Cur]])</f>
        <v>0</v>
      </c>
    </row>
    <row r="2348" spans="1:5" x14ac:dyDescent="0.25">
      <c r="A2348" s="36" t="b">
        <v>0</v>
      </c>
      <c r="B2348" s="56" t="b">
        <v>0</v>
      </c>
      <c r="C2348" s="56" t="b">
        <v>0</v>
      </c>
      <c r="D2348" s="56" t="b">
        <v>0</v>
      </c>
      <c r="E2348" s="56">
        <f ca="1">IF(PV[[#This Row],[Business Date]]=Control!$C$6, PV[[#This Row],[Notional Value Local Cur]], -PV[[#This Row],[Notional Value Local Cur]])</f>
        <v>0</v>
      </c>
    </row>
    <row r="2349" spans="1:5" x14ac:dyDescent="0.25">
      <c r="A2349" s="36" t="b">
        <v>0</v>
      </c>
      <c r="B2349" s="56" t="b">
        <v>0</v>
      </c>
      <c r="C2349" s="56" t="b">
        <v>0</v>
      </c>
      <c r="D2349" s="56" t="b">
        <v>0</v>
      </c>
      <c r="E2349" s="56">
        <f ca="1">IF(PV[[#This Row],[Business Date]]=Control!$C$6, PV[[#This Row],[Notional Value Local Cur]], -PV[[#This Row],[Notional Value Local Cur]])</f>
        <v>0</v>
      </c>
    </row>
    <row r="2350" spans="1:5" x14ac:dyDescent="0.25">
      <c r="A2350" s="36" t="b">
        <v>0</v>
      </c>
      <c r="B2350" s="56" t="b">
        <v>0</v>
      </c>
      <c r="C2350" s="56" t="b">
        <v>0</v>
      </c>
      <c r="D2350" s="56" t="b">
        <v>0</v>
      </c>
      <c r="E2350" s="56">
        <f ca="1">IF(PV[[#This Row],[Business Date]]=Control!$C$6, PV[[#This Row],[Notional Value Local Cur]], -PV[[#This Row],[Notional Value Local Cur]])</f>
        <v>0</v>
      </c>
    </row>
    <row r="2351" spans="1:5" x14ac:dyDescent="0.25">
      <c r="A2351" s="36" t="b">
        <v>0</v>
      </c>
      <c r="B2351" s="56" t="b">
        <v>0</v>
      </c>
      <c r="C2351" s="56" t="b">
        <v>0</v>
      </c>
      <c r="D2351" s="56" t="b">
        <v>0</v>
      </c>
      <c r="E2351" s="56">
        <f ca="1">IF(PV[[#This Row],[Business Date]]=Control!$C$6, PV[[#This Row],[Notional Value Local Cur]], -PV[[#This Row],[Notional Value Local Cur]])</f>
        <v>0</v>
      </c>
    </row>
    <row r="2352" spans="1:5" x14ac:dyDescent="0.25">
      <c r="A2352" s="36" t="b">
        <v>0</v>
      </c>
      <c r="B2352" s="56" t="b">
        <v>0</v>
      </c>
      <c r="C2352" s="56" t="b">
        <v>0</v>
      </c>
      <c r="D2352" s="56" t="b">
        <v>0</v>
      </c>
      <c r="E2352" s="56">
        <f ca="1">IF(PV[[#This Row],[Business Date]]=Control!$C$6, PV[[#This Row],[Notional Value Local Cur]], -PV[[#This Row],[Notional Value Local Cur]])</f>
        <v>0</v>
      </c>
    </row>
    <row r="2353" spans="1:5" x14ac:dyDescent="0.25">
      <c r="A2353" s="36" t="b">
        <v>0</v>
      </c>
      <c r="B2353" s="56" t="b">
        <v>0</v>
      </c>
      <c r="C2353" s="56" t="b">
        <v>0</v>
      </c>
      <c r="D2353" s="56" t="b">
        <v>0</v>
      </c>
      <c r="E2353" s="56">
        <f ca="1">IF(PV[[#This Row],[Business Date]]=Control!$C$6, PV[[#This Row],[Notional Value Local Cur]], -PV[[#This Row],[Notional Value Local Cur]])</f>
        <v>0</v>
      </c>
    </row>
    <row r="2354" spans="1:5" x14ac:dyDescent="0.25">
      <c r="A2354" s="36" t="b">
        <v>0</v>
      </c>
      <c r="B2354" s="56" t="b">
        <v>0</v>
      </c>
      <c r="C2354" s="56" t="b">
        <v>0</v>
      </c>
      <c r="D2354" s="56" t="b">
        <v>0</v>
      </c>
      <c r="E2354" s="56">
        <f ca="1">IF(PV[[#This Row],[Business Date]]=Control!$C$6, PV[[#This Row],[Notional Value Local Cur]], -PV[[#This Row],[Notional Value Local Cur]])</f>
        <v>0</v>
      </c>
    </row>
    <row r="2355" spans="1:5" x14ac:dyDescent="0.25">
      <c r="A2355" s="36" t="b">
        <v>0</v>
      </c>
      <c r="B2355" s="56" t="b">
        <v>0</v>
      </c>
      <c r="C2355" s="56" t="b">
        <v>0</v>
      </c>
      <c r="D2355" s="56" t="b">
        <v>0</v>
      </c>
      <c r="E2355" s="56">
        <f ca="1">IF(PV[[#This Row],[Business Date]]=Control!$C$6, PV[[#This Row],[Notional Value Local Cur]], -PV[[#This Row],[Notional Value Local Cur]])</f>
        <v>0</v>
      </c>
    </row>
    <row r="2356" spans="1:5" x14ac:dyDescent="0.25">
      <c r="A2356" s="36" t="b">
        <v>0</v>
      </c>
      <c r="B2356" s="56" t="b">
        <v>0</v>
      </c>
      <c r="C2356" s="56" t="b">
        <v>0</v>
      </c>
      <c r="D2356" s="56" t="b">
        <v>0</v>
      </c>
      <c r="E2356" s="56">
        <f ca="1">IF(PV[[#This Row],[Business Date]]=Control!$C$6, PV[[#This Row],[Notional Value Local Cur]], -PV[[#This Row],[Notional Value Local Cur]])</f>
        <v>0</v>
      </c>
    </row>
    <row r="2357" spans="1:5" x14ac:dyDescent="0.25">
      <c r="A2357" s="36" t="b">
        <v>0</v>
      </c>
      <c r="B2357" s="56" t="b">
        <v>0</v>
      </c>
      <c r="C2357" s="56" t="b">
        <v>0</v>
      </c>
      <c r="D2357" s="56" t="b">
        <v>0</v>
      </c>
      <c r="E2357" s="56">
        <f ca="1">IF(PV[[#This Row],[Business Date]]=Control!$C$6, PV[[#This Row],[Notional Value Local Cur]], -PV[[#This Row],[Notional Value Local Cur]])</f>
        <v>0</v>
      </c>
    </row>
    <row r="2358" spans="1:5" x14ac:dyDescent="0.25">
      <c r="A2358" s="36" t="b">
        <v>0</v>
      </c>
      <c r="B2358" s="56" t="b">
        <v>0</v>
      </c>
      <c r="C2358" s="56" t="b">
        <v>0</v>
      </c>
      <c r="D2358" s="56" t="b">
        <v>0</v>
      </c>
      <c r="E2358" s="56">
        <f ca="1">IF(PV[[#This Row],[Business Date]]=Control!$C$6, PV[[#This Row],[Notional Value Local Cur]], -PV[[#This Row],[Notional Value Local Cur]])</f>
        <v>0</v>
      </c>
    </row>
    <row r="2359" spans="1:5" x14ac:dyDescent="0.25">
      <c r="A2359" s="36" t="b">
        <v>0</v>
      </c>
      <c r="B2359" s="56" t="b">
        <v>0</v>
      </c>
      <c r="C2359" s="56" t="b">
        <v>0</v>
      </c>
      <c r="D2359" s="56" t="b">
        <v>0</v>
      </c>
      <c r="E2359" s="56">
        <f ca="1">IF(PV[[#This Row],[Business Date]]=Control!$C$6, PV[[#This Row],[Notional Value Local Cur]], -PV[[#This Row],[Notional Value Local Cur]])</f>
        <v>0</v>
      </c>
    </row>
    <row r="2360" spans="1:5" x14ac:dyDescent="0.25">
      <c r="A2360" s="36" t="b">
        <v>0</v>
      </c>
      <c r="B2360" s="56" t="b">
        <v>0</v>
      </c>
      <c r="C2360" s="56" t="b">
        <v>0</v>
      </c>
      <c r="D2360" s="56" t="b">
        <v>0</v>
      </c>
      <c r="E2360" s="56">
        <f ca="1">IF(PV[[#This Row],[Business Date]]=Control!$C$6, PV[[#This Row],[Notional Value Local Cur]], -PV[[#This Row],[Notional Value Local Cur]])</f>
        <v>0</v>
      </c>
    </row>
    <row r="2361" spans="1:5" x14ac:dyDescent="0.25">
      <c r="A2361" s="36" t="b">
        <v>0</v>
      </c>
      <c r="B2361" s="56" t="b">
        <v>0</v>
      </c>
      <c r="C2361" s="56" t="b">
        <v>0</v>
      </c>
      <c r="D2361" s="56" t="b">
        <v>0</v>
      </c>
      <c r="E2361" s="56">
        <f ca="1">IF(PV[[#This Row],[Business Date]]=Control!$C$6, PV[[#This Row],[Notional Value Local Cur]], -PV[[#This Row],[Notional Value Local Cur]])</f>
        <v>0</v>
      </c>
    </row>
    <row r="2362" spans="1:5" x14ac:dyDescent="0.25">
      <c r="A2362" s="36" t="b">
        <v>0</v>
      </c>
      <c r="B2362" s="56" t="b">
        <v>0</v>
      </c>
      <c r="C2362" s="56" t="b">
        <v>0</v>
      </c>
      <c r="D2362" s="56" t="b">
        <v>0</v>
      </c>
      <c r="E2362" s="56">
        <f ca="1">IF(PV[[#This Row],[Business Date]]=Control!$C$6, PV[[#This Row],[Notional Value Local Cur]], -PV[[#This Row],[Notional Value Local Cur]])</f>
        <v>0</v>
      </c>
    </row>
    <row r="2363" spans="1:5" x14ac:dyDescent="0.25">
      <c r="A2363" s="36" t="b">
        <v>0</v>
      </c>
      <c r="B2363" s="56" t="b">
        <v>0</v>
      </c>
      <c r="C2363" s="56" t="b">
        <v>0</v>
      </c>
      <c r="D2363" s="56" t="b">
        <v>0</v>
      </c>
      <c r="E2363" s="56">
        <f ca="1">IF(PV[[#This Row],[Business Date]]=Control!$C$6, PV[[#This Row],[Notional Value Local Cur]], -PV[[#This Row],[Notional Value Local Cur]])</f>
        <v>0</v>
      </c>
    </row>
    <row r="2364" spans="1:5" x14ac:dyDescent="0.25">
      <c r="A2364" s="36" t="b">
        <v>0</v>
      </c>
      <c r="B2364" s="56" t="b">
        <v>0</v>
      </c>
      <c r="C2364" s="56" t="b">
        <v>0</v>
      </c>
      <c r="D2364" s="56" t="b">
        <v>0</v>
      </c>
      <c r="E2364" s="56">
        <f ca="1">IF(PV[[#This Row],[Business Date]]=Control!$C$6, PV[[#This Row],[Notional Value Local Cur]], -PV[[#This Row],[Notional Value Local Cur]])</f>
        <v>0</v>
      </c>
    </row>
    <row r="2365" spans="1:5" x14ac:dyDescent="0.25">
      <c r="A2365" s="36" t="b">
        <v>0</v>
      </c>
      <c r="B2365" s="56" t="b">
        <v>0</v>
      </c>
      <c r="C2365" s="56" t="b">
        <v>0</v>
      </c>
      <c r="D2365" s="56" t="b">
        <v>0</v>
      </c>
      <c r="E2365" s="56">
        <f ca="1">IF(PV[[#This Row],[Business Date]]=Control!$C$6, PV[[#This Row],[Notional Value Local Cur]], -PV[[#This Row],[Notional Value Local Cur]])</f>
        <v>0</v>
      </c>
    </row>
    <row r="2366" spans="1:5" x14ac:dyDescent="0.25">
      <c r="A2366" s="36" t="b">
        <v>0</v>
      </c>
      <c r="B2366" s="56" t="b">
        <v>0</v>
      </c>
      <c r="C2366" s="56" t="b">
        <v>0</v>
      </c>
      <c r="D2366" s="56" t="b">
        <v>0</v>
      </c>
      <c r="E2366" s="56">
        <f ca="1">IF(PV[[#This Row],[Business Date]]=Control!$C$6, PV[[#This Row],[Notional Value Local Cur]], -PV[[#This Row],[Notional Value Local Cur]])</f>
        <v>0</v>
      </c>
    </row>
    <row r="2367" spans="1:5" x14ac:dyDescent="0.25">
      <c r="A2367" s="36" t="b">
        <v>0</v>
      </c>
      <c r="B2367" s="56" t="b">
        <v>0</v>
      </c>
      <c r="C2367" s="56" t="b">
        <v>0</v>
      </c>
      <c r="D2367" s="56" t="b">
        <v>0</v>
      </c>
      <c r="E2367" s="56">
        <f ca="1">IF(PV[[#This Row],[Business Date]]=Control!$C$6, PV[[#This Row],[Notional Value Local Cur]], -PV[[#This Row],[Notional Value Local Cur]])</f>
        <v>0</v>
      </c>
    </row>
    <row r="2368" spans="1:5" x14ac:dyDescent="0.25">
      <c r="A2368" s="36" t="b">
        <v>0</v>
      </c>
      <c r="B2368" s="56" t="b">
        <v>0</v>
      </c>
      <c r="C2368" s="56" t="b">
        <v>0</v>
      </c>
      <c r="D2368" s="56" t="b">
        <v>0</v>
      </c>
      <c r="E2368" s="56">
        <f ca="1">IF(PV[[#This Row],[Business Date]]=Control!$C$6, PV[[#This Row],[Notional Value Local Cur]], -PV[[#This Row],[Notional Value Local Cur]])</f>
        <v>0</v>
      </c>
    </row>
    <row r="2369" spans="1:5" x14ac:dyDescent="0.25">
      <c r="A2369" s="36" t="b">
        <v>0</v>
      </c>
      <c r="B2369" s="56" t="b">
        <v>0</v>
      </c>
      <c r="C2369" s="56" t="b">
        <v>0</v>
      </c>
      <c r="D2369" s="56" t="b">
        <v>0</v>
      </c>
      <c r="E2369" s="56">
        <f ca="1">IF(PV[[#This Row],[Business Date]]=Control!$C$6, PV[[#This Row],[Notional Value Local Cur]], -PV[[#This Row],[Notional Value Local Cur]])</f>
        <v>0</v>
      </c>
    </row>
    <row r="2370" spans="1:5" x14ac:dyDescent="0.25">
      <c r="A2370" s="36" t="b">
        <v>0</v>
      </c>
      <c r="B2370" s="56" t="b">
        <v>0</v>
      </c>
      <c r="C2370" s="56" t="b">
        <v>0</v>
      </c>
      <c r="D2370" s="56" t="b">
        <v>0</v>
      </c>
      <c r="E2370" s="56">
        <f ca="1">IF(PV[[#This Row],[Business Date]]=Control!$C$6, PV[[#This Row],[Notional Value Local Cur]], -PV[[#This Row],[Notional Value Local Cur]])</f>
        <v>0</v>
      </c>
    </row>
    <row r="2371" spans="1:5" x14ac:dyDescent="0.25">
      <c r="A2371" s="36" t="b">
        <v>0</v>
      </c>
      <c r="B2371" s="56" t="b">
        <v>0</v>
      </c>
      <c r="C2371" s="56" t="b">
        <v>0</v>
      </c>
      <c r="D2371" s="56" t="b">
        <v>0</v>
      </c>
      <c r="E2371" s="56">
        <f ca="1">IF(PV[[#This Row],[Business Date]]=Control!$C$6, PV[[#This Row],[Notional Value Local Cur]], -PV[[#This Row],[Notional Value Local Cur]])</f>
        <v>0</v>
      </c>
    </row>
    <row r="2372" spans="1:5" x14ac:dyDescent="0.25">
      <c r="A2372" s="36" t="b">
        <v>0</v>
      </c>
      <c r="B2372" s="56" t="b">
        <v>0</v>
      </c>
      <c r="C2372" s="56" t="b">
        <v>0</v>
      </c>
      <c r="D2372" s="56" t="b">
        <v>0</v>
      </c>
      <c r="E2372" s="56">
        <f ca="1">IF(PV[[#This Row],[Business Date]]=Control!$C$6, PV[[#This Row],[Notional Value Local Cur]], -PV[[#This Row],[Notional Value Local Cur]])</f>
        <v>0</v>
      </c>
    </row>
    <row r="2373" spans="1:5" x14ac:dyDescent="0.25">
      <c r="A2373" s="36" t="b">
        <v>0</v>
      </c>
      <c r="B2373" s="56" t="b">
        <v>0</v>
      </c>
      <c r="C2373" s="56" t="b">
        <v>0</v>
      </c>
      <c r="D2373" s="56" t="b">
        <v>0</v>
      </c>
      <c r="E2373" s="56">
        <f ca="1">IF(PV[[#This Row],[Business Date]]=Control!$C$6, PV[[#This Row],[Notional Value Local Cur]], -PV[[#This Row],[Notional Value Local Cur]])</f>
        <v>0</v>
      </c>
    </row>
    <row r="2374" spans="1:5" x14ac:dyDescent="0.25">
      <c r="A2374" s="36" t="b">
        <v>0</v>
      </c>
      <c r="B2374" s="56" t="b">
        <v>0</v>
      </c>
      <c r="C2374" s="56" t="b">
        <v>0</v>
      </c>
      <c r="D2374" s="56" t="b">
        <v>0</v>
      </c>
      <c r="E2374" s="56">
        <f ca="1">IF(PV[[#This Row],[Business Date]]=Control!$C$6, PV[[#This Row],[Notional Value Local Cur]], -PV[[#This Row],[Notional Value Local Cur]])</f>
        <v>0</v>
      </c>
    </row>
    <row r="2375" spans="1:5" x14ac:dyDescent="0.25">
      <c r="A2375" s="36" t="b">
        <v>0</v>
      </c>
      <c r="B2375" s="56" t="b">
        <v>0</v>
      </c>
      <c r="C2375" s="56" t="b">
        <v>0</v>
      </c>
      <c r="D2375" s="56" t="b">
        <v>0</v>
      </c>
      <c r="E2375" s="56">
        <f ca="1">IF(PV[[#This Row],[Business Date]]=Control!$C$6, PV[[#This Row],[Notional Value Local Cur]], -PV[[#This Row],[Notional Value Local Cur]])</f>
        <v>0</v>
      </c>
    </row>
    <row r="2376" spans="1:5" x14ac:dyDescent="0.25">
      <c r="A2376" s="36" t="b">
        <v>0</v>
      </c>
      <c r="B2376" s="56" t="b">
        <v>0</v>
      </c>
      <c r="C2376" s="56" t="b">
        <v>0</v>
      </c>
      <c r="D2376" s="56" t="b">
        <v>0</v>
      </c>
      <c r="E2376" s="56">
        <f ca="1">IF(PV[[#This Row],[Business Date]]=Control!$C$6, PV[[#This Row],[Notional Value Local Cur]], -PV[[#This Row],[Notional Value Local Cur]])</f>
        <v>0</v>
      </c>
    </row>
    <row r="2377" spans="1:5" x14ac:dyDescent="0.25">
      <c r="A2377" s="36" t="b">
        <v>0</v>
      </c>
      <c r="B2377" s="56" t="b">
        <v>0</v>
      </c>
      <c r="C2377" s="56" t="b">
        <v>0</v>
      </c>
      <c r="D2377" s="56" t="b">
        <v>0</v>
      </c>
      <c r="E2377" s="56">
        <f ca="1">IF(PV[[#This Row],[Business Date]]=Control!$C$6, PV[[#This Row],[Notional Value Local Cur]], -PV[[#This Row],[Notional Value Local Cur]])</f>
        <v>0</v>
      </c>
    </row>
    <row r="2378" spans="1:5" x14ac:dyDescent="0.25">
      <c r="A2378" s="36" t="b">
        <v>0</v>
      </c>
      <c r="B2378" s="56" t="b">
        <v>0</v>
      </c>
      <c r="C2378" s="56" t="b">
        <v>0</v>
      </c>
      <c r="D2378" s="56" t="b">
        <v>0</v>
      </c>
      <c r="E2378" s="56">
        <f ca="1">IF(PV[[#This Row],[Business Date]]=Control!$C$6, PV[[#This Row],[Notional Value Local Cur]], -PV[[#This Row],[Notional Value Local Cur]])</f>
        <v>0</v>
      </c>
    </row>
    <row r="2379" spans="1:5" x14ac:dyDescent="0.25">
      <c r="A2379" s="36" t="b">
        <v>0</v>
      </c>
      <c r="B2379" s="56" t="b">
        <v>0</v>
      </c>
      <c r="C2379" s="56" t="b">
        <v>0</v>
      </c>
      <c r="D2379" s="56" t="b">
        <v>0</v>
      </c>
      <c r="E2379" s="56">
        <f ca="1">IF(PV[[#This Row],[Business Date]]=Control!$C$6, PV[[#This Row],[Notional Value Local Cur]], -PV[[#This Row],[Notional Value Local Cur]])</f>
        <v>0</v>
      </c>
    </row>
    <row r="2380" spans="1:5" x14ac:dyDescent="0.25">
      <c r="A2380" s="36" t="b">
        <v>0</v>
      </c>
      <c r="B2380" s="56" t="b">
        <v>0</v>
      </c>
      <c r="C2380" s="56" t="b">
        <v>0</v>
      </c>
      <c r="D2380" s="56" t="b">
        <v>0</v>
      </c>
      <c r="E2380" s="56">
        <f ca="1">IF(PV[[#This Row],[Business Date]]=Control!$C$6, PV[[#This Row],[Notional Value Local Cur]], -PV[[#This Row],[Notional Value Local Cur]])</f>
        <v>0</v>
      </c>
    </row>
    <row r="2381" spans="1:5" x14ac:dyDescent="0.25">
      <c r="A2381" s="36" t="b">
        <v>0</v>
      </c>
      <c r="B2381" s="56" t="b">
        <v>0</v>
      </c>
      <c r="C2381" s="56" t="b">
        <v>0</v>
      </c>
      <c r="D2381" s="56" t="b">
        <v>0</v>
      </c>
      <c r="E2381" s="56">
        <f ca="1">IF(PV[[#This Row],[Business Date]]=Control!$C$6, PV[[#This Row],[Notional Value Local Cur]], -PV[[#This Row],[Notional Value Local Cur]])</f>
        <v>0</v>
      </c>
    </row>
    <row r="2382" spans="1:5" x14ac:dyDescent="0.25">
      <c r="A2382" s="36" t="b">
        <v>0</v>
      </c>
      <c r="B2382" s="56" t="b">
        <v>0</v>
      </c>
      <c r="C2382" s="56" t="b">
        <v>0</v>
      </c>
      <c r="D2382" s="56" t="b">
        <v>0</v>
      </c>
      <c r="E2382" s="56">
        <f ca="1">IF(PV[[#This Row],[Business Date]]=Control!$C$6, PV[[#This Row],[Notional Value Local Cur]], -PV[[#This Row],[Notional Value Local Cur]])</f>
        <v>0</v>
      </c>
    </row>
    <row r="2383" spans="1:5" x14ac:dyDescent="0.25">
      <c r="A2383" s="36" t="b">
        <v>0</v>
      </c>
      <c r="B2383" s="56" t="b">
        <v>0</v>
      </c>
      <c r="C2383" s="56" t="b">
        <v>0</v>
      </c>
      <c r="D2383" s="56" t="b">
        <v>0</v>
      </c>
      <c r="E2383" s="56">
        <f ca="1">IF(PV[[#This Row],[Business Date]]=Control!$C$6, PV[[#This Row],[Notional Value Local Cur]], -PV[[#This Row],[Notional Value Local Cur]])</f>
        <v>0</v>
      </c>
    </row>
    <row r="2384" spans="1:5" x14ac:dyDescent="0.25">
      <c r="A2384" s="36" t="b">
        <v>0</v>
      </c>
      <c r="B2384" s="56" t="b">
        <v>0</v>
      </c>
      <c r="C2384" s="56" t="b">
        <v>0</v>
      </c>
      <c r="D2384" s="56" t="b">
        <v>0</v>
      </c>
      <c r="E2384" s="56">
        <f ca="1">IF(PV[[#This Row],[Business Date]]=Control!$C$6, PV[[#This Row],[Notional Value Local Cur]], -PV[[#This Row],[Notional Value Local Cur]])</f>
        <v>0</v>
      </c>
    </row>
    <row r="2385" spans="1:5" x14ac:dyDescent="0.25">
      <c r="A2385" s="36" t="b">
        <v>0</v>
      </c>
      <c r="B2385" s="56" t="b">
        <v>0</v>
      </c>
      <c r="C2385" s="56" t="b">
        <v>0</v>
      </c>
      <c r="D2385" s="56" t="b">
        <v>0</v>
      </c>
      <c r="E2385" s="56">
        <f ca="1">IF(PV[[#This Row],[Business Date]]=Control!$C$6, PV[[#This Row],[Notional Value Local Cur]], -PV[[#This Row],[Notional Value Local Cur]])</f>
        <v>0</v>
      </c>
    </row>
    <row r="2386" spans="1:5" x14ac:dyDescent="0.25">
      <c r="A2386" s="36" t="b">
        <v>0</v>
      </c>
      <c r="B2386" s="56" t="b">
        <v>0</v>
      </c>
      <c r="C2386" s="56" t="b">
        <v>0</v>
      </c>
      <c r="D2386" s="56" t="b">
        <v>0</v>
      </c>
      <c r="E2386" s="56">
        <f ca="1">IF(PV[[#This Row],[Business Date]]=Control!$C$6, PV[[#This Row],[Notional Value Local Cur]], -PV[[#This Row],[Notional Value Local Cur]])</f>
        <v>0</v>
      </c>
    </row>
    <row r="2387" spans="1:5" x14ac:dyDescent="0.25">
      <c r="A2387" s="36" t="b">
        <v>0</v>
      </c>
      <c r="B2387" s="56" t="b">
        <v>0</v>
      </c>
      <c r="C2387" s="56" t="b">
        <v>0</v>
      </c>
      <c r="D2387" s="56" t="b">
        <v>0</v>
      </c>
      <c r="E2387" s="56">
        <f ca="1">IF(PV[[#This Row],[Business Date]]=Control!$C$6, PV[[#This Row],[Notional Value Local Cur]], -PV[[#This Row],[Notional Value Local Cur]])</f>
        <v>0</v>
      </c>
    </row>
    <row r="2388" spans="1:5" x14ac:dyDescent="0.25">
      <c r="A2388" s="36" t="b">
        <v>0</v>
      </c>
      <c r="B2388" s="56" t="b">
        <v>0</v>
      </c>
      <c r="C2388" s="56" t="b">
        <v>0</v>
      </c>
      <c r="D2388" s="56" t="b">
        <v>0</v>
      </c>
      <c r="E2388" s="56">
        <f ca="1">IF(PV[[#This Row],[Business Date]]=Control!$C$6, PV[[#This Row],[Notional Value Local Cur]], -PV[[#This Row],[Notional Value Local Cur]])</f>
        <v>0</v>
      </c>
    </row>
    <row r="2389" spans="1:5" x14ac:dyDescent="0.25">
      <c r="A2389" s="36" t="b">
        <v>0</v>
      </c>
      <c r="B2389" s="56" t="b">
        <v>0</v>
      </c>
      <c r="C2389" s="56" t="b">
        <v>0</v>
      </c>
      <c r="D2389" s="56" t="b">
        <v>0</v>
      </c>
      <c r="E2389" s="56">
        <f ca="1">IF(PV[[#This Row],[Business Date]]=Control!$C$6, PV[[#This Row],[Notional Value Local Cur]], -PV[[#This Row],[Notional Value Local Cur]])</f>
        <v>0</v>
      </c>
    </row>
    <row r="2390" spans="1:5" x14ac:dyDescent="0.25">
      <c r="A2390" s="36" t="b">
        <v>0</v>
      </c>
      <c r="B2390" s="56" t="b">
        <v>0</v>
      </c>
      <c r="C2390" s="56" t="b">
        <v>0</v>
      </c>
      <c r="D2390" s="56" t="b">
        <v>0</v>
      </c>
      <c r="E2390" s="56">
        <f ca="1">IF(PV[[#This Row],[Business Date]]=Control!$C$6, PV[[#This Row],[Notional Value Local Cur]], -PV[[#This Row],[Notional Value Local Cur]])</f>
        <v>0</v>
      </c>
    </row>
    <row r="2391" spans="1:5" x14ac:dyDescent="0.25">
      <c r="A2391" s="36" t="b">
        <v>0</v>
      </c>
      <c r="B2391" s="56" t="b">
        <v>0</v>
      </c>
      <c r="C2391" s="56" t="b">
        <v>0</v>
      </c>
      <c r="D2391" s="56" t="b">
        <v>0</v>
      </c>
      <c r="E2391" s="56">
        <f ca="1">IF(PV[[#This Row],[Business Date]]=Control!$C$6, PV[[#This Row],[Notional Value Local Cur]], -PV[[#This Row],[Notional Value Local Cur]])</f>
        <v>0</v>
      </c>
    </row>
    <row r="2392" spans="1:5" x14ac:dyDescent="0.25">
      <c r="A2392" s="36" t="b">
        <v>0</v>
      </c>
      <c r="B2392" s="56" t="b">
        <v>0</v>
      </c>
      <c r="C2392" s="56" t="b">
        <v>0</v>
      </c>
      <c r="D2392" s="56" t="b">
        <v>0</v>
      </c>
      <c r="E2392" s="56">
        <f ca="1">IF(PV[[#This Row],[Business Date]]=Control!$C$6, PV[[#This Row],[Notional Value Local Cur]], -PV[[#This Row],[Notional Value Local Cur]])</f>
        <v>0</v>
      </c>
    </row>
    <row r="2393" spans="1:5" x14ac:dyDescent="0.25">
      <c r="A2393" s="36" t="b">
        <v>0</v>
      </c>
      <c r="B2393" s="56" t="b">
        <v>0</v>
      </c>
      <c r="C2393" s="56" t="b">
        <v>0</v>
      </c>
      <c r="D2393" s="56" t="b">
        <v>0</v>
      </c>
      <c r="E2393" s="56">
        <f ca="1">IF(PV[[#This Row],[Business Date]]=Control!$C$6, PV[[#This Row],[Notional Value Local Cur]], -PV[[#This Row],[Notional Value Local Cur]])</f>
        <v>0</v>
      </c>
    </row>
    <row r="2394" spans="1:5" x14ac:dyDescent="0.25">
      <c r="A2394" s="36" t="b">
        <v>0</v>
      </c>
      <c r="B2394" s="56" t="b">
        <v>0</v>
      </c>
      <c r="C2394" s="56" t="b">
        <v>0</v>
      </c>
      <c r="D2394" s="56" t="b">
        <v>0</v>
      </c>
      <c r="E2394" s="56">
        <f ca="1">IF(PV[[#This Row],[Business Date]]=Control!$C$6, PV[[#This Row],[Notional Value Local Cur]], -PV[[#This Row],[Notional Value Local Cur]])</f>
        <v>0</v>
      </c>
    </row>
    <row r="2395" spans="1:5" x14ac:dyDescent="0.25">
      <c r="A2395" s="36" t="b">
        <v>0</v>
      </c>
      <c r="B2395" s="56" t="b">
        <v>0</v>
      </c>
      <c r="C2395" s="56" t="b">
        <v>0</v>
      </c>
      <c r="D2395" s="56" t="b">
        <v>0</v>
      </c>
      <c r="E2395" s="56">
        <f ca="1">IF(PV[[#This Row],[Business Date]]=Control!$C$6, PV[[#This Row],[Notional Value Local Cur]], -PV[[#This Row],[Notional Value Local Cur]])</f>
        <v>0</v>
      </c>
    </row>
    <row r="2396" spans="1:5" x14ac:dyDescent="0.25">
      <c r="A2396" s="36" t="b">
        <v>0</v>
      </c>
      <c r="B2396" s="56" t="b">
        <v>0</v>
      </c>
      <c r="C2396" s="56" t="b">
        <v>0</v>
      </c>
      <c r="D2396" s="56" t="b">
        <v>0</v>
      </c>
      <c r="E2396" s="56">
        <f ca="1">IF(PV[[#This Row],[Business Date]]=Control!$C$6, PV[[#This Row],[Notional Value Local Cur]], -PV[[#This Row],[Notional Value Local Cur]])</f>
        <v>0</v>
      </c>
    </row>
    <row r="2397" spans="1:5" x14ac:dyDescent="0.25">
      <c r="A2397" s="36" t="b">
        <v>0</v>
      </c>
      <c r="B2397" s="56" t="b">
        <v>0</v>
      </c>
      <c r="C2397" s="56" t="b">
        <v>0</v>
      </c>
      <c r="D2397" s="56" t="b">
        <v>0</v>
      </c>
      <c r="E2397" s="56">
        <f ca="1">IF(PV[[#This Row],[Business Date]]=Control!$C$6, PV[[#This Row],[Notional Value Local Cur]], -PV[[#This Row],[Notional Value Local Cur]])</f>
        <v>0</v>
      </c>
    </row>
    <row r="2398" spans="1:5" x14ac:dyDescent="0.25">
      <c r="A2398" s="36" t="b">
        <v>0</v>
      </c>
      <c r="B2398" s="56" t="b">
        <v>0</v>
      </c>
      <c r="C2398" s="56" t="b">
        <v>0</v>
      </c>
      <c r="D2398" s="56" t="b">
        <v>0</v>
      </c>
      <c r="E2398" s="56">
        <f ca="1">IF(PV[[#This Row],[Business Date]]=Control!$C$6, PV[[#This Row],[Notional Value Local Cur]], -PV[[#This Row],[Notional Value Local Cur]])</f>
        <v>0</v>
      </c>
    </row>
    <row r="2399" spans="1:5" x14ac:dyDescent="0.25">
      <c r="A2399" s="36" t="b">
        <v>0</v>
      </c>
      <c r="B2399" s="56" t="b">
        <v>0</v>
      </c>
      <c r="C2399" s="56" t="b">
        <v>0</v>
      </c>
      <c r="D2399" s="56" t="b">
        <v>0</v>
      </c>
      <c r="E2399" s="56">
        <f ca="1">IF(PV[[#This Row],[Business Date]]=Control!$C$6, PV[[#This Row],[Notional Value Local Cur]], -PV[[#This Row],[Notional Value Local Cur]])</f>
        <v>0</v>
      </c>
    </row>
    <row r="2400" spans="1:5" x14ac:dyDescent="0.25">
      <c r="A2400" s="36" t="b">
        <v>0</v>
      </c>
      <c r="B2400" s="56" t="b">
        <v>0</v>
      </c>
      <c r="C2400" s="56" t="b">
        <v>0</v>
      </c>
      <c r="D2400" s="56" t="b">
        <v>0</v>
      </c>
      <c r="E2400" s="56">
        <f ca="1">IF(PV[[#This Row],[Business Date]]=Control!$C$6, PV[[#This Row],[Notional Value Local Cur]], -PV[[#This Row],[Notional Value Local Cur]])</f>
        <v>0</v>
      </c>
    </row>
    <row r="2401" spans="1:5" x14ac:dyDescent="0.25">
      <c r="A2401" s="36" t="b">
        <v>0</v>
      </c>
      <c r="B2401" s="56" t="b">
        <v>0</v>
      </c>
      <c r="C2401" s="56" t="b">
        <v>0</v>
      </c>
      <c r="D2401" s="56" t="b">
        <v>0</v>
      </c>
      <c r="E2401" s="56">
        <f ca="1">IF(PV[[#This Row],[Business Date]]=Control!$C$6, PV[[#This Row],[Notional Value Local Cur]], -PV[[#This Row],[Notional Value Local Cur]])</f>
        <v>0</v>
      </c>
    </row>
    <row r="2402" spans="1:5" x14ac:dyDescent="0.25">
      <c r="A2402" s="36" t="b">
        <v>0</v>
      </c>
      <c r="B2402" s="56" t="b">
        <v>0</v>
      </c>
      <c r="C2402" s="56" t="b">
        <v>0</v>
      </c>
      <c r="D2402" s="56" t="b">
        <v>0</v>
      </c>
      <c r="E2402" s="56">
        <f ca="1">IF(PV[[#This Row],[Business Date]]=Control!$C$6, PV[[#This Row],[Notional Value Local Cur]], -PV[[#This Row],[Notional Value Local Cur]])</f>
        <v>0</v>
      </c>
    </row>
    <row r="2403" spans="1:5" x14ac:dyDescent="0.25">
      <c r="A2403" s="36" t="b">
        <v>0</v>
      </c>
      <c r="B2403" s="56" t="b">
        <v>0</v>
      </c>
      <c r="C2403" s="56" t="b">
        <v>0</v>
      </c>
      <c r="D2403" s="56" t="b">
        <v>0</v>
      </c>
      <c r="E2403" s="56">
        <f ca="1">IF(PV[[#This Row],[Business Date]]=Control!$C$6, PV[[#This Row],[Notional Value Local Cur]], -PV[[#This Row],[Notional Value Local Cur]])</f>
        <v>0</v>
      </c>
    </row>
    <row r="2404" spans="1:5" x14ac:dyDescent="0.25">
      <c r="A2404" s="36" t="b">
        <v>0</v>
      </c>
      <c r="B2404" s="56" t="b">
        <v>0</v>
      </c>
      <c r="C2404" s="56" t="b">
        <v>0</v>
      </c>
      <c r="D2404" s="56" t="b">
        <v>0</v>
      </c>
      <c r="E2404" s="56">
        <f ca="1">IF(PV[[#This Row],[Business Date]]=Control!$C$6, PV[[#This Row],[Notional Value Local Cur]], -PV[[#This Row],[Notional Value Local Cur]])</f>
        <v>0</v>
      </c>
    </row>
    <row r="2405" spans="1:5" x14ac:dyDescent="0.25">
      <c r="A2405" s="36" t="b">
        <v>0</v>
      </c>
      <c r="B2405" s="56" t="b">
        <v>0</v>
      </c>
      <c r="C2405" s="56" t="b">
        <v>0</v>
      </c>
      <c r="D2405" s="56" t="b">
        <v>0</v>
      </c>
      <c r="E2405" s="56">
        <f ca="1">IF(PV[[#This Row],[Business Date]]=Control!$C$6, PV[[#This Row],[Notional Value Local Cur]], -PV[[#This Row],[Notional Value Local Cur]])</f>
        <v>0</v>
      </c>
    </row>
    <row r="2406" spans="1:5" x14ac:dyDescent="0.25">
      <c r="A2406" s="36" t="b">
        <v>0</v>
      </c>
      <c r="B2406" s="56" t="b">
        <v>0</v>
      </c>
      <c r="C2406" s="56" t="b">
        <v>0</v>
      </c>
      <c r="D2406" s="56" t="b">
        <v>0</v>
      </c>
      <c r="E2406" s="56">
        <f ca="1">IF(PV[[#This Row],[Business Date]]=Control!$C$6, PV[[#This Row],[Notional Value Local Cur]], -PV[[#This Row],[Notional Value Local Cur]])</f>
        <v>0</v>
      </c>
    </row>
    <row r="2407" spans="1:5" x14ac:dyDescent="0.25">
      <c r="A2407" s="36" t="b">
        <v>0</v>
      </c>
      <c r="B2407" s="56" t="b">
        <v>0</v>
      </c>
      <c r="C2407" s="56" t="b">
        <v>0</v>
      </c>
      <c r="D2407" s="56" t="b">
        <v>0</v>
      </c>
      <c r="E2407" s="56">
        <f ca="1">IF(PV[[#This Row],[Business Date]]=Control!$C$6, PV[[#This Row],[Notional Value Local Cur]], -PV[[#This Row],[Notional Value Local Cur]])</f>
        <v>0</v>
      </c>
    </row>
    <row r="2408" spans="1:5" x14ac:dyDescent="0.25">
      <c r="A2408" s="36" t="b">
        <v>0</v>
      </c>
      <c r="B2408" s="56" t="b">
        <v>0</v>
      </c>
      <c r="C2408" s="56" t="b">
        <v>0</v>
      </c>
      <c r="D2408" s="56" t="b">
        <v>0</v>
      </c>
      <c r="E2408" s="56">
        <f ca="1">IF(PV[[#This Row],[Business Date]]=Control!$C$6, PV[[#This Row],[Notional Value Local Cur]], -PV[[#This Row],[Notional Value Local Cur]])</f>
        <v>0</v>
      </c>
    </row>
    <row r="2409" spans="1:5" x14ac:dyDescent="0.25">
      <c r="A2409" s="36" t="b">
        <v>0</v>
      </c>
      <c r="B2409" s="56" t="b">
        <v>0</v>
      </c>
      <c r="C2409" s="56" t="b">
        <v>0</v>
      </c>
      <c r="D2409" s="56" t="b">
        <v>0</v>
      </c>
      <c r="E2409" s="56">
        <f ca="1">IF(PV[[#This Row],[Business Date]]=Control!$C$6, PV[[#This Row],[Notional Value Local Cur]], -PV[[#This Row],[Notional Value Local Cur]])</f>
        <v>0</v>
      </c>
    </row>
    <row r="2410" spans="1:5" x14ac:dyDescent="0.25">
      <c r="A2410" s="36" t="b">
        <v>0</v>
      </c>
      <c r="B2410" s="56" t="b">
        <v>0</v>
      </c>
      <c r="C2410" s="56" t="b">
        <v>0</v>
      </c>
      <c r="D2410" s="56" t="b">
        <v>0</v>
      </c>
      <c r="E2410" s="56">
        <f ca="1">IF(PV[[#This Row],[Business Date]]=Control!$C$6, PV[[#This Row],[Notional Value Local Cur]], -PV[[#This Row],[Notional Value Local Cur]])</f>
        <v>0</v>
      </c>
    </row>
    <row r="2411" spans="1:5" x14ac:dyDescent="0.25">
      <c r="A2411" s="36" t="b">
        <v>0</v>
      </c>
      <c r="B2411" s="56" t="b">
        <v>0</v>
      </c>
      <c r="C2411" s="56" t="b">
        <v>0</v>
      </c>
      <c r="D2411" s="56" t="b">
        <v>0</v>
      </c>
      <c r="E2411" s="56">
        <f ca="1">IF(PV[[#This Row],[Business Date]]=Control!$C$6, PV[[#This Row],[Notional Value Local Cur]], -PV[[#This Row],[Notional Value Local Cur]])</f>
        <v>0</v>
      </c>
    </row>
    <row r="2412" spans="1:5" x14ac:dyDescent="0.25">
      <c r="A2412" s="36" t="b">
        <v>0</v>
      </c>
      <c r="B2412" s="56" t="b">
        <v>0</v>
      </c>
      <c r="C2412" s="56" t="b">
        <v>0</v>
      </c>
      <c r="D2412" s="56" t="b">
        <v>0</v>
      </c>
      <c r="E2412" s="56">
        <f ca="1">IF(PV[[#This Row],[Business Date]]=Control!$C$6, PV[[#This Row],[Notional Value Local Cur]], -PV[[#This Row],[Notional Value Local Cur]])</f>
        <v>0</v>
      </c>
    </row>
    <row r="2413" spans="1:5" x14ac:dyDescent="0.25">
      <c r="A2413" s="36" t="b">
        <v>0</v>
      </c>
      <c r="B2413" s="56" t="b">
        <v>0</v>
      </c>
      <c r="C2413" s="56" t="b">
        <v>0</v>
      </c>
      <c r="D2413" s="56" t="b">
        <v>0</v>
      </c>
      <c r="E2413" s="56">
        <f ca="1">IF(PV[[#This Row],[Business Date]]=Control!$C$6, PV[[#This Row],[Notional Value Local Cur]], -PV[[#This Row],[Notional Value Local Cur]])</f>
        <v>0</v>
      </c>
    </row>
    <row r="2414" spans="1:5" x14ac:dyDescent="0.25">
      <c r="A2414" s="36" t="b">
        <v>0</v>
      </c>
      <c r="B2414" s="56" t="b">
        <v>0</v>
      </c>
      <c r="C2414" s="56" t="b">
        <v>0</v>
      </c>
      <c r="D2414" s="56" t="b">
        <v>0</v>
      </c>
      <c r="E2414" s="56">
        <f ca="1">IF(PV[[#This Row],[Business Date]]=Control!$C$6, PV[[#This Row],[Notional Value Local Cur]], -PV[[#This Row],[Notional Value Local Cur]])</f>
        <v>0</v>
      </c>
    </row>
    <row r="2415" spans="1:5" x14ac:dyDescent="0.25">
      <c r="A2415" s="36" t="b">
        <v>0</v>
      </c>
      <c r="B2415" s="56" t="b">
        <v>0</v>
      </c>
      <c r="C2415" s="56" t="b">
        <v>0</v>
      </c>
      <c r="D2415" s="56" t="b">
        <v>0</v>
      </c>
      <c r="E2415" s="56">
        <f ca="1">IF(PV[[#This Row],[Business Date]]=Control!$C$6, PV[[#This Row],[Notional Value Local Cur]], -PV[[#This Row],[Notional Value Local Cur]])</f>
        <v>0</v>
      </c>
    </row>
    <row r="2416" spans="1:5" x14ac:dyDescent="0.25">
      <c r="A2416" s="36" t="b">
        <v>0</v>
      </c>
      <c r="B2416" s="56" t="b">
        <v>0</v>
      </c>
      <c r="C2416" s="56" t="b">
        <v>0</v>
      </c>
      <c r="D2416" s="56" t="b">
        <v>0</v>
      </c>
      <c r="E2416" s="56">
        <f ca="1">IF(PV[[#This Row],[Business Date]]=Control!$C$6, PV[[#This Row],[Notional Value Local Cur]], -PV[[#This Row],[Notional Value Local Cur]])</f>
        <v>0</v>
      </c>
    </row>
    <row r="2417" spans="1:5" x14ac:dyDescent="0.25">
      <c r="A2417" s="36" t="b">
        <v>0</v>
      </c>
      <c r="B2417" s="56" t="b">
        <v>0</v>
      </c>
      <c r="C2417" s="56" t="b">
        <v>0</v>
      </c>
      <c r="D2417" s="56" t="b">
        <v>0</v>
      </c>
      <c r="E2417" s="56">
        <f ca="1">IF(PV[[#This Row],[Business Date]]=Control!$C$6, PV[[#This Row],[Notional Value Local Cur]], -PV[[#This Row],[Notional Value Local Cur]])</f>
        <v>0</v>
      </c>
    </row>
    <row r="2418" spans="1:5" x14ac:dyDescent="0.25">
      <c r="A2418" s="36" t="b">
        <v>0</v>
      </c>
      <c r="B2418" s="56" t="b">
        <v>0</v>
      </c>
      <c r="C2418" s="56" t="b">
        <v>0</v>
      </c>
      <c r="D2418" s="56" t="b">
        <v>0</v>
      </c>
      <c r="E2418" s="56">
        <f ca="1">IF(PV[[#This Row],[Business Date]]=Control!$C$6, PV[[#This Row],[Notional Value Local Cur]], -PV[[#This Row],[Notional Value Local Cur]])</f>
        <v>0</v>
      </c>
    </row>
    <row r="2419" spans="1:5" x14ac:dyDescent="0.25">
      <c r="A2419" s="36" t="b">
        <v>0</v>
      </c>
      <c r="B2419" s="56" t="b">
        <v>0</v>
      </c>
      <c r="C2419" s="56" t="b">
        <v>0</v>
      </c>
      <c r="D2419" s="56" t="b">
        <v>0</v>
      </c>
      <c r="E2419" s="56">
        <f ca="1">IF(PV[[#This Row],[Business Date]]=Control!$C$6, PV[[#This Row],[Notional Value Local Cur]], -PV[[#This Row],[Notional Value Local Cur]])</f>
        <v>0</v>
      </c>
    </row>
    <row r="2420" spans="1:5" x14ac:dyDescent="0.25">
      <c r="A2420" s="36" t="b">
        <v>0</v>
      </c>
      <c r="B2420" s="56" t="b">
        <v>0</v>
      </c>
      <c r="C2420" s="56" t="b">
        <v>0</v>
      </c>
      <c r="D2420" s="56" t="b">
        <v>0</v>
      </c>
      <c r="E2420" s="56">
        <f ca="1">IF(PV[[#This Row],[Business Date]]=Control!$C$6, PV[[#This Row],[Notional Value Local Cur]], -PV[[#This Row],[Notional Value Local Cur]])</f>
        <v>0</v>
      </c>
    </row>
    <row r="2421" spans="1:5" x14ac:dyDescent="0.25">
      <c r="A2421" s="36" t="b">
        <v>0</v>
      </c>
      <c r="B2421" s="56" t="b">
        <v>0</v>
      </c>
      <c r="C2421" s="56" t="b">
        <v>0</v>
      </c>
      <c r="D2421" s="56" t="b">
        <v>0</v>
      </c>
      <c r="E2421" s="56">
        <f ca="1">IF(PV[[#This Row],[Business Date]]=Control!$C$6, PV[[#This Row],[Notional Value Local Cur]], -PV[[#This Row],[Notional Value Local Cur]])</f>
        <v>0</v>
      </c>
    </row>
    <row r="2422" spans="1:5" x14ac:dyDescent="0.25">
      <c r="A2422" s="36" t="b">
        <v>0</v>
      </c>
      <c r="B2422" s="56" t="b">
        <v>0</v>
      </c>
      <c r="C2422" s="56" t="b">
        <v>0</v>
      </c>
      <c r="D2422" s="56" t="b">
        <v>0</v>
      </c>
      <c r="E2422" s="56">
        <f ca="1">IF(PV[[#This Row],[Business Date]]=Control!$C$6, PV[[#This Row],[Notional Value Local Cur]], -PV[[#This Row],[Notional Value Local Cur]])</f>
        <v>0</v>
      </c>
    </row>
    <row r="2423" spans="1:5" x14ac:dyDescent="0.25">
      <c r="A2423" s="36" t="b">
        <v>0</v>
      </c>
      <c r="B2423" s="56" t="b">
        <v>0</v>
      </c>
      <c r="C2423" s="56" t="b">
        <v>0</v>
      </c>
      <c r="D2423" s="56" t="b">
        <v>0</v>
      </c>
      <c r="E2423" s="56">
        <f ca="1">IF(PV[[#This Row],[Business Date]]=Control!$C$6, PV[[#This Row],[Notional Value Local Cur]], -PV[[#This Row],[Notional Value Local Cur]])</f>
        <v>0</v>
      </c>
    </row>
    <row r="2424" spans="1:5" x14ac:dyDescent="0.25">
      <c r="A2424" s="36" t="b">
        <v>0</v>
      </c>
      <c r="B2424" s="56" t="b">
        <v>0</v>
      </c>
      <c r="C2424" s="56" t="b">
        <v>0</v>
      </c>
      <c r="D2424" s="56" t="b">
        <v>0</v>
      </c>
      <c r="E2424" s="56">
        <f ca="1">IF(PV[[#This Row],[Business Date]]=Control!$C$6, PV[[#This Row],[Notional Value Local Cur]], -PV[[#This Row],[Notional Value Local Cur]])</f>
        <v>0</v>
      </c>
    </row>
    <row r="2425" spans="1:5" x14ac:dyDescent="0.25">
      <c r="A2425" s="36" t="b">
        <v>0</v>
      </c>
      <c r="B2425" s="56" t="b">
        <v>0</v>
      </c>
      <c r="C2425" s="56" t="b">
        <v>0</v>
      </c>
      <c r="D2425" s="56" t="b">
        <v>0</v>
      </c>
      <c r="E2425" s="56">
        <f ca="1">IF(PV[[#This Row],[Business Date]]=Control!$C$6, PV[[#This Row],[Notional Value Local Cur]], -PV[[#This Row],[Notional Value Local Cur]])</f>
        <v>0</v>
      </c>
    </row>
    <row r="2426" spans="1:5" x14ac:dyDescent="0.25">
      <c r="A2426" s="36" t="b">
        <v>0</v>
      </c>
      <c r="B2426" s="56" t="b">
        <v>0</v>
      </c>
      <c r="C2426" s="56" t="b">
        <v>0</v>
      </c>
      <c r="D2426" s="56" t="b">
        <v>0</v>
      </c>
      <c r="E2426" s="56">
        <f ca="1">IF(PV[[#This Row],[Business Date]]=Control!$C$6, PV[[#This Row],[Notional Value Local Cur]], -PV[[#This Row],[Notional Value Local Cur]])</f>
        <v>0</v>
      </c>
    </row>
    <row r="2427" spans="1:5" x14ac:dyDescent="0.25">
      <c r="A2427" s="36" t="b">
        <v>0</v>
      </c>
      <c r="B2427" s="56" t="b">
        <v>0</v>
      </c>
      <c r="C2427" s="56" t="b">
        <v>0</v>
      </c>
      <c r="D2427" s="56" t="b">
        <v>0</v>
      </c>
      <c r="E2427" s="56">
        <f ca="1">IF(PV[[#This Row],[Business Date]]=Control!$C$6, PV[[#This Row],[Notional Value Local Cur]], -PV[[#This Row],[Notional Value Local Cur]])</f>
        <v>0</v>
      </c>
    </row>
    <row r="2428" spans="1:5" x14ac:dyDescent="0.25">
      <c r="A2428" s="36" t="b">
        <v>0</v>
      </c>
      <c r="B2428" s="56" t="b">
        <v>0</v>
      </c>
      <c r="C2428" s="56" t="b">
        <v>0</v>
      </c>
      <c r="D2428" s="56" t="b">
        <v>0</v>
      </c>
      <c r="E2428" s="56">
        <f ca="1">IF(PV[[#This Row],[Business Date]]=Control!$C$6, PV[[#This Row],[Notional Value Local Cur]], -PV[[#This Row],[Notional Value Local Cur]])</f>
        <v>0</v>
      </c>
    </row>
    <row r="2429" spans="1:5" x14ac:dyDescent="0.25">
      <c r="A2429" s="36" t="b">
        <v>0</v>
      </c>
      <c r="B2429" s="56" t="b">
        <v>0</v>
      </c>
      <c r="C2429" s="56" t="b">
        <v>0</v>
      </c>
      <c r="D2429" s="56" t="b">
        <v>0</v>
      </c>
      <c r="E2429" s="56">
        <f ca="1">IF(PV[[#This Row],[Business Date]]=Control!$C$6, PV[[#This Row],[Notional Value Local Cur]], -PV[[#This Row],[Notional Value Local Cur]])</f>
        <v>0</v>
      </c>
    </row>
    <row r="2430" spans="1:5" x14ac:dyDescent="0.25">
      <c r="A2430" s="36" t="b">
        <v>0</v>
      </c>
      <c r="B2430" s="56" t="b">
        <v>0</v>
      </c>
      <c r="C2430" s="56" t="b">
        <v>0</v>
      </c>
      <c r="D2430" s="56" t="b">
        <v>0</v>
      </c>
      <c r="E2430" s="56">
        <f ca="1">IF(PV[[#This Row],[Business Date]]=Control!$C$6, PV[[#This Row],[Notional Value Local Cur]], -PV[[#This Row],[Notional Value Local Cur]])</f>
        <v>0</v>
      </c>
    </row>
    <row r="2431" spans="1:5" x14ac:dyDescent="0.25">
      <c r="A2431" s="36" t="b">
        <v>0</v>
      </c>
      <c r="B2431" s="56" t="b">
        <v>0</v>
      </c>
      <c r="C2431" s="56" t="b">
        <v>0</v>
      </c>
      <c r="D2431" s="56" t="b">
        <v>0</v>
      </c>
      <c r="E2431" s="56">
        <f ca="1">IF(PV[[#This Row],[Business Date]]=Control!$C$6, PV[[#This Row],[Notional Value Local Cur]], -PV[[#This Row],[Notional Value Local Cur]])</f>
        <v>0</v>
      </c>
    </row>
    <row r="2432" spans="1:5" x14ac:dyDescent="0.25">
      <c r="A2432" s="36" t="b">
        <v>0</v>
      </c>
      <c r="B2432" s="56" t="b">
        <v>0</v>
      </c>
      <c r="C2432" s="56" t="b">
        <v>0</v>
      </c>
      <c r="D2432" s="56" t="b">
        <v>0</v>
      </c>
      <c r="E2432" s="56">
        <f ca="1">IF(PV[[#This Row],[Business Date]]=Control!$C$6, PV[[#This Row],[Notional Value Local Cur]], -PV[[#This Row],[Notional Value Local Cur]])</f>
        <v>0</v>
      </c>
    </row>
    <row r="2433" spans="1:5" x14ac:dyDescent="0.25">
      <c r="A2433" s="36" t="b">
        <v>0</v>
      </c>
      <c r="B2433" s="56" t="b">
        <v>0</v>
      </c>
      <c r="C2433" s="56" t="b">
        <v>0</v>
      </c>
      <c r="D2433" s="56" t="b">
        <v>0</v>
      </c>
      <c r="E2433" s="56">
        <f ca="1">IF(PV[[#This Row],[Business Date]]=Control!$C$6, PV[[#This Row],[Notional Value Local Cur]], -PV[[#This Row],[Notional Value Local Cur]])</f>
        <v>0</v>
      </c>
    </row>
    <row r="2434" spans="1:5" x14ac:dyDescent="0.25">
      <c r="A2434" s="36" t="b">
        <v>0</v>
      </c>
      <c r="B2434" s="56" t="b">
        <v>0</v>
      </c>
      <c r="C2434" s="56" t="b">
        <v>0</v>
      </c>
      <c r="D2434" s="56" t="b">
        <v>0</v>
      </c>
      <c r="E2434" s="56">
        <f ca="1">IF(PV[[#This Row],[Business Date]]=Control!$C$6, PV[[#This Row],[Notional Value Local Cur]], -PV[[#This Row],[Notional Value Local Cur]])</f>
        <v>0</v>
      </c>
    </row>
    <row r="2435" spans="1:5" x14ac:dyDescent="0.25">
      <c r="A2435" s="36" t="b">
        <v>0</v>
      </c>
      <c r="B2435" s="56" t="b">
        <v>0</v>
      </c>
      <c r="C2435" s="56" t="b">
        <v>0</v>
      </c>
      <c r="D2435" s="56" t="b">
        <v>0</v>
      </c>
      <c r="E2435" s="56">
        <f ca="1">IF(PV[[#This Row],[Business Date]]=Control!$C$6, PV[[#This Row],[Notional Value Local Cur]], -PV[[#This Row],[Notional Value Local Cur]])</f>
        <v>0</v>
      </c>
    </row>
    <row r="2436" spans="1:5" x14ac:dyDescent="0.25">
      <c r="A2436" s="36" t="b">
        <v>0</v>
      </c>
      <c r="B2436" s="56" t="b">
        <v>0</v>
      </c>
      <c r="C2436" s="56" t="b">
        <v>0</v>
      </c>
      <c r="D2436" s="56" t="b">
        <v>0</v>
      </c>
      <c r="E2436" s="56">
        <f ca="1">IF(PV[[#This Row],[Business Date]]=Control!$C$6, PV[[#This Row],[Notional Value Local Cur]], -PV[[#This Row],[Notional Value Local Cur]])</f>
        <v>0</v>
      </c>
    </row>
    <row r="2437" spans="1:5" x14ac:dyDescent="0.25">
      <c r="A2437" s="36" t="b">
        <v>0</v>
      </c>
      <c r="B2437" s="56" t="b">
        <v>0</v>
      </c>
      <c r="C2437" s="56" t="b">
        <v>0</v>
      </c>
      <c r="D2437" s="56" t="b">
        <v>0</v>
      </c>
      <c r="E2437" s="56">
        <f ca="1">IF(PV[[#This Row],[Business Date]]=Control!$C$6, PV[[#This Row],[Notional Value Local Cur]], -PV[[#This Row],[Notional Value Local Cur]])</f>
        <v>0</v>
      </c>
    </row>
    <row r="2438" spans="1:5" x14ac:dyDescent="0.25">
      <c r="A2438" s="36" t="b">
        <v>0</v>
      </c>
      <c r="B2438" s="56" t="b">
        <v>0</v>
      </c>
      <c r="C2438" s="56" t="b">
        <v>0</v>
      </c>
      <c r="D2438" s="56" t="b">
        <v>0</v>
      </c>
      <c r="E2438" s="56">
        <f ca="1">IF(PV[[#This Row],[Business Date]]=Control!$C$6, PV[[#This Row],[Notional Value Local Cur]], -PV[[#This Row],[Notional Value Local Cur]])</f>
        <v>0</v>
      </c>
    </row>
    <row r="2439" spans="1:5" x14ac:dyDescent="0.25">
      <c r="A2439" s="36" t="b">
        <v>0</v>
      </c>
      <c r="B2439" s="56" t="b">
        <v>0</v>
      </c>
      <c r="C2439" s="56" t="b">
        <v>0</v>
      </c>
      <c r="D2439" s="56" t="b">
        <v>0</v>
      </c>
      <c r="E2439" s="56">
        <f ca="1">IF(PV[[#This Row],[Business Date]]=Control!$C$6, PV[[#This Row],[Notional Value Local Cur]], -PV[[#This Row],[Notional Value Local Cur]])</f>
        <v>0</v>
      </c>
    </row>
    <row r="2440" spans="1:5" x14ac:dyDescent="0.25">
      <c r="A2440" s="36" t="b">
        <v>0</v>
      </c>
      <c r="B2440" s="56" t="b">
        <v>0</v>
      </c>
      <c r="C2440" s="56" t="b">
        <v>0</v>
      </c>
      <c r="D2440" s="56" t="b">
        <v>0</v>
      </c>
      <c r="E2440" s="56">
        <f ca="1">IF(PV[[#This Row],[Business Date]]=Control!$C$6, PV[[#This Row],[Notional Value Local Cur]], -PV[[#This Row],[Notional Value Local Cur]])</f>
        <v>0</v>
      </c>
    </row>
    <row r="2441" spans="1:5" x14ac:dyDescent="0.25">
      <c r="A2441" s="36" t="b">
        <v>0</v>
      </c>
      <c r="B2441" s="56" t="b">
        <v>0</v>
      </c>
      <c r="C2441" s="56" t="b">
        <v>0</v>
      </c>
      <c r="D2441" s="56" t="b">
        <v>0</v>
      </c>
      <c r="E2441" s="56">
        <f ca="1">IF(PV[[#This Row],[Business Date]]=Control!$C$6, PV[[#This Row],[Notional Value Local Cur]], -PV[[#This Row],[Notional Value Local Cur]])</f>
        <v>0</v>
      </c>
    </row>
    <row r="2442" spans="1:5" x14ac:dyDescent="0.25">
      <c r="A2442" s="36" t="b">
        <v>0</v>
      </c>
      <c r="B2442" s="56" t="b">
        <v>0</v>
      </c>
      <c r="C2442" s="56" t="b">
        <v>0</v>
      </c>
      <c r="D2442" s="56" t="b">
        <v>0</v>
      </c>
      <c r="E2442" s="56">
        <f ca="1">IF(PV[[#This Row],[Business Date]]=Control!$C$6, PV[[#This Row],[Notional Value Local Cur]], -PV[[#This Row],[Notional Value Local Cur]])</f>
        <v>0</v>
      </c>
    </row>
    <row r="2443" spans="1:5" x14ac:dyDescent="0.25">
      <c r="A2443" s="36" t="b">
        <v>0</v>
      </c>
      <c r="B2443" s="56" t="b">
        <v>0</v>
      </c>
      <c r="C2443" s="56" t="b">
        <v>0</v>
      </c>
      <c r="D2443" s="56" t="b">
        <v>0</v>
      </c>
      <c r="E2443" s="56">
        <f ca="1">IF(PV[[#This Row],[Business Date]]=Control!$C$6, PV[[#This Row],[Notional Value Local Cur]], -PV[[#This Row],[Notional Value Local Cur]])</f>
        <v>0</v>
      </c>
    </row>
    <row r="2444" spans="1:5" x14ac:dyDescent="0.25">
      <c r="A2444" s="36" t="b">
        <v>0</v>
      </c>
      <c r="B2444" s="56" t="b">
        <v>0</v>
      </c>
      <c r="C2444" s="56" t="b">
        <v>0</v>
      </c>
      <c r="D2444" s="56" t="b">
        <v>0</v>
      </c>
      <c r="E2444" s="56">
        <f ca="1">IF(PV[[#This Row],[Business Date]]=Control!$C$6, PV[[#This Row],[Notional Value Local Cur]], -PV[[#This Row],[Notional Value Local Cur]])</f>
        <v>0</v>
      </c>
    </row>
    <row r="2445" spans="1:5" x14ac:dyDescent="0.25">
      <c r="A2445" s="36" t="b">
        <v>0</v>
      </c>
      <c r="B2445" s="56" t="b">
        <v>0</v>
      </c>
      <c r="C2445" s="56" t="b">
        <v>0</v>
      </c>
      <c r="D2445" s="56" t="b">
        <v>0</v>
      </c>
      <c r="E2445" s="56">
        <f ca="1">IF(PV[[#This Row],[Business Date]]=Control!$C$6, PV[[#This Row],[Notional Value Local Cur]], -PV[[#This Row],[Notional Value Local Cur]])</f>
        <v>0</v>
      </c>
    </row>
    <row r="2446" spans="1:5" x14ac:dyDescent="0.25">
      <c r="A2446" s="36" t="b">
        <v>0</v>
      </c>
      <c r="B2446" s="56" t="b">
        <v>0</v>
      </c>
      <c r="C2446" s="56" t="b">
        <v>0</v>
      </c>
      <c r="D2446" s="56" t="b">
        <v>0</v>
      </c>
      <c r="E2446" s="56">
        <f ca="1">IF(PV[[#This Row],[Business Date]]=Control!$C$6, PV[[#This Row],[Notional Value Local Cur]], -PV[[#This Row],[Notional Value Local Cur]])</f>
        <v>0</v>
      </c>
    </row>
    <row r="2447" spans="1:5" x14ac:dyDescent="0.25">
      <c r="A2447" s="36" t="b">
        <v>0</v>
      </c>
      <c r="B2447" s="56" t="b">
        <v>0</v>
      </c>
      <c r="C2447" s="56" t="b">
        <v>0</v>
      </c>
      <c r="D2447" s="56" t="b">
        <v>0</v>
      </c>
      <c r="E2447" s="56">
        <f ca="1">IF(PV[[#This Row],[Business Date]]=Control!$C$6, PV[[#This Row],[Notional Value Local Cur]], -PV[[#This Row],[Notional Value Local Cur]])</f>
        <v>0</v>
      </c>
    </row>
    <row r="2448" spans="1:5" x14ac:dyDescent="0.25">
      <c r="A2448" s="36" t="b">
        <v>0</v>
      </c>
      <c r="B2448" s="56" t="b">
        <v>0</v>
      </c>
      <c r="C2448" s="56" t="b">
        <v>0</v>
      </c>
      <c r="D2448" s="56" t="b">
        <v>0</v>
      </c>
      <c r="E2448" s="56">
        <f ca="1">IF(PV[[#This Row],[Business Date]]=Control!$C$6, PV[[#This Row],[Notional Value Local Cur]], -PV[[#This Row],[Notional Value Local Cur]])</f>
        <v>0</v>
      </c>
    </row>
    <row r="2449" spans="1:5" x14ac:dyDescent="0.25">
      <c r="A2449" s="36" t="b">
        <v>0</v>
      </c>
      <c r="B2449" s="56" t="b">
        <v>0</v>
      </c>
      <c r="C2449" s="56" t="b">
        <v>0</v>
      </c>
      <c r="D2449" s="56" t="b">
        <v>0</v>
      </c>
      <c r="E2449" s="56">
        <f ca="1">IF(PV[[#This Row],[Business Date]]=Control!$C$6, PV[[#This Row],[Notional Value Local Cur]], -PV[[#This Row],[Notional Value Local Cur]])</f>
        <v>0</v>
      </c>
    </row>
    <row r="2450" spans="1:5" x14ac:dyDescent="0.25">
      <c r="A2450" s="36" t="b">
        <v>0</v>
      </c>
      <c r="B2450" s="56" t="b">
        <v>0</v>
      </c>
      <c r="C2450" s="56" t="b">
        <v>0</v>
      </c>
      <c r="D2450" s="56" t="b">
        <v>0</v>
      </c>
      <c r="E2450" s="56">
        <f ca="1">IF(PV[[#This Row],[Business Date]]=Control!$C$6, PV[[#This Row],[Notional Value Local Cur]], -PV[[#This Row],[Notional Value Local Cur]])</f>
        <v>0</v>
      </c>
    </row>
    <row r="2451" spans="1:5" x14ac:dyDescent="0.25">
      <c r="A2451" s="36" t="b">
        <v>0</v>
      </c>
      <c r="B2451" s="56" t="b">
        <v>0</v>
      </c>
      <c r="C2451" s="56" t="b">
        <v>0</v>
      </c>
      <c r="D2451" s="56" t="b">
        <v>0</v>
      </c>
      <c r="E2451" s="56">
        <f ca="1">IF(PV[[#This Row],[Business Date]]=Control!$C$6, PV[[#This Row],[Notional Value Local Cur]], -PV[[#This Row],[Notional Value Local Cur]])</f>
        <v>0</v>
      </c>
    </row>
    <row r="2452" spans="1:5" x14ac:dyDescent="0.25">
      <c r="A2452" s="36" t="b">
        <v>0</v>
      </c>
      <c r="B2452" s="56" t="b">
        <v>0</v>
      </c>
      <c r="C2452" s="56" t="b">
        <v>0</v>
      </c>
      <c r="D2452" s="56" t="b">
        <v>0</v>
      </c>
      <c r="E2452" s="56">
        <f ca="1">IF(PV[[#This Row],[Business Date]]=Control!$C$6, PV[[#This Row],[Notional Value Local Cur]], -PV[[#This Row],[Notional Value Local Cur]])</f>
        <v>0</v>
      </c>
    </row>
    <row r="2453" spans="1:5" x14ac:dyDescent="0.25">
      <c r="A2453" s="36" t="b">
        <v>0</v>
      </c>
      <c r="B2453" s="56" t="b">
        <v>0</v>
      </c>
      <c r="C2453" s="56" t="b">
        <v>0</v>
      </c>
      <c r="D2453" s="56" t="b">
        <v>0</v>
      </c>
      <c r="E2453" s="56">
        <f ca="1">IF(PV[[#This Row],[Business Date]]=Control!$C$6, PV[[#This Row],[Notional Value Local Cur]], -PV[[#This Row],[Notional Value Local Cur]])</f>
        <v>0</v>
      </c>
    </row>
    <row r="2454" spans="1:5" x14ac:dyDescent="0.25">
      <c r="A2454" s="36" t="b">
        <v>0</v>
      </c>
      <c r="B2454" s="56" t="b">
        <v>0</v>
      </c>
      <c r="C2454" s="56" t="b">
        <v>0</v>
      </c>
      <c r="D2454" s="56" t="b">
        <v>0</v>
      </c>
      <c r="E2454" s="56">
        <f ca="1">IF(PV[[#This Row],[Business Date]]=Control!$C$6, PV[[#This Row],[Notional Value Local Cur]], -PV[[#This Row],[Notional Value Local Cur]])</f>
        <v>0</v>
      </c>
    </row>
    <row r="2455" spans="1:5" x14ac:dyDescent="0.25">
      <c r="A2455" s="36" t="b">
        <v>0</v>
      </c>
      <c r="B2455" s="56" t="b">
        <v>0</v>
      </c>
      <c r="C2455" s="56" t="b">
        <v>0</v>
      </c>
      <c r="D2455" s="56" t="b">
        <v>0</v>
      </c>
      <c r="E2455" s="56">
        <f ca="1">IF(PV[[#This Row],[Business Date]]=Control!$C$6, PV[[#This Row],[Notional Value Local Cur]], -PV[[#This Row],[Notional Value Local Cur]])</f>
        <v>0</v>
      </c>
    </row>
    <row r="2456" spans="1:5" x14ac:dyDescent="0.25">
      <c r="A2456" s="36" t="b">
        <v>0</v>
      </c>
      <c r="B2456" s="56" t="b">
        <v>0</v>
      </c>
      <c r="C2456" s="56" t="b">
        <v>0</v>
      </c>
      <c r="D2456" s="56" t="b">
        <v>0</v>
      </c>
      <c r="E2456" s="56">
        <f ca="1">IF(PV[[#This Row],[Business Date]]=Control!$C$6, PV[[#This Row],[Notional Value Local Cur]], -PV[[#This Row],[Notional Value Local Cur]])</f>
        <v>0</v>
      </c>
    </row>
    <row r="2457" spans="1:5" x14ac:dyDescent="0.25">
      <c r="A2457" s="36" t="b">
        <v>0</v>
      </c>
      <c r="B2457" s="56" t="b">
        <v>0</v>
      </c>
      <c r="C2457" s="56" t="b">
        <v>0</v>
      </c>
      <c r="D2457" s="56" t="b">
        <v>0</v>
      </c>
      <c r="E2457" s="56">
        <f ca="1">IF(PV[[#This Row],[Business Date]]=Control!$C$6, PV[[#This Row],[Notional Value Local Cur]], -PV[[#This Row],[Notional Value Local Cur]])</f>
        <v>0</v>
      </c>
    </row>
    <row r="2458" spans="1:5" x14ac:dyDescent="0.25">
      <c r="A2458" s="36" t="b">
        <v>0</v>
      </c>
      <c r="B2458" s="56" t="b">
        <v>0</v>
      </c>
      <c r="C2458" s="56" t="b">
        <v>0</v>
      </c>
      <c r="D2458" s="56" t="b">
        <v>0</v>
      </c>
      <c r="E2458" s="56">
        <f ca="1">IF(PV[[#This Row],[Business Date]]=Control!$C$6, PV[[#This Row],[Notional Value Local Cur]], -PV[[#This Row],[Notional Value Local Cur]])</f>
        <v>0</v>
      </c>
    </row>
    <row r="2459" spans="1:5" x14ac:dyDescent="0.25">
      <c r="A2459" s="36" t="b">
        <v>0</v>
      </c>
      <c r="B2459" s="56" t="b">
        <v>0</v>
      </c>
      <c r="C2459" s="56" t="b">
        <v>0</v>
      </c>
      <c r="D2459" s="56" t="b">
        <v>0</v>
      </c>
      <c r="E2459" s="56">
        <f ca="1">IF(PV[[#This Row],[Business Date]]=Control!$C$6, PV[[#This Row],[Notional Value Local Cur]], -PV[[#This Row],[Notional Value Local Cur]])</f>
        <v>0</v>
      </c>
    </row>
    <row r="2460" spans="1:5" x14ac:dyDescent="0.25">
      <c r="A2460" s="36" t="b">
        <v>0</v>
      </c>
      <c r="B2460" s="56" t="b">
        <v>0</v>
      </c>
      <c r="C2460" s="56" t="b">
        <v>0</v>
      </c>
      <c r="D2460" s="56" t="b">
        <v>0</v>
      </c>
      <c r="E2460" s="56">
        <f ca="1">IF(PV[[#This Row],[Business Date]]=Control!$C$6, PV[[#This Row],[Notional Value Local Cur]], -PV[[#This Row],[Notional Value Local Cur]])</f>
        <v>0</v>
      </c>
    </row>
    <row r="2461" spans="1:5" x14ac:dyDescent="0.25">
      <c r="A2461" s="36" t="b">
        <v>0</v>
      </c>
      <c r="B2461" s="56" t="b">
        <v>0</v>
      </c>
      <c r="C2461" s="56" t="b">
        <v>0</v>
      </c>
      <c r="D2461" s="56" t="b">
        <v>0</v>
      </c>
      <c r="E2461" s="56">
        <f ca="1">IF(PV[[#This Row],[Business Date]]=Control!$C$6, PV[[#This Row],[Notional Value Local Cur]], -PV[[#This Row],[Notional Value Local Cur]])</f>
        <v>0</v>
      </c>
    </row>
    <row r="2462" spans="1:5" x14ac:dyDescent="0.25">
      <c r="A2462" s="36" t="b">
        <v>0</v>
      </c>
      <c r="B2462" s="56" t="b">
        <v>0</v>
      </c>
      <c r="C2462" s="56" t="b">
        <v>0</v>
      </c>
      <c r="D2462" s="56" t="b">
        <v>0</v>
      </c>
      <c r="E2462" s="56">
        <f ca="1">IF(PV[[#This Row],[Business Date]]=Control!$C$6, PV[[#This Row],[Notional Value Local Cur]], -PV[[#This Row],[Notional Value Local Cur]])</f>
        <v>0</v>
      </c>
    </row>
    <row r="2463" spans="1:5" x14ac:dyDescent="0.25">
      <c r="A2463" s="36" t="b">
        <v>0</v>
      </c>
      <c r="B2463" s="56" t="b">
        <v>0</v>
      </c>
      <c r="C2463" s="56" t="b">
        <v>0</v>
      </c>
      <c r="D2463" s="56" t="b">
        <v>0</v>
      </c>
      <c r="E2463" s="56">
        <f ca="1">IF(PV[[#This Row],[Business Date]]=Control!$C$6, PV[[#This Row],[Notional Value Local Cur]], -PV[[#This Row],[Notional Value Local Cur]])</f>
        <v>0</v>
      </c>
    </row>
    <row r="2464" spans="1:5" x14ac:dyDescent="0.25">
      <c r="A2464" s="36" t="b">
        <v>0</v>
      </c>
      <c r="B2464" s="56" t="b">
        <v>0</v>
      </c>
      <c r="C2464" s="56" t="b">
        <v>0</v>
      </c>
      <c r="D2464" s="56" t="b">
        <v>0</v>
      </c>
      <c r="E2464" s="56">
        <f ca="1">IF(PV[[#This Row],[Business Date]]=Control!$C$6, PV[[#This Row],[Notional Value Local Cur]], -PV[[#This Row],[Notional Value Local Cur]])</f>
        <v>0</v>
      </c>
    </row>
    <row r="2465" spans="1:5" x14ac:dyDescent="0.25">
      <c r="A2465" s="36" t="b">
        <v>0</v>
      </c>
      <c r="B2465" s="56" t="b">
        <v>0</v>
      </c>
      <c r="C2465" s="56" t="b">
        <v>0</v>
      </c>
      <c r="D2465" s="56" t="b">
        <v>0</v>
      </c>
      <c r="E2465" s="56">
        <f ca="1">IF(PV[[#This Row],[Business Date]]=Control!$C$6, PV[[#This Row],[Notional Value Local Cur]], -PV[[#This Row],[Notional Value Local Cur]])</f>
        <v>0</v>
      </c>
    </row>
    <row r="2466" spans="1:5" x14ac:dyDescent="0.25">
      <c r="A2466" s="36" t="b">
        <v>0</v>
      </c>
      <c r="B2466" s="56" t="b">
        <v>0</v>
      </c>
      <c r="C2466" s="56" t="b">
        <v>0</v>
      </c>
      <c r="D2466" s="56" t="b">
        <v>0</v>
      </c>
      <c r="E2466" s="56">
        <f ca="1">IF(PV[[#This Row],[Business Date]]=Control!$C$6, PV[[#This Row],[Notional Value Local Cur]], -PV[[#This Row],[Notional Value Local Cur]])</f>
        <v>0</v>
      </c>
    </row>
    <row r="2467" spans="1:5" x14ac:dyDescent="0.25">
      <c r="A2467" s="36" t="b">
        <v>0</v>
      </c>
      <c r="B2467" s="56" t="b">
        <v>0</v>
      </c>
      <c r="C2467" s="56" t="b">
        <v>0</v>
      </c>
      <c r="D2467" s="56" t="b">
        <v>0</v>
      </c>
      <c r="E2467" s="56">
        <f ca="1">IF(PV[[#This Row],[Business Date]]=Control!$C$6, PV[[#This Row],[Notional Value Local Cur]], -PV[[#This Row],[Notional Value Local Cur]])</f>
        <v>0</v>
      </c>
    </row>
    <row r="2468" spans="1:5" x14ac:dyDescent="0.25">
      <c r="A2468" s="36" t="b">
        <v>0</v>
      </c>
      <c r="B2468" s="56" t="b">
        <v>0</v>
      </c>
      <c r="C2468" s="56" t="b">
        <v>0</v>
      </c>
      <c r="D2468" s="56" t="b">
        <v>0</v>
      </c>
      <c r="E2468" s="56">
        <f ca="1">IF(PV[[#This Row],[Business Date]]=Control!$C$6, PV[[#This Row],[Notional Value Local Cur]], -PV[[#This Row],[Notional Value Local Cur]])</f>
        <v>0</v>
      </c>
    </row>
    <row r="2469" spans="1:5" x14ac:dyDescent="0.25">
      <c r="A2469" s="36" t="b">
        <v>0</v>
      </c>
      <c r="B2469" s="56" t="b">
        <v>0</v>
      </c>
      <c r="C2469" s="56" t="b">
        <v>0</v>
      </c>
      <c r="D2469" s="56" t="b">
        <v>0</v>
      </c>
      <c r="E2469" s="56">
        <f ca="1">IF(PV[[#This Row],[Business Date]]=Control!$C$6, PV[[#This Row],[Notional Value Local Cur]], -PV[[#This Row],[Notional Value Local Cur]])</f>
        <v>0</v>
      </c>
    </row>
    <row r="2470" spans="1:5" x14ac:dyDescent="0.25">
      <c r="A2470" s="36" t="b">
        <v>0</v>
      </c>
      <c r="B2470" s="56" t="b">
        <v>0</v>
      </c>
      <c r="C2470" s="56" t="b">
        <v>0</v>
      </c>
      <c r="D2470" s="56" t="b">
        <v>0</v>
      </c>
      <c r="E2470" s="56">
        <f ca="1">IF(PV[[#This Row],[Business Date]]=Control!$C$6, PV[[#This Row],[Notional Value Local Cur]], -PV[[#This Row],[Notional Value Local Cur]])</f>
        <v>0</v>
      </c>
    </row>
    <row r="2471" spans="1:5" x14ac:dyDescent="0.25">
      <c r="A2471" s="36" t="b">
        <v>0</v>
      </c>
      <c r="B2471" s="56" t="b">
        <v>0</v>
      </c>
      <c r="C2471" s="56" t="b">
        <v>0</v>
      </c>
      <c r="D2471" s="56" t="b">
        <v>0</v>
      </c>
      <c r="E2471" s="56">
        <f ca="1">IF(PV[[#This Row],[Business Date]]=Control!$C$6, PV[[#This Row],[Notional Value Local Cur]], -PV[[#This Row],[Notional Value Local Cur]])</f>
        <v>0</v>
      </c>
    </row>
    <row r="2472" spans="1:5" x14ac:dyDescent="0.25">
      <c r="A2472" s="36" t="b">
        <v>0</v>
      </c>
      <c r="B2472" s="56" t="b">
        <v>0</v>
      </c>
      <c r="C2472" s="56" t="b">
        <v>0</v>
      </c>
      <c r="D2472" s="56" t="b">
        <v>0</v>
      </c>
      <c r="E2472" s="56">
        <f ca="1">IF(PV[[#This Row],[Business Date]]=Control!$C$6, PV[[#This Row],[Notional Value Local Cur]], -PV[[#This Row],[Notional Value Local Cur]])</f>
        <v>0</v>
      </c>
    </row>
    <row r="2473" spans="1:5" x14ac:dyDescent="0.25">
      <c r="A2473" s="36" t="b">
        <v>0</v>
      </c>
      <c r="B2473" s="56" t="b">
        <v>0</v>
      </c>
      <c r="C2473" s="56" t="b">
        <v>0</v>
      </c>
      <c r="D2473" s="56" t="b">
        <v>0</v>
      </c>
      <c r="E2473" s="56">
        <f ca="1">IF(PV[[#This Row],[Business Date]]=Control!$C$6, PV[[#This Row],[Notional Value Local Cur]], -PV[[#This Row],[Notional Value Local Cur]])</f>
        <v>0</v>
      </c>
    </row>
    <row r="2474" spans="1:5" x14ac:dyDescent="0.25">
      <c r="A2474" s="36" t="b">
        <v>0</v>
      </c>
      <c r="B2474" s="56" t="b">
        <v>0</v>
      </c>
      <c r="C2474" s="56" t="b">
        <v>0</v>
      </c>
      <c r="D2474" s="56" t="b">
        <v>0</v>
      </c>
      <c r="E2474" s="56">
        <f ca="1">IF(PV[[#This Row],[Business Date]]=Control!$C$6, PV[[#This Row],[Notional Value Local Cur]], -PV[[#This Row],[Notional Value Local Cur]])</f>
        <v>0</v>
      </c>
    </row>
    <row r="2475" spans="1:5" x14ac:dyDescent="0.25">
      <c r="A2475" s="36" t="b">
        <v>0</v>
      </c>
      <c r="B2475" s="56" t="b">
        <v>0</v>
      </c>
      <c r="C2475" s="56" t="b">
        <v>0</v>
      </c>
      <c r="D2475" s="56" t="b">
        <v>0</v>
      </c>
      <c r="E2475" s="56">
        <f ca="1">IF(PV[[#This Row],[Business Date]]=Control!$C$6, PV[[#This Row],[Notional Value Local Cur]], -PV[[#This Row],[Notional Value Local Cur]])</f>
        <v>0</v>
      </c>
    </row>
    <row r="2476" spans="1:5" x14ac:dyDescent="0.25">
      <c r="A2476" s="36" t="b">
        <v>0</v>
      </c>
      <c r="B2476" s="56" t="b">
        <v>0</v>
      </c>
      <c r="C2476" s="56" t="b">
        <v>0</v>
      </c>
      <c r="D2476" s="56" t="b">
        <v>0</v>
      </c>
      <c r="E2476" s="56">
        <f ca="1">IF(PV[[#This Row],[Business Date]]=Control!$C$6, PV[[#This Row],[Notional Value Local Cur]], -PV[[#This Row],[Notional Value Local Cur]])</f>
        <v>0</v>
      </c>
    </row>
    <row r="2477" spans="1:5" x14ac:dyDescent="0.25">
      <c r="A2477" s="36" t="b">
        <v>0</v>
      </c>
      <c r="B2477" s="56" t="b">
        <v>0</v>
      </c>
      <c r="C2477" s="56" t="b">
        <v>0</v>
      </c>
      <c r="D2477" s="56" t="b">
        <v>0</v>
      </c>
      <c r="E2477" s="56">
        <f ca="1">IF(PV[[#This Row],[Business Date]]=Control!$C$6, PV[[#This Row],[Notional Value Local Cur]], -PV[[#This Row],[Notional Value Local Cur]])</f>
        <v>0</v>
      </c>
    </row>
    <row r="2478" spans="1:5" x14ac:dyDescent="0.25">
      <c r="A2478" s="36" t="b">
        <v>0</v>
      </c>
      <c r="B2478" s="56" t="b">
        <v>0</v>
      </c>
      <c r="C2478" s="56" t="b">
        <v>0</v>
      </c>
      <c r="D2478" s="56" t="b">
        <v>0</v>
      </c>
      <c r="E2478" s="56">
        <f ca="1">IF(PV[[#This Row],[Business Date]]=Control!$C$6, PV[[#This Row],[Notional Value Local Cur]], -PV[[#This Row],[Notional Value Local Cur]])</f>
        <v>0</v>
      </c>
    </row>
    <row r="2479" spans="1:5" x14ac:dyDescent="0.25">
      <c r="A2479" s="36" t="b">
        <v>0</v>
      </c>
      <c r="B2479" s="56" t="b">
        <v>0</v>
      </c>
      <c r="C2479" s="56" t="b">
        <v>0</v>
      </c>
      <c r="D2479" s="56" t="b">
        <v>0</v>
      </c>
      <c r="E2479" s="56">
        <f ca="1">IF(PV[[#This Row],[Business Date]]=Control!$C$6, PV[[#This Row],[Notional Value Local Cur]], -PV[[#This Row],[Notional Value Local Cur]])</f>
        <v>0</v>
      </c>
    </row>
    <row r="2480" spans="1:5" x14ac:dyDescent="0.25">
      <c r="A2480" s="36" t="b">
        <v>0</v>
      </c>
      <c r="B2480" s="56" t="b">
        <v>0</v>
      </c>
      <c r="C2480" s="56" t="b">
        <v>0</v>
      </c>
      <c r="D2480" s="56" t="b">
        <v>0</v>
      </c>
      <c r="E2480" s="56">
        <f ca="1">IF(PV[[#This Row],[Business Date]]=Control!$C$6, PV[[#This Row],[Notional Value Local Cur]], -PV[[#This Row],[Notional Value Local Cur]])</f>
        <v>0</v>
      </c>
    </row>
    <row r="2481" spans="1:5" x14ac:dyDescent="0.25">
      <c r="A2481" s="36" t="b">
        <v>0</v>
      </c>
      <c r="B2481" s="56" t="b">
        <v>0</v>
      </c>
      <c r="C2481" s="56" t="b">
        <v>0</v>
      </c>
      <c r="D2481" s="56" t="b">
        <v>0</v>
      </c>
      <c r="E2481" s="56">
        <f ca="1">IF(PV[[#This Row],[Business Date]]=Control!$C$6, PV[[#This Row],[Notional Value Local Cur]], -PV[[#This Row],[Notional Value Local Cur]])</f>
        <v>0</v>
      </c>
    </row>
    <row r="2482" spans="1:5" x14ac:dyDescent="0.25">
      <c r="A2482" s="36" t="b">
        <v>0</v>
      </c>
      <c r="B2482" s="56" t="b">
        <v>0</v>
      </c>
      <c r="C2482" s="56" t="b">
        <v>0</v>
      </c>
      <c r="D2482" s="56" t="b">
        <v>0</v>
      </c>
      <c r="E2482" s="56">
        <f ca="1">IF(PV[[#This Row],[Business Date]]=Control!$C$6, PV[[#This Row],[Notional Value Local Cur]], -PV[[#This Row],[Notional Value Local Cur]])</f>
        <v>0</v>
      </c>
    </row>
    <row r="2483" spans="1:5" x14ac:dyDescent="0.25">
      <c r="A2483" s="36" t="b">
        <v>0</v>
      </c>
      <c r="B2483" s="56" t="b">
        <v>0</v>
      </c>
      <c r="C2483" s="56" t="b">
        <v>0</v>
      </c>
      <c r="D2483" s="56" t="b">
        <v>0</v>
      </c>
      <c r="E2483" s="56">
        <f ca="1">IF(PV[[#This Row],[Business Date]]=Control!$C$6, PV[[#This Row],[Notional Value Local Cur]], -PV[[#This Row],[Notional Value Local Cur]])</f>
        <v>0</v>
      </c>
    </row>
    <row r="2484" spans="1:5" x14ac:dyDescent="0.25">
      <c r="A2484" s="36" t="b">
        <v>0</v>
      </c>
      <c r="B2484" s="56" t="b">
        <v>0</v>
      </c>
      <c r="C2484" s="56" t="b">
        <v>0</v>
      </c>
      <c r="D2484" s="56" t="b">
        <v>0</v>
      </c>
      <c r="E2484" s="56">
        <f ca="1">IF(PV[[#This Row],[Business Date]]=Control!$C$6, PV[[#This Row],[Notional Value Local Cur]], -PV[[#This Row],[Notional Value Local Cur]])</f>
        <v>0</v>
      </c>
    </row>
    <row r="2485" spans="1:5" x14ac:dyDescent="0.25">
      <c r="A2485" s="36" t="b">
        <v>0</v>
      </c>
      <c r="B2485" s="56" t="b">
        <v>0</v>
      </c>
      <c r="C2485" s="56" t="b">
        <v>0</v>
      </c>
      <c r="D2485" s="56" t="b">
        <v>0</v>
      </c>
      <c r="E2485" s="56">
        <f ca="1">IF(PV[[#This Row],[Business Date]]=Control!$C$6, PV[[#This Row],[Notional Value Local Cur]], -PV[[#This Row],[Notional Value Local Cur]])</f>
        <v>0</v>
      </c>
    </row>
    <row r="2486" spans="1:5" x14ac:dyDescent="0.25">
      <c r="A2486" s="36" t="b">
        <v>0</v>
      </c>
      <c r="B2486" s="56" t="b">
        <v>0</v>
      </c>
      <c r="C2486" s="56" t="b">
        <v>0</v>
      </c>
      <c r="D2486" s="56" t="b">
        <v>0</v>
      </c>
      <c r="E2486" s="56">
        <f ca="1">IF(PV[[#This Row],[Business Date]]=Control!$C$6, PV[[#This Row],[Notional Value Local Cur]], -PV[[#This Row],[Notional Value Local Cur]])</f>
        <v>0</v>
      </c>
    </row>
    <row r="2487" spans="1:5" x14ac:dyDescent="0.25">
      <c r="A2487" s="36" t="b">
        <v>0</v>
      </c>
      <c r="B2487" s="56" t="b">
        <v>0</v>
      </c>
      <c r="C2487" s="56" t="b">
        <v>0</v>
      </c>
      <c r="D2487" s="56" t="b">
        <v>0</v>
      </c>
      <c r="E2487" s="56">
        <f ca="1">IF(PV[[#This Row],[Business Date]]=Control!$C$6, PV[[#This Row],[Notional Value Local Cur]], -PV[[#This Row],[Notional Value Local Cur]])</f>
        <v>0</v>
      </c>
    </row>
    <row r="2488" spans="1:5" x14ac:dyDescent="0.25">
      <c r="A2488" s="36" t="b">
        <v>0</v>
      </c>
      <c r="B2488" s="56" t="b">
        <v>0</v>
      </c>
      <c r="C2488" s="56" t="b">
        <v>0</v>
      </c>
      <c r="D2488" s="56" t="b">
        <v>0</v>
      </c>
      <c r="E2488" s="56">
        <f ca="1">IF(PV[[#This Row],[Business Date]]=Control!$C$6, PV[[#This Row],[Notional Value Local Cur]], -PV[[#This Row],[Notional Value Local Cur]])</f>
        <v>0</v>
      </c>
    </row>
    <row r="2489" spans="1:5" x14ac:dyDescent="0.25">
      <c r="A2489" s="36" t="b">
        <v>0</v>
      </c>
      <c r="B2489" s="56" t="b">
        <v>0</v>
      </c>
      <c r="C2489" s="56" t="b">
        <v>0</v>
      </c>
      <c r="D2489" s="56" t="b">
        <v>0</v>
      </c>
      <c r="E2489" s="56">
        <f ca="1">IF(PV[[#This Row],[Business Date]]=Control!$C$6, PV[[#This Row],[Notional Value Local Cur]], -PV[[#This Row],[Notional Value Local Cur]])</f>
        <v>0</v>
      </c>
    </row>
    <row r="2490" spans="1:5" x14ac:dyDescent="0.25">
      <c r="A2490" s="36" t="b">
        <v>0</v>
      </c>
      <c r="B2490" s="56" t="b">
        <v>0</v>
      </c>
      <c r="C2490" s="56" t="b">
        <v>0</v>
      </c>
      <c r="D2490" s="56" t="b">
        <v>0</v>
      </c>
      <c r="E2490" s="56">
        <f ca="1">IF(PV[[#This Row],[Business Date]]=Control!$C$6, PV[[#This Row],[Notional Value Local Cur]], -PV[[#This Row],[Notional Value Local Cur]])</f>
        <v>0</v>
      </c>
    </row>
    <row r="2491" spans="1:5" x14ac:dyDescent="0.25">
      <c r="A2491" s="36" t="b">
        <v>0</v>
      </c>
      <c r="B2491" s="56" t="b">
        <v>0</v>
      </c>
      <c r="C2491" s="56" t="b">
        <v>0</v>
      </c>
      <c r="D2491" s="56" t="b">
        <v>0</v>
      </c>
      <c r="E2491" s="56">
        <f ca="1">IF(PV[[#This Row],[Business Date]]=Control!$C$6, PV[[#This Row],[Notional Value Local Cur]], -PV[[#This Row],[Notional Value Local Cur]])</f>
        <v>0</v>
      </c>
    </row>
    <row r="2492" spans="1:5" x14ac:dyDescent="0.25">
      <c r="A2492" s="36" t="b">
        <v>0</v>
      </c>
      <c r="B2492" s="56" t="b">
        <v>0</v>
      </c>
      <c r="C2492" s="56" t="b">
        <v>0</v>
      </c>
      <c r="D2492" s="56" t="b">
        <v>0</v>
      </c>
      <c r="E2492" s="56">
        <f ca="1">IF(PV[[#This Row],[Business Date]]=Control!$C$6, PV[[#This Row],[Notional Value Local Cur]], -PV[[#This Row],[Notional Value Local Cur]])</f>
        <v>0</v>
      </c>
    </row>
    <row r="2493" spans="1:5" x14ac:dyDescent="0.25">
      <c r="A2493" s="36" t="b">
        <v>0</v>
      </c>
      <c r="B2493" s="56" t="b">
        <v>0</v>
      </c>
      <c r="C2493" s="56" t="b">
        <v>0</v>
      </c>
      <c r="D2493" s="56" t="b">
        <v>0</v>
      </c>
      <c r="E2493" s="56">
        <f ca="1">IF(PV[[#This Row],[Business Date]]=Control!$C$6, PV[[#This Row],[Notional Value Local Cur]], -PV[[#This Row],[Notional Value Local Cur]])</f>
        <v>0</v>
      </c>
    </row>
    <row r="2494" spans="1:5" x14ac:dyDescent="0.25">
      <c r="A2494" s="36" t="b">
        <v>0</v>
      </c>
      <c r="B2494" s="56" t="b">
        <v>0</v>
      </c>
      <c r="C2494" s="56" t="b">
        <v>0</v>
      </c>
      <c r="D2494" s="56" t="b">
        <v>0</v>
      </c>
      <c r="E2494" s="56">
        <f ca="1">IF(PV[[#This Row],[Business Date]]=Control!$C$6, PV[[#This Row],[Notional Value Local Cur]], -PV[[#This Row],[Notional Value Local Cur]])</f>
        <v>0</v>
      </c>
    </row>
    <row r="2495" spans="1:5" x14ac:dyDescent="0.25">
      <c r="A2495" s="36" t="b">
        <v>0</v>
      </c>
      <c r="B2495" s="56" t="b">
        <v>0</v>
      </c>
      <c r="C2495" s="56" t="b">
        <v>0</v>
      </c>
      <c r="D2495" s="56" t="b">
        <v>0</v>
      </c>
      <c r="E2495" s="56">
        <f ca="1">IF(PV[[#This Row],[Business Date]]=Control!$C$6, PV[[#This Row],[Notional Value Local Cur]], -PV[[#This Row],[Notional Value Local Cur]])</f>
        <v>0</v>
      </c>
    </row>
    <row r="2496" spans="1:5" x14ac:dyDescent="0.25">
      <c r="A2496" s="36" t="b">
        <v>0</v>
      </c>
      <c r="B2496" s="56" t="b">
        <v>0</v>
      </c>
      <c r="C2496" s="56" t="b">
        <v>0</v>
      </c>
      <c r="D2496" s="56" t="b">
        <v>0</v>
      </c>
      <c r="E2496" s="56">
        <f ca="1">IF(PV[[#This Row],[Business Date]]=Control!$C$6, PV[[#This Row],[Notional Value Local Cur]], -PV[[#This Row],[Notional Value Local Cur]])</f>
        <v>0</v>
      </c>
    </row>
    <row r="2497" spans="1:5" x14ac:dyDescent="0.25">
      <c r="A2497" s="36" t="b">
        <v>0</v>
      </c>
      <c r="B2497" s="56" t="b">
        <v>0</v>
      </c>
      <c r="C2497" s="56" t="b">
        <v>0</v>
      </c>
      <c r="D2497" s="56" t="b">
        <v>0</v>
      </c>
      <c r="E2497" s="56">
        <f ca="1">IF(PV[[#This Row],[Business Date]]=Control!$C$6, PV[[#This Row],[Notional Value Local Cur]], -PV[[#This Row],[Notional Value Local Cur]])</f>
        <v>0</v>
      </c>
    </row>
    <row r="2498" spans="1:5" x14ac:dyDescent="0.25">
      <c r="A2498" s="36" t="b">
        <v>0</v>
      </c>
      <c r="B2498" s="56" t="b">
        <v>0</v>
      </c>
      <c r="C2498" s="56" t="b">
        <v>0</v>
      </c>
      <c r="D2498" s="56" t="b">
        <v>0</v>
      </c>
      <c r="E2498" s="56">
        <f ca="1">IF(PV[[#This Row],[Business Date]]=Control!$C$6, PV[[#This Row],[Notional Value Local Cur]], -PV[[#This Row],[Notional Value Local Cur]])</f>
        <v>0</v>
      </c>
    </row>
    <row r="2499" spans="1:5" x14ac:dyDescent="0.25">
      <c r="A2499" s="36" t="b">
        <v>0</v>
      </c>
      <c r="B2499" s="56" t="b">
        <v>0</v>
      </c>
      <c r="C2499" s="56" t="b">
        <v>0</v>
      </c>
      <c r="D2499" s="56" t="b">
        <v>0</v>
      </c>
      <c r="E2499" s="56">
        <f ca="1">IF(PV[[#This Row],[Business Date]]=Control!$C$6, PV[[#This Row],[Notional Value Local Cur]], -PV[[#This Row],[Notional Value Local Cur]])</f>
        <v>0</v>
      </c>
    </row>
    <row r="2500" spans="1:5" x14ac:dyDescent="0.25">
      <c r="A2500" s="36" t="b">
        <v>0</v>
      </c>
      <c r="B2500" s="56" t="b">
        <v>0</v>
      </c>
      <c r="C2500" s="56" t="b">
        <v>0</v>
      </c>
      <c r="D2500" s="56" t="b">
        <v>0</v>
      </c>
      <c r="E2500" s="56">
        <f ca="1">IF(PV[[#This Row],[Business Date]]=Control!$C$6, PV[[#This Row],[Notional Value Local Cur]], -PV[[#This Row],[Notional Value Local Cur]])</f>
        <v>0</v>
      </c>
    </row>
    <row r="2501" spans="1:5" x14ac:dyDescent="0.25">
      <c r="A2501" s="36" t="b">
        <v>0</v>
      </c>
      <c r="B2501" s="56" t="b">
        <v>0</v>
      </c>
      <c r="C2501" s="56" t="b">
        <v>0</v>
      </c>
      <c r="D2501" s="56" t="b">
        <v>0</v>
      </c>
      <c r="E2501" s="56">
        <f ca="1">IF(PV[[#This Row],[Business Date]]=Control!$C$6, PV[[#This Row],[Notional Value Local Cur]], -PV[[#This Row],[Notional Value Local Cur]])</f>
        <v>0</v>
      </c>
    </row>
    <row r="2502" spans="1:5" x14ac:dyDescent="0.25">
      <c r="A2502" s="36" t="b">
        <v>0</v>
      </c>
      <c r="B2502" s="56" t="b">
        <v>0</v>
      </c>
      <c r="C2502" s="56" t="b">
        <v>0</v>
      </c>
      <c r="D2502" s="56" t="b">
        <v>0</v>
      </c>
      <c r="E2502" s="56">
        <f ca="1">IF(PV[[#This Row],[Business Date]]=Control!$C$6, PV[[#This Row],[Notional Value Local Cur]], -PV[[#This Row],[Notional Value Local Cur]])</f>
        <v>0</v>
      </c>
    </row>
    <row r="2503" spans="1:5" x14ac:dyDescent="0.25">
      <c r="A2503" s="36" t="b">
        <v>0</v>
      </c>
      <c r="B2503" s="56" t="b">
        <v>0</v>
      </c>
      <c r="C2503" s="56" t="b">
        <v>0</v>
      </c>
      <c r="D2503" s="56" t="b">
        <v>0</v>
      </c>
      <c r="E2503" s="56">
        <f ca="1">IF(PV[[#This Row],[Business Date]]=Control!$C$6, PV[[#This Row],[Notional Value Local Cur]], -PV[[#This Row],[Notional Value Local Cur]])</f>
        <v>0</v>
      </c>
    </row>
    <row r="2504" spans="1:5" x14ac:dyDescent="0.25">
      <c r="A2504" s="36" t="b">
        <v>0</v>
      </c>
      <c r="B2504" s="56" t="b">
        <v>0</v>
      </c>
      <c r="C2504" s="56" t="b">
        <v>0</v>
      </c>
      <c r="D2504" s="56" t="b">
        <v>0</v>
      </c>
      <c r="E2504" s="56">
        <f ca="1">IF(PV[[#This Row],[Business Date]]=Control!$C$6, PV[[#This Row],[Notional Value Local Cur]], -PV[[#This Row],[Notional Value Local Cur]])</f>
        <v>0</v>
      </c>
    </row>
    <row r="2505" spans="1:5" x14ac:dyDescent="0.25">
      <c r="A2505" s="36" t="b">
        <v>0</v>
      </c>
      <c r="B2505" s="56" t="b">
        <v>0</v>
      </c>
      <c r="C2505" s="56" t="b">
        <v>0</v>
      </c>
      <c r="D2505" s="56" t="b">
        <v>0</v>
      </c>
      <c r="E2505" s="56">
        <f ca="1">IF(PV[[#This Row],[Business Date]]=Control!$C$6, PV[[#This Row],[Notional Value Local Cur]], -PV[[#This Row],[Notional Value Local Cur]])</f>
        <v>0</v>
      </c>
    </row>
    <row r="2506" spans="1:5" x14ac:dyDescent="0.25">
      <c r="A2506" s="36" t="b">
        <v>0</v>
      </c>
      <c r="B2506" s="56" t="b">
        <v>0</v>
      </c>
      <c r="C2506" s="56" t="b">
        <v>0</v>
      </c>
      <c r="D2506" s="56" t="b">
        <v>0</v>
      </c>
      <c r="E2506" s="56">
        <f ca="1">IF(PV[[#This Row],[Business Date]]=Control!$C$6, PV[[#This Row],[Notional Value Local Cur]], -PV[[#This Row],[Notional Value Local Cur]])</f>
        <v>0</v>
      </c>
    </row>
    <row r="2507" spans="1:5" x14ac:dyDescent="0.25">
      <c r="A2507" s="36" t="b">
        <v>0</v>
      </c>
      <c r="B2507" s="56" t="b">
        <v>0</v>
      </c>
      <c r="C2507" s="56" t="b">
        <v>0</v>
      </c>
      <c r="D2507" s="56" t="b">
        <v>0</v>
      </c>
      <c r="E2507" s="56">
        <f ca="1">IF(PV[[#This Row],[Business Date]]=Control!$C$6, PV[[#This Row],[Notional Value Local Cur]], -PV[[#This Row],[Notional Value Local Cur]])</f>
        <v>0</v>
      </c>
    </row>
    <row r="2508" spans="1:5" x14ac:dyDescent="0.25">
      <c r="A2508" s="36" t="b">
        <v>0</v>
      </c>
      <c r="B2508" s="56" t="b">
        <v>0</v>
      </c>
      <c r="C2508" s="56" t="b">
        <v>0</v>
      </c>
      <c r="D2508" s="56" t="b">
        <v>0</v>
      </c>
      <c r="E2508" s="56">
        <f ca="1">IF(PV[[#This Row],[Business Date]]=Control!$C$6, PV[[#This Row],[Notional Value Local Cur]], -PV[[#This Row],[Notional Value Local Cur]])</f>
        <v>0</v>
      </c>
    </row>
    <row r="2509" spans="1:5" x14ac:dyDescent="0.25">
      <c r="A2509" s="36" t="b">
        <v>0</v>
      </c>
      <c r="B2509" s="56" t="b">
        <v>0</v>
      </c>
      <c r="C2509" s="56" t="b">
        <v>0</v>
      </c>
      <c r="D2509" s="56" t="b">
        <v>0</v>
      </c>
      <c r="E2509" s="56">
        <f ca="1">IF(PV[[#This Row],[Business Date]]=Control!$C$6, PV[[#This Row],[Notional Value Local Cur]], -PV[[#This Row],[Notional Value Local Cur]])</f>
        <v>0</v>
      </c>
    </row>
    <row r="2510" spans="1:5" x14ac:dyDescent="0.25">
      <c r="A2510" s="36" t="b">
        <v>0</v>
      </c>
      <c r="B2510" s="56" t="b">
        <v>0</v>
      </c>
      <c r="C2510" s="56" t="b">
        <v>0</v>
      </c>
      <c r="D2510" s="56" t="b">
        <v>0</v>
      </c>
      <c r="E2510" s="56">
        <f ca="1">IF(PV[[#This Row],[Business Date]]=Control!$C$6, PV[[#This Row],[Notional Value Local Cur]], -PV[[#This Row],[Notional Value Local Cur]])</f>
        <v>0</v>
      </c>
    </row>
    <row r="2511" spans="1:5" x14ac:dyDescent="0.25">
      <c r="A2511" s="36" t="b">
        <v>0</v>
      </c>
      <c r="B2511" s="56" t="b">
        <v>0</v>
      </c>
      <c r="C2511" s="56" t="b">
        <v>0</v>
      </c>
      <c r="D2511" s="56" t="b">
        <v>0</v>
      </c>
      <c r="E2511" s="56">
        <f ca="1">IF(PV[[#This Row],[Business Date]]=Control!$C$6, PV[[#This Row],[Notional Value Local Cur]], -PV[[#This Row],[Notional Value Local Cur]])</f>
        <v>0</v>
      </c>
    </row>
    <row r="2512" spans="1:5" x14ac:dyDescent="0.25">
      <c r="A2512" s="36" t="b">
        <v>0</v>
      </c>
      <c r="B2512" s="56" t="b">
        <v>0</v>
      </c>
      <c r="C2512" s="56" t="b">
        <v>0</v>
      </c>
      <c r="D2512" s="56" t="b">
        <v>0</v>
      </c>
      <c r="E2512" s="56">
        <f ca="1">IF(PV[[#This Row],[Business Date]]=Control!$C$6, PV[[#This Row],[Notional Value Local Cur]], -PV[[#This Row],[Notional Value Local Cur]])</f>
        <v>0</v>
      </c>
    </row>
    <row r="2513" spans="1:5" x14ac:dyDescent="0.25">
      <c r="A2513" s="36" t="b">
        <v>0</v>
      </c>
      <c r="B2513" s="56" t="b">
        <v>0</v>
      </c>
      <c r="C2513" s="56" t="b">
        <v>0</v>
      </c>
      <c r="D2513" s="56" t="b">
        <v>0</v>
      </c>
      <c r="E2513" s="56">
        <f ca="1">IF(PV[[#This Row],[Business Date]]=Control!$C$6, PV[[#This Row],[Notional Value Local Cur]], -PV[[#This Row],[Notional Value Local Cur]])</f>
        <v>0</v>
      </c>
    </row>
    <row r="2514" spans="1:5" x14ac:dyDescent="0.25">
      <c r="A2514" s="36" t="b">
        <v>0</v>
      </c>
      <c r="B2514" s="56" t="b">
        <v>0</v>
      </c>
      <c r="C2514" s="56" t="b">
        <v>0</v>
      </c>
      <c r="D2514" s="56" t="b">
        <v>0</v>
      </c>
      <c r="E2514" s="56">
        <f ca="1">IF(PV[[#This Row],[Business Date]]=Control!$C$6, PV[[#This Row],[Notional Value Local Cur]], -PV[[#This Row],[Notional Value Local Cur]])</f>
        <v>0</v>
      </c>
    </row>
    <row r="2515" spans="1:5" x14ac:dyDescent="0.25">
      <c r="A2515" s="36" t="b">
        <v>0</v>
      </c>
      <c r="B2515" s="56" t="b">
        <v>0</v>
      </c>
      <c r="C2515" s="56" t="b">
        <v>0</v>
      </c>
      <c r="D2515" s="56" t="b">
        <v>0</v>
      </c>
      <c r="E2515" s="56">
        <f ca="1">IF(PV[[#This Row],[Business Date]]=Control!$C$6, PV[[#This Row],[Notional Value Local Cur]], -PV[[#This Row],[Notional Value Local Cur]])</f>
        <v>0</v>
      </c>
    </row>
    <row r="2516" spans="1:5" x14ac:dyDescent="0.25">
      <c r="A2516" s="36" t="b">
        <v>0</v>
      </c>
      <c r="B2516" s="56" t="b">
        <v>0</v>
      </c>
      <c r="C2516" s="56" t="b">
        <v>0</v>
      </c>
      <c r="D2516" s="56" t="b">
        <v>0</v>
      </c>
      <c r="E2516" s="56">
        <f ca="1">IF(PV[[#This Row],[Business Date]]=Control!$C$6, PV[[#This Row],[Notional Value Local Cur]], -PV[[#This Row],[Notional Value Local Cur]])</f>
        <v>0</v>
      </c>
    </row>
    <row r="2517" spans="1:5" x14ac:dyDescent="0.25">
      <c r="A2517" s="36" t="b">
        <v>0</v>
      </c>
      <c r="B2517" s="56" t="b">
        <v>0</v>
      </c>
      <c r="C2517" s="56" t="b">
        <v>0</v>
      </c>
      <c r="D2517" s="56" t="b">
        <v>0</v>
      </c>
      <c r="E2517" s="56">
        <f ca="1">IF(PV[[#This Row],[Business Date]]=Control!$C$6, PV[[#This Row],[Notional Value Local Cur]], -PV[[#This Row],[Notional Value Local Cur]])</f>
        <v>0</v>
      </c>
    </row>
    <row r="2518" spans="1:5" x14ac:dyDescent="0.25">
      <c r="A2518" s="36" t="b">
        <v>0</v>
      </c>
      <c r="B2518" s="56" t="b">
        <v>0</v>
      </c>
      <c r="C2518" s="56" t="b">
        <v>0</v>
      </c>
      <c r="D2518" s="56" t="b">
        <v>0</v>
      </c>
      <c r="E2518" s="56">
        <f ca="1">IF(PV[[#This Row],[Business Date]]=Control!$C$6, PV[[#This Row],[Notional Value Local Cur]], -PV[[#This Row],[Notional Value Local Cur]])</f>
        <v>0</v>
      </c>
    </row>
    <row r="2519" spans="1:5" x14ac:dyDescent="0.25">
      <c r="A2519" s="36" t="b">
        <v>0</v>
      </c>
      <c r="B2519" s="56" t="b">
        <v>0</v>
      </c>
      <c r="C2519" s="56" t="b">
        <v>0</v>
      </c>
      <c r="D2519" s="56" t="b">
        <v>0</v>
      </c>
      <c r="E2519" s="56">
        <f ca="1">IF(PV[[#This Row],[Business Date]]=Control!$C$6, PV[[#This Row],[Notional Value Local Cur]], -PV[[#This Row],[Notional Value Local Cur]])</f>
        <v>0</v>
      </c>
    </row>
    <row r="2520" spans="1:5" x14ac:dyDescent="0.25">
      <c r="A2520" s="36" t="b">
        <v>0</v>
      </c>
      <c r="B2520" s="56" t="b">
        <v>0</v>
      </c>
      <c r="C2520" s="56" t="b">
        <v>0</v>
      </c>
      <c r="D2520" s="56" t="b">
        <v>0</v>
      </c>
      <c r="E2520" s="56">
        <f ca="1">IF(PV[[#This Row],[Business Date]]=Control!$C$6, PV[[#This Row],[Notional Value Local Cur]], -PV[[#This Row],[Notional Value Local Cur]])</f>
        <v>0</v>
      </c>
    </row>
    <row r="2521" spans="1:5" x14ac:dyDescent="0.25">
      <c r="A2521" s="36" t="b">
        <v>0</v>
      </c>
      <c r="B2521" s="56" t="b">
        <v>0</v>
      </c>
      <c r="C2521" s="56" t="b">
        <v>0</v>
      </c>
      <c r="D2521" s="56" t="b">
        <v>0</v>
      </c>
      <c r="E2521" s="56">
        <f ca="1">IF(PV[[#This Row],[Business Date]]=Control!$C$6, PV[[#This Row],[Notional Value Local Cur]], -PV[[#This Row],[Notional Value Local Cur]])</f>
        <v>0</v>
      </c>
    </row>
    <row r="2522" spans="1:5" x14ac:dyDescent="0.25">
      <c r="A2522" s="36" t="b">
        <v>0</v>
      </c>
      <c r="B2522" s="56" t="b">
        <v>0</v>
      </c>
      <c r="C2522" s="56" t="b">
        <v>0</v>
      </c>
      <c r="D2522" s="56" t="b">
        <v>0</v>
      </c>
      <c r="E2522" s="56">
        <f ca="1">IF(PV[[#This Row],[Business Date]]=Control!$C$6, PV[[#This Row],[Notional Value Local Cur]], -PV[[#This Row],[Notional Value Local Cur]])</f>
        <v>0</v>
      </c>
    </row>
    <row r="2523" spans="1:5" x14ac:dyDescent="0.25">
      <c r="A2523" s="36" t="b">
        <v>0</v>
      </c>
      <c r="B2523" s="56" t="b">
        <v>0</v>
      </c>
      <c r="C2523" s="56" t="b">
        <v>0</v>
      </c>
      <c r="D2523" s="56" t="b">
        <v>0</v>
      </c>
      <c r="E2523" s="56">
        <f ca="1">IF(PV[[#This Row],[Business Date]]=Control!$C$6, PV[[#This Row],[Notional Value Local Cur]], -PV[[#This Row],[Notional Value Local Cur]])</f>
        <v>0</v>
      </c>
    </row>
    <row r="2524" spans="1:5" x14ac:dyDescent="0.25">
      <c r="A2524" s="36" t="b">
        <v>0</v>
      </c>
      <c r="B2524" s="56" t="b">
        <v>0</v>
      </c>
      <c r="C2524" s="56" t="b">
        <v>0</v>
      </c>
      <c r="D2524" s="56" t="b">
        <v>0</v>
      </c>
      <c r="E2524" s="56">
        <f ca="1">IF(PV[[#This Row],[Business Date]]=Control!$C$6, PV[[#This Row],[Notional Value Local Cur]], -PV[[#This Row],[Notional Value Local Cur]])</f>
        <v>0</v>
      </c>
    </row>
    <row r="2525" spans="1:5" x14ac:dyDescent="0.25">
      <c r="A2525" s="36" t="b">
        <v>0</v>
      </c>
      <c r="B2525" s="56" t="b">
        <v>0</v>
      </c>
      <c r="C2525" s="56" t="b">
        <v>0</v>
      </c>
      <c r="D2525" s="56" t="b">
        <v>0</v>
      </c>
      <c r="E2525" s="56">
        <f ca="1">IF(PV[[#This Row],[Business Date]]=Control!$C$6, PV[[#This Row],[Notional Value Local Cur]], -PV[[#This Row],[Notional Value Local Cur]])</f>
        <v>0</v>
      </c>
    </row>
    <row r="2526" spans="1:5" x14ac:dyDescent="0.25">
      <c r="A2526" s="36" t="b">
        <v>0</v>
      </c>
      <c r="B2526" s="56" t="b">
        <v>0</v>
      </c>
      <c r="C2526" s="56" t="b">
        <v>0</v>
      </c>
      <c r="D2526" s="56" t="b">
        <v>0</v>
      </c>
      <c r="E2526" s="56">
        <f ca="1">IF(PV[[#This Row],[Business Date]]=Control!$C$6, PV[[#This Row],[Notional Value Local Cur]], -PV[[#This Row],[Notional Value Local Cur]])</f>
        <v>0</v>
      </c>
    </row>
    <row r="2527" spans="1:5" x14ac:dyDescent="0.25">
      <c r="A2527" s="36" t="b">
        <v>0</v>
      </c>
      <c r="B2527" s="56" t="b">
        <v>0</v>
      </c>
      <c r="C2527" s="56" t="b">
        <v>0</v>
      </c>
      <c r="D2527" s="56" t="b">
        <v>0</v>
      </c>
      <c r="E2527" s="56">
        <f ca="1">IF(PV[[#This Row],[Business Date]]=Control!$C$6, PV[[#This Row],[Notional Value Local Cur]], -PV[[#This Row],[Notional Value Local Cur]])</f>
        <v>0</v>
      </c>
    </row>
    <row r="2528" spans="1:5" x14ac:dyDescent="0.25">
      <c r="A2528" s="36" t="b">
        <v>0</v>
      </c>
      <c r="B2528" s="56" t="b">
        <v>0</v>
      </c>
      <c r="C2528" s="56" t="b">
        <v>0</v>
      </c>
      <c r="D2528" s="56" t="b">
        <v>0</v>
      </c>
      <c r="E2528" s="56">
        <f ca="1">IF(PV[[#This Row],[Business Date]]=Control!$C$6, PV[[#This Row],[Notional Value Local Cur]], -PV[[#This Row],[Notional Value Local Cur]])</f>
        <v>0</v>
      </c>
    </row>
    <row r="2529" spans="1:5" x14ac:dyDescent="0.25">
      <c r="A2529" s="36" t="b">
        <v>0</v>
      </c>
      <c r="B2529" s="56" t="b">
        <v>0</v>
      </c>
      <c r="C2529" s="56" t="b">
        <v>0</v>
      </c>
      <c r="D2529" s="56" t="b">
        <v>0</v>
      </c>
      <c r="E2529" s="56">
        <f ca="1">IF(PV[[#This Row],[Business Date]]=Control!$C$6, PV[[#This Row],[Notional Value Local Cur]], -PV[[#This Row],[Notional Value Local Cur]])</f>
        <v>0</v>
      </c>
    </row>
    <row r="2530" spans="1:5" x14ac:dyDescent="0.25">
      <c r="A2530" s="36" t="b">
        <v>0</v>
      </c>
      <c r="B2530" s="56" t="b">
        <v>0</v>
      </c>
      <c r="C2530" s="56" t="b">
        <v>0</v>
      </c>
      <c r="D2530" s="56" t="b">
        <v>0</v>
      </c>
      <c r="E2530" s="56">
        <f ca="1">IF(PV[[#This Row],[Business Date]]=Control!$C$6, PV[[#This Row],[Notional Value Local Cur]], -PV[[#This Row],[Notional Value Local Cur]])</f>
        <v>0</v>
      </c>
    </row>
    <row r="2531" spans="1:5" x14ac:dyDescent="0.25">
      <c r="A2531" s="36" t="b">
        <v>0</v>
      </c>
      <c r="B2531" s="56" t="b">
        <v>0</v>
      </c>
      <c r="C2531" s="56" t="b">
        <v>0</v>
      </c>
      <c r="D2531" s="56" t="b">
        <v>0</v>
      </c>
      <c r="E2531" s="56">
        <f ca="1">IF(PV[[#This Row],[Business Date]]=Control!$C$6, PV[[#This Row],[Notional Value Local Cur]], -PV[[#This Row],[Notional Value Local Cur]])</f>
        <v>0</v>
      </c>
    </row>
    <row r="2532" spans="1:5" x14ac:dyDescent="0.25">
      <c r="A2532" s="36" t="b">
        <v>0</v>
      </c>
      <c r="B2532" s="56" t="b">
        <v>0</v>
      </c>
      <c r="C2532" s="56" t="b">
        <v>0</v>
      </c>
      <c r="D2532" s="56" t="b">
        <v>0</v>
      </c>
      <c r="E2532" s="56">
        <f ca="1">IF(PV[[#This Row],[Business Date]]=Control!$C$6, PV[[#This Row],[Notional Value Local Cur]], -PV[[#This Row],[Notional Value Local Cur]])</f>
        <v>0</v>
      </c>
    </row>
    <row r="2533" spans="1:5" x14ac:dyDescent="0.25">
      <c r="A2533" s="36" t="b">
        <v>0</v>
      </c>
      <c r="B2533" s="56" t="b">
        <v>0</v>
      </c>
      <c r="C2533" s="56" t="b">
        <v>0</v>
      </c>
      <c r="D2533" s="56" t="b">
        <v>0</v>
      </c>
      <c r="E2533" s="56">
        <f ca="1">IF(PV[[#This Row],[Business Date]]=Control!$C$6, PV[[#This Row],[Notional Value Local Cur]], -PV[[#This Row],[Notional Value Local Cur]])</f>
        <v>0</v>
      </c>
    </row>
    <row r="2534" spans="1:5" x14ac:dyDescent="0.25">
      <c r="A2534" s="36" t="b">
        <v>0</v>
      </c>
      <c r="B2534" s="56" t="b">
        <v>0</v>
      </c>
      <c r="C2534" s="56" t="b">
        <v>0</v>
      </c>
      <c r="D2534" s="56" t="b">
        <v>0</v>
      </c>
      <c r="E2534" s="56">
        <f ca="1">IF(PV[[#This Row],[Business Date]]=Control!$C$6, PV[[#This Row],[Notional Value Local Cur]], -PV[[#This Row],[Notional Value Local Cur]])</f>
        <v>0</v>
      </c>
    </row>
    <row r="2535" spans="1:5" x14ac:dyDescent="0.25">
      <c r="A2535" s="36" t="b">
        <v>0</v>
      </c>
      <c r="B2535" s="56" t="b">
        <v>0</v>
      </c>
      <c r="C2535" s="56" t="b">
        <v>0</v>
      </c>
      <c r="D2535" s="56" t="b">
        <v>0</v>
      </c>
      <c r="E2535" s="56">
        <f ca="1">IF(PV[[#This Row],[Business Date]]=Control!$C$6, PV[[#This Row],[Notional Value Local Cur]], -PV[[#This Row],[Notional Value Local Cur]])</f>
        <v>0</v>
      </c>
    </row>
    <row r="2536" spans="1:5" x14ac:dyDescent="0.25">
      <c r="A2536" s="36" t="b">
        <v>0</v>
      </c>
      <c r="B2536" s="56" t="b">
        <v>0</v>
      </c>
      <c r="C2536" s="56" t="b">
        <v>0</v>
      </c>
      <c r="D2536" s="56" t="b">
        <v>0</v>
      </c>
      <c r="E2536" s="56">
        <f ca="1">IF(PV[[#This Row],[Business Date]]=Control!$C$6, PV[[#This Row],[Notional Value Local Cur]], -PV[[#This Row],[Notional Value Local Cur]])</f>
        <v>0</v>
      </c>
    </row>
    <row r="2537" spans="1:5" x14ac:dyDescent="0.25">
      <c r="A2537" s="36" t="b">
        <v>0</v>
      </c>
      <c r="B2537" s="56" t="b">
        <v>0</v>
      </c>
      <c r="C2537" s="56" t="b">
        <v>0</v>
      </c>
      <c r="D2537" s="56" t="b">
        <v>0</v>
      </c>
      <c r="E2537" s="56">
        <f ca="1">IF(PV[[#This Row],[Business Date]]=Control!$C$6, PV[[#This Row],[Notional Value Local Cur]], -PV[[#This Row],[Notional Value Local Cur]])</f>
        <v>0</v>
      </c>
    </row>
    <row r="2538" spans="1:5" x14ac:dyDescent="0.25">
      <c r="A2538" s="36" t="b">
        <v>0</v>
      </c>
      <c r="B2538" s="56" t="b">
        <v>0</v>
      </c>
      <c r="C2538" s="56" t="b">
        <v>0</v>
      </c>
      <c r="D2538" s="56" t="b">
        <v>0</v>
      </c>
      <c r="E2538" s="56">
        <f ca="1">IF(PV[[#This Row],[Business Date]]=Control!$C$6, PV[[#This Row],[Notional Value Local Cur]], -PV[[#This Row],[Notional Value Local Cur]])</f>
        <v>0</v>
      </c>
    </row>
    <row r="2539" spans="1:5" x14ac:dyDescent="0.25">
      <c r="A2539" s="36" t="b">
        <v>0</v>
      </c>
      <c r="B2539" s="56" t="b">
        <v>0</v>
      </c>
      <c r="C2539" s="56" t="b">
        <v>0</v>
      </c>
      <c r="D2539" s="56" t="b">
        <v>0</v>
      </c>
      <c r="E2539" s="56">
        <f ca="1">IF(PV[[#This Row],[Business Date]]=Control!$C$6, PV[[#This Row],[Notional Value Local Cur]], -PV[[#This Row],[Notional Value Local Cur]])</f>
        <v>0</v>
      </c>
    </row>
    <row r="2540" spans="1:5" x14ac:dyDescent="0.25">
      <c r="A2540" s="36" t="b">
        <v>0</v>
      </c>
      <c r="B2540" s="56" t="b">
        <v>0</v>
      </c>
      <c r="C2540" s="56" t="b">
        <v>0</v>
      </c>
      <c r="D2540" s="56" t="b">
        <v>0</v>
      </c>
      <c r="E2540" s="56">
        <f ca="1">IF(PV[[#This Row],[Business Date]]=Control!$C$6, PV[[#This Row],[Notional Value Local Cur]], -PV[[#This Row],[Notional Value Local Cur]])</f>
        <v>0</v>
      </c>
    </row>
    <row r="2541" spans="1:5" x14ac:dyDescent="0.25">
      <c r="A2541" s="36" t="b">
        <v>0</v>
      </c>
      <c r="B2541" s="56" t="b">
        <v>0</v>
      </c>
      <c r="C2541" s="56" t="b">
        <v>0</v>
      </c>
      <c r="D2541" s="56" t="b">
        <v>0</v>
      </c>
      <c r="E2541" s="56">
        <f ca="1">IF(PV[[#This Row],[Business Date]]=Control!$C$6, PV[[#This Row],[Notional Value Local Cur]], -PV[[#This Row],[Notional Value Local Cur]])</f>
        <v>0</v>
      </c>
    </row>
    <row r="2542" spans="1:5" x14ac:dyDescent="0.25">
      <c r="A2542" s="36" t="b">
        <v>0</v>
      </c>
      <c r="B2542" s="56" t="b">
        <v>0</v>
      </c>
      <c r="C2542" s="56" t="b">
        <v>0</v>
      </c>
      <c r="D2542" s="56" t="b">
        <v>0</v>
      </c>
      <c r="E2542" s="56">
        <f ca="1">IF(PV[[#This Row],[Business Date]]=Control!$C$6, PV[[#This Row],[Notional Value Local Cur]], -PV[[#This Row],[Notional Value Local Cur]])</f>
        <v>0</v>
      </c>
    </row>
    <row r="2543" spans="1:5" x14ac:dyDescent="0.25">
      <c r="A2543" s="36" t="b">
        <v>0</v>
      </c>
      <c r="B2543" s="56" t="b">
        <v>0</v>
      </c>
      <c r="C2543" s="56" t="b">
        <v>0</v>
      </c>
      <c r="D2543" s="56" t="b">
        <v>0</v>
      </c>
      <c r="E2543" s="56">
        <f ca="1">IF(PV[[#This Row],[Business Date]]=Control!$C$6, PV[[#This Row],[Notional Value Local Cur]], -PV[[#This Row],[Notional Value Local Cur]])</f>
        <v>0</v>
      </c>
    </row>
    <row r="2544" spans="1:5" x14ac:dyDescent="0.25">
      <c r="A2544" s="36" t="b">
        <v>0</v>
      </c>
      <c r="B2544" s="56" t="b">
        <v>0</v>
      </c>
      <c r="C2544" s="56" t="b">
        <v>0</v>
      </c>
      <c r="D2544" s="56" t="b">
        <v>0</v>
      </c>
      <c r="E2544" s="56">
        <f ca="1">IF(PV[[#This Row],[Business Date]]=Control!$C$6, PV[[#This Row],[Notional Value Local Cur]], -PV[[#This Row],[Notional Value Local Cur]])</f>
        <v>0</v>
      </c>
    </row>
    <row r="2545" spans="1:5" x14ac:dyDescent="0.25">
      <c r="A2545" s="36" t="b">
        <v>0</v>
      </c>
      <c r="B2545" s="56" t="b">
        <v>0</v>
      </c>
      <c r="C2545" s="56" t="b">
        <v>0</v>
      </c>
      <c r="D2545" s="56" t="b">
        <v>0</v>
      </c>
      <c r="E2545" s="56">
        <f ca="1">IF(PV[[#This Row],[Business Date]]=Control!$C$6, PV[[#This Row],[Notional Value Local Cur]], -PV[[#This Row],[Notional Value Local Cur]])</f>
        <v>0</v>
      </c>
    </row>
    <row r="2546" spans="1:5" x14ac:dyDescent="0.25">
      <c r="A2546" s="36" t="b">
        <v>0</v>
      </c>
      <c r="B2546" s="56" t="b">
        <v>0</v>
      </c>
      <c r="C2546" s="56" t="b">
        <v>0</v>
      </c>
      <c r="D2546" s="56" t="b">
        <v>0</v>
      </c>
      <c r="E2546" s="56">
        <f ca="1">IF(PV[[#This Row],[Business Date]]=Control!$C$6, PV[[#This Row],[Notional Value Local Cur]], -PV[[#This Row],[Notional Value Local Cur]])</f>
        <v>0</v>
      </c>
    </row>
    <row r="2547" spans="1:5" x14ac:dyDescent="0.25">
      <c r="A2547" s="36" t="b">
        <v>0</v>
      </c>
      <c r="B2547" s="56" t="b">
        <v>0</v>
      </c>
      <c r="C2547" s="56" t="b">
        <v>0</v>
      </c>
      <c r="D2547" s="56" t="b">
        <v>0</v>
      </c>
      <c r="E2547" s="56">
        <f ca="1">IF(PV[[#This Row],[Business Date]]=Control!$C$6, PV[[#This Row],[Notional Value Local Cur]], -PV[[#This Row],[Notional Value Local Cur]])</f>
        <v>0</v>
      </c>
    </row>
    <row r="2548" spans="1:5" x14ac:dyDescent="0.25">
      <c r="A2548" s="36" t="b">
        <v>0</v>
      </c>
      <c r="B2548" s="56" t="b">
        <v>0</v>
      </c>
      <c r="C2548" s="56" t="b">
        <v>0</v>
      </c>
      <c r="D2548" s="56" t="b">
        <v>0</v>
      </c>
      <c r="E2548" s="56">
        <f ca="1">IF(PV[[#This Row],[Business Date]]=Control!$C$6, PV[[#This Row],[Notional Value Local Cur]], -PV[[#This Row],[Notional Value Local Cur]])</f>
        <v>0</v>
      </c>
    </row>
    <row r="2549" spans="1:5" x14ac:dyDescent="0.25">
      <c r="A2549" s="36" t="b">
        <v>0</v>
      </c>
      <c r="B2549" s="56" t="b">
        <v>0</v>
      </c>
      <c r="C2549" s="56" t="b">
        <v>0</v>
      </c>
      <c r="D2549" s="56" t="b">
        <v>0</v>
      </c>
      <c r="E2549" s="56">
        <f ca="1">IF(PV[[#This Row],[Business Date]]=Control!$C$6, PV[[#This Row],[Notional Value Local Cur]], -PV[[#This Row],[Notional Value Local Cur]])</f>
        <v>0</v>
      </c>
    </row>
    <row r="2550" spans="1:5" x14ac:dyDescent="0.25">
      <c r="A2550" s="36" t="b">
        <v>0</v>
      </c>
      <c r="B2550" s="56" t="b">
        <v>0</v>
      </c>
      <c r="C2550" s="56" t="b">
        <v>0</v>
      </c>
      <c r="D2550" s="56" t="b">
        <v>0</v>
      </c>
      <c r="E2550" s="56">
        <f ca="1">IF(PV[[#This Row],[Business Date]]=Control!$C$6, PV[[#This Row],[Notional Value Local Cur]], -PV[[#This Row],[Notional Value Local Cur]])</f>
        <v>0</v>
      </c>
    </row>
    <row r="2551" spans="1:5" x14ac:dyDescent="0.25">
      <c r="A2551" s="36" t="b">
        <v>0</v>
      </c>
      <c r="B2551" s="56" t="b">
        <v>0</v>
      </c>
      <c r="C2551" s="56" t="b">
        <v>0</v>
      </c>
      <c r="D2551" s="56" t="b">
        <v>0</v>
      </c>
      <c r="E2551" s="56">
        <f ca="1">IF(PV[[#This Row],[Business Date]]=Control!$C$6, PV[[#This Row],[Notional Value Local Cur]], -PV[[#This Row],[Notional Value Local Cur]])</f>
        <v>0</v>
      </c>
    </row>
    <row r="2552" spans="1:5" x14ac:dyDescent="0.25">
      <c r="A2552" s="36" t="b">
        <v>0</v>
      </c>
      <c r="B2552" s="56" t="b">
        <v>0</v>
      </c>
      <c r="C2552" s="56" t="b">
        <v>0</v>
      </c>
      <c r="D2552" s="56" t="b">
        <v>0</v>
      </c>
      <c r="E2552" s="56">
        <f ca="1">IF(PV[[#This Row],[Business Date]]=Control!$C$6, PV[[#This Row],[Notional Value Local Cur]], -PV[[#This Row],[Notional Value Local Cur]])</f>
        <v>0</v>
      </c>
    </row>
    <row r="2553" spans="1:5" x14ac:dyDescent="0.25">
      <c r="A2553" s="36" t="b">
        <v>0</v>
      </c>
      <c r="B2553" s="56" t="b">
        <v>0</v>
      </c>
      <c r="C2553" s="56" t="b">
        <v>0</v>
      </c>
      <c r="D2553" s="56" t="b">
        <v>0</v>
      </c>
      <c r="E2553" s="56">
        <f ca="1">IF(PV[[#This Row],[Business Date]]=Control!$C$6, PV[[#This Row],[Notional Value Local Cur]], -PV[[#This Row],[Notional Value Local Cur]])</f>
        <v>0</v>
      </c>
    </row>
    <row r="2554" spans="1:5" x14ac:dyDescent="0.25">
      <c r="A2554" s="36" t="b">
        <v>0</v>
      </c>
      <c r="B2554" s="56" t="b">
        <v>0</v>
      </c>
      <c r="C2554" s="56" t="b">
        <v>0</v>
      </c>
      <c r="D2554" s="56" t="b">
        <v>0</v>
      </c>
      <c r="E2554" s="56">
        <f ca="1">IF(PV[[#This Row],[Business Date]]=Control!$C$6, PV[[#This Row],[Notional Value Local Cur]], -PV[[#This Row],[Notional Value Local Cur]])</f>
        <v>0</v>
      </c>
    </row>
    <row r="2555" spans="1:5" x14ac:dyDescent="0.25">
      <c r="A2555" s="36" t="b">
        <v>0</v>
      </c>
      <c r="B2555" s="56" t="b">
        <v>0</v>
      </c>
      <c r="C2555" s="56" t="b">
        <v>0</v>
      </c>
      <c r="D2555" s="56" t="b">
        <v>0</v>
      </c>
      <c r="E2555" s="56">
        <f ca="1">IF(PV[[#This Row],[Business Date]]=Control!$C$6, PV[[#This Row],[Notional Value Local Cur]], -PV[[#This Row],[Notional Value Local Cur]])</f>
        <v>0</v>
      </c>
    </row>
    <row r="2556" spans="1:5" x14ac:dyDescent="0.25">
      <c r="A2556" s="36" t="b">
        <v>0</v>
      </c>
      <c r="B2556" s="56" t="b">
        <v>0</v>
      </c>
      <c r="C2556" s="56" t="b">
        <v>0</v>
      </c>
      <c r="D2556" s="56" t="b">
        <v>0</v>
      </c>
      <c r="E2556" s="56">
        <f ca="1">IF(PV[[#This Row],[Business Date]]=Control!$C$6, PV[[#This Row],[Notional Value Local Cur]], -PV[[#This Row],[Notional Value Local Cur]])</f>
        <v>0</v>
      </c>
    </row>
    <row r="2557" spans="1:5" x14ac:dyDescent="0.25">
      <c r="A2557" s="36" t="b">
        <v>0</v>
      </c>
      <c r="B2557" s="56" t="b">
        <v>0</v>
      </c>
      <c r="C2557" s="56" t="b">
        <v>0</v>
      </c>
      <c r="D2557" s="56" t="b">
        <v>0</v>
      </c>
      <c r="E2557" s="56">
        <f ca="1">IF(PV[[#This Row],[Business Date]]=Control!$C$6, PV[[#This Row],[Notional Value Local Cur]], -PV[[#This Row],[Notional Value Local Cur]])</f>
        <v>0</v>
      </c>
    </row>
    <row r="2558" spans="1:5" x14ac:dyDescent="0.25">
      <c r="A2558" s="36" t="b">
        <v>0</v>
      </c>
      <c r="B2558" s="56" t="b">
        <v>0</v>
      </c>
      <c r="C2558" s="56" t="b">
        <v>0</v>
      </c>
      <c r="D2558" s="56" t="b">
        <v>0</v>
      </c>
      <c r="E2558" s="56">
        <f ca="1">IF(PV[[#This Row],[Business Date]]=Control!$C$6, PV[[#This Row],[Notional Value Local Cur]], -PV[[#This Row],[Notional Value Local Cur]])</f>
        <v>0</v>
      </c>
    </row>
    <row r="2559" spans="1:5" x14ac:dyDescent="0.25">
      <c r="A2559" s="36" t="b">
        <v>0</v>
      </c>
      <c r="B2559" s="56" t="b">
        <v>0</v>
      </c>
      <c r="C2559" s="56" t="b">
        <v>0</v>
      </c>
      <c r="D2559" s="56" t="b">
        <v>0</v>
      </c>
      <c r="E2559" s="56">
        <f ca="1">IF(PV[[#This Row],[Business Date]]=Control!$C$6, PV[[#This Row],[Notional Value Local Cur]], -PV[[#This Row],[Notional Value Local Cur]])</f>
        <v>0</v>
      </c>
    </row>
    <row r="2560" spans="1:5" x14ac:dyDescent="0.25">
      <c r="A2560" s="36" t="b">
        <v>0</v>
      </c>
      <c r="B2560" s="56" t="b">
        <v>0</v>
      </c>
      <c r="C2560" s="56" t="b">
        <v>0</v>
      </c>
      <c r="D2560" s="56" t="b">
        <v>0</v>
      </c>
      <c r="E2560" s="56">
        <f ca="1">IF(PV[[#This Row],[Business Date]]=Control!$C$6, PV[[#This Row],[Notional Value Local Cur]], -PV[[#This Row],[Notional Value Local Cur]])</f>
        <v>0</v>
      </c>
    </row>
    <row r="2561" spans="1:5" x14ac:dyDescent="0.25">
      <c r="A2561" s="36" t="b">
        <v>0</v>
      </c>
      <c r="B2561" s="56" t="b">
        <v>0</v>
      </c>
      <c r="C2561" s="56" t="b">
        <v>0</v>
      </c>
      <c r="D2561" s="56" t="b">
        <v>0</v>
      </c>
      <c r="E2561" s="56">
        <f ca="1">IF(PV[[#This Row],[Business Date]]=Control!$C$6, PV[[#This Row],[Notional Value Local Cur]], -PV[[#This Row],[Notional Value Local Cur]])</f>
        <v>0</v>
      </c>
    </row>
    <row r="2562" spans="1:5" x14ac:dyDescent="0.25">
      <c r="A2562" s="36" t="b">
        <v>0</v>
      </c>
      <c r="B2562" s="56" t="b">
        <v>0</v>
      </c>
      <c r="C2562" s="56" t="b">
        <v>0</v>
      </c>
      <c r="D2562" s="56" t="b">
        <v>0</v>
      </c>
      <c r="E2562" s="56">
        <f ca="1">IF(PV[[#This Row],[Business Date]]=Control!$C$6, PV[[#This Row],[Notional Value Local Cur]], -PV[[#This Row],[Notional Value Local Cur]])</f>
        <v>0</v>
      </c>
    </row>
    <row r="2563" spans="1:5" x14ac:dyDescent="0.25">
      <c r="A2563" s="36" t="b">
        <v>0</v>
      </c>
      <c r="B2563" s="56" t="b">
        <v>0</v>
      </c>
      <c r="C2563" s="56" t="b">
        <v>0</v>
      </c>
      <c r="D2563" s="56" t="b">
        <v>0</v>
      </c>
      <c r="E2563" s="56">
        <f ca="1">IF(PV[[#This Row],[Business Date]]=Control!$C$6, PV[[#This Row],[Notional Value Local Cur]], -PV[[#This Row],[Notional Value Local Cur]])</f>
        <v>0</v>
      </c>
    </row>
    <row r="2564" spans="1:5" x14ac:dyDescent="0.25">
      <c r="A2564" s="36" t="b">
        <v>0</v>
      </c>
      <c r="B2564" s="56" t="b">
        <v>0</v>
      </c>
      <c r="C2564" s="56" t="b">
        <v>0</v>
      </c>
      <c r="D2564" s="56" t="b">
        <v>0</v>
      </c>
      <c r="E2564" s="56">
        <f ca="1">IF(PV[[#This Row],[Business Date]]=Control!$C$6, PV[[#This Row],[Notional Value Local Cur]], -PV[[#This Row],[Notional Value Local Cur]])</f>
        <v>0</v>
      </c>
    </row>
    <row r="2565" spans="1:5" x14ac:dyDescent="0.25">
      <c r="A2565" s="36" t="b">
        <v>0</v>
      </c>
      <c r="B2565" s="56" t="b">
        <v>0</v>
      </c>
      <c r="C2565" s="56" t="b">
        <v>0</v>
      </c>
      <c r="D2565" s="56" t="b">
        <v>0</v>
      </c>
      <c r="E2565" s="56">
        <f ca="1">IF(PV[[#This Row],[Business Date]]=Control!$C$6, PV[[#This Row],[Notional Value Local Cur]], -PV[[#This Row],[Notional Value Local Cur]])</f>
        <v>0</v>
      </c>
    </row>
    <row r="2566" spans="1:5" x14ac:dyDescent="0.25">
      <c r="A2566" s="36" t="b">
        <v>0</v>
      </c>
      <c r="B2566" s="56" t="b">
        <v>0</v>
      </c>
      <c r="C2566" s="56" t="b">
        <v>0</v>
      </c>
      <c r="D2566" s="56" t="b">
        <v>0</v>
      </c>
      <c r="E2566" s="56">
        <f ca="1">IF(PV[[#This Row],[Business Date]]=Control!$C$6, PV[[#This Row],[Notional Value Local Cur]], -PV[[#This Row],[Notional Value Local Cur]])</f>
        <v>0</v>
      </c>
    </row>
    <row r="2567" spans="1:5" x14ac:dyDescent="0.25">
      <c r="A2567" s="36" t="b">
        <v>0</v>
      </c>
      <c r="B2567" s="56" t="b">
        <v>0</v>
      </c>
      <c r="C2567" s="56" t="b">
        <v>0</v>
      </c>
      <c r="D2567" s="56" t="b">
        <v>0</v>
      </c>
      <c r="E2567" s="56">
        <f ca="1">IF(PV[[#This Row],[Business Date]]=Control!$C$6, PV[[#This Row],[Notional Value Local Cur]], -PV[[#This Row],[Notional Value Local Cur]])</f>
        <v>0</v>
      </c>
    </row>
    <row r="2568" spans="1:5" x14ac:dyDescent="0.25">
      <c r="A2568" s="36" t="b">
        <v>0</v>
      </c>
      <c r="B2568" s="56" t="b">
        <v>0</v>
      </c>
      <c r="C2568" s="56" t="b">
        <v>0</v>
      </c>
      <c r="D2568" s="56" t="b">
        <v>0</v>
      </c>
      <c r="E2568" s="56">
        <f ca="1">IF(PV[[#This Row],[Business Date]]=Control!$C$6, PV[[#This Row],[Notional Value Local Cur]], -PV[[#This Row],[Notional Value Local Cur]])</f>
        <v>0</v>
      </c>
    </row>
    <row r="2569" spans="1:5" x14ac:dyDescent="0.25">
      <c r="A2569" s="36" t="b">
        <v>0</v>
      </c>
      <c r="B2569" s="56" t="b">
        <v>0</v>
      </c>
      <c r="C2569" s="56" t="b">
        <v>0</v>
      </c>
      <c r="D2569" s="56" t="b">
        <v>0</v>
      </c>
      <c r="E2569" s="56">
        <f ca="1">IF(PV[[#This Row],[Business Date]]=Control!$C$6, PV[[#This Row],[Notional Value Local Cur]], -PV[[#This Row],[Notional Value Local Cur]])</f>
        <v>0</v>
      </c>
    </row>
    <row r="2570" spans="1:5" x14ac:dyDescent="0.25">
      <c r="A2570" s="36" t="b">
        <v>0</v>
      </c>
      <c r="B2570" s="56" t="b">
        <v>0</v>
      </c>
      <c r="C2570" s="56" t="b">
        <v>0</v>
      </c>
      <c r="D2570" s="56" t="b">
        <v>0</v>
      </c>
      <c r="E2570" s="56">
        <f ca="1">IF(PV[[#This Row],[Business Date]]=Control!$C$6, PV[[#This Row],[Notional Value Local Cur]], -PV[[#This Row],[Notional Value Local Cur]])</f>
        <v>0</v>
      </c>
    </row>
    <row r="2571" spans="1:5" x14ac:dyDescent="0.25">
      <c r="A2571" s="36" t="b">
        <v>0</v>
      </c>
      <c r="B2571" s="56" t="b">
        <v>0</v>
      </c>
      <c r="C2571" s="56" t="b">
        <v>0</v>
      </c>
      <c r="D2571" s="56" t="b">
        <v>0</v>
      </c>
      <c r="E2571" s="56">
        <f ca="1">IF(PV[[#This Row],[Business Date]]=Control!$C$6, PV[[#This Row],[Notional Value Local Cur]], -PV[[#This Row],[Notional Value Local Cur]])</f>
        <v>0</v>
      </c>
    </row>
    <row r="2572" spans="1:5" x14ac:dyDescent="0.25">
      <c r="A2572" s="36" t="b">
        <v>0</v>
      </c>
      <c r="B2572" s="56" t="b">
        <v>0</v>
      </c>
      <c r="C2572" s="56" t="b">
        <v>0</v>
      </c>
      <c r="D2572" s="56" t="b">
        <v>0</v>
      </c>
      <c r="E2572" s="56">
        <f ca="1">IF(PV[[#This Row],[Business Date]]=Control!$C$6, PV[[#This Row],[Notional Value Local Cur]], -PV[[#This Row],[Notional Value Local Cur]])</f>
        <v>0</v>
      </c>
    </row>
    <row r="2573" spans="1:5" x14ac:dyDescent="0.25">
      <c r="A2573" s="36" t="b">
        <v>0</v>
      </c>
      <c r="B2573" s="56" t="b">
        <v>0</v>
      </c>
      <c r="C2573" s="56" t="b">
        <v>0</v>
      </c>
      <c r="D2573" s="56" t="b">
        <v>0</v>
      </c>
      <c r="E2573" s="56">
        <f ca="1">IF(PV[[#This Row],[Business Date]]=Control!$C$6, PV[[#This Row],[Notional Value Local Cur]], -PV[[#This Row],[Notional Value Local Cur]])</f>
        <v>0</v>
      </c>
    </row>
    <row r="2574" spans="1:5" x14ac:dyDescent="0.25">
      <c r="A2574" s="36" t="b">
        <v>0</v>
      </c>
      <c r="B2574" s="56" t="b">
        <v>0</v>
      </c>
      <c r="C2574" s="56" t="b">
        <v>0</v>
      </c>
      <c r="D2574" s="56" t="b">
        <v>0</v>
      </c>
      <c r="E2574" s="56">
        <f ca="1">IF(PV[[#This Row],[Business Date]]=Control!$C$6, PV[[#This Row],[Notional Value Local Cur]], -PV[[#This Row],[Notional Value Local Cur]])</f>
        <v>0</v>
      </c>
    </row>
    <row r="2575" spans="1:5" x14ac:dyDescent="0.25">
      <c r="A2575" s="36" t="b">
        <v>0</v>
      </c>
      <c r="B2575" s="56" t="b">
        <v>0</v>
      </c>
      <c r="C2575" s="56" t="b">
        <v>0</v>
      </c>
      <c r="D2575" s="56" t="b">
        <v>0</v>
      </c>
      <c r="E2575" s="56">
        <f ca="1">IF(PV[[#This Row],[Business Date]]=Control!$C$6, PV[[#This Row],[Notional Value Local Cur]], -PV[[#This Row],[Notional Value Local Cur]])</f>
        <v>0</v>
      </c>
    </row>
    <row r="2576" spans="1:5" x14ac:dyDescent="0.25">
      <c r="A2576" s="36" t="b">
        <v>0</v>
      </c>
      <c r="B2576" s="56" t="b">
        <v>0</v>
      </c>
      <c r="C2576" s="56" t="b">
        <v>0</v>
      </c>
      <c r="D2576" s="56" t="b">
        <v>0</v>
      </c>
      <c r="E2576" s="56">
        <f ca="1">IF(PV[[#This Row],[Business Date]]=Control!$C$6, PV[[#This Row],[Notional Value Local Cur]], -PV[[#This Row],[Notional Value Local Cur]])</f>
        <v>0</v>
      </c>
    </row>
    <row r="2577" spans="1:5" x14ac:dyDescent="0.25">
      <c r="A2577" s="36" t="b">
        <v>0</v>
      </c>
      <c r="B2577" s="56" t="b">
        <v>0</v>
      </c>
      <c r="C2577" s="56" t="b">
        <v>0</v>
      </c>
      <c r="D2577" s="56" t="b">
        <v>0</v>
      </c>
      <c r="E2577" s="56">
        <f ca="1">IF(PV[[#This Row],[Business Date]]=Control!$C$6, PV[[#This Row],[Notional Value Local Cur]], -PV[[#This Row],[Notional Value Local Cur]])</f>
        <v>0</v>
      </c>
    </row>
    <row r="2578" spans="1:5" x14ac:dyDescent="0.25">
      <c r="A2578" s="36" t="b">
        <v>0</v>
      </c>
      <c r="B2578" s="56" t="b">
        <v>0</v>
      </c>
      <c r="C2578" s="56" t="b">
        <v>0</v>
      </c>
      <c r="D2578" s="56" t="b">
        <v>0</v>
      </c>
      <c r="E2578" s="56">
        <f ca="1">IF(PV[[#This Row],[Business Date]]=Control!$C$6, PV[[#This Row],[Notional Value Local Cur]], -PV[[#This Row],[Notional Value Local Cur]])</f>
        <v>0</v>
      </c>
    </row>
    <row r="2579" spans="1:5" x14ac:dyDescent="0.25">
      <c r="A2579" s="36" t="b">
        <v>0</v>
      </c>
      <c r="B2579" s="56" t="b">
        <v>0</v>
      </c>
      <c r="C2579" s="56" t="b">
        <v>0</v>
      </c>
      <c r="D2579" s="56" t="b">
        <v>0</v>
      </c>
      <c r="E2579" s="56">
        <f ca="1">IF(PV[[#This Row],[Business Date]]=Control!$C$6, PV[[#This Row],[Notional Value Local Cur]], -PV[[#This Row],[Notional Value Local Cur]])</f>
        <v>0</v>
      </c>
    </row>
    <row r="2580" spans="1:5" x14ac:dyDescent="0.25">
      <c r="A2580" s="36" t="b">
        <v>0</v>
      </c>
      <c r="B2580" s="56" t="b">
        <v>0</v>
      </c>
      <c r="C2580" s="56" t="b">
        <v>0</v>
      </c>
      <c r="D2580" s="56" t="b">
        <v>0</v>
      </c>
      <c r="E2580" s="56">
        <f ca="1">IF(PV[[#This Row],[Business Date]]=Control!$C$6, PV[[#This Row],[Notional Value Local Cur]], -PV[[#This Row],[Notional Value Local Cur]])</f>
        <v>0</v>
      </c>
    </row>
    <row r="2581" spans="1:5" x14ac:dyDescent="0.25">
      <c r="A2581" s="36" t="b">
        <v>0</v>
      </c>
      <c r="B2581" s="56" t="b">
        <v>0</v>
      </c>
      <c r="C2581" s="56" t="b">
        <v>0</v>
      </c>
      <c r="D2581" s="56" t="b">
        <v>0</v>
      </c>
      <c r="E2581" s="56">
        <f ca="1">IF(PV[[#This Row],[Business Date]]=Control!$C$6, PV[[#This Row],[Notional Value Local Cur]], -PV[[#This Row],[Notional Value Local Cur]])</f>
        <v>0</v>
      </c>
    </row>
    <row r="2582" spans="1:5" x14ac:dyDescent="0.25">
      <c r="A2582" s="36" t="b">
        <v>0</v>
      </c>
      <c r="B2582" s="56" t="b">
        <v>0</v>
      </c>
      <c r="C2582" s="56" t="b">
        <v>0</v>
      </c>
      <c r="D2582" s="56" t="b">
        <v>0</v>
      </c>
      <c r="E2582" s="56">
        <f ca="1">IF(PV[[#This Row],[Business Date]]=Control!$C$6, PV[[#This Row],[Notional Value Local Cur]], -PV[[#This Row],[Notional Value Local Cur]])</f>
        <v>0</v>
      </c>
    </row>
    <row r="2583" spans="1:5" x14ac:dyDescent="0.25">
      <c r="A2583" s="36" t="b">
        <v>0</v>
      </c>
      <c r="B2583" s="56" t="b">
        <v>0</v>
      </c>
      <c r="C2583" s="56" t="b">
        <v>0</v>
      </c>
      <c r="D2583" s="56" t="b">
        <v>0</v>
      </c>
      <c r="E2583" s="56">
        <f ca="1">IF(PV[[#This Row],[Business Date]]=Control!$C$6, PV[[#This Row],[Notional Value Local Cur]], -PV[[#This Row],[Notional Value Local Cur]])</f>
        <v>0</v>
      </c>
    </row>
    <row r="2584" spans="1:5" x14ac:dyDescent="0.25">
      <c r="A2584" s="36" t="b">
        <v>0</v>
      </c>
      <c r="B2584" s="56" t="b">
        <v>0</v>
      </c>
      <c r="C2584" s="56" t="b">
        <v>0</v>
      </c>
      <c r="D2584" s="56" t="b">
        <v>0</v>
      </c>
      <c r="E2584" s="56">
        <f ca="1">IF(PV[[#This Row],[Business Date]]=Control!$C$6, PV[[#This Row],[Notional Value Local Cur]], -PV[[#This Row],[Notional Value Local Cur]])</f>
        <v>0</v>
      </c>
    </row>
    <row r="2585" spans="1:5" x14ac:dyDescent="0.25">
      <c r="A2585" s="36" t="b">
        <v>0</v>
      </c>
      <c r="B2585" s="56" t="b">
        <v>0</v>
      </c>
      <c r="C2585" s="56" t="b">
        <v>0</v>
      </c>
      <c r="D2585" s="56" t="b">
        <v>0</v>
      </c>
      <c r="E2585" s="56">
        <f ca="1">IF(PV[[#This Row],[Business Date]]=Control!$C$6, PV[[#This Row],[Notional Value Local Cur]], -PV[[#This Row],[Notional Value Local Cur]])</f>
        <v>0</v>
      </c>
    </row>
    <row r="2586" spans="1:5" x14ac:dyDescent="0.25">
      <c r="A2586" s="36" t="b">
        <v>0</v>
      </c>
      <c r="B2586" s="56" t="b">
        <v>0</v>
      </c>
      <c r="C2586" s="56" t="b">
        <v>0</v>
      </c>
      <c r="D2586" s="56" t="b">
        <v>0</v>
      </c>
      <c r="E2586" s="56">
        <f ca="1">IF(PV[[#This Row],[Business Date]]=Control!$C$6, PV[[#This Row],[Notional Value Local Cur]], -PV[[#This Row],[Notional Value Local Cur]])</f>
        <v>0</v>
      </c>
    </row>
    <row r="2587" spans="1:5" x14ac:dyDescent="0.25">
      <c r="A2587" s="36" t="b">
        <v>0</v>
      </c>
      <c r="B2587" s="56" t="b">
        <v>0</v>
      </c>
      <c r="C2587" s="56" t="b">
        <v>0</v>
      </c>
      <c r="D2587" s="56" t="b">
        <v>0</v>
      </c>
      <c r="E2587" s="56">
        <f ca="1">IF(PV[[#This Row],[Business Date]]=Control!$C$6, PV[[#This Row],[Notional Value Local Cur]], -PV[[#This Row],[Notional Value Local Cur]])</f>
        <v>0</v>
      </c>
    </row>
    <row r="2588" spans="1:5" x14ac:dyDescent="0.25">
      <c r="A2588" s="36" t="b">
        <v>0</v>
      </c>
      <c r="B2588" s="56" t="b">
        <v>0</v>
      </c>
      <c r="C2588" s="56" t="b">
        <v>0</v>
      </c>
      <c r="D2588" s="56" t="b">
        <v>0</v>
      </c>
      <c r="E2588" s="56">
        <f ca="1">IF(PV[[#This Row],[Business Date]]=Control!$C$6, PV[[#This Row],[Notional Value Local Cur]], -PV[[#This Row],[Notional Value Local Cur]])</f>
        <v>0</v>
      </c>
    </row>
    <row r="2589" spans="1:5" x14ac:dyDescent="0.25">
      <c r="A2589" s="36" t="b">
        <v>0</v>
      </c>
      <c r="B2589" s="56" t="b">
        <v>0</v>
      </c>
      <c r="C2589" s="56" t="b">
        <v>0</v>
      </c>
      <c r="D2589" s="56" t="b">
        <v>0</v>
      </c>
      <c r="E2589" s="56">
        <f ca="1">IF(PV[[#This Row],[Business Date]]=Control!$C$6, PV[[#This Row],[Notional Value Local Cur]], -PV[[#This Row],[Notional Value Local Cur]])</f>
        <v>0</v>
      </c>
    </row>
    <row r="2590" spans="1:5" x14ac:dyDescent="0.25">
      <c r="A2590" s="36" t="b">
        <v>0</v>
      </c>
      <c r="B2590" s="56" t="b">
        <v>0</v>
      </c>
      <c r="C2590" s="56" t="b">
        <v>0</v>
      </c>
      <c r="D2590" s="56" t="b">
        <v>0</v>
      </c>
      <c r="E2590" s="56">
        <f ca="1">IF(PV[[#This Row],[Business Date]]=Control!$C$6, PV[[#This Row],[Notional Value Local Cur]], -PV[[#This Row],[Notional Value Local Cur]])</f>
        <v>0</v>
      </c>
    </row>
    <row r="2591" spans="1:5" x14ac:dyDescent="0.25">
      <c r="A2591" s="36" t="b">
        <v>0</v>
      </c>
      <c r="B2591" s="56" t="b">
        <v>0</v>
      </c>
      <c r="C2591" s="56" t="b">
        <v>0</v>
      </c>
      <c r="D2591" s="56" t="b">
        <v>0</v>
      </c>
      <c r="E2591" s="56">
        <f ca="1">IF(PV[[#This Row],[Business Date]]=Control!$C$6, PV[[#This Row],[Notional Value Local Cur]], -PV[[#This Row],[Notional Value Local Cur]])</f>
        <v>0</v>
      </c>
    </row>
    <row r="2592" spans="1:5" x14ac:dyDescent="0.25">
      <c r="A2592" s="36" t="b">
        <v>0</v>
      </c>
      <c r="B2592" s="56" t="b">
        <v>0</v>
      </c>
      <c r="C2592" s="56" t="b">
        <v>0</v>
      </c>
      <c r="D2592" s="56" t="b">
        <v>0</v>
      </c>
      <c r="E2592" s="56">
        <f ca="1">IF(PV[[#This Row],[Business Date]]=Control!$C$6, PV[[#This Row],[Notional Value Local Cur]], -PV[[#This Row],[Notional Value Local Cur]])</f>
        <v>0</v>
      </c>
    </row>
    <row r="2593" spans="1:5" x14ac:dyDescent="0.25">
      <c r="A2593" s="36" t="b">
        <v>0</v>
      </c>
      <c r="B2593" s="56" t="b">
        <v>0</v>
      </c>
      <c r="C2593" s="56" t="b">
        <v>0</v>
      </c>
      <c r="D2593" s="56" t="b">
        <v>0</v>
      </c>
      <c r="E2593" s="56">
        <f ca="1">IF(PV[[#This Row],[Business Date]]=Control!$C$6, PV[[#This Row],[Notional Value Local Cur]], -PV[[#This Row],[Notional Value Local Cur]])</f>
        <v>0</v>
      </c>
    </row>
    <row r="2594" spans="1:5" x14ac:dyDescent="0.25">
      <c r="A2594" s="36" t="b">
        <v>0</v>
      </c>
      <c r="B2594" s="56" t="b">
        <v>0</v>
      </c>
      <c r="C2594" s="56" t="b">
        <v>0</v>
      </c>
      <c r="D2594" s="56" t="b">
        <v>0</v>
      </c>
      <c r="E2594" s="56">
        <f ca="1">IF(PV[[#This Row],[Business Date]]=Control!$C$6, PV[[#This Row],[Notional Value Local Cur]], -PV[[#This Row],[Notional Value Local Cur]])</f>
        <v>0</v>
      </c>
    </row>
    <row r="2595" spans="1:5" x14ac:dyDescent="0.25">
      <c r="A2595" s="36" t="b">
        <v>0</v>
      </c>
      <c r="B2595" s="56" t="b">
        <v>0</v>
      </c>
      <c r="C2595" s="56" t="b">
        <v>0</v>
      </c>
      <c r="D2595" s="56" t="b">
        <v>0</v>
      </c>
      <c r="E2595" s="56">
        <f ca="1">IF(PV[[#This Row],[Business Date]]=Control!$C$6, PV[[#This Row],[Notional Value Local Cur]], -PV[[#This Row],[Notional Value Local Cur]])</f>
        <v>0</v>
      </c>
    </row>
    <row r="2596" spans="1:5" x14ac:dyDescent="0.25">
      <c r="A2596" s="36" t="b">
        <v>0</v>
      </c>
      <c r="B2596" s="56" t="b">
        <v>0</v>
      </c>
      <c r="C2596" s="56" t="b">
        <v>0</v>
      </c>
      <c r="D2596" s="56" t="b">
        <v>0</v>
      </c>
      <c r="E2596" s="56">
        <f ca="1">IF(PV[[#This Row],[Business Date]]=Control!$C$6, PV[[#This Row],[Notional Value Local Cur]], -PV[[#This Row],[Notional Value Local Cur]])</f>
        <v>0</v>
      </c>
    </row>
    <row r="2597" spans="1:5" x14ac:dyDescent="0.25">
      <c r="A2597" s="36" t="b">
        <v>0</v>
      </c>
      <c r="B2597" s="56" t="b">
        <v>0</v>
      </c>
      <c r="C2597" s="56" t="b">
        <v>0</v>
      </c>
      <c r="D2597" s="56" t="b">
        <v>0</v>
      </c>
      <c r="E2597" s="56">
        <f ca="1">IF(PV[[#This Row],[Business Date]]=Control!$C$6, PV[[#This Row],[Notional Value Local Cur]], -PV[[#This Row],[Notional Value Local Cur]])</f>
        <v>0</v>
      </c>
    </row>
    <row r="2598" spans="1:5" x14ac:dyDescent="0.25">
      <c r="A2598" s="36" t="b">
        <v>0</v>
      </c>
      <c r="B2598" s="56" t="b">
        <v>0</v>
      </c>
      <c r="C2598" s="56" t="b">
        <v>0</v>
      </c>
      <c r="D2598" s="56" t="b">
        <v>0</v>
      </c>
      <c r="E2598" s="56">
        <f ca="1">IF(PV[[#This Row],[Business Date]]=Control!$C$6, PV[[#This Row],[Notional Value Local Cur]], -PV[[#This Row],[Notional Value Local Cur]])</f>
        <v>0</v>
      </c>
    </row>
    <row r="2599" spans="1:5" x14ac:dyDescent="0.25">
      <c r="A2599" s="36" t="b">
        <v>0</v>
      </c>
      <c r="B2599" s="56" t="b">
        <v>0</v>
      </c>
      <c r="C2599" s="56" t="b">
        <v>0</v>
      </c>
      <c r="D2599" s="56" t="b">
        <v>0</v>
      </c>
      <c r="E2599" s="56">
        <f ca="1">IF(PV[[#This Row],[Business Date]]=Control!$C$6, PV[[#This Row],[Notional Value Local Cur]], -PV[[#This Row],[Notional Value Local Cur]])</f>
        <v>0</v>
      </c>
    </row>
    <row r="2600" spans="1:5" x14ac:dyDescent="0.25">
      <c r="A2600" s="36" t="b">
        <v>0</v>
      </c>
      <c r="B2600" s="56" t="b">
        <v>0</v>
      </c>
      <c r="C2600" s="56" t="b">
        <v>0</v>
      </c>
      <c r="D2600" s="56" t="b">
        <v>0</v>
      </c>
      <c r="E2600" s="56">
        <f ca="1">IF(PV[[#This Row],[Business Date]]=Control!$C$6, PV[[#This Row],[Notional Value Local Cur]], -PV[[#This Row],[Notional Value Local Cur]])</f>
        <v>0</v>
      </c>
    </row>
    <row r="2601" spans="1:5" x14ac:dyDescent="0.25">
      <c r="A2601" s="36" t="b">
        <v>0</v>
      </c>
      <c r="B2601" s="56" t="b">
        <v>0</v>
      </c>
      <c r="C2601" s="56" t="b">
        <v>0</v>
      </c>
      <c r="D2601" s="56" t="b">
        <v>0</v>
      </c>
      <c r="E2601" s="56">
        <f ca="1">IF(PV[[#This Row],[Business Date]]=Control!$C$6, PV[[#This Row],[Notional Value Local Cur]], -PV[[#This Row],[Notional Value Local Cur]])</f>
        <v>0</v>
      </c>
    </row>
    <row r="2602" spans="1:5" x14ac:dyDescent="0.25">
      <c r="A2602" s="36" t="b">
        <v>0</v>
      </c>
      <c r="B2602" s="56" t="b">
        <v>0</v>
      </c>
      <c r="C2602" s="56" t="b">
        <v>0</v>
      </c>
      <c r="D2602" s="56" t="b">
        <v>0</v>
      </c>
      <c r="E2602" s="56">
        <f ca="1">IF(PV[[#This Row],[Business Date]]=Control!$C$6, PV[[#This Row],[Notional Value Local Cur]], -PV[[#This Row],[Notional Value Local Cur]])</f>
        <v>0</v>
      </c>
    </row>
    <row r="2603" spans="1:5" x14ac:dyDescent="0.25">
      <c r="A2603" s="36" t="b">
        <v>0</v>
      </c>
      <c r="B2603" s="56" t="b">
        <v>0</v>
      </c>
      <c r="C2603" s="56" t="b">
        <v>0</v>
      </c>
      <c r="D2603" s="56" t="b">
        <v>0</v>
      </c>
      <c r="E2603" s="56">
        <f ca="1">IF(PV[[#This Row],[Business Date]]=Control!$C$6, PV[[#This Row],[Notional Value Local Cur]], -PV[[#This Row],[Notional Value Local Cur]])</f>
        <v>0</v>
      </c>
    </row>
    <row r="2604" spans="1:5" x14ac:dyDescent="0.25">
      <c r="A2604" s="36" t="b">
        <v>0</v>
      </c>
      <c r="B2604" s="56" t="b">
        <v>0</v>
      </c>
      <c r="C2604" s="56" t="b">
        <v>0</v>
      </c>
      <c r="D2604" s="56" t="b">
        <v>0</v>
      </c>
      <c r="E2604" s="56">
        <f ca="1">IF(PV[[#This Row],[Business Date]]=Control!$C$6, PV[[#This Row],[Notional Value Local Cur]], -PV[[#This Row],[Notional Value Local Cur]])</f>
        <v>0</v>
      </c>
    </row>
    <row r="2605" spans="1:5" x14ac:dyDescent="0.25">
      <c r="A2605" s="36" t="b">
        <v>0</v>
      </c>
      <c r="B2605" s="56" t="b">
        <v>0</v>
      </c>
      <c r="C2605" s="56" t="b">
        <v>0</v>
      </c>
      <c r="D2605" s="56" t="b">
        <v>0</v>
      </c>
      <c r="E2605" s="56">
        <f ca="1">IF(PV[[#This Row],[Business Date]]=Control!$C$6, PV[[#This Row],[Notional Value Local Cur]], -PV[[#This Row],[Notional Value Local Cur]])</f>
        <v>0</v>
      </c>
    </row>
    <row r="2606" spans="1:5" x14ac:dyDescent="0.25">
      <c r="A2606" s="36" t="b">
        <v>0</v>
      </c>
      <c r="B2606" s="56" t="b">
        <v>0</v>
      </c>
      <c r="C2606" s="56" t="b">
        <v>0</v>
      </c>
      <c r="D2606" s="56" t="b">
        <v>0</v>
      </c>
      <c r="E2606" s="56">
        <f ca="1">IF(PV[[#This Row],[Business Date]]=Control!$C$6, PV[[#This Row],[Notional Value Local Cur]], -PV[[#This Row],[Notional Value Local Cur]])</f>
        <v>0</v>
      </c>
    </row>
    <row r="2607" spans="1:5" x14ac:dyDescent="0.25">
      <c r="A2607" s="36" t="b">
        <v>0</v>
      </c>
      <c r="B2607" s="56" t="b">
        <v>0</v>
      </c>
      <c r="C2607" s="56" t="b">
        <v>0</v>
      </c>
      <c r="D2607" s="56" t="b">
        <v>0</v>
      </c>
      <c r="E2607" s="56">
        <f ca="1">IF(PV[[#This Row],[Business Date]]=Control!$C$6, PV[[#This Row],[Notional Value Local Cur]], -PV[[#This Row],[Notional Value Local Cur]])</f>
        <v>0</v>
      </c>
    </row>
    <row r="2608" spans="1:5" x14ac:dyDescent="0.25">
      <c r="A2608" s="36" t="b">
        <v>0</v>
      </c>
      <c r="B2608" s="56" t="b">
        <v>0</v>
      </c>
      <c r="C2608" s="56" t="b">
        <v>0</v>
      </c>
      <c r="D2608" s="56" t="b">
        <v>0</v>
      </c>
      <c r="E2608" s="56">
        <f ca="1">IF(PV[[#This Row],[Business Date]]=Control!$C$6, PV[[#This Row],[Notional Value Local Cur]], -PV[[#This Row],[Notional Value Local Cur]])</f>
        <v>0</v>
      </c>
    </row>
    <row r="2609" spans="1:5" x14ac:dyDescent="0.25">
      <c r="A2609" s="36" t="b">
        <v>0</v>
      </c>
      <c r="B2609" s="56" t="b">
        <v>0</v>
      </c>
      <c r="C2609" s="56" t="b">
        <v>0</v>
      </c>
      <c r="D2609" s="56" t="b">
        <v>0</v>
      </c>
      <c r="E2609" s="56">
        <f ca="1">IF(PV[[#This Row],[Business Date]]=Control!$C$6, PV[[#This Row],[Notional Value Local Cur]], -PV[[#This Row],[Notional Value Local Cur]])</f>
        <v>0</v>
      </c>
    </row>
    <row r="2610" spans="1:5" x14ac:dyDescent="0.25">
      <c r="A2610" s="36" t="b">
        <v>0</v>
      </c>
      <c r="B2610" s="56" t="b">
        <v>0</v>
      </c>
      <c r="C2610" s="56" t="b">
        <v>0</v>
      </c>
      <c r="D2610" s="56" t="b">
        <v>0</v>
      </c>
      <c r="E2610" s="56">
        <f ca="1">IF(PV[[#This Row],[Business Date]]=Control!$C$6, PV[[#This Row],[Notional Value Local Cur]], -PV[[#This Row],[Notional Value Local Cur]])</f>
        <v>0</v>
      </c>
    </row>
    <row r="2611" spans="1:5" x14ac:dyDescent="0.25">
      <c r="A2611" s="36" t="b">
        <v>0</v>
      </c>
      <c r="B2611" s="56" t="b">
        <v>0</v>
      </c>
      <c r="C2611" s="56" t="b">
        <v>0</v>
      </c>
      <c r="D2611" s="56" t="b">
        <v>0</v>
      </c>
      <c r="E2611" s="56">
        <f ca="1">IF(PV[[#This Row],[Business Date]]=Control!$C$6, PV[[#This Row],[Notional Value Local Cur]], -PV[[#This Row],[Notional Value Local Cur]])</f>
        <v>0</v>
      </c>
    </row>
    <row r="2612" spans="1:5" x14ac:dyDescent="0.25">
      <c r="A2612" s="36" t="b">
        <v>0</v>
      </c>
      <c r="B2612" s="56" t="b">
        <v>0</v>
      </c>
      <c r="C2612" s="56" t="b">
        <v>0</v>
      </c>
      <c r="D2612" s="56" t="b">
        <v>0</v>
      </c>
      <c r="E2612" s="56">
        <f ca="1">IF(PV[[#This Row],[Business Date]]=Control!$C$6, PV[[#This Row],[Notional Value Local Cur]], -PV[[#This Row],[Notional Value Local Cur]])</f>
        <v>0</v>
      </c>
    </row>
    <row r="2613" spans="1:5" x14ac:dyDescent="0.25">
      <c r="A2613" s="36" t="b">
        <v>0</v>
      </c>
      <c r="B2613" s="56" t="b">
        <v>0</v>
      </c>
      <c r="C2613" s="56" t="b">
        <v>0</v>
      </c>
      <c r="D2613" s="56" t="b">
        <v>0</v>
      </c>
      <c r="E2613" s="56">
        <f ca="1">IF(PV[[#This Row],[Business Date]]=Control!$C$6, PV[[#This Row],[Notional Value Local Cur]], -PV[[#This Row],[Notional Value Local Cur]])</f>
        <v>0</v>
      </c>
    </row>
    <row r="2614" spans="1:5" x14ac:dyDescent="0.25">
      <c r="A2614" s="36" t="b">
        <v>0</v>
      </c>
      <c r="B2614" s="56" t="b">
        <v>0</v>
      </c>
      <c r="C2614" s="56" t="b">
        <v>0</v>
      </c>
      <c r="D2614" s="56" t="b">
        <v>0</v>
      </c>
      <c r="E2614" s="56">
        <f ca="1">IF(PV[[#This Row],[Business Date]]=Control!$C$6, PV[[#This Row],[Notional Value Local Cur]], -PV[[#This Row],[Notional Value Local Cur]])</f>
        <v>0</v>
      </c>
    </row>
    <row r="2615" spans="1:5" x14ac:dyDescent="0.25">
      <c r="A2615" s="36" t="b">
        <v>0</v>
      </c>
      <c r="B2615" s="56" t="b">
        <v>0</v>
      </c>
      <c r="C2615" s="56" t="b">
        <v>0</v>
      </c>
      <c r="D2615" s="56" t="b">
        <v>0</v>
      </c>
      <c r="E2615" s="56">
        <f ca="1">IF(PV[[#This Row],[Business Date]]=Control!$C$6, PV[[#This Row],[Notional Value Local Cur]], -PV[[#This Row],[Notional Value Local Cur]])</f>
        <v>0</v>
      </c>
    </row>
    <row r="2616" spans="1:5" x14ac:dyDescent="0.25">
      <c r="A2616" s="36" t="b">
        <v>0</v>
      </c>
      <c r="B2616" s="56" t="b">
        <v>0</v>
      </c>
      <c r="C2616" s="56" t="b">
        <v>0</v>
      </c>
      <c r="D2616" s="56" t="b">
        <v>0</v>
      </c>
      <c r="E2616" s="56">
        <f ca="1">IF(PV[[#This Row],[Business Date]]=Control!$C$6, PV[[#This Row],[Notional Value Local Cur]], -PV[[#This Row],[Notional Value Local Cur]])</f>
        <v>0</v>
      </c>
    </row>
    <row r="2617" spans="1:5" x14ac:dyDescent="0.25">
      <c r="A2617" s="36" t="b">
        <v>0</v>
      </c>
      <c r="B2617" s="56" t="b">
        <v>0</v>
      </c>
      <c r="C2617" s="56" t="b">
        <v>0</v>
      </c>
      <c r="D2617" s="56" t="b">
        <v>0</v>
      </c>
      <c r="E2617" s="56">
        <f ca="1">IF(PV[[#This Row],[Business Date]]=Control!$C$6, PV[[#This Row],[Notional Value Local Cur]], -PV[[#This Row],[Notional Value Local Cur]])</f>
        <v>0</v>
      </c>
    </row>
    <row r="2618" spans="1:5" x14ac:dyDescent="0.25">
      <c r="A2618" s="36" t="b">
        <v>0</v>
      </c>
      <c r="B2618" s="56" t="b">
        <v>0</v>
      </c>
      <c r="C2618" s="56" t="b">
        <v>0</v>
      </c>
      <c r="D2618" s="56" t="b">
        <v>0</v>
      </c>
      <c r="E2618" s="56">
        <f ca="1">IF(PV[[#This Row],[Business Date]]=Control!$C$6, PV[[#This Row],[Notional Value Local Cur]], -PV[[#This Row],[Notional Value Local Cur]])</f>
        <v>0</v>
      </c>
    </row>
    <row r="2619" spans="1:5" x14ac:dyDescent="0.25">
      <c r="A2619" s="36" t="b">
        <v>0</v>
      </c>
      <c r="B2619" s="56" t="b">
        <v>0</v>
      </c>
      <c r="C2619" s="56" t="b">
        <v>0</v>
      </c>
      <c r="D2619" s="56" t="b">
        <v>0</v>
      </c>
      <c r="E2619" s="56">
        <f ca="1">IF(PV[[#This Row],[Business Date]]=Control!$C$6, PV[[#This Row],[Notional Value Local Cur]], -PV[[#This Row],[Notional Value Local Cur]])</f>
        <v>0</v>
      </c>
    </row>
    <row r="2620" spans="1:5" x14ac:dyDescent="0.25">
      <c r="A2620" s="36" t="b">
        <v>0</v>
      </c>
      <c r="B2620" s="56" t="b">
        <v>0</v>
      </c>
      <c r="C2620" s="56" t="b">
        <v>0</v>
      </c>
      <c r="D2620" s="56" t="b">
        <v>0</v>
      </c>
      <c r="E2620" s="56">
        <f ca="1">IF(PV[[#This Row],[Business Date]]=Control!$C$6, PV[[#This Row],[Notional Value Local Cur]], -PV[[#This Row],[Notional Value Local Cur]])</f>
        <v>0</v>
      </c>
    </row>
    <row r="2621" spans="1:5" x14ac:dyDescent="0.25">
      <c r="A2621" s="36" t="b">
        <v>0</v>
      </c>
      <c r="B2621" s="56" t="b">
        <v>0</v>
      </c>
      <c r="C2621" s="56" t="b">
        <v>0</v>
      </c>
      <c r="D2621" s="56" t="b">
        <v>0</v>
      </c>
      <c r="E2621" s="56">
        <f ca="1">IF(PV[[#This Row],[Business Date]]=Control!$C$6, PV[[#This Row],[Notional Value Local Cur]], -PV[[#This Row],[Notional Value Local Cur]])</f>
        <v>0</v>
      </c>
    </row>
    <row r="2622" spans="1:5" x14ac:dyDescent="0.25">
      <c r="A2622" s="36" t="b">
        <v>0</v>
      </c>
      <c r="B2622" s="56" t="b">
        <v>0</v>
      </c>
      <c r="C2622" s="56" t="b">
        <v>0</v>
      </c>
      <c r="D2622" s="56" t="b">
        <v>0</v>
      </c>
      <c r="E2622" s="56">
        <f ca="1">IF(PV[[#This Row],[Business Date]]=Control!$C$6, PV[[#This Row],[Notional Value Local Cur]], -PV[[#This Row],[Notional Value Local Cur]])</f>
        <v>0</v>
      </c>
    </row>
    <row r="2623" spans="1:5" x14ac:dyDescent="0.25">
      <c r="A2623" s="36" t="b">
        <v>0</v>
      </c>
      <c r="B2623" s="56" t="b">
        <v>0</v>
      </c>
      <c r="C2623" s="56" t="b">
        <v>0</v>
      </c>
      <c r="D2623" s="56" t="b">
        <v>0</v>
      </c>
      <c r="E2623" s="56">
        <f ca="1">IF(PV[[#This Row],[Business Date]]=Control!$C$6, PV[[#This Row],[Notional Value Local Cur]], -PV[[#This Row],[Notional Value Local Cur]])</f>
        <v>0</v>
      </c>
    </row>
    <row r="2624" spans="1:5" x14ac:dyDescent="0.25">
      <c r="A2624" s="36" t="b">
        <v>0</v>
      </c>
      <c r="B2624" s="56" t="b">
        <v>0</v>
      </c>
      <c r="C2624" s="56" t="b">
        <v>0</v>
      </c>
      <c r="D2624" s="56" t="b">
        <v>0</v>
      </c>
      <c r="E2624" s="56">
        <f ca="1">IF(PV[[#This Row],[Business Date]]=Control!$C$6, PV[[#This Row],[Notional Value Local Cur]], -PV[[#This Row],[Notional Value Local Cur]])</f>
        <v>0</v>
      </c>
    </row>
    <row r="2625" spans="1:5" x14ac:dyDescent="0.25">
      <c r="A2625" s="36" t="b">
        <v>0</v>
      </c>
      <c r="B2625" s="56" t="b">
        <v>0</v>
      </c>
      <c r="C2625" s="56" t="b">
        <v>0</v>
      </c>
      <c r="D2625" s="56" t="b">
        <v>0</v>
      </c>
      <c r="E2625" s="56">
        <f ca="1">IF(PV[[#This Row],[Business Date]]=Control!$C$6, PV[[#This Row],[Notional Value Local Cur]], -PV[[#This Row],[Notional Value Local Cur]])</f>
        <v>0</v>
      </c>
    </row>
    <row r="2626" spans="1:5" x14ac:dyDescent="0.25">
      <c r="A2626" s="36" t="b">
        <v>0</v>
      </c>
      <c r="B2626" s="56" t="b">
        <v>0</v>
      </c>
      <c r="C2626" s="56" t="b">
        <v>0</v>
      </c>
      <c r="D2626" s="56" t="b">
        <v>0</v>
      </c>
      <c r="E2626" s="56">
        <f ca="1">IF(PV[[#This Row],[Business Date]]=Control!$C$6, PV[[#This Row],[Notional Value Local Cur]], -PV[[#This Row],[Notional Value Local Cur]])</f>
        <v>0</v>
      </c>
    </row>
    <row r="2627" spans="1:5" x14ac:dyDescent="0.25">
      <c r="A2627" s="36" t="b">
        <v>0</v>
      </c>
      <c r="B2627" s="56" t="b">
        <v>0</v>
      </c>
      <c r="C2627" s="56" t="b">
        <v>0</v>
      </c>
      <c r="D2627" s="56" t="b">
        <v>0</v>
      </c>
      <c r="E2627" s="56">
        <f ca="1">IF(PV[[#This Row],[Business Date]]=Control!$C$6, PV[[#This Row],[Notional Value Local Cur]], -PV[[#This Row],[Notional Value Local Cur]])</f>
        <v>0</v>
      </c>
    </row>
    <row r="2628" spans="1:5" x14ac:dyDescent="0.25">
      <c r="A2628" s="36" t="b">
        <v>0</v>
      </c>
      <c r="B2628" s="56" t="b">
        <v>0</v>
      </c>
      <c r="C2628" s="56" t="b">
        <v>0</v>
      </c>
      <c r="D2628" s="56" t="b">
        <v>0</v>
      </c>
      <c r="E2628" s="56">
        <f ca="1">IF(PV[[#This Row],[Business Date]]=Control!$C$6, PV[[#This Row],[Notional Value Local Cur]], -PV[[#This Row],[Notional Value Local Cur]])</f>
        <v>0</v>
      </c>
    </row>
    <row r="2629" spans="1:5" x14ac:dyDescent="0.25">
      <c r="A2629" s="36" t="b">
        <v>0</v>
      </c>
      <c r="B2629" s="56" t="b">
        <v>0</v>
      </c>
      <c r="C2629" s="56" t="b">
        <v>0</v>
      </c>
      <c r="D2629" s="56" t="b">
        <v>0</v>
      </c>
      <c r="E2629" s="56">
        <f ca="1">IF(PV[[#This Row],[Business Date]]=Control!$C$6, PV[[#This Row],[Notional Value Local Cur]], -PV[[#This Row],[Notional Value Local Cur]])</f>
        <v>0</v>
      </c>
    </row>
    <row r="2630" spans="1:5" x14ac:dyDescent="0.25">
      <c r="A2630" s="36" t="b">
        <v>0</v>
      </c>
      <c r="B2630" s="56" t="b">
        <v>0</v>
      </c>
      <c r="C2630" s="56" t="b">
        <v>0</v>
      </c>
      <c r="D2630" s="56" t="b">
        <v>0</v>
      </c>
      <c r="E2630" s="56">
        <f ca="1">IF(PV[[#This Row],[Business Date]]=Control!$C$6, PV[[#This Row],[Notional Value Local Cur]], -PV[[#This Row],[Notional Value Local Cur]])</f>
        <v>0</v>
      </c>
    </row>
    <row r="2631" spans="1:5" x14ac:dyDescent="0.25">
      <c r="A2631" s="36" t="b">
        <v>0</v>
      </c>
      <c r="B2631" s="56" t="b">
        <v>0</v>
      </c>
      <c r="C2631" s="56" t="b">
        <v>0</v>
      </c>
      <c r="D2631" s="56" t="b">
        <v>0</v>
      </c>
      <c r="E2631" s="56">
        <f ca="1">IF(PV[[#This Row],[Business Date]]=Control!$C$6, PV[[#This Row],[Notional Value Local Cur]], -PV[[#This Row],[Notional Value Local Cur]])</f>
        <v>0</v>
      </c>
    </row>
    <row r="2632" spans="1:5" x14ac:dyDescent="0.25">
      <c r="A2632" s="36" t="b">
        <v>0</v>
      </c>
      <c r="B2632" s="56" t="b">
        <v>0</v>
      </c>
      <c r="C2632" s="56" t="b">
        <v>0</v>
      </c>
      <c r="D2632" s="56" t="b">
        <v>0</v>
      </c>
      <c r="E2632" s="56">
        <f ca="1">IF(PV[[#This Row],[Business Date]]=Control!$C$6, PV[[#This Row],[Notional Value Local Cur]], -PV[[#This Row],[Notional Value Local Cur]])</f>
        <v>0</v>
      </c>
    </row>
    <row r="2633" spans="1:5" x14ac:dyDescent="0.25">
      <c r="A2633" s="36" t="b">
        <v>0</v>
      </c>
      <c r="B2633" s="56" t="b">
        <v>0</v>
      </c>
      <c r="C2633" s="56" t="b">
        <v>0</v>
      </c>
      <c r="D2633" s="56" t="b">
        <v>0</v>
      </c>
      <c r="E2633" s="56">
        <f ca="1">IF(PV[[#This Row],[Business Date]]=Control!$C$6, PV[[#This Row],[Notional Value Local Cur]], -PV[[#This Row],[Notional Value Local Cur]])</f>
        <v>0</v>
      </c>
    </row>
    <row r="2634" spans="1:5" x14ac:dyDescent="0.25">
      <c r="A2634" s="36" t="b">
        <v>0</v>
      </c>
      <c r="B2634" s="56" t="b">
        <v>0</v>
      </c>
      <c r="C2634" s="56" t="b">
        <v>0</v>
      </c>
      <c r="D2634" s="56" t="b">
        <v>0</v>
      </c>
      <c r="E2634" s="56">
        <f ca="1">IF(PV[[#This Row],[Business Date]]=Control!$C$6, PV[[#This Row],[Notional Value Local Cur]], -PV[[#This Row],[Notional Value Local Cur]])</f>
        <v>0</v>
      </c>
    </row>
    <row r="2635" spans="1:5" x14ac:dyDescent="0.25">
      <c r="A2635" s="36" t="b">
        <v>0</v>
      </c>
      <c r="B2635" s="56" t="b">
        <v>0</v>
      </c>
      <c r="C2635" s="56" t="b">
        <v>0</v>
      </c>
      <c r="D2635" s="56" t="b">
        <v>0</v>
      </c>
      <c r="E2635" s="56">
        <f ca="1">IF(PV[[#This Row],[Business Date]]=Control!$C$6, PV[[#This Row],[Notional Value Local Cur]], -PV[[#This Row],[Notional Value Local Cur]])</f>
        <v>0</v>
      </c>
    </row>
    <row r="2636" spans="1:5" x14ac:dyDescent="0.25">
      <c r="A2636" s="36" t="b">
        <v>0</v>
      </c>
      <c r="B2636" s="56" t="b">
        <v>0</v>
      </c>
      <c r="C2636" s="56" t="b">
        <v>0</v>
      </c>
      <c r="D2636" s="56" t="b">
        <v>0</v>
      </c>
      <c r="E2636" s="56">
        <f ca="1">IF(PV[[#This Row],[Business Date]]=Control!$C$6, PV[[#This Row],[Notional Value Local Cur]], -PV[[#This Row],[Notional Value Local Cur]])</f>
        <v>0</v>
      </c>
    </row>
    <row r="2637" spans="1:5" x14ac:dyDescent="0.25">
      <c r="A2637" s="36" t="b">
        <v>0</v>
      </c>
      <c r="B2637" s="56" t="b">
        <v>0</v>
      </c>
      <c r="C2637" s="56" t="b">
        <v>0</v>
      </c>
      <c r="D2637" s="56" t="b">
        <v>0</v>
      </c>
      <c r="E2637" s="56">
        <f ca="1">IF(PV[[#This Row],[Business Date]]=Control!$C$6, PV[[#This Row],[Notional Value Local Cur]], -PV[[#This Row],[Notional Value Local Cur]])</f>
        <v>0</v>
      </c>
    </row>
    <row r="2638" spans="1:5" x14ac:dyDescent="0.25">
      <c r="A2638" s="36" t="b">
        <v>0</v>
      </c>
      <c r="B2638" s="56" t="b">
        <v>0</v>
      </c>
      <c r="C2638" s="56" t="b">
        <v>0</v>
      </c>
      <c r="D2638" s="56" t="b">
        <v>0</v>
      </c>
      <c r="E2638" s="56">
        <f ca="1">IF(PV[[#This Row],[Business Date]]=Control!$C$6, PV[[#This Row],[Notional Value Local Cur]], -PV[[#This Row],[Notional Value Local Cur]])</f>
        <v>0</v>
      </c>
    </row>
    <row r="2639" spans="1:5" x14ac:dyDescent="0.25">
      <c r="A2639" s="36" t="b">
        <v>0</v>
      </c>
      <c r="B2639" s="56" t="b">
        <v>0</v>
      </c>
      <c r="C2639" s="56" t="b">
        <v>0</v>
      </c>
      <c r="D2639" s="56" t="b">
        <v>0</v>
      </c>
      <c r="E2639" s="56">
        <f ca="1">IF(PV[[#This Row],[Business Date]]=Control!$C$6, PV[[#This Row],[Notional Value Local Cur]], -PV[[#This Row],[Notional Value Local Cur]])</f>
        <v>0</v>
      </c>
    </row>
    <row r="2640" spans="1:5" x14ac:dyDescent="0.25">
      <c r="A2640" s="36" t="b">
        <v>0</v>
      </c>
      <c r="B2640" s="56" t="b">
        <v>0</v>
      </c>
      <c r="C2640" s="56" t="b">
        <v>0</v>
      </c>
      <c r="D2640" s="56" t="b">
        <v>0</v>
      </c>
      <c r="E2640" s="56">
        <f ca="1">IF(PV[[#This Row],[Business Date]]=Control!$C$6, PV[[#This Row],[Notional Value Local Cur]], -PV[[#This Row],[Notional Value Local Cur]])</f>
        <v>0</v>
      </c>
    </row>
    <row r="2641" spans="1:5" x14ac:dyDescent="0.25">
      <c r="A2641" s="36" t="b">
        <v>0</v>
      </c>
      <c r="B2641" s="56" t="b">
        <v>0</v>
      </c>
      <c r="C2641" s="56" t="b">
        <v>0</v>
      </c>
      <c r="D2641" s="56" t="b">
        <v>0</v>
      </c>
      <c r="E2641" s="56">
        <f ca="1">IF(PV[[#This Row],[Business Date]]=Control!$C$6, PV[[#This Row],[Notional Value Local Cur]], -PV[[#This Row],[Notional Value Local Cur]])</f>
        <v>0</v>
      </c>
    </row>
    <row r="2642" spans="1:5" x14ac:dyDescent="0.25">
      <c r="A2642" s="36" t="b">
        <v>0</v>
      </c>
      <c r="B2642" s="56" t="b">
        <v>0</v>
      </c>
      <c r="C2642" s="56" t="b">
        <v>0</v>
      </c>
      <c r="D2642" s="56" t="b">
        <v>0</v>
      </c>
      <c r="E2642" s="56">
        <f ca="1">IF(PV[[#This Row],[Business Date]]=Control!$C$6, PV[[#This Row],[Notional Value Local Cur]], -PV[[#This Row],[Notional Value Local Cur]])</f>
        <v>0</v>
      </c>
    </row>
    <row r="2643" spans="1:5" x14ac:dyDescent="0.25">
      <c r="A2643" s="36" t="b">
        <v>0</v>
      </c>
      <c r="B2643" s="56" t="b">
        <v>0</v>
      </c>
      <c r="C2643" s="56" t="b">
        <v>0</v>
      </c>
      <c r="D2643" s="56" t="b">
        <v>0</v>
      </c>
      <c r="E2643" s="56">
        <f ca="1">IF(PV[[#This Row],[Business Date]]=Control!$C$6, PV[[#This Row],[Notional Value Local Cur]], -PV[[#This Row],[Notional Value Local Cur]])</f>
        <v>0</v>
      </c>
    </row>
    <row r="2644" spans="1:5" x14ac:dyDescent="0.25">
      <c r="A2644" s="36" t="b">
        <v>0</v>
      </c>
      <c r="B2644" s="56" t="b">
        <v>0</v>
      </c>
      <c r="C2644" s="56" t="b">
        <v>0</v>
      </c>
      <c r="D2644" s="56" t="b">
        <v>0</v>
      </c>
      <c r="E2644" s="56">
        <f ca="1">IF(PV[[#This Row],[Business Date]]=Control!$C$6, PV[[#This Row],[Notional Value Local Cur]], -PV[[#This Row],[Notional Value Local Cur]])</f>
        <v>0</v>
      </c>
    </row>
    <row r="2645" spans="1:5" x14ac:dyDescent="0.25">
      <c r="A2645" s="36" t="b">
        <v>0</v>
      </c>
      <c r="B2645" s="56" t="b">
        <v>0</v>
      </c>
      <c r="C2645" s="56" t="b">
        <v>0</v>
      </c>
      <c r="D2645" s="56" t="b">
        <v>0</v>
      </c>
      <c r="E2645" s="56">
        <f ca="1">IF(PV[[#This Row],[Business Date]]=Control!$C$6, PV[[#This Row],[Notional Value Local Cur]], -PV[[#This Row],[Notional Value Local Cur]])</f>
        <v>0</v>
      </c>
    </row>
    <row r="2646" spans="1:5" x14ac:dyDescent="0.25">
      <c r="A2646" s="36" t="b">
        <v>0</v>
      </c>
      <c r="B2646" s="56" t="b">
        <v>0</v>
      </c>
      <c r="C2646" s="56" t="b">
        <v>0</v>
      </c>
      <c r="D2646" s="56" t="b">
        <v>0</v>
      </c>
      <c r="E2646" s="56">
        <f ca="1">IF(PV[[#This Row],[Business Date]]=Control!$C$6, PV[[#This Row],[Notional Value Local Cur]], -PV[[#This Row],[Notional Value Local Cur]])</f>
        <v>0</v>
      </c>
    </row>
    <row r="2647" spans="1:5" x14ac:dyDescent="0.25">
      <c r="A2647" s="36" t="b">
        <v>0</v>
      </c>
      <c r="B2647" s="56" t="b">
        <v>0</v>
      </c>
      <c r="C2647" s="56" t="b">
        <v>0</v>
      </c>
      <c r="D2647" s="56" t="b">
        <v>0</v>
      </c>
      <c r="E2647" s="56">
        <f ca="1">IF(PV[[#This Row],[Business Date]]=Control!$C$6, PV[[#This Row],[Notional Value Local Cur]], -PV[[#This Row],[Notional Value Local Cur]])</f>
        <v>0</v>
      </c>
    </row>
    <row r="2648" spans="1:5" x14ac:dyDescent="0.25">
      <c r="A2648" s="36" t="b">
        <v>0</v>
      </c>
      <c r="B2648" s="56" t="b">
        <v>0</v>
      </c>
      <c r="C2648" s="56" t="b">
        <v>0</v>
      </c>
      <c r="D2648" s="56" t="b">
        <v>0</v>
      </c>
      <c r="E2648" s="56">
        <f ca="1">IF(PV[[#This Row],[Business Date]]=Control!$C$6, PV[[#This Row],[Notional Value Local Cur]], -PV[[#This Row],[Notional Value Local Cur]])</f>
        <v>0</v>
      </c>
    </row>
    <row r="2649" spans="1:5" x14ac:dyDescent="0.25">
      <c r="A2649" s="36" t="b">
        <v>0</v>
      </c>
      <c r="B2649" s="56" t="b">
        <v>0</v>
      </c>
      <c r="C2649" s="56" t="b">
        <v>0</v>
      </c>
      <c r="D2649" s="56" t="b">
        <v>0</v>
      </c>
      <c r="E2649" s="56">
        <f ca="1">IF(PV[[#This Row],[Business Date]]=Control!$C$6, PV[[#This Row],[Notional Value Local Cur]], -PV[[#This Row],[Notional Value Local Cur]])</f>
        <v>0</v>
      </c>
    </row>
    <row r="2650" spans="1:5" x14ac:dyDescent="0.25">
      <c r="A2650" s="36" t="b">
        <v>0</v>
      </c>
      <c r="B2650" s="56" t="b">
        <v>0</v>
      </c>
      <c r="C2650" s="56" t="b">
        <v>0</v>
      </c>
      <c r="D2650" s="56" t="b">
        <v>0</v>
      </c>
      <c r="E2650" s="56">
        <f ca="1">IF(PV[[#This Row],[Business Date]]=Control!$C$6, PV[[#This Row],[Notional Value Local Cur]], -PV[[#This Row],[Notional Value Local Cur]])</f>
        <v>0</v>
      </c>
    </row>
    <row r="2651" spans="1:5" x14ac:dyDescent="0.25">
      <c r="A2651" s="36" t="b">
        <v>0</v>
      </c>
      <c r="B2651" s="56" t="b">
        <v>0</v>
      </c>
      <c r="C2651" s="56" t="b">
        <v>0</v>
      </c>
      <c r="D2651" s="56" t="b">
        <v>0</v>
      </c>
      <c r="E2651" s="56">
        <f ca="1">IF(PV[[#This Row],[Business Date]]=Control!$C$6, PV[[#This Row],[Notional Value Local Cur]], -PV[[#This Row],[Notional Value Local Cur]])</f>
        <v>0</v>
      </c>
    </row>
    <row r="2652" spans="1:5" x14ac:dyDescent="0.25">
      <c r="A2652" s="36" t="b">
        <v>0</v>
      </c>
      <c r="B2652" s="56" t="b">
        <v>0</v>
      </c>
      <c r="C2652" s="56" t="b">
        <v>0</v>
      </c>
      <c r="D2652" s="56" t="b">
        <v>0</v>
      </c>
      <c r="E2652" s="56">
        <f ca="1">IF(PV[[#This Row],[Business Date]]=Control!$C$6, PV[[#This Row],[Notional Value Local Cur]], -PV[[#This Row],[Notional Value Local Cur]])</f>
        <v>0</v>
      </c>
    </row>
    <row r="2653" spans="1:5" x14ac:dyDescent="0.25">
      <c r="A2653" s="36" t="b">
        <v>0</v>
      </c>
      <c r="B2653" s="56" t="b">
        <v>0</v>
      </c>
      <c r="C2653" s="56" t="b">
        <v>0</v>
      </c>
      <c r="D2653" s="56" t="b">
        <v>0</v>
      </c>
      <c r="E2653" s="56">
        <f ca="1">IF(PV[[#This Row],[Business Date]]=Control!$C$6, PV[[#This Row],[Notional Value Local Cur]], -PV[[#This Row],[Notional Value Local Cur]])</f>
        <v>0</v>
      </c>
    </row>
    <row r="2654" spans="1:5" x14ac:dyDescent="0.25">
      <c r="A2654" s="36" t="b">
        <v>0</v>
      </c>
      <c r="B2654" s="56" t="b">
        <v>0</v>
      </c>
      <c r="C2654" s="56" t="b">
        <v>0</v>
      </c>
      <c r="D2654" s="56" t="b">
        <v>0</v>
      </c>
      <c r="E2654" s="56">
        <f ca="1">IF(PV[[#This Row],[Business Date]]=Control!$C$6, PV[[#This Row],[Notional Value Local Cur]], -PV[[#This Row],[Notional Value Local Cur]])</f>
        <v>0</v>
      </c>
    </row>
    <row r="2655" spans="1:5" x14ac:dyDescent="0.25">
      <c r="A2655" s="36" t="b">
        <v>0</v>
      </c>
      <c r="B2655" s="56" t="b">
        <v>0</v>
      </c>
      <c r="C2655" s="56" t="b">
        <v>0</v>
      </c>
      <c r="D2655" s="56" t="b">
        <v>0</v>
      </c>
      <c r="E2655" s="56">
        <f ca="1">IF(PV[[#This Row],[Business Date]]=Control!$C$6, PV[[#This Row],[Notional Value Local Cur]], -PV[[#This Row],[Notional Value Local Cur]])</f>
        <v>0</v>
      </c>
    </row>
    <row r="2656" spans="1:5" x14ac:dyDescent="0.25">
      <c r="A2656" s="36" t="b">
        <v>0</v>
      </c>
      <c r="B2656" s="56" t="b">
        <v>0</v>
      </c>
      <c r="C2656" s="56" t="b">
        <v>0</v>
      </c>
      <c r="D2656" s="56" t="b">
        <v>0</v>
      </c>
      <c r="E2656" s="56">
        <f ca="1">IF(PV[[#This Row],[Business Date]]=Control!$C$6, PV[[#This Row],[Notional Value Local Cur]], -PV[[#This Row],[Notional Value Local Cur]])</f>
        <v>0</v>
      </c>
    </row>
    <row r="2657" spans="1:5" x14ac:dyDescent="0.25">
      <c r="A2657" s="36" t="b">
        <v>0</v>
      </c>
      <c r="B2657" s="56" t="b">
        <v>0</v>
      </c>
      <c r="C2657" s="56" t="b">
        <v>0</v>
      </c>
      <c r="D2657" s="56" t="b">
        <v>0</v>
      </c>
      <c r="E2657" s="56">
        <f ca="1">IF(PV[[#This Row],[Business Date]]=Control!$C$6, PV[[#This Row],[Notional Value Local Cur]], -PV[[#This Row],[Notional Value Local Cur]])</f>
        <v>0</v>
      </c>
    </row>
    <row r="2658" spans="1:5" x14ac:dyDescent="0.25">
      <c r="A2658" s="36" t="b">
        <v>0</v>
      </c>
      <c r="B2658" s="56" t="b">
        <v>0</v>
      </c>
      <c r="C2658" s="56" t="b">
        <v>0</v>
      </c>
      <c r="D2658" s="56" t="b">
        <v>0</v>
      </c>
      <c r="E2658" s="56">
        <f ca="1">IF(PV[[#This Row],[Business Date]]=Control!$C$6, PV[[#This Row],[Notional Value Local Cur]], -PV[[#This Row],[Notional Value Local Cur]])</f>
        <v>0</v>
      </c>
    </row>
    <row r="2659" spans="1:5" x14ac:dyDescent="0.25">
      <c r="A2659" s="36" t="b">
        <v>0</v>
      </c>
      <c r="B2659" s="56" t="b">
        <v>0</v>
      </c>
      <c r="C2659" s="56" t="b">
        <v>0</v>
      </c>
      <c r="D2659" s="56" t="b">
        <v>0</v>
      </c>
      <c r="E2659" s="56">
        <f ca="1">IF(PV[[#This Row],[Business Date]]=Control!$C$6, PV[[#This Row],[Notional Value Local Cur]], -PV[[#This Row],[Notional Value Local Cur]])</f>
        <v>0</v>
      </c>
    </row>
    <row r="2660" spans="1:5" x14ac:dyDescent="0.25">
      <c r="A2660" s="36" t="b">
        <v>0</v>
      </c>
      <c r="B2660" s="56" t="b">
        <v>0</v>
      </c>
      <c r="C2660" s="56" t="b">
        <v>0</v>
      </c>
      <c r="D2660" s="56" t="b">
        <v>0</v>
      </c>
      <c r="E2660" s="56">
        <f ca="1">IF(PV[[#This Row],[Business Date]]=Control!$C$6, PV[[#This Row],[Notional Value Local Cur]], -PV[[#This Row],[Notional Value Local Cur]])</f>
        <v>0</v>
      </c>
    </row>
    <row r="2661" spans="1:5" x14ac:dyDescent="0.25">
      <c r="A2661" s="36" t="b">
        <v>0</v>
      </c>
      <c r="B2661" s="56" t="b">
        <v>0</v>
      </c>
      <c r="C2661" s="56" t="b">
        <v>0</v>
      </c>
      <c r="D2661" s="56" t="b">
        <v>0</v>
      </c>
      <c r="E2661" s="56">
        <f ca="1">IF(PV[[#This Row],[Business Date]]=Control!$C$6, PV[[#This Row],[Notional Value Local Cur]], -PV[[#This Row],[Notional Value Local Cur]])</f>
        <v>0</v>
      </c>
    </row>
    <row r="2662" spans="1:5" x14ac:dyDescent="0.25">
      <c r="A2662" s="36" t="b">
        <v>0</v>
      </c>
      <c r="B2662" s="56" t="b">
        <v>0</v>
      </c>
      <c r="C2662" s="56" t="b">
        <v>0</v>
      </c>
      <c r="D2662" s="56" t="b">
        <v>0</v>
      </c>
      <c r="E2662" s="56">
        <f ca="1">IF(PV[[#This Row],[Business Date]]=Control!$C$6, PV[[#This Row],[Notional Value Local Cur]], -PV[[#This Row],[Notional Value Local Cur]])</f>
        <v>0</v>
      </c>
    </row>
    <row r="2663" spans="1:5" x14ac:dyDescent="0.25">
      <c r="A2663" s="36" t="b">
        <v>0</v>
      </c>
      <c r="B2663" s="56" t="b">
        <v>0</v>
      </c>
      <c r="C2663" s="56" t="b">
        <v>0</v>
      </c>
      <c r="D2663" s="56" t="b">
        <v>0</v>
      </c>
      <c r="E2663" s="56">
        <f ca="1">IF(PV[[#This Row],[Business Date]]=Control!$C$6, PV[[#This Row],[Notional Value Local Cur]], -PV[[#This Row],[Notional Value Local Cur]])</f>
        <v>0</v>
      </c>
    </row>
    <row r="2664" spans="1:5" x14ac:dyDescent="0.25">
      <c r="A2664" s="36" t="b">
        <v>0</v>
      </c>
      <c r="B2664" s="56" t="b">
        <v>0</v>
      </c>
      <c r="C2664" s="56" t="b">
        <v>0</v>
      </c>
      <c r="D2664" s="56" t="b">
        <v>0</v>
      </c>
      <c r="E2664" s="56">
        <f ca="1">IF(PV[[#This Row],[Business Date]]=Control!$C$6, PV[[#This Row],[Notional Value Local Cur]], -PV[[#This Row],[Notional Value Local Cur]])</f>
        <v>0</v>
      </c>
    </row>
    <row r="2665" spans="1:5" x14ac:dyDescent="0.25">
      <c r="A2665" s="36" t="b">
        <v>0</v>
      </c>
      <c r="B2665" s="56" t="b">
        <v>0</v>
      </c>
      <c r="C2665" s="56" t="b">
        <v>0</v>
      </c>
      <c r="D2665" s="56" t="b">
        <v>0</v>
      </c>
      <c r="E2665" s="56">
        <f ca="1">IF(PV[[#This Row],[Business Date]]=Control!$C$6, PV[[#This Row],[Notional Value Local Cur]], -PV[[#This Row],[Notional Value Local Cur]])</f>
        <v>0</v>
      </c>
    </row>
    <row r="2666" spans="1:5" x14ac:dyDescent="0.25">
      <c r="A2666" s="36" t="b">
        <v>0</v>
      </c>
      <c r="B2666" s="56" t="b">
        <v>0</v>
      </c>
      <c r="C2666" s="56" t="b">
        <v>0</v>
      </c>
      <c r="D2666" s="56" t="b">
        <v>0</v>
      </c>
      <c r="E2666" s="56">
        <f ca="1">IF(PV[[#This Row],[Business Date]]=Control!$C$6, PV[[#This Row],[Notional Value Local Cur]], -PV[[#This Row],[Notional Value Local Cur]])</f>
        <v>0</v>
      </c>
    </row>
    <row r="2667" spans="1:5" x14ac:dyDescent="0.25">
      <c r="A2667" s="36" t="b">
        <v>0</v>
      </c>
      <c r="B2667" s="56" t="b">
        <v>0</v>
      </c>
      <c r="C2667" s="56" t="b">
        <v>0</v>
      </c>
      <c r="D2667" s="56" t="b">
        <v>0</v>
      </c>
      <c r="E2667" s="56">
        <f ca="1">IF(PV[[#This Row],[Business Date]]=Control!$C$6, PV[[#This Row],[Notional Value Local Cur]], -PV[[#This Row],[Notional Value Local Cur]])</f>
        <v>0</v>
      </c>
    </row>
    <row r="2668" spans="1:5" x14ac:dyDescent="0.25">
      <c r="A2668" s="36" t="b">
        <v>0</v>
      </c>
      <c r="B2668" s="56" t="b">
        <v>0</v>
      </c>
      <c r="C2668" s="56" t="b">
        <v>0</v>
      </c>
      <c r="D2668" s="56" t="b">
        <v>0</v>
      </c>
      <c r="E2668" s="56">
        <f ca="1">IF(PV[[#This Row],[Business Date]]=Control!$C$6, PV[[#This Row],[Notional Value Local Cur]], -PV[[#This Row],[Notional Value Local Cur]])</f>
        <v>0</v>
      </c>
    </row>
    <row r="2669" spans="1:5" x14ac:dyDescent="0.25">
      <c r="A2669" s="36" t="b">
        <v>0</v>
      </c>
      <c r="B2669" s="56" t="b">
        <v>0</v>
      </c>
      <c r="C2669" s="56" t="b">
        <v>0</v>
      </c>
      <c r="D2669" s="56" t="b">
        <v>0</v>
      </c>
      <c r="E2669" s="56">
        <f ca="1">IF(PV[[#This Row],[Business Date]]=Control!$C$6, PV[[#This Row],[Notional Value Local Cur]], -PV[[#This Row],[Notional Value Local Cur]])</f>
        <v>0</v>
      </c>
    </row>
    <row r="2670" spans="1:5" x14ac:dyDescent="0.25">
      <c r="A2670" s="36" t="b">
        <v>0</v>
      </c>
      <c r="B2670" s="56" t="b">
        <v>0</v>
      </c>
      <c r="C2670" s="56" t="b">
        <v>0</v>
      </c>
      <c r="D2670" s="56" t="b">
        <v>0</v>
      </c>
      <c r="E2670" s="56">
        <f ca="1">IF(PV[[#This Row],[Business Date]]=Control!$C$6, PV[[#This Row],[Notional Value Local Cur]], -PV[[#This Row],[Notional Value Local Cur]])</f>
        <v>0</v>
      </c>
    </row>
    <row r="2671" spans="1:5" x14ac:dyDescent="0.25">
      <c r="A2671" s="36" t="b">
        <v>0</v>
      </c>
      <c r="B2671" s="56" t="b">
        <v>0</v>
      </c>
      <c r="C2671" s="56" t="b">
        <v>0</v>
      </c>
      <c r="D2671" s="56" t="b">
        <v>0</v>
      </c>
      <c r="E2671" s="56">
        <f ca="1">IF(PV[[#This Row],[Business Date]]=Control!$C$6, PV[[#This Row],[Notional Value Local Cur]], -PV[[#This Row],[Notional Value Local Cur]])</f>
        <v>0</v>
      </c>
    </row>
    <row r="2672" spans="1:5" x14ac:dyDescent="0.25">
      <c r="A2672" s="36" t="b">
        <v>0</v>
      </c>
      <c r="B2672" s="56" t="b">
        <v>0</v>
      </c>
      <c r="C2672" s="56" t="b">
        <v>0</v>
      </c>
      <c r="D2672" s="56" t="b">
        <v>0</v>
      </c>
      <c r="E2672" s="56">
        <f ca="1">IF(PV[[#This Row],[Business Date]]=Control!$C$6, PV[[#This Row],[Notional Value Local Cur]], -PV[[#This Row],[Notional Value Local Cur]])</f>
        <v>0</v>
      </c>
    </row>
    <row r="2673" spans="1:5" x14ac:dyDescent="0.25">
      <c r="A2673" s="36" t="b">
        <v>0</v>
      </c>
      <c r="B2673" s="56" t="b">
        <v>0</v>
      </c>
      <c r="C2673" s="56" t="b">
        <v>0</v>
      </c>
      <c r="D2673" s="56" t="b">
        <v>0</v>
      </c>
      <c r="E2673" s="56">
        <f ca="1">IF(PV[[#This Row],[Business Date]]=Control!$C$6, PV[[#This Row],[Notional Value Local Cur]], -PV[[#This Row],[Notional Value Local Cur]])</f>
        <v>0</v>
      </c>
    </row>
    <row r="2674" spans="1:5" x14ac:dyDescent="0.25">
      <c r="A2674" s="36" t="b">
        <v>0</v>
      </c>
      <c r="B2674" s="56" t="b">
        <v>0</v>
      </c>
      <c r="C2674" s="56" t="b">
        <v>0</v>
      </c>
      <c r="D2674" s="56" t="b">
        <v>0</v>
      </c>
      <c r="E2674" s="56">
        <f ca="1">IF(PV[[#This Row],[Business Date]]=Control!$C$6, PV[[#This Row],[Notional Value Local Cur]], -PV[[#This Row],[Notional Value Local Cur]])</f>
        <v>0</v>
      </c>
    </row>
    <row r="2675" spans="1:5" x14ac:dyDescent="0.25">
      <c r="A2675" s="36" t="b">
        <v>0</v>
      </c>
      <c r="B2675" s="56" t="b">
        <v>0</v>
      </c>
      <c r="C2675" s="56" t="b">
        <v>0</v>
      </c>
      <c r="D2675" s="56" t="b">
        <v>0</v>
      </c>
      <c r="E2675" s="56">
        <f ca="1">IF(PV[[#This Row],[Business Date]]=Control!$C$6, PV[[#This Row],[Notional Value Local Cur]], -PV[[#This Row],[Notional Value Local Cur]])</f>
        <v>0</v>
      </c>
    </row>
    <row r="2676" spans="1:5" x14ac:dyDescent="0.25">
      <c r="A2676" s="36" t="b">
        <v>0</v>
      </c>
      <c r="B2676" s="56" t="b">
        <v>0</v>
      </c>
      <c r="C2676" s="56" t="b">
        <v>0</v>
      </c>
      <c r="D2676" s="56" t="b">
        <v>0</v>
      </c>
      <c r="E2676" s="56">
        <f ca="1">IF(PV[[#This Row],[Business Date]]=Control!$C$6, PV[[#This Row],[Notional Value Local Cur]], -PV[[#This Row],[Notional Value Local Cur]])</f>
        <v>0</v>
      </c>
    </row>
    <row r="2677" spans="1:5" x14ac:dyDescent="0.25">
      <c r="A2677" s="36" t="b">
        <v>0</v>
      </c>
      <c r="B2677" s="56" t="b">
        <v>0</v>
      </c>
      <c r="C2677" s="56" t="b">
        <v>0</v>
      </c>
      <c r="D2677" s="56" t="b">
        <v>0</v>
      </c>
      <c r="E2677" s="56">
        <f ca="1">IF(PV[[#This Row],[Business Date]]=Control!$C$6, PV[[#This Row],[Notional Value Local Cur]], -PV[[#This Row],[Notional Value Local Cur]])</f>
        <v>0</v>
      </c>
    </row>
    <row r="2678" spans="1:5" x14ac:dyDescent="0.25">
      <c r="A2678" s="36" t="b">
        <v>0</v>
      </c>
      <c r="B2678" s="56" t="b">
        <v>0</v>
      </c>
      <c r="C2678" s="56" t="b">
        <v>0</v>
      </c>
      <c r="D2678" s="56" t="b">
        <v>0</v>
      </c>
      <c r="E2678" s="56">
        <f ca="1">IF(PV[[#This Row],[Business Date]]=Control!$C$6, PV[[#This Row],[Notional Value Local Cur]], -PV[[#This Row],[Notional Value Local Cur]])</f>
        <v>0</v>
      </c>
    </row>
    <row r="2679" spans="1:5" x14ac:dyDescent="0.25">
      <c r="A2679" s="36" t="b">
        <v>0</v>
      </c>
      <c r="B2679" s="56" t="b">
        <v>0</v>
      </c>
      <c r="C2679" s="56" t="b">
        <v>0</v>
      </c>
      <c r="D2679" s="56" t="b">
        <v>0</v>
      </c>
      <c r="E2679" s="56">
        <f ca="1">IF(PV[[#This Row],[Business Date]]=Control!$C$6, PV[[#This Row],[Notional Value Local Cur]], -PV[[#This Row],[Notional Value Local Cur]])</f>
        <v>0</v>
      </c>
    </row>
    <row r="2680" spans="1:5" x14ac:dyDescent="0.25">
      <c r="A2680" s="36" t="b">
        <v>0</v>
      </c>
      <c r="B2680" s="56" t="b">
        <v>0</v>
      </c>
      <c r="C2680" s="56" t="b">
        <v>0</v>
      </c>
      <c r="D2680" s="56" t="b">
        <v>0</v>
      </c>
      <c r="E2680" s="56">
        <f ca="1">IF(PV[[#This Row],[Business Date]]=Control!$C$6, PV[[#This Row],[Notional Value Local Cur]], -PV[[#This Row],[Notional Value Local Cur]])</f>
        <v>0</v>
      </c>
    </row>
    <row r="2681" spans="1:5" x14ac:dyDescent="0.25">
      <c r="A2681" s="36" t="b">
        <v>0</v>
      </c>
      <c r="B2681" s="56" t="b">
        <v>0</v>
      </c>
      <c r="C2681" s="56" t="b">
        <v>0</v>
      </c>
      <c r="D2681" s="56" t="b">
        <v>0</v>
      </c>
      <c r="E2681" s="56">
        <f ca="1">IF(PV[[#This Row],[Business Date]]=Control!$C$6, PV[[#This Row],[Notional Value Local Cur]], -PV[[#This Row],[Notional Value Local Cur]])</f>
        <v>0</v>
      </c>
    </row>
    <row r="2682" spans="1:5" x14ac:dyDescent="0.25">
      <c r="A2682" s="36" t="b">
        <v>0</v>
      </c>
      <c r="B2682" s="56" t="b">
        <v>0</v>
      </c>
      <c r="C2682" s="56" t="b">
        <v>0</v>
      </c>
      <c r="D2682" s="56" t="b">
        <v>0</v>
      </c>
      <c r="E2682" s="56">
        <f ca="1">IF(PV[[#This Row],[Business Date]]=Control!$C$6, PV[[#This Row],[Notional Value Local Cur]], -PV[[#This Row],[Notional Value Local Cur]])</f>
        <v>0</v>
      </c>
    </row>
    <row r="2683" spans="1:5" x14ac:dyDescent="0.25">
      <c r="A2683" s="36" t="b">
        <v>0</v>
      </c>
      <c r="B2683" s="56" t="b">
        <v>0</v>
      </c>
      <c r="C2683" s="56" t="b">
        <v>0</v>
      </c>
      <c r="D2683" s="56" t="b">
        <v>0</v>
      </c>
      <c r="E2683" s="56">
        <f ca="1">IF(PV[[#This Row],[Business Date]]=Control!$C$6, PV[[#This Row],[Notional Value Local Cur]], -PV[[#This Row],[Notional Value Local Cur]])</f>
        <v>0</v>
      </c>
    </row>
    <row r="2684" spans="1:5" x14ac:dyDescent="0.25">
      <c r="A2684" s="36" t="b">
        <v>0</v>
      </c>
      <c r="B2684" s="56" t="b">
        <v>0</v>
      </c>
      <c r="C2684" s="56" t="b">
        <v>0</v>
      </c>
      <c r="D2684" s="56" t="b">
        <v>0</v>
      </c>
      <c r="E2684" s="56">
        <f ca="1">IF(PV[[#This Row],[Business Date]]=Control!$C$6, PV[[#This Row],[Notional Value Local Cur]], -PV[[#This Row],[Notional Value Local Cur]])</f>
        <v>0</v>
      </c>
    </row>
    <row r="2685" spans="1:5" x14ac:dyDescent="0.25">
      <c r="A2685" s="36" t="b">
        <v>0</v>
      </c>
      <c r="B2685" s="56" t="b">
        <v>0</v>
      </c>
      <c r="C2685" s="56" t="b">
        <v>0</v>
      </c>
      <c r="D2685" s="56" t="b">
        <v>0</v>
      </c>
      <c r="E2685" s="56">
        <f ca="1">IF(PV[[#This Row],[Business Date]]=Control!$C$6, PV[[#This Row],[Notional Value Local Cur]], -PV[[#This Row],[Notional Value Local Cur]])</f>
        <v>0</v>
      </c>
    </row>
    <row r="2686" spans="1:5" x14ac:dyDescent="0.25">
      <c r="A2686" s="36" t="b">
        <v>0</v>
      </c>
      <c r="B2686" s="56" t="b">
        <v>0</v>
      </c>
      <c r="C2686" s="56" t="b">
        <v>0</v>
      </c>
      <c r="D2686" s="56" t="b">
        <v>0</v>
      </c>
      <c r="E2686" s="56">
        <f ca="1">IF(PV[[#This Row],[Business Date]]=Control!$C$6, PV[[#This Row],[Notional Value Local Cur]], -PV[[#This Row],[Notional Value Local Cur]])</f>
        <v>0</v>
      </c>
    </row>
    <row r="2687" spans="1:5" x14ac:dyDescent="0.25">
      <c r="A2687" s="36" t="b">
        <v>0</v>
      </c>
      <c r="B2687" s="56" t="b">
        <v>0</v>
      </c>
      <c r="C2687" s="56" t="b">
        <v>0</v>
      </c>
      <c r="D2687" s="56" t="b">
        <v>0</v>
      </c>
      <c r="E2687" s="56">
        <f ca="1">IF(PV[[#This Row],[Business Date]]=Control!$C$6, PV[[#This Row],[Notional Value Local Cur]], -PV[[#This Row],[Notional Value Local Cur]])</f>
        <v>0</v>
      </c>
    </row>
    <row r="2688" spans="1:5" x14ac:dyDescent="0.25">
      <c r="A2688" s="36" t="b">
        <v>0</v>
      </c>
      <c r="B2688" s="56" t="b">
        <v>0</v>
      </c>
      <c r="C2688" s="56" t="b">
        <v>0</v>
      </c>
      <c r="D2688" s="56" t="b">
        <v>0</v>
      </c>
      <c r="E2688" s="56">
        <f ca="1">IF(PV[[#This Row],[Business Date]]=Control!$C$6, PV[[#This Row],[Notional Value Local Cur]], -PV[[#This Row],[Notional Value Local Cur]])</f>
        <v>0</v>
      </c>
    </row>
    <row r="2689" spans="1:5" x14ac:dyDescent="0.25">
      <c r="A2689" s="36" t="b">
        <v>0</v>
      </c>
      <c r="B2689" s="56" t="b">
        <v>0</v>
      </c>
      <c r="C2689" s="56" t="b">
        <v>0</v>
      </c>
      <c r="D2689" s="56" t="b">
        <v>0</v>
      </c>
      <c r="E2689" s="56">
        <f ca="1">IF(PV[[#This Row],[Business Date]]=Control!$C$6, PV[[#This Row],[Notional Value Local Cur]], -PV[[#This Row],[Notional Value Local Cur]])</f>
        <v>0</v>
      </c>
    </row>
    <row r="2690" spans="1:5" x14ac:dyDescent="0.25">
      <c r="A2690" s="36" t="b">
        <v>0</v>
      </c>
      <c r="B2690" s="56" t="b">
        <v>0</v>
      </c>
      <c r="C2690" s="56" t="b">
        <v>0</v>
      </c>
      <c r="D2690" s="56" t="b">
        <v>0</v>
      </c>
      <c r="E2690" s="56">
        <f ca="1">IF(PV[[#This Row],[Business Date]]=Control!$C$6, PV[[#This Row],[Notional Value Local Cur]], -PV[[#This Row],[Notional Value Local Cur]])</f>
        <v>0</v>
      </c>
    </row>
    <row r="2691" spans="1:5" x14ac:dyDescent="0.25">
      <c r="A2691" s="36" t="b">
        <v>0</v>
      </c>
      <c r="B2691" s="56" t="b">
        <v>0</v>
      </c>
      <c r="C2691" s="56" t="b">
        <v>0</v>
      </c>
      <c r="D2691" s="56" t="b">
        <v>0</v>
      </c>
      <c r="E2691" s="56">
        <f ca="1">IF(PV[[#This Row],[Business Date]]=Control!$C$6, PV[[#This Row],[Notional Value Local Cur]], -PV[[#This Row],[Notional Value Local Cur]])</f>
        <v>0</v>
      </c>
    </row>
    <row r="2692" spans="1:5" x14ac:dyDescent="0.25">
      <c r="A2692" s="36" t="b">
        <v>0</v>
      </c>
      <c r="B2692" s="56" t="b">
        <v>0</v>
      </c>
      <c r="C2692" s="56" t="b">
        <v>0</v>
      </c>
      <c r="D2692" s="56" t="b">
        <v>0</v>
      </c>
      <c r="E2692" s="56">
        <f ca="1">IF(PV[[#This Row],[Business Date]]=Control!$C$6, PV[[#This Row],[Notional Value Local Cur]], -PV[[#This Row],[Notional Value Local Cur]])</f>
        <v>0</v>
      </c>
    </row>
    <row r="2693" spans="1:5" x14ac:dyDescent="0.25">
      <c r="A2693" s="36" t="b">
        <v>0</v>
      </c>
      <c r="B2693" s="56" t="b">
        <v>0</v>
      </c>
      <c r="C2693" s="56" t="b">
        <v>0</v>
      </c>
      <c r="D2693" s="56" t="b">
        <v>0</v>
      </c>
      <c r="E2693" s="56">
        <f ca="1">IF(PV[[#This Row],[Business Date]]=Control!$C$6, PV[[#This Row],[Notional Value Local Cur]], -PV[[#This Row],[Notional Value Local Cur]])</f>
        <v>0</v>
      </c>
    </row>
    <row r="2694" spans="1:5" x14ac:dyDescent="0.25">
      <c r="A2694" s="36" t="b">
        <v>0</v>
      </c>
      <c r="B2694" s="56" t="b">
        <v>0</v>
      </c>
      <c r="C2694" s="56" t="b">
        <v>0</v>
      </c>
      <c r="D2694" s="56" t="b">
        <v>0</v>
      </c>
      <c r="E2694" s="56">
        <f ca="1">IF(PV[[#This Row],[Business Date]]=Control!$C$6, PV[[#This Row],[Notional Value Local Cur]], -PV[[#This Row],[Notional Value Local Cur]])</f>
        <v>0</v>
      </c>
    </row>
    <row r="2695" spans="1:5" x14ac:dyDescent="0.25">
      <c r="A2695" s="36" t="b">
        <v>0</v>
      </c>
      <c r="B2695" s="56" t="b">
        <v>0</v>
      </c>
      <c r="C2695" s="56" t="b">
        <v>0</v>
      </c>
      <c r="D2695" s="56" t="b">
        <v>0</v>
      </c>
      <c r="E2695" s="56">
        <f ca="1">IF(PV[[#This Row],[Business Date]]=Control!$C$6, PV[[#This Row],[Notional Value Local Cur]], -PV[[#This Row],[Notional Value Local Cur]])</f>
        <v>0</v>
      </c>
    </row>
    <row r="2696" spans="1:5" x14ac:dyDescent="0.25">
      <c r="A2696" s="36" t="b">
        <v>0</v>
      </c>
      <c r="B2696" s="56" t="b">
        <v>0</v>
      </c>
      <c r="C2696" s="56" t="b">
        <v>0</v>
      </c>
      <c r="D2696" s="56" t="b">
        <v>0</v>
      </c>
      <c r="E2696" s="56">
        <f ca="1">IF(PV[[#This Row],[Business Date]]=Control!$C$6, PV[[#This Row],[Notional Value Local Cur]], -PV[[#This Row],[Notional Value Local Cur]])</f>
        <v>0</v>
      </c>
    </row>
    <row r="2697" spans="1:5" x14ac:dyDescent="0.25">
      <c r="A2697" s="36" t="b">
        <v>0</v>
      </c>
      <c r="B2697" s="56" t="b">
        <v>0</v>
      </c>
      <c r="C2697" s="56" t="b">
        <v>0</v>
      </c>
      <c r="D2697" s="56" t="b">
        <v>0</v>
      </c>
      <c r="E2697" s="56">
        <f ca="1">IF(PV[[#This Row],[Business Date]]=Control!$C$6, PV[[#This Row],[Notional Value Local Cur]], -PV[[#This Row],[Notional Value Local Cur]])</f>
        <v>0</v>
      </c>
    </row>
    <row r="2698" spans="1:5" x14ac:dyDescent="0.25">
      <c r="A2698" s="36" t="b">
        <v>0</v>
      </c>
      <c r="B2698" s="56" t="b">
        <v>0</v>
      </c>
      <c r="C2698" s="56" t="b">
        <v>0</v>
      </c>
      <c r="D2698" s="56" t="b">
        <v>0</v>
      </c>
      <c r="E2698" s="56">
        <f ca="1">IF(PV[[#This Row],[Business Date]]=Control!$C$6, PV[[#This Row],[Notional Value Local Cur]], -PV[[#This Row],[Notional Value Local Cur]])</f>
        <v>0</v>
      </c>
    </row>
    <row r="2699" spans="1:5" x14ac:dyDescent="0.25">
      <c r="A2699" s="36" t="b">
        <v>0</v>
      </c>
      <c r="B2699" s="56" t="b">
        <v>0</v>
      </c>
      <c r="C2699" s="56" t="b">
        <v>0</v>
      </c>
      <c r="D2699" s="56" t="b">
        <v>0</v>
      </c>
      <c r="E2699" s="56">
        <f ca="1">IF(PV[[#This Row],[Business Date]]=Control!$C$6, PV[[#This Row],[Notional Value Local Cur]], -PV[[#This Row],[Notional Value Local Cur]])</f>
        <v>0</v>
      </c>
    </row>
    <row r="2700" spans="1:5" x14ac:dyDescent="0.25">
      <c r="A2700" s="36" t="b">
        <v>0</v>
      </c>
      <c r="B2700" s="56" t="b">
        <v>0</v>
      </c>
      <c r="C2700" s="56" t="b">
        <v>0</v>
      </c>
      <c r="D2700" s="56" t="b">
        <v>0</v>
      </c>
      <c r="E2700" s="56">
        <f ca="1">IF(PV[[#This Row],[Business Date]]=Control!$C$6, PV[[#This Row],[Notional Value Local Cur]], -PV[[#This Row],[Notional Value Local Cur]])</f>
        <v>0</v>
      </c>
    </row>
    <row r="2701" spans="1:5" x14ac:dyDescent="0.25">
      <c r="A2701" s="36" t="b">
        <v>0</v>
      </c>
      <c r="B2701" s="56" t="b">
        <v>0</v>
      </c>
      <c r="C2701" s="56" t="b">
        <v>0</v>
      </c>
      <c r="D2701" s="56" t="b">
        <v>0</v>
      </c>
      <c r="E2701" s="56">
        <f ca="1">IF(PV[[#This Row],[Business Date]]=Control!$C$6, PV[[#This Row],[Notional Value Local Cur]], -PV[[#This Row],[Notional Value Local Cur]])</f>
        <v>0</v>
      </c>
    </row>
    <row r="2702" spans="1:5" x14ac:dyDescent="0.25">
      <c r="A2702" s="36" t="b">
        <v>0</v>
      </c>
      <c r="B2702" s="56" t="b">
        <v>0</v>
      </c>
      <c r="C2702" s="56" t="b">
        <v>0</v>
      </c>
      <c r="D2702" s="56" t="b">
        <v>0</v>
      </c>
      <c r="E2702" s="56">
        <f ca="1">IF(PV[[#This Row],[Business Date]]=Control!$C$6, PV[[#This Row],[Notional Value Local Cur]], -PV[[#This Row],[Notional Value Local Cur]])</f>
        <v>0</v>
      </c>
    </row>
    <row r="2703" spans="1:5" x14ac:dyDescent="0.25">
      <c r="A2703" s="36" t="b">
        <v>0</v>
      </c>
      <c r="B2703" s="56" t="b">
        <v>0</v>
      </c>
      <c r="C2703" s="56" t="b">
        <v>0</v>
      </c>
      <c r="D2703" s="56" t="b">
        <v>0</v>
      </c>
      <c r="E2703" s="56">
        <f ca="1">IF(PV[[#This Row],[Business Date]]=Control!$C$6, PV[[#This Row],[Notional Value Local Cur]], -PV[[#This Row],[Notional Value Local Cur]])</f>
        <v>0</v>
      </c>
    </row>
    <row r="2704" spans="1:5" x14ac:dyDescent="0.25">
      <c r="A2704" s="36" t="b">
        <v>0</v>
      </c>
      <c r="B2704" s="56" t="b">
        <v>0</v>
      </c>
      <c r="C2704" s="56" t="b">
        <v>0</v>
      </c>
      <c r="D2704" s="56" t="b">
        <v>0</v>
      </c>
      <c r="E2704" s="56">
        <f ca="1">IF(PV[[#This Row],[Business Date]]=Control!$C$6, PV[[#This Row],[Notional Value Local Cur]], -PV[[#This Row],[Notional Value Local Cur]])</f>
        <v>0</v>
      </c>
    </row>
    <row r="2705" spans="1:5" x14ac:dyDescent="0.25">
      <c r="A2705" s="36" t="b">
        <v>0</v>
      </c>
      <c r="B2705" s="56" t="b">
        <v>0</v>
      </c>
      <c r="C2705" s="56" t="b">
        <v>0</v>
      </c>
      <c r="D2705" s="56" t="b">
        <v>0</v>
      </c>
      <c r="E2705" s="56">
        <f ca="1">IF(PV[[#This Row],[Business Date]]=Control!$C$6, PV[[#This Row],[Notional Value Local Cur]], -PV[[#This Row],[Notional Value Local Cur]])</f>
        <v>0</v>
      </c>
    </row>
    <row r="2706" spans="1:5" x14ac:dyDescent="0.25">
      <c r="A2706" s="36" t="b">
        <v>0</v>
      </c>
      <c r="B2706" s="56" t="b">
        <v>0</v>
      </c>
      <c r="C2706" s="56" t="b">
        <v>0</v>
      </c>
      <c r="D2706" s="56" t="b">
        <v>0</v>
      </c>
      <c r="E2706" s="56">
        <f ca="1">IF(PV[[#This Row],[Business Date]]=Control!$C$6, PV[[#This Row],[Notional Value Local Cur]], -PV[[#This Row],[Notional Value Local Cur]])</f>
        <v>0</v>
      </c>
    </row>
    <row r="2707" spans="1:5" x14ac:dyDescent="0.25">
      <c r="A2707" s="36" t="b">
        <v>0</v>
      </c>
      <c r="B2707" s="56" t="b">
        <v>0</v>
      </c>
      <c r="C2707" s="56" t="b">
        <v>0</v>
      </c>
      <c r="D2707" s="56" t="b">
        <v>0</v>
      </c>
      <c r="E2707" s="56">
        <f ca="1">IF(PV[[#This Row],[Business Date]]=Control!$C$6, PV[[#This Row],[Notional Value Local Cur]], -PV[[#This Row],[Notional Value Local Cur]])</f>
        <v>0</v>
      </c>
    </row>
    <row r="2708" spans="1:5" x14ac:dyDescent="0.25">
      <c r="A2708" s="36" t="b">
        <v>0</v>
      </c>
      <c r="B2708" s="56" t="b">
        <v>0</v>
      </c>
      <c r="C2708" s="56" t="b">
        <v>0</v>
      </c>
      <c r="D2708" s="56" t="b">
        <v>0</v>
      </c>
      <c r="E2708" s="56">
        <f ca="1">IF(PV[[#This Row],[Business Date]]=Control!$C$6, PV[[#This Row],[Notional Value Local Cur]], -PV[[#This Row],[Notional Value Local Cur]])</f>
        <v>0</v>
      </c>
    </row>
    <row r="2709" spans="1:5" x14ac:dyDescent="0.25">
      <c r="A2709" s="36" t="b">
        <v>0</v>
      </c>
      <c r="B2709" s="56" t="b">
        <v>0</v>
      </c>
      <c r="C2709" s="56" t="b">
        <v>0</v>
      </c>
      <c r="D2709" s="56" t="b">
        <v>0</v>
      </c>
      <c r="E2709" s="56">
        <f ca="1">IF(PV[[#This Row],[Business Date]]=Control!$C$6, PV[[#This Row],[Notional Value Local Cur]], -PV[[#This Row],[Notional Value Local Cur]])</f>
        <v>0</v>
      </c>
    </row>
    <row r="2710" spans="1:5" x14ac:dyDescent="0.25">
      <c r="A2710" s="36" t="b">
        <v>0</v>
      </c>
      <c r="B2710" s="56" t="b">
        <v>0</v>
      </c>
      <c r="C2710" s="56" t="b">
        <v>0</v>
      </c>
      <c r="D2710" s="56" t="b">
        <v>0</v>
      </c>
      <c r="E2710" s="56">
        <f ca="1">IF(PV[[#This Row],[Business Date]]=Control!$C$6, PV[[#This Row],[Notional Value Local Cur]], -PV[[#This Row],[Notional Value Local Cur]])</f>
        <v>0</v>
      </c>
    </row>
    <row r="2711" spans="1:5" x14ac:dyDescent="0.25">
      <c r="A2711" s="36" t="b">
        <v>0</v>
      </c>
      <c r="B2711" s="56" t="b">
        <v>0</v>
      </c>
      <c r="C2711" s="56" t="b">
        <v>0</v>
      </c>
      <c r="D2711" s="56" t="b">
        <v>0</v>
      </c>
      <c r="E2711" s="56">
        <f ca="1">IF(PV[[#This Row],[Business Date]]=Control!$C$6, PV[[#This Row],[Notional Value Local Cur]], -PV[[#This Row],[Notional Value Local Cur]])</f>
        <v>0</v>
      </c>
    </row>
    <row r="2712" spans="1:5" x14ac:dyDescent="0.25">
      <c r="A2712" s="36" t="b">
        <v>0</v>
      </c>
      <c r="B2712" s="56" t="b">
        <v>0</v>
      </c>
      <c r="C2712" s="56" t="b">
        <v>0</v>
      </c>
      <c r="D2712" s="56" t="b">
        <v>0</v>
      </c>
      <c r="E2712" s="56">
        <f ca="1">IF(PV[[#This Row],[Business Date]]=Control!$C$6, PV[[#This Row],[Notional Value Local Cur]], -PV[[#This Row],[Notional Value Local Cur]])</f>
        <v>0</v>
      </c>
    </row>
    <row r="2713" spans="1:5" x14ac:dyDescent="0.25">
      <c r="A2713" s="36" t="b">
        <v>0</v>
      </c>
      <c r="B2713" s="56" t="b">
        <v>0</v>
      </c>
      <c r="C2713" s="56" t="b">
        <v>0</v>
      </c>
      <c r="D2713" s="56" t="b">
        <v>0</v>
      </c>
      <c r="E2713" s="56">
        <f ca="1">IF(PV[[#This Row],[Business Date]]=Control!$C$6, PV[[#This Row],[Notional Value Local Cur]], -PV[[#This Row],[Notional Value Local Cur]])</f>
        <v>0</v>
      </c>
    </row>
    <row r="2714" spans="1:5" x14ac:dyDescent="0.25">
      <c r="A2714" s="36" t="b">
        <v>0</v>
      </c>
      <c r="B2714" s="56" t="b">
        <v>0</v>
      </c>
      <c r="C2714" s="56" t="b">
        <v>0</v>
      </c>
      <c r="D2714" s="56" t="b">
        <v>0</v>
      </c>
      <c r="E2714" s="56">
        <f ca="1">IF(PV[[#This Row],[Business Date]]=Control!$C$6, PV[[#This Row],[Notional Value Local Cur]], -PV[[#This Row],[Notional Value Local Cur]])</f>
        <v>0</v>
      </c>
    </row>
    <row r="2715" spans="1:5" x14ac:dyDescent="0.25">
      <c r="A2715" s="36" t="b">
        <v>0</v>
      </c>
      <c r="B2715" s="56" t="b">
        <v>0</v>
      </c>
      <c r="C2715" s="56" t="b">
        <v>0</v>
      </c>
      <c r="D2715" s="56" t="b">
        <v>0</v>
      </c>
      <c r="E2715" s="56">
        <f ca="1">IF(PV[[#This Row],[Business Date]]=Control!$C$6, PV[[#This Row],[Notional Value Local Cur]], -PV[[#This Row],[Notional Value Local Cur]])</f>
        <v>0</v>
      </c>
    </row>
    <row r="2716" spans="1:5" x14ac:dyDescent="0.25">
      <c r="A2716" s="36" t="b">
        <v>0</v>
      </c>
      <c r="B2716" s="56" t="b">
        <v>0</v>
      </c>
      <c r="C2716" s="56" t="b">
        <v>0</v>
      </c>
      <c r="D2716" s="56" t="b">
        <v>0</v>
      </c>
      <c r="E2716" s="56">
        <f ca="1">IF(PV[[#This Row],[Business Date]]=Control!$C$6, PV[[#This Row],[Notional Value Local Cur]], -PV[[#This Row],[Notional Value Local Cur]])</f>
        <v>0</v>
      </c>
    </row>
    <row r="2717" spans="1:5" x14ac:dyDescent="0.25">
      <c r="A2717" s="36" t="b">
        <v>0</v>
      </c>
      <c r="B2717" s="56" t="b">
        <v>0</v>
      </c>
      <c r="C2717" s="56" t="b">
        <v>0</v>
      </c>
      <c r="D2717" s="56" t="b">
        <v>0</v>
      </c>
      <c r="E2717" s="56">
        <f ca="1">IF(PV[[#This Row],[Business Date]]=Control!$C$6, PV[[#This Row],[Notional Value Local Cur]], -PV[[#This Row],[Notional Value Local Cur]])</f>
        <v>0</v>
      </c>
    </row>
    <row r="2718" spans="1:5" x14ac:dyDescent="0.25">
      <c r="A2718" s="36" t="b">
        <v>0</v>
      </c>
      <c r="B2718" s="56" t="b">
        <v>0</v>
      </c>
      <c r="C2718" s="56" t="b">
        <v>0</v>
      </c>
      <c r="D2718" s="56" t="b">
        <v>0</v>
      </c>
      <c r="E2718" s="56">
        <f ca="1">IF(PV[[#This Row],[Business Date]]=Control!$C$6, PV[[#This Row],[Notional Value Local Cur]], -PV[[#This Row],[Notional Value Local Cur]])</f>
        <v>0</v>
      </c>
    </row>
    <row r="2719" spans="1:5" x14ac:dyDescent="0.25">
      <c r="A2719" s="36" t="b">
        <v>0</v>
      </c>
      <c r="B2719" s="56" t="b">
        <v>0</v>
      </c>
      <c r="C2719" s="56" t="b">
        <v>0</v>
      </c>
      <c r="D2719" s="56" t="b">
        <v>0</v>
      </c>
      <c r="E2719" s="56">
        <f ca="1">IF(PV[[#This Row],[Business Date]]=Control!$C$6, PV[[#This Row],[Notional Value Local Cur]], -PV[[#This Row],[Notional Value Local Cur]])</f>
        <v>0</v>
      </c>
    </row>
    <row r="2720" spans="1:5" x14ac:dyDescent="0.25">
      <c r="A2720" s="36" t="b">
        <v>0</v>
      </c>
      <c r="B2720" s="56" t="b">
        <v>0</v>
      </c>
      <c r="C2720" s="56" t="b">
        <v>0</v>
      </c>
      <c r="D2720" s="56" t="b">
        <v>0</v>
      </c>
      <c r="E2720" s="56">
        <f ca="1">IF(PV[[#This Row],[Business Date]]=Control!$C$6, PV[[#This Row],[Notional Value Local Cur]], -PV[[#This Row],[Notional Value Local Cur]])</f>
        <v>0</v>
      </c>
    </row>
    <row r="2721" spans="1:5" x14ac:dyDescent="0.25">
      <c r="A2721" s="36" t="b">
        <v>0</v>
      </c>
      <c r="B2721" s="56" t="b">
        <v>0</v>
      </c>
      <c r="C2721" s="56" t="b">
        <v>0</v>
      </c>
      <c r="D2721" s="56" t="b">
        <v>0</v>
      </c>
      <c r="E2721" s="56">
        <f ca="1">IF(PV[[#This Row],[Business Date]]=Control!$C$6, PV[[#This Row],[Notional Value Local Cur]], -PV[[#This Row],[Notional Value Local Cur]])</f>
        <v>0</v>
      </c>
    </row>
    <row r="2722" spans="1:5" x14ac:dyDescent="0.25">
      <c r="A2722" s="36" t="b">
        <v>0</v>
      </c>
      <c r="B2722" s="56" t="b">
        <v>0</v>
      </c>
      <c r="C2722" s="56" t="b">
        <v>0</v>
      </c>
      <c r="D2722" s="56" t="b">
        <v>0</v>
      </c>
      <c r="E2722" s="56">
        <f ca="1">IF(PV[[#This Row],[Business Date]]=Control!$C$6, PV[[#This Row],[Notional Value Local Cur]], -PV[[#This Row],[Notional Value Local Cur]])</f>
        <v>0</v>
      </c>
    </row>
    <row r="2723" spans="1:5" x14ac:dyDescent="0.25">
      <c r="A2723" s="36" t="b">
        <v>0</v>
      </c>
      <c r="B2723" s="56" t="b">
        <v>0</v>
      </c>
      <c r="C2723" s="56" t="b">
        <v>0</v>
      </c>
      <c r="D2723" s="56" t="b">
        <v>0</v>
      </c>
      <c r="E2723" s="56">
        <f ca="1">IF(PV[[#This Row],[Business Date]]=Control!$C$6, PV[[#This Row],[Notional Value Local Cur]], -PV[[#This Row],[Notional Value Local Cur]])</f>
        <v>0</v>
      </c>
    </row>
    <row r="2724" spans="1:5" x14ac:dyDescent="0.25">
      <c r="A2724" s="36" t="b">
        <v>0</v>
      </c>
      <c r="B2724" s="56" t="b">
        <v>0</v>
      </c>
      <c r="C2724" s="56" t="b">
        <v>0</v>
      </c>
      <c r="D2724" s="56" t="b">
        <v>0</v>
      </c>
      <c r="E2724" s="56">
        <f ca="1">IF(PV[[#This Row],[Business Date]]=Control!$C$6, PV[[#This Row],[Notional Value Local Cur]], -PV[[#This Row],[Notional Value Local Cur]])</f>
        <v>0</v>
      </c>
    </row>
    <row r="2725" spans="1:5" x14ac:dyDescent="0.25">
      <c r="A2725" s="36" t="b">
        <v>0</v>
      </c>
      <c r="B2725" s="56" t="b">
        <v>0</v>
      </c>
      <c r="C2725" s="56" t="b">
        <v>0</v>
      </c>
      <c r="D2725" s="56" t="b">
        <v>0</v>
      </c>
      <c r="E2725" s="56">
        <f ca="1">IF(PV[[#This Row],[Business Date]]=Control!$C$6, PV[[#This Row],[Notional Value Local Cur]], -PV[[#This Row],[Notional Value Local Cur]])</f>
        <v>0</v>
      </c>
    </row>
    <row r="2726" spans="1:5" x14ac:dyDescent="0.25">
      <c r="A2726" s="36" t="b">
        <v>0</v>
      </c>
      <c r="B2726" s="56" t="b">
        <v>0</v>
      </c>
      <c r="C2726" s="56" t="b">
        <v>0</v>
      </c>
      <c r="D2726" s="56" t="b">
        <v>0</v>
      </c>
      <c r="E2726" s="56">
        <f ca="1">IF(PV[[#This Row],[Business Date]]=Control!$C$6, PV[[#This Row],[Notional Value Local Cur]], -PV[[#This Row],[Notional Value Local Cur]])</f>
        <v>0</v>
      </c>
    </row>
    <row r="2727" spans="1:5" x14ac:dyDescent="0.25">
      <c r="A2727" s="36" t="b">
        <v>0</v>
      </c>
      <c r="B2727" s="56" t="b">
        <v>0</v>
      </c>
      <c r="C2727" s="56" t="b">
        <v>0</v>
      </c>
      <c r="D2727" s="56" t="b">
        <v>0</v>
      </c>
      <c r="E2727" s="56">
        <f ca="1">IF(PV[[#This Row],[Business Date]]=Control!$C$6, PV[[#This Row],[Notional Value Local Cur]], -PV[[#This Row],[Notional Value Local Cur]])</f>
        <v>0</v>
      </c>
    </row>
    <row r="2728" spans="1:5" x14ac:dyDescent="0.25">
      <c r="A2728" s="36" t="b">
        <v>0</v>
      </c>
      <c r="B2728" s="56" t="b">
        <v>0</v>
      </c>
      <c r="C2728" s="56" t="b">
        <v>0</v>
      </c>
      <c r="D2728" s="56" t="b">
        <v>0</v>
      </c>
      <c r="E2728" s="56">
        <f ca="1">IF(PV[[#This Row],[Business Date]]=Control!$C$6, PV[[#This Row],[Notional Value Local Cur]], -PV[[#This Row],[Notional Value Local Cur]])</f>
        <v>0</v>
      </c>
    </row>
    <row r="2729" spans="1:5" x14ac:dyDescent="0.25">
      <c r="A2729" s="36" t="b">
        <v>0</v>
      </c>
      <c r="B2729" s="56" t="b">
        <v>0</v>
      </c>
      <c r="C2729" s="56" t="b">
        <v>0</v>
      </c>
      <c r="D2729" s="56" t="b">
        <v>0</v>
      </c>
      <c r="E2729" s="56">
        <f ca="1">IF(PV[[#This Row],[Business Date]]=Control!$C$6, PV[[#This Row],[Notional Value Local Cur]], -PV[[#This Row],[Notional Value Local Cur]])</f>
        <v>0</v>
      </c>
    </row>
    <row r="2730" spans="1:5" x14ac:dyDescent="0.25">
      <c r="A2730" s="36" t="b">
        <v>0</v>
      </c>
      <c r="B2730" s="56" t="b">
        <v>0</v>
      </c>
      <c r="C2730" s="56" t="b">
        <v>0</v>
      </c>
      <c r="D2730" s="56" t="b">
        <v>0</v>
      </c>
      <c r="E2730" s="56">
        <f ca="1">IF(PV[[#This Row],[Business Date]]=Control!$C$6, PV[[#This Row],[Notional Value Local Cur]], -PV[[#This Row],[Notional Value Local Cur]])</f>
        <v>0</v>
      </c>
    </row>
    <row r="2731" spans="1:5" x14ac:dyDescent="0.25">
      <c r="A2731" s="36" t="b">
        <v>0</v>
      </c>
      <c r="B2731" s="56" t="b">
        <v>0</v>
      </c>
      <c r="C2731" s="56" t="b">
        <v>0</v>
      </c>
      <c r="D2731" s="56" t="b">
        <v>0</v>
      </c>
      <c r="E2731" s="56">
        <f ca="1">IF(PV[[#This Row],[Business Date]]=Control!$C$6, PV[[#This Row],[Notional Value Local Cur]], -PV[[#This Row],[Notional Value Local Cur]])</f>
        <v>0</v>
      </c>
    </row>
    <row r="2732" spans="1:5" x14ac:dyDescent="0.25">
      <c r="A2732" s="36" t="b">
        <v>0</v>
      </c>
      <c r="B2732" s="56" t="b">
        <v>0</v>
      </c>
      <c r="C2732" s="56" t="b">
        <v>0</v>
      </c>
      <c r="D2732" s="56" t="b">
        <v>0</v>
      </c>
      <c r="E2732" s="56">
        <f ca="1">IF(PV[[#This Row],[Business Date]]=Control!$C$6, PV[[#This Row],[Notional Value Local Cur]], -PV[[#This Row],[Notional Value Local Cur]])</f>
        <v>0</v>
      </c>
    </row>
    <row r="2733" spans="1:5" x14ac:dyDescent="0.25">
      <c r="A2733" s="36" t="b">
        <v>0</v>
      </c>
      <c r="B2733" s="56" t="b">
        <v>0</v>
      </c>
      <c r="C2733" s="56" t="b">
        <v>0</v>
      </c>
      <c r="D2733" s="56" t="b">
        <v>0</v>
      </c>
      <c r="E2733" s="56">
        <f ca="1">IF(PV[[#This Row],[Business Date]]=Control!$C$6, PV[[#This Row],[Notional Value Local Cur]], -PV[[#This Row],[Notional Value Local Cur]])</f>
        <v>0</v>
      </c>
    </row>
    <row r="2734" spans="1:5" x14ac:dyDescent="0.25">
      <c r="A2734" s="36" t="b">
        <v>0</v>
      </c>
      <c r="B2734" s="56" t="b">
        <v>0</v>
      </c>
      <c r="C2734" s="56" t="b">
        <v>0</v>
      </c>
      <c r="D2734" s="56" t="b">
        <v>0</v>
      </c>
      <c r="E2734" s="56">
        <f ca="1">IF(PV[[#This Row],[Business Date]]=Control!$C$6, PV[[#This Row],[Notional Value Local Cur]], -PV[[#This Row],[Notional Value Local Cur]])</f>
        <v>0</v>
      </c>
    </row>
    <row r="2735" spans="1:5" x14ac:dyDescent="0.25">
      <c r="A2735" s="36" t="b">
        <v>0</v>
      </c>
      <c r="B2735" s="56" t="b">
        <v>0</v>
      </c>
      <c r="C2735" s="56" t="b">
        <v>0</v>
      </c>
      <c r="D2735" s="56" t="b">
        <v>0</v>
      </c>
      <c r="E2735" s="56">
        <f ca="1">IF(PV[[#This Row],[Business Date]]=Control!$C$6, PV[[#This Row],[Notional Value Local Cur]], -PV[[#This Row],[Notional Value Local Cur]])</f>
        <v>0</v>
      </c>
    </row>
    <row r="2736" spans="1:5" x14ac:dyDescent="0.25">
      <c r="A2736" s="36" t="b">
        <v>0</v>
      </c>
      <c r="B2736" s="56" t="b">
        <v>0</v>
      </c>
      <c r="C2736" s="56" t="b">
        <v>0</v>
      </c>
      <c r="D2736" s="56" t="b">
        <v>0</v>
      </c>
      <c r="E2736" s="56">
        <f ca="1">IF(PV[[#This Row],[Business Date]]=Control!$C$6, PV[[#This Row],[Notional Value Local Cur]], -PV[[#This Row],[Notional Value Local Cur]])</f>
        <v>0</v>
      </c>
    </row>
    <row r="2737" spans="1:5" x14ac:dyDescent="0.25">
      <c r="A2737" s="36" t="b">
        <v>0</v>
      </c>
      <c r="B2737" s="56" t="b">
        <v>0</v>
      </c>
      <c r="C2737" s="56" t="b">
        <v>0</v>
      </c>
      <c r="D2737" s="56" t="b">
        <v>0</v>
      </c>
      <c r="E2737" s="56">
        <f ca="1">IF(PV[[#This Row],[Business Date]]=Control!$C$6, PV[[#This Row],[Notional Value Local Cur]], -PV[[#This Row],[Notional Value Local Cur]])</f>
        <v>0</v>
      </c>
    </row>
    <row r="2738" spans="1:5" x14ac:dyDescent="0.25">
      <c r="A2738" s="36" t="b">
        <v>0</v>
      </c>
      <c r="B2738" s="56" t="b">
        <v>0</v>
      </c>
      <c r="C2738" s="56" t="b">
        <v>0</v>
      </c>
      <c r="D2738" s="56" t="b">
        <v>0</v>
      </c>
      <c r="E2738" s="56">
        <f ca="1">IF(PV[[#This Row],[Business Date]]=Control!$C$6, PV[[#This Row],[Notional Value Local Cur]], -PV[[#This Row],[Notional Value Local Cur]])</f>
        <v>0</v>
      </c>
    </row>
    <row r="2739" spans="1:5" x14ac:dyDescent="0.25">
      <c r="A2739" s="36" t="b">
        <v>0</v>
      </c>
      <c r="B2739" s="56" t="b">
        <v>0</v>
      </c>
      <c r="C2739" s="56" t="b">
        <v>0</v>
      </c>
      <c r="D2739" s="56" t="b">
        <v>0</v>
      </c>
      <c r="E2739" s="56">
        <f ca="1">IF(PV[[#This Row],[Business Date]]=Control!$C$6, PV[[#This Row],[Notional Value Local Cur]], -PV[[#This Row],[Notional Value Local Cur]])</f>
        <v>0</v>
      </c>
    </row>
    <row r="2740" spans="1:5" x14ac:dyDescent="0.25">
      <c r="A2740" s="36" t="b">
        <v>0</v>
      </c>
      <c r="B2740" s="56" t="b">
        <v>0</v>
      </c>
      <c r="C2740" s="56" t="b">
        <v>0</v>
      </c>
      <c r="D2740" s="56" t="b">
        <v>0</v>
      </c>
      <c r="E2740" s="56">
        <f ca="1">IF(PV[[#This Row],[Business Date]]=Control!$C$6, PV[[#This Row],[Notional Value Local Cur]], -PV[[#This Row],[Notional Value Local Cur]])</f>
        <v>0</v>
      </c>
    </row>
    <row r="2741" spans="1:5" x14ac:dyDescent="0.25">
      <c r="A2741" s="36" t="b">
        <v>0</v>
      </c>
      <c r="B2741" s="56" t="b">
        <v>0</v>
      </c>
      <c r="C2741" s="56" t="b">
        <v>0</v>
      </c>
      <c r="D2741" s="56" t="b">
        <v>0</v>
      </c>
      <c r="E2741" s="56">
        <f ca="1">IF(PV[[#This Row],[Business Date]]=Control!$C$6, PV[[#This Row],[Notional Value Local Cur]], -PV[[#This Row],[Notional Value Local Cur]])</f>
        <v>0</v>
      </c>
    </row>
    <row r="2742" spans="1:5" x14ac:dyDescent="0.25">
      <c r="A2742" s="36" t="b">
        <v>0</v>
      </c>
      <c r="B2742" s="56" t="b">
        <v>0</v>
      </c>
      <c r="C2742" s="56" t="b">
        <v>0</v>
      </c>
      <c r="D2742" s="56" t="b">
        <v>0</v>
      </c>
      <c r="E2742" s="56">
        <f ca="1">IF(PV[[#This Row],[Business Date]]=Control!$C$6, PV[[#This Row],[Notional Value Local Cur]], -PV[[#This Row],[Notional Value Local Cur]])</f>
        <v>0</v>
      </c>
    </row>
    <row r="2743" spans="1:5" x14ac:dyDescent="0.25">
      <c r="A2743" s="36" t="b">
        <v>0</v>
      </c>
      <c r="B2743" s="56" t="b">
        <v>0</v>
      </c>
      <c r="C2743" s="56" t="b">
        <v>0</v>
      </c>
      <c r="D2743" s="56" t="b">
        <v>0</v>
      </c>
      <c r="E2743" s="56">
        <f ca="1">IF(PV[[#This Row],[Business Date]]=Control!$C$6, PV[[#This Row],[Notional Value Local Cur]], -PV[[#This Row],[Notional Value Local Cur]])</f>
        <v>0</v>
      </c>
    </row>
    <row r="2744" spans="1:5" x14ac:dyDescent="0.25">
      <c r="A2744" s="36" t="b">
        <v>0</v>
      </c>
      <c r="B2744" s="56" t="b">
        <v>0</v>
      </c>
      <c r="C2744" s="56" t="b">
        <v>0</v>
      </c>
      <c r="D2744" s="56" t="b">
        <v>0</v>
      </c>
      <c r="E2744" s="56">
        <f ca="1">IF(PV[[#This Row],[Business Date]]=Control!$C$6, PV[[#This Row],[Notional Value Local Cur]], -PV[[#This Row],[Notional Value Local Cur]])</f>
        <v>0</v>
      </c>
    </row>
    <row r="2745" spans="1:5" x14ac:dyDescent="0.25">
      <c r="A2745" s="36" t="b">
        <v>0</v>
      </c>
      <c r="B2745" s="56" t="b">
        <v>0</v>
      </c>
      <c r="C2745" s="56" t="b">
        <v>0</v>
      </c>
      <c r="D2745" s="56" t="b">
        <v>0</v>
      </c>
      <c r="E2745" s="56">
        <f ca="1">IF(PV[[#This Row],[Business Date]]=Control!$C$6, PV[[#This Row],[Notional Value Local Cur]], -PV[[#This Row],[Notional Value Local Cur]])</f>
        <v>0</v>
      </c>
    </row>
    <row r="2746" spans="1:5" x14ac:dyDescent="0.25">
      <c r="A2746" s="36" t="b">
        <v>0</v>
      </c>
      <c r="B2746" s="56" t="b">
        <v>0</v>
      </c>
      <c r="C2746" s="56" t="b">
        <v>0</v>
      </c>
      <c r="D2746" s="56" t="b">
        <v>0</v>
      </c>
      <c r="E2746" s="56">
        <f ca="1">IF(PV[[#This Row],[Business Date]]=Control!$C$6, PV[[#This Row],[Notional Value Local Cur]], -PV[[#This Row],[Notional Value Local Cur]])</f>
        <v>0</v>
      </c>
    </row>
    <row r="2747" spans="1:5" x14ac:dyDescent="0.25">
      <c r="A2747" s="36" t="b">
        <v>0</v>
      </c>
      <c r="B2747" s="56" t="b">
        <v>0</v>
      </c>
      <c r="C2747" s="56" t="b">
        <v>0</v>
      </c>
      <c r="D2747" s="56" t="b">
        <v>0</v>
      </c>
      <c r="E2747" s="56">
        <f ca="1">IF(PV[[#This Row],[Business Date]]=Control!$C$6, PV[[#This Row],[Notional Value Local Cur]], -PV[[#This Row],[Notional Value Local Cur]])</f>
        <v>0</v>
      </c>
    </row>
    <row r="2748" spans="1:5" x14ac:dyDescent="0.25">
      <c r="A2748" s="36" t="b">
        <v>0</v>
      </c>
      <c r="B2748" s="56" t="b">
        <v>0</v>
      </c>
      <c r="C2748" s="56" t="b">
        <v>0</v>
      </c>
      <c r="D2748" s="56" t="b">
        <v>0</v>
      </c>
      <c r="E2748" s="56">
        <f ca="1">IF(PV[[#This Row],[Business Date]]=Control!$C$6, PV[[#This Row],[Notional Value Local Cur]], -PV[[#This Row],[Notional Value Local Cur]])</f>
        <v>0</v>
      </c>
    </row>
    <row r="2749" spans="1:5" x14ac:dyDescent="0.25">
      <c r="A2749" s="36" t="b">
        <v>0</v>
      </c>
      <c r="B2749" s="56" t="b">
        <v>0</v>
      </c>
      <c r="C2749" s="56" t="b">
        <v>0</v>
      </c>
      <c r="D2749" s="56" t="b">
        <v>0</v>
      </c>
      <c r="E2749" s="56">
        <f ca="1">IF(PV[[#This Row],[Business Date]]=Control!$C$6, PV[[#This Row],[Notional Value Local Cur]], -PV[[#This Row],[Notional Value Local Cur]])</f>
        <v>0</v>
      </c>
    </row>
    <row r="2750" spans="1:5" x14ac:dyDescent="0.25">
      <c r="A2750" s="36" t="b">
        <v>0</v>
      </c>
      <c r="B2750" s="56" t="b">
        <v>0</v>
      </c>
      <c r="C2750" s="56" t="b">
        <v>0</v>
      </c>
      <c r="D2750" s="56" t="b">
        <v>0</v>
      </c>
      <c r="E2750" s="56">
        <f ca="1">IF(PV[[#This Row],[Business Date]]=Control!$C$6, PV[[#This Row],[Notional Value Local Cur]], -PV[[#This Row],[Notional Value Local Cur]])</f>
        <v>0</v>
      </c>
    </row>
    <row r="2751" spans="1:5" x14ac:dyDescent="0.25">
      <c r="A2751" s="36" t="b">
        <v>0</v>
      </c>
      <c r="B2751" s="56" t="b">
        <v>0</v>
      </c>
      <c r="C2751" s="56" t="b">
        <v>0</v>
      </c>
      <c r="D2751" s="56" t="b">
        <v>0</v>
      </c>
      <c r="E2751" s="56">
        <f ca="1">IF(PV[[#This Row],[Business Date]]=Control!$C$6, PV[[#This Row],[Notional Value Local Cur]], -PV[[#This Row],[Notional Value Local Cur]])</f>
        <v>0</v>
      </c>
    </row>
    <row r="2752" spans="1:5" x14ac:dyDescent="0.25">
      <c r="A2752" s="36" t="b">
        <v>0</v>
      </c>
      <c r="B2752" s="56" t="b">
        <v>0</v>
      </c>
      <c r="C2752" s="56" t="b">
        <v>0</v>
      </c>
      <c r="D2752" s="56" t="b">
        <v>0</v>
      </c>
      <c r="E2752" s="56">
        <f ca="1">IF(PV[[#This Row],[Business Date]]=Control!$C$6, PV[[#This Row],[Notional Value Local Cur]], -PV[[#This Row],[Notional Value Local Cur]])</f>
        <v>0</v>
      </c>
    </row>
    <row r="2753" spans="1:5" x14ac:dyDescent="0.25">
      <c r="A2753" s="36" t="b">
        <v>0</v>
      </c>
      <c r="B2753" s="56" t="b">
        <v>0</v>
      </c>
      <c r="C2753" s="56" t="b">
        <v>0</v>
      </c>
      <c r="D2753" s="56" t="b">
        <v>0</v>
      </c>
      <c r="E2753" s="56">
        <f ca="1">IF(PV[[#This Row],[Business Date]]=Control!$C$6, PV[[#This Row],[Notional Value Local Cur]], -PV[[#This Row],[Notional Value Local Cur]])</f>
        <v>0</v>
      </c>
    </row>
    <row r="2754" spans="1:5" x14ac:dyDescent="0.25">
      <c r="A2754" s="36" t="b">
        <v>0</v>
      </c>
      <c r="B2754" s="56" t="b">
        <v>0</v>
      </c>
      <c r="C2754" s="56" t="b">
        <v>0</v>
      </c>
      <c r="D2754" s="56" t="b">
        <v>0</v>
      </c>
      <c r="E2754" s="56">
        <f ca="1">IF(PV[[#This Row],[Business Date]]=Control!$C$6, PV[[#This Row],[Notional Value Local Cur]], -PV[[#This Row],[Notional Value Local Cur]])</f>
        <v>0</v>
      </c>
    </row>
    <row r="2755" spans="1:5" x14ac:dyDescent="0.25">
      <c r="A2755" s="36" t="b">
        <v>0</v>
      </c>
      <c r="B2755" s="56" t="b">
        <v>0</v>
      </c>
      <c r="C2755" s="56" t="b">
        <v>0</v>
      </c>
      <c r="D2755" s="56" t="b">
        <v>0</v>
      </c>
      <c r="E2755" s="56">
        <f ca="1">IF(PV[[#This Row],[Business Date]]=Control!$C$6, PV[[#This Row],[Notional Value Local Cur]], -PV[[#This Row],[Notional Value Local Cur]])</f>
        <v>0</v>
      </c>
    </row>
    <row r="2756" spans="1:5" x14ac:dyDescent="0.25">
      <c r="A2756" s="36" t="b">
        <v>0</v>
      </c>
      <c r="B2756" s="56" t="b">
        <v>0</v>
      </c>
      <c r="C2756" s="56" t="b">
        <v>0</v>
      </c>
      <c r="D2756" s="56" t="b">
        <v>0</v>
      </c>
      <c r="E2756" s="56">
        <f ca="1">IF(PV[[#This Row],[Business Date]]=Control!$C$6, PV[[#This Row],[Notional Value Local Cur]], -PV[[#This Row],[Notional Value Local Cur]])</f>
        <v>0</v>
      </c>
    </row>
    <row r="2757" spans="1:5" x14ac:dyDescent="0.25">
      <c r="A2757" s="36" t="b">
        <v>0</v>
      </c>
      <c r="B2757" s="56" t="b">
        <v>0</v>
      </c>
      <c r="C2757" s="56" t="b">
        <v>0</v>
      </c>
      <c r="D2757" s="56" t="b">
        <v>0</v>
      </c>
      <c r="E2757" s="56">
        <f ca="1">IF(PV[[#This Row],[Business Date]]=Control!$C$6, PV[[#This Row],[Notional Value Local Cur]], -PV[[#This Row],[Notional Value Local Cur]])</f>
        <v>0</v>
      </c>
    </row>
    <row r="2758" spans="1:5" x14ac:dyDescent="0.25">
      <c r="A2758" s="36" t="b">
        <v>0</v>
      </c>
      <c r="B2758" s="56" t="b">
        <v>0</v>
      </c>
      <c r="C2758" s="56" t="b">
        <v>0</v>
      </c>
      <c r="D2758" s="56" t="b">
        <v>0</v>
      </c>
      <c r="E2758" s="56">
        <f ca="1">IF(PV[[#This Row],[Business Date]]=Control!$C$6, PV[[#This Row],[Notional Value Local Cur]], -PV[[#This Row],[Notional Value Local Cur]])</f>
        <v>0</v>
      </c>
    </row>
    <row r="2759" spans="1:5" x14ac:dyDescent="0.25">
      <c r="A2759" s="36" t="b">
        <v>0</v>
      </c>
      <c r="B2759" s="56" t="b">
        <v>0</v>
      </c>
      <c r="C2759" s="56" t="b">
        <v>0</v>
      </c>
      <c r="D2759" s="56" t="b">
        <v>0</v>
      </c>
      <c r="E2759" s="56">
        <f ca="1">IF(PV[[#This Row],[Business Date]]=Control!$C$6, PV[[#This Row],[Notional Value Local Cur]], -PV[[#This Row],[Notional Value Local Cur]])</f>
        <v>0</v>
      </c>
    </row>
    <row r="2760" spans="1:5" x14ac:dyDescent="0.25">
      <c r="A2760" s="36" t="b">
        <v>0</v>
      </c>
      <c r="B2760" s="56" t="b">
        <v>0</v>
      </c>
      <c r="C2760" s="56" t="b">
        <v>0</v>
      </c>
      <c r="D2760" s="56" t="b">
        <v>0</v>
      </c>
      <c r="E2760" s="56">
        <f ca="1">IF(PV[[#This Row],[Business Date]]=Control!$C$6, PV[[#This Row],[Notional Value Local Cur]], -PV[[#This Row],[Notional Value Local Cur]])</f>
        <v>0</v>
      </c>
    </row>
    <row r="2761" spans="1:5" x14ac:dyDescent="0.25">
      <c r="A2761" s="36" t="b">
        <v>0</v>
      </c>
      <c r="B2761" s="56" t="b">
        <v>0</v>
      </c>
      <c r="C2761" s="56" t="b">
        <v>0</v>
      </c>
      <c r="D2761" s="56" t="b">
        <v>0</v>
      </c>
      <c r="E2761" s="56">
        <f ca="1">IF(PV[[#This Row],[Business Date]]=Control!$C$6, PV[[#This Row],[Notional Value Local Cur]], -PV[[#This Row],[Notional Value Local Cur]])</f>
        <v>0</v>
      </c>
    </row>
    <row r="2762" spans="1:5" x14ac:dyDescent="0.25">
      <c r="A2762" s="36" t="b">
        <v>0</v>
      </c>
      <c r="B2762" s="56" t="b">
        <v>0</v>
      </c>
      <c r="C2762" s="56" t="b">
        <v>0</v>
      </c>
      <c r="D2762" s="56" t="b">
        <v>0</v>
      </c>
      <c r="E2762" s="56">
        <f ca="1">IF(PV[[#This Row],[Business Date]]=Control!$C$6, PV[[#This Row],[Notional Value Local Cur]], -PV[[#This Row],[Notional Value Local Cur]])</f>
        <v>0</v>
      </c>
    </row>
    <row r="2763" spans="1:5" x14ac:dyDescent="0.25">
      <c r="A2763" s="36" t="b">
        <v>0</v>
      </c>
      <c r="B2763" s="56" t="b">
        <v>0</v>
      </c>
      <c r="C2763" s="56" t="b">
        <v>0</v>
      </c>
      <c r="D2763" s="56" t="b">
        <v>0</v>
      </c>
      <c r="E2763" s="56">
        <f ca="1">IF(PV[[#This Row],[Business Date]]=Control!$C$6, PV[[#This Row],[Notional Value Local Cur]], -PV[[#This Row],[Notional Value Local Cur]])</f>
        <v>0</v>
      </c>
    </row>
    <row r="2764" spans="1:5" x14ac:dyDescent="0.25">
      <c r="A2764" s="36" t="b">
        <v>0</v>
      </c>
      <c r="B2764" s="56" t="b">
        <v>0</v>
      </c>
      <c r="C2764" s="56" t="b">
        <v>0</v>
      </c>
      <c r="D2764" s="56" t="b">
        <v>0</v>
      </c>
      <c r="E2764" s="56">
        <f ca="1">IF(PV[[#This Row],[Business Date]]=Control!$C$6, PV[[#This Row],[Notional Value Local Cur]], -PV[[#This Row],[Notional Value Local Cur]])</f>
        <v>0</v>
      </c>
    </row>
    <row r="2765" spans="1:5" x14ac:dyDescent="0.25">
      <c r="A2765" s="36" t="b">
        <v>0</v>
      </c>
      <c r="B2765" s="56" t="b">
        <v>0</v>
      </c>
      <c r="C2765" s="56" t="b">
        <v>0</v>
      </c>
      <c r="D2765" s="56" t="b">
        <v>0</v>
      </c>
      <c r="E2765" s="56">
        <f ca="1">IF(PV[[#This Row],[Business Date]]=Control!$C$6, PV[[#This Row],[Notional Value Local Cur]], -PV[[#This Row],[Notional Value Local Cur]])</f>
        <v>0</v>
      </c>
    </row>
    <row r="2766" spans="1:5" x14ac:dyDescent="0.25">
      <c r="A2766" s="36" t="b">
        <v>0</v>
      </c>
      <c r="B2766" s="56" t="b">
        <v>0</v>
      </c>
      <c r="C2766" s="56" t="b">
        <v>0</v>
      </c>
      <c r="D2766" s="56" t="b">
        <v>0</v>
      </c>
      <c r="E2766" s="56">
        <f ca="1">IF(PV[[#This Row],[Business Date]]=Control!$C$6, PV[[#This Row],[Notional Value Local Cur]], -PV[[#This Row],[Notional Value Local Cur]])</f>
        <v>0</v>
      </c>
    </row>
    <row r="2767" spans="1:5" x14ac:dyDescent="0.25">
      <c r="A2767" s="36" t="b">
        <v>0</v>
      </c>
      <c r="B2767" s="56" t="b">
        <v>0</v>
      </c>
      <c r="C2767" s="56" t="b">
        <v>0</v>
      </c>
      <c r="D2767" s="56" t="b">
        <v>0</v>
      </c>
      <c r="E2767" s="56">
        <f ca="1">IF(PV[[#This Row],[Business Date]]=Control!$C$6, PV[[#This Row],[Notional Value Local Cur]], -PV[[#This Row],[Notional Value Local Cur]])</f>
        <v>0</v>
      </c>
    </row>
    <row r="2768" spans="1:5" x14ac:dyDescent="0.25">
      <c r="A2768" s="36" t="b">
        <v>0</v>
      </c>
      <c r="B2768" s="56" t="b">
        <v>0</v>
      </c>
      <c r="C2768" s="56" t="b">
        <v>0</v>
      </c>
      <c r="D2768" s="56" t="b">
        <v>0</v>
      </c>
      <c r="E2768" s="56">
        <f ca="1">IF(PV[[#This Row],[Business Date]]=Control!$C$6, PV[[#This Row],[Notional Value Local Cur]], -PV[[#This Row],[Notional Value Local Cur]])</f>
        <v>0</v>
      </c>
    </row>
    <row r="2769" spans="1:5" x14ac:dyDescent="0.25">
      <c r="A2769" s="36" t="b">
        <v>0</v>
      </c>
      <c r="B2769" s="56" t="b">
        <v>0</v>
      </c>
      <c r="C2769" s="56" t="b">
        <v>0</v>
      </c>
      <c r="D2769" s="56" t="b">
        <v>0</v>
      </c>
      <c r="E2769" s="56">
        <f ca="1">IF(PV[[#This Row],[Business Date]]=Control!$C$6, PV[[#This Row],[Notional Value Local Cur]], -PV[[#This Row],[Notional Value Local Cur]])</f>
        <v>0</v>
      </c>
    </row>
    <row r="2770" spans="1:5" x14ac:dyDescent="0.25">
      <c r="A2770" s="36" t="b">
        <v>0</v>
      </c>
      <c r="B2770" s="56" t="b">
        <v>0</v>
      </c>
      <c r="C2770" s="56" t="b">
        <v>0</v>
      </c>
      <c r="D2770" s="56" t="b">
        <v>0</v>
      </c>
      <c r="E2770" s="56">
        <f ca="1">IF(PV[[#This Row],[Business Date]]=Control!$C$6, PV[[#This Row],[Notional Value Local Cur]], -PV[[#This Row],[Notional Value Local Cur]])</f>
        <v>0</v>
      </c>
    </row>
    <row r="2771" spans="1:5" x14ac:dyDescent="0.25">
      <c r="A2771" s="36" t="b">
        <v>0</v>
      </c>
      <c r="B2771" s="56" t="b">
        <v>0</v>
      </c>
      <c r="C2771" s="56" t="b">
        <v>0</v>
      </c>
      <c r="D2771" s="56" t="b">
        <v>0</v>
      </c>
      <c r="E2771" s="56">
        <f ca="1">IF(PV[[#This Row],[Business Date]]=Control!$C$6, PV[[#This Row],[Notional Value Local Cur]], -PV[[#This Row],[Notional Value Local Cur]])</f>
        <v>0</v>
      </c>
    </row>
    <row r="2772" spans="1:5" x14ac:dyDescent="0.25">
      <c r="A2772" s="36" t="b">
        <v>0</v>
      </c>
      <c r="B2772" s="56" t="b">
        <v>0</v>
      </c>
      <c r="C2772" s="56" t="b">
        <v>0</v>
      </c>
      <c r="D2772" s="56" t="b">
        <v>0</v>
      </c>
      <c r="E2772" s="56">
        <f ca="1">IF(PV[[#This Row],[Business Date]]=Control!$C$6, PV[[#This Row],[Notional Value Local Cur]], -PV[[#This Row],[Notional Value Local Cur]])</f>
        <v>0</v>
      </c>
    </row>
    <row r="2773" spans="1:5" x14ac:dyDescent="0.25">
      <c r="A2773" s="36" t="b">
        <v>0</v>
      </c>
      <c r="B2773" s="56" t="b">
        <v>0</v>
      </c>
      <c r="C2773" s="56" t="b">
        <v>0</v>
      </c>
      <c r="D2773" s="56" t="b">
        <v>0</v>
      </c>
      <c r="E2773" s="56">
        <f ca="1">IF(PV[[#This Row],[Business Date]]=Control!$C$6, PV[[#This Row],[Notional Value Local Cur]], -PV[[#This Row],[Notional Value Local Cur]])</f>
        <v>0</v>
      </c>
    </row>
    <row r="2774" spans="1:5" x14ac:dyDescent="0.25">
      <c r="A2774" s="36" t="b">
        <v>0</v>
      </c>
      <c r="B2774" s="56" t="b">
        <v>0</v>
      </c>
      <c r="C2774" s="56" t="b">
        <v>0</v>
      </c>
      <c r="D2774" s="56" t="b">
        <v>0</v>
      </c>
      <c r="E2774" s="56">
        <f ca="1">IF(PV[[#This Row],[Business Date]]=Control!$C$6, PV[[#This Row],[Notional Value Local Cur]], -PV[[#This Row],[Notional Value Local Cur]])</f>
        <v>0</v>
      </c>
    </row>
    <row r="2775" spans="1:5" x14ac:dyDescent="0.25">
      <c r="A2775" s="36" t="b">
        <v>0</v>
      </c>
      <c r="B2775" s="56" t="b">
        <v>0</v>
      </c>
      <c r="C2775" s="56" t="b">
        <v>0</v>
      </c>
      <c r="D2775" s="56" t="b">
        <v>0</v>
      </c>
      <c r="E2775" s="56">
        <f ca="1">IF(PV[[#This Row],[Business Date]]=Control!$C$6, PV[[#This Row],[Notional Value Local Cur]], -PV[[#This Row],[Notional Value Local Cur]])</f>
        <v>0</v>
      </c>
    </row>
    <row r="2776" spans="1:5" x14ac:dyDescent="0.25">
      <c r="A2776" s="36" t="b">
        <v>0</v>
      </c>
      <c r="B2776" s="56" t="b">
        <v>0</v>
      </c>
      <c r="C2776" s="56" t="b">
        <v>0</v>
      </c>
      <c r="D2776" s="56" t="b">
        <v>0</v>
      </c>
      <c r="E2776" s="56">
        <f ca="1">IF(PV[[#This Row],[Business Date]]=Control!$C$6, PV[[#This Row],[Notional Value Local Cur]], -PV[[#This Row],[Notional Value Local Cur]])</f>
        <v>0</v>
      </c>
    </row>
    <row r="2777" spans="1:5" x14ac:dyDescent="0.25">
      <c r="A2777" s="36" t="b">
        <v>0</v>
      </c>
      <c r="B2777" s="56" t="b">
        <v>0</v>
      </c>
      <c r="C2777" s="56" t="b">
        <v>0</v>
      </c>
      <c r="D2777" s="56" t="b">
        <v>0</v>
      </c>
      <c r="E2777" s="56">
        <f ca="1">IF(PV[[#This Row],[Business Date]]=Control!$C$6, PV[[#This Row],[Notional Value Local Cur]], -PV[[#This Row],[Notional Value Local Cur]])</f>
        <v>0</v>
      </c>
    </row>
    <row r="2778" spans="1:5" x14ac:dyDescent="0.25">
      <c r="A2778" s="36" t="b">
        <v>0</v>
      </c>
      <c r="B2778" s="56" t="b">
        <v>0</v>
      </c>
      <c r="C2778" s="56" t="b">
        <v>0</v>
      </c>
      <c r="D2778" s="56" t="b">
        <v>0</v>
      </c>
      <c r="E2778" s="56">
        <f ca="1">IF(PV[[#This Row],[Business Date]]=Control!$C$6, PV[[#This Row],[Notional Value Local Cur]], -PV[[#This Row],[Notional Value Local Cur]])</f>
        <v>0</v>
      </c>
    </row>
    <row r="2779" spans="1:5" x14ac:dyDescent="0.25">
      <c r="A2779" s="36" t="b">
        <v>0</v>
      </c>
      <c r="B2779" s="56" t="b">
        <v>0</v>
      </c>
      <c r="C2779" s="56" t="b">
        <v>0</v>
      </c>
      <c r="D2779" s="56" t="b">
        <v>0</v>
      </c>
      <c r="E2779" s="56">
        <f ca="1">IF(PV[[#This Row],[Business Date]]=Control!$C$6, PV[[#This Row],[Notional Value Local Cur]], -PV[[#This Row],[Notional Value Local Cur]])</f>
        <v>0</v>
      </c>
    </row>
    <row r="2780" spans="1:5" x14ac:dyDescent="0.25">
      <c r="A2780" s="36" t="b">
        <v>0</v>
      </c>
      <c r="B2780" s="56" t="b">
        <v>0</v>
      </c>
      <c r="C2780" s="56" t="b">
        <v>0</v>
      </c>
      <c r="D2780" s="56" t="b">
        <v>0</v>
      </c>
      <c r="E2780" s="56">
        <f ca="1">IF(PV[[#This Row],[Business Date]]=Control!$C$6, PV[[#This Row],[Notional Value Local Cur]], -PV[[#This Row],[Notional Value Local Cur]])</f>
        <v>0</v>
      </c>
    </row>
    <row r="2781" spans="1:5" x14ac:dyDescent="0.25">
      <c r="A2781" s="36" t="b">
        <v>0</v>
      </c>
      <c r="B2781" s="56" t="b">
        <v>0</v>
      </c>
      <c r="C2781" s="56" t="b">
        <v>0</v>
      </c>
      <c r="D2781" s="56" t="b">
        <v>0</v>
      </c>
      <c r="E2781" s="56">
        <f ca="1">IF(PV[[#This Row],[Business Date]]=Control!$C$6, PV[[#This Row],[Notional Value Local Cur]], -PV[[#This Row],[Notional Value Local Cur]])</f>
        <v>0</v>
      </c>
    </row>
    <row r="2782" spans="1:5" x14ac:dyDescent="0.25">
      <c r="A2782" s="36" t="b">
        <v>0</v>
      </c>
      <c r="B2782" s="56" t="b">
        <v>0</v>
      </c>
      <c r="C2782" s="56" t="b">
        <v>0</v>
      </c>
      <c r="D2782" s="56" t="b">
        <v>0</v>
      </c>
      <c r="E2782" s="56">
        <f ca="1">IF(PV[[#This Row],[Business Date]]=Control!$C$6, PV[[#This Row],[Notional Value Local Cur]], -PV[[#This Row],[Notional Value Local Cur]])</f>
        <v>0</v>
      </c>
    </row>
    <row r="2783" spans="1:5" x14ac:dyDescent="0.25">
      <c r="A2783" s="36" t="b">
        <v>0</v>
      </c>
      <c r="B2783" s="56" t="b">
        <v>0</v>
      </c>
      <c r="C2783" s="56" t="b">
        <v>0</v>
      </c>
      <c r="D2783" s="56" t="b">
        <v>0</v>
      </c>
      <c r="E2783" s="56">
        <f ca="1">IF(PV[[#This Row],[Business Date]]=Control!$C$6, PV[[#This Row],[Notional Value Local Cur]], -PV[[#This Row],[Notional Value Local Cur]])</f>
        <v>0</v>
      </c>
    </row>
    <row r="2784" spans="1:5" x14ac:dyDescent="0.25">
      <c r="A2784" s="36" t="b">
        <v>0</v>
      </c>
      <c r="B2784" s="56" t="b">
        <v>0</v>
      </c>
      <c r="C2784" s="56" t="b">
        <v>0</v>
      </c>
      <c r="D2784" s="56" t="b">
        <v>0</v>
      </c>
      <c r="E2784" s="56">
        <f ca="1">IF(PV[[#This Row],[Business Date]]=Control!$C$6, PV[[#This Row],[Notional Value Local Cur]], -PV[[#This Row],[Notional Value Local Cur]])</f>
        <v>0</v>
      </c>
    </row>
    <row r="2785" spans="1:5" x14ac:dyDescent="0.25">
      <c r="A2785" s="36" t="b">
        <v>0</v>
      </c>
      <c r="B2785" s="56" t="b">
        <v>0</v>
      </c>
      <c r="C2785" s="56" t="b">
        <v>0</v>
      </c>
      <c r="D2785" s="56" t="b">
        <v>0</v>
      </c>
      <c r="E2785" s="56">
        <f ca="1">IF(PV[[#This Row],[Business Date]]=Control!$C$6, PV[[#This Row],[Notional Value Local Cur]], -PV[[#This Row],[Notional Value Local Cur]])</f>
        <v>0</v>
      </c>
    </row>
    <row r="2786" spans="1:5" x14ac:dyDescent="0.25">
      <c r="A2786" s="36" t="b">
        <v>0</v>
      </c>
      <c r="B2786" s="56" t="b">
        <v>0</v>
      </c>
      <c r="C2786" s="56" t="b">
        <v>0</v>
      </c>
      <c r="D2786" s="56" t="b">
        <v>0</v>
      </c>
      <c r="E2786" s="56">
        <f ca="1">IF(PV[[#This Row],[Business Date]]=Control!$C$6, PV[[#This Row],[Notional Value Local Cur]], -PV[[#This Row],[Notional Value Local Cur]])</f>
        <v>0</v>
      </c>
    </row>
    <row r="2787" spans="1:5" x14ac:dyDescent="0.25">
      <c r="A2787" s="36" t="b">
        <v>0</v>
      </c>
      <c r="B2787" s="56" t="b">
        <v>0</v>
      </c>
      <c r="C2787" s="56" t="b">
        <v>0</v>
      </c>
      <c r="D2787" s="56" t="b">
        <v>0</v>
      </c>
      <c r="E2787" s="56">
        <f ca="1">IF(PV[[#This Row],[Business Date]]=Control!$C$6, PV[[#This Row],[Notional Value Local Cur]], -PV[[#This Row],[Notional Value Local Cur]])</f>
        <v>0</v>
      </c>
    </row>
    <row r="2788" spans="1:5" x14ac:dyDescent="0.25">
      <c r="A2788" s="36" t="b">
        <v>0</v>
      </c>
      <c r="B2788" s="56" t="b">
        <v>0</v>
      </c>
      <c r="C2788" s="56" t="b">
        <v>0</v>
      </c>
      <c r="D2788" s="56" t="b">
        <v>0</v>
      </c>
      <c r="E2788" s="56">
        <f ca="1">IF(PV[[#This Row],[Business Date]]=Control!$C$6, PV[[#This Row],[Notional Value Local Cur]], -PV[[#This Row],[Notional Value Local Cur]])</f>
        <v>0</v>
      </c>
    </row>
    <row r="2789" spans="1:5" x14ac:dyDescent="0.25">
      <c r="A2789" s="36" t="b">
        <v>0</v>
      </c>
      <c r="B2789" s="56" t="b">
        <v>0</v>
      </c>
      <c r="C2789" s="56" t="b">
        <v>0</v>
      </c>
      <c r="D2789" s="56" t="b">
        <v>0</v>
      </c>
      <c r="E2789" s="56">
        <f ca="1">IF(PV[[#This Row],[Business Date]]=Control!$C$6, PV[[#This Row],[Notional Value Local Cur]], -PV[[#This Row],[Notional Value Local Cur]])</f>
        <v>0</v>
      </c>
    </row>
    <row r="2790" spans="1:5" x14ac:dyDescent="0.25">
      <c r="A2790" s="36" t="b">
        <v>0</v>
      </c>
      <c r="B2790" s="56" t="b">
        <v>0</v>
      </c>
      <c r="C2790" s="56" t="b">
        <v>0</v>
      </c>
      <c r="D2790" s="56" t="b">
        <v>0</v>
      </c>
      <c r="E2790" s="56">
        <f ca="1">IF(PV[[#This Row],[Business Date]]=Control!$C$6, PV[[#This Row],[Notional Value Local Cur]], -PV[[#This Row],[Notional Value Local Cur]])</f>
        <v>0</v>
      </c>
    </row>
    <row r="2791" spans="1:5" x14ac:dyDescent="0.25">
      <c r="A2791" s="36" t="b">
        <v>0</v>
      </c>
      <c r="B2791" s="56" t="b">
        <v>0</v>
      </c>
      <c r="C2791" s="56" t="b">
        <v>0</v>
      </c>
      <c r="D2791" s="56" t="b">
        <v>0</v>
      </c>
      <c r="E2791" s="56">
        <f ca="1">IF(PV[[#This Row],[Business Date]]=Control!$C$6, PV[[#This Row],[Notional Value Local Cur]], -PV[[#This Row],[Notional Value Local Cur]])</f>
        <v>0</v>
      </c>
    </row>
    <row r="2792" spans="1:5" x14ac:dyDescent="0.25">
      <c r="A2792" s="36" t="b">
        <v>0</v>
      </c>
      <c r="B2792" s="56" t="b">
        <v>0</v>
      </c>
      <c r="C2792" s="56" t="b">
        <v>0</v>
      </c>
      <c r="D2792" s="56" t="b">
        <v>0</v>
      </c>
      <c r="E2792" s="56">
        <f ca="1">IF(PV[[#This Row],[Business Date]]=Control!$C$6, PV[[#This Row],[Notional Value Local Cur]], -PV[[#This Row],[Notional Value Local Cur]])</f>
        <v>0</v>
      </c>
    </row>
    <row r="2793" spans="1:5" x14ac:dyDescent="0.25">
      <c r="A2793" s="36" t="b">
        <v>0</v>
      </c>
      <c r="B2793" s="56" t="b">
        <v>0</v>
      </c>
      <c r="C2793" s="56" t="b">
        <v>0</v>
      </c>
      <c r="D2793" s="56" t="b">
        <v>0</v>
      </c>
      <c r="E2793" s="56">
        <f ca="1">IF(PV[[#This Row],[Business Date]]=Control!$C$6, PV[[#This Row],[Notional Value Local Cur]], -PV[[#This Row],[Notional Value Local Cur]])</f>
        <v>0</v>
      </c>
    </row>
    <row r="2794" spans="1:5" x14ac:dyDescent="0.25">
      <c r="A2794" s="36" t="b">
        <v>0</v>
      </c>
      <c r="B2794" s="56" t="b">
        <v>0</v>
      </c>
      <c r="C2794" s="56" t="b">
        <v>0</v>
      </c>
      <c r="D2794" s="56" t="b">
        <v>0</v>
      </c>
      <c r="E2794" s="56">
        <f ca="1">IF(PV[[#This Row],[Business Date]]=Control!$C$6, PV[[#This Row],[Notional Value Local Cur]], -PV[[#This Row],[Notional Value Local Cur]])</f>
        <v>0</v>
      </c>
    </row>
    <row r="2795" spans="1:5" x14ac:dyDescent="0.25">
      <c r="A2795" s="36" t="b">
        <v>0</v>
      </c>
      <c r="B2795" s="56" t="b">
        <v>0</v>
      </c>
      <c r="C2795" s="56" t="b">
        <v>0</v>
      </c>
      <c r="D2795" s="56" t="b">
        <v>0</v>
      </c>
      <c r="E2795" s="56">
        <f ca="1">IF(PV[[#This Row],[Business Date]]=Control!$C$6, PV[[#This Row],[Notional Value Local Cur]], -PV[[#This Row],[Notional Value Local Cur]])</f>
        <v>0</v>
      </c>
    </row>
    <row r="2796" spans="1:5" x14ac:dyDescent="0.25">
      <c r="A2796" s="36" t="b">
        <v>0</v>
      </c>
      <c r="B2796" s="56" t="b">
        <v>0</v>
      </c>
      <c r="C2796" s="56" t="b">
        <v>0</v>
      </c>
      <c r="D2796" s="56" t="b">
        <v>0</v>
      </c>
      <c r="E2796" s="56">
        <f ca="1">IF(PV[[#This Row],[Business Date]]=Control!$C$6, PV[[#This Row],[Notional Value Local Cur]], -PV[[#This Row],[Notional Value Local Cur]])</f>
        <v>0</v>
      </c>
    </row>
    <row r="2797" spans="1:5" x14ac:dyDescent="0.25">
      <c r="A2797" s="36" t="b">
        <v>0</v>
      </c>
      <c r="B2797" s="56" t="b">
        <v>0</v>
      </c>
      <c r="C2797" s="56" t="b">
        <v>0</v>
      </c>
      <c r="D2797" s="56" t="b">
        <v>0</v>
      </c>
      <c r="E2797" s="56">
        <f ca="1">IF(PV[[#This Row],[Business Date]]=Control!$C$6, PV[[#This Row],[Notional Value Local Cur]], -PV[[#This Row],[Notional Value Local Cur]])</f>
        <v>0</v>
      </c>
    </row>
    <row r="2798" spans="1:5" x14ac:dyDescent="0.25">
      <c r="A2798" s="36" t="b">
        <v>0</v>
      </c>
      <c r="B2798" s="56" t="b">
        <v>0</v>
      </c>
      <c r="C2798" s="56" t="b">
        <v>0</v>
      </c>
      <c r="D2798" s="56" t="b">
        <v>0</v>
      </c>
      <c r="E2798" s="56">
        <f ca="1">IF(PV[[#This Row],[Business Date]]=Control!$C$6, PV[[#This Row],[Notional Value Local Cur]], -PV[[#This Row],[Notional Value Local Cur]])</f>
        <v>0</v>
      </c>
    </row>
    <row r="2799" spans="1:5" x14ac:dyDescent="0.25">
      <c r="A2799" s="36" t="b">
        <v>0</v>
      </c>
      <c r="B2799" s="56" t="b">
        <v>0</v>
      </c>
      <c r="C2799" s="56" t="b">
        <v>0</v>
      </c>
      <c r="D2799" s="56" t="b">
        <v>0</v>
      </c>
      <c r="E2799" s="56">
        <f ca="1">IF(PV[[#This Row],[Business Date]]=Control!$C$6, PV[[#This Row],[Notional Value Local Cur]], -PV[[#This Row],[Notional Value Local Cur]])</f>
        <v>0</v>
      </c>
    </row>
    <row r="2800" spans="1:5" x14ac:dyDescent="0.25">
      <c r="A2800" s="36" t="b">
        <v>0</v>
      </c>
      <c r="B2800" s="56" t="b">
        <v>0</v>
      </c>
      <c r="C2800" s="56" t="b">
        <v>0</v>
      </c>
      <c r="D2800" s="56" t="b">
        <v>0</v>
      </c>
      <c r="E2800" s="56">
        <f ca="1">IF(PV[[#This Row],[Business Date]]=Control!$C$6, PV[[#This Row],[Notional Value Local Cur]], -PV[[#This Row],[Notional Value Local Cur]])</f>
        <v>0</v>
      </c>
    </row>
    <row r="2801" spans="1:5" x14ac:dyDescent="0.25">
      <c r="A2801" s="36" t="b">
        <v>0</v>
      </c>
      <c r="B2801" s="56" t="b">
        <v>0</v>
      </c>
      <c r="C2801" s="56" t="b">
        <v>0</v>
      </c>
      <c r="D2801" s="56" t="b">
        <v>0</v>
      </c>
      <c r="E2801" s="56">
        <f ca="1">IF(PV[[#This Row],[Business Date]]=Control!$C$6, PV[[#This Row],[Notional Value Local Cur]], -PV[[#This Row],[Notional Value Local Cur]])</f>
        <v>0</v>
      </c>
    </row>
    <row r="2802" spans="1:5" x14ac:dyDescent="0.25">
      <c r="A2802" s="36" t="b">
        <v>0</v>
      </c>
      <c r="B2802" s="56" t="b">
        <v>0</v>
      </c>
      <c r="C2802" s="56" t="b">
        <v>0</v>
      </c>
      <c r="D2802" s="56" t="b">
        <v>0</v>
      </c>
      <c r="E2802" s="56">
        <f ca="1">IF(PV[[#This Row],[Business Date]]=Control!$C$6, PV[[#This Row],[Notional Value Local Cur]], -PV[[#This Row],[Notional Value Local Cur]])</f>
        <v>0</v>
      </c>
    </row>
    <row r="2803" spans="1:5" x14ac:dyDescent="0.25">
      <c r="A2803" s="36" t="b">
        <v>0</v>
      </c>
      <c r="B2803" s="56" t="b">
        <v>0</v>
      </c>
      <c r="C2803" s="56" t="b">
        <v>0</v>
      </c>
      <c r="D2803" s="56" t="b">
        <v>0</v>
      </c>
      <c r="E2803" s="56">
        <f ca="1">IF(PV[[#This Row],[Business Date]]=Control!$C$6, PV[[#This Row],[Notional Value Local Cur]], -PV[[#This Row],[Notional Value Local Cur]])</f>
        <v>0</v>
      </c>
    </row>
    <row r="2804" spans="1:5" x14ac:dyDescent="0.25">
      <c r="A2804" s="36" t="b">
        <v>0</v>
      </c>
      <c r="B2804" s="56" t="b">
        <v>0</v>
      </c>
      <c r="C2804" s="56" t="b">
        <v>0</v>
      </c>
      <c r="D2804" s="56" t="b">
        <v>0</v>
      </c>
      <c r="E2804" s="56">
        <f ca="1">IF(PV[[#This Row],[Business Date]]=Control!$C$6, PV[[#This Row],[Notional Value Local Cur]], -PV[[#This Row],[Notional Value Local Cur]])</f>
        <v>0</v>
      </c>
    </row>
    <row r="2805" spans="1:5" x14ac:dyDescent="0.25">
      <c r="A2805" s="36" t="b">
        <v>0</v>
      </c>
      <c r="B2805" s="56" t="b">
        <v>0</v>
      </c>
      <c r="C2805" s="56" t="b">
        <v>0</v>
      </c>
      <c r="D2805" s="56" t="b">
        <v>0</v>
      </c>
      <c r="E2805" s="56">
        <f ca="1">IF(PV[[#This Row],[Business Date]]=Control!$C$6, PV[[#This Row],[Notional Value Local Cur]], -PV[[#This Row],[Notional Value Local Cur]])</f>
        <v>0</v>
      </c>
    </row>
    <row r="2806" spans="1:5" x14ac:dyDescent="0.25">
      <c r="A2806" s="36" t="b">
        <v>0</v>
      </c>
      <c r="B2806" s="56" t="b">
        <v>0</v>
      </c>
      <c r="C2806" s="56" t="b">
        <v>0</v>
      </c>
      <c r="D2806" s="56" t="b">
        <v>0</v>
      </c>
      <c r="E2806" s="56">
        <f ca="1">IF(PV[[#This Row],[Business Date]]=Control!$C$6, PV[[#This Row],[Notional Value Local Cur]], -PV[[#This Row],[Notional Value Local Cur]])</f>
        <v>0</v>
      </c>
    </row>
    <row r="2807" spans="1:5" x14ac:dyDescent="0.25">
      <c r="A2807" s="36" t="b">
        <v>0</v>
      </c>
      <c r="B2807" s="56" t="b">
        <v>0</v>
      </c>
      <c r="C2807" s="56" t="b">
        <v>0</v>
      </c>
      <c r="D2807" s="56" t="b">
        <v>0</v>
      </c>
      <c r="E2807" s="56">
        <f ca="1">IF(PV[[#This Row],[Business Date]]=Control!$C$6, PV[[#This Row],[Notional Value Local Cur]], -PV[[#This Row],[Notional Value Local Cur]])</f>
        <v>0</v>
      </c>
    </row>
    <row r="2808" spans="1:5" x14ac:dyDescent="0.25">
      <c r="A2808" s="36" t="b">
        <v>0</v>
      </c>
      <c r="B2808" s="56" t="b">
        <v>0</v>
      </c>
      <c r="C2808" s="56" t="b">
        <v>0</v>
      </c>
      <c r="D2808" s="56" t="b">
        <v>0</v>
      </c>
      <c r="E2808" s="56">
        <f ca="1">IF(PV[[#This Row],[Business Date]]=Control!$C$6, PV[[#This Row],[Notional Value Local Cur]], -PV[[#This Row],[Notional Value Local Cur]])</f>
        <v>0</v>
      </c>
    </row>
    <row r="2809" spans="1:5" x14ac:dyDescent="0.25">
      <c r="A2809" s="36" t="b">
        <v>0</v>
      </c>
      <c r="B2809" s="56" t="b">
        <v>0</v>
      </c>
      <c r="C2809" s="56" t="b">
        <v>0</v>
      </c>
      <c r="D2809" s="56" t="b">
        <v>0</v>
      </c>
      <c r="E2809" s="56">
        <f ca="1">IF(PV[[#This Row],[Business Date]]=Control!$C$6, PV[[#This Row],[Notional Value Local Cur]], -PV[[#This Row],[Notional Value Local Cur]])</f>
        <v>0</v>
      </c>
    </row>
    <row r="2810" spans="1:5" x14ac:dyDescent="0.25">
      <c r="A2810" s="36" t="b">
        <v>0</v>
      </c>
      <c r="B2810" s="56" t="b">
        <v>0</v>
      </c>
      <c r="C2810" s="56" t="b">
        <v>0</v>
      </c>
      <c r="D2810" s="56" t="b">
        <v>0</v>
      </c>
      <c r="E2810" s="56">
        <f ca="1">IF(PV[[#This Row],[Business Date]]=Control!$C$6, PV[[#This Row],[Notional Value Local Cur]], -PV[[#This Row],[Notional Value Local Cur]])</f>
        <v>0</v>
      </c>
    </row>
    <row r="2811" spans="1:5" x14ac:dyDescent="0.25">
      <c r="A2811" s="36" t="b">
        <v>0</v>
      </c>
      <c r="B2811" s="56" t="b">
        <v>0</v>
      </c>
      <c r="C2811" s="56" t="b">
        <v>0</v>
      </c>
      <c r="D2811" s="56" t="b">
        <v>0</v>
      </c>
      <c r="E2811" s="56">
        <f ca="1">IF(PV[[#This Row],[Business Date]]=Control!$C$6, PV[[#This Row],[Notional Value Local Cur]], -PV[[#This Row],[Notional Value Local Cur]])</f>
        <v>0</v>
      </c>
    </row>
    <row r="2812" spans="1:5" x14ac:dyDescent="0.25">
      <c r="A2812" s="36" t="b">
        <v>0</v>
      </c>
      <c r="B2812" s="56" t="b">
        <v>0</v>
      </c>
      <c r="C2812" s="56" t="b">
        <v>0</v>
      </c>
      <c r="D2812" s="56" t="b">
        <v>0</v>
      </c>
      <c r="E2812" s="56">
        <f ca="1">IF(PV[[#This Row],[Business Date]]=Control!$C$6, PV[[#This Row],[Notional Value Local Cur]], -PV[[#This Row],[Notional Value Local Cur]])</f>
        <v>0</v>
      </c>
    </row>
    <row r="2813" spans="1:5" x14ac:dyDescent="0.25">
      <c r="A2813" s="36" t="b">
        <v>0</v>
      </c>
      <c r="B2813" s="56" t="b">
        <v>0</v>
      </c>
      <c r="C2813" s="56" t="b">
        <v>0</v>
      </c>
      <c r="D2813" s="56" t="b">
        <v>0</v>
      </c>
      <c r="E2813" s="56">
        <f ca="1">IF(PV[[#This Row],[Business Date]]=Control!$C$6, PV[[#This Row],[Notional Value Local Cur]], -PV[[#This Row],[Notional Value Local Cur]])</f>
        <v>0</v>
      </c>
    </row>
    <row r="2814" spans="1:5" x14ac:dyDescent="0.25">
      <c r="A2814" s="36" t="b">
        <v>0</v>
      </c>
      <c r="B2814" s="56" t="b">
        <v>0</v>
      </c>
      <c r="C2814" s="56" t="b">
        <v>0</v>
      </c>
      <c r="D2814" s="56" t="b">
        <v>0</v>
      </c>
      <c r="E2814" s="56">
        <f ca="1">IF(PV[[#This Row],[Business Date]]=Control!$C$6, PV[[#This Row],[Notional Value Local Cur]], -PV[[#This Row],[Notional Value Local Cur]])</f>
        <v>0</v>
      </c>
    </row>
    <row r="2815" spans="1:5" x14ac:dyDescent="0.25">
      <c r="A2815" s="36" t="b">
        <v>0</v>
      </c>
      <c r="B2815" s="56" t="b">
        <v>0</v>
      </c>
      <c r="C2815" s="56" t="b">
        <v>0</v>
      </c>
      <c r="D2815" s="56" t="b">
        <v>0</v>
      </c>
      <c r="E2815" s="56">
        <f ca="1">IF(PV[[#This Row],[Business Date]]=Control!$C$6, PV[[#This Row],[Notional Value Local Cur]], -PV[[#This Row],[Notional Value Local Cur]])</f>
        <v>0</v>
      </c>
    </row>
    <row r="2816" spans="1:5" x14ac:dyDescent="0.25">
      <c r="A2816" s="36" t="b">
        <v>0</v>
      </c>
      <c r="B2816" s="56" t="b">
        <v>0</v>
      </c>
      <c r="C2816" s="56" t="b">
        <v>0</v>
      </c>
      <c r="D2816" s="56" t="b">
        <v>0</v>
      </c>
      <c r="E2816" s="56">
        <f ca="1">IF(PV[[#This Row],[Business Date]]=Control!$C$6, PV[[#This Row],[Notional Value Local Cur]], -PV[[#This Row],[Notional Value Local Cur]])</f>
        <v>0</v>
      </c>
    </row>
    <row r="2817" spans="1:5" x14ac:dyDescent="0.25">
      <c r="A2817" s="36" t="b">
        <v>0</v>
      </c>
      <c r="B2817" s="56" t="b">
        <v>0</v>
      </c>
      <c r="C2817" s="56" t="b">
        <v>0</v>
      </c>
      <c r="D2817" s="56" t="b">
        <v>0</v>
      </c>
      <c r="E2817" s="56">
        <f ca="1">IF(PV[[#This Row],[Business Date]]=Control!$C$6, PV[[#This Row],[Notional Value Local Cur]], -PV[[#This Row],[Notional Value Local Cur]])</f>
        <v>0</v>
      </c>
    </row>
    <row r="2818" spans="1:5" x14ac:dyDescent="0.25">
      <c r="A2818" s="36" t="b">
        <v>0</v>
      </c>
      <c r="B2818" s="56" t="b">
        <v>0</v>
      </c>
      <c r="C2818" s="56" t="b">
        <v>0</v>
      </c>
      <c r="D2818" s="56" t="b">
        <v>0</v>
      </c>
      <c r="E2818" s="56">
        <f ca="1">IF(PV[[#This Row],[Business Date]]=Control!$C$6, PV[[#This Row],[Notional Value Local Cur]], -PV[[#This Row],[Notional Value Local Cur]])</f>
        <v>0</v>
      </c>
    </row>
    <row r="2819" spans="1:5" x14ac:dyDescent="0.25">
      <c r="A2819" s="36" t="b">
        <v>0</v>
      </c>
      <c r="B2819" s="56" t="b">
        <v>0</v>
      </c>
      <c r="C2819" s="56" t="b">
        <v>0</v>
      </c>
      <c r="D2819" s="56" t="b">
        <v>0</v>
      </c>
      <c r="E2819" s="56">
        <f ca="1">IF(PV[[#This Row],[Business Date]]=Control!$C$6, PV[[#This Row],[Notional Value Local Cur]], -PV[[#This Row],[Notional Value Local Cur]])</f>
        <v>0</v>
      </c>
    </row>
    <row r="2820" spans="1:5" x14ac:dyDescent="0.25">
      <c r="A2820" s="36" t="b">
        <v>0</v>
      </c>
      <c r="B2820" s="56" t="b">
        <v>0</v>
      </c>
      <c r="C2820" s="56" t="b">
        <v>0</v>
      </c>
      <c r="D2820" s="56" t="b">
        <v>0</v>
      </c>
      <c r="E2820" s="56">
        <f ca="1">IF(PV[[#This Row],[Business Date]]=Control!$C$6, PV[[#This Row],[Notional Value Local Cur]], -PV[[#This Row],[Notional Value Local Cur]])</f>
        <v>0</v>
      </c>
    </row>
    <row r="2821" spans="1:5" x14ac:dyDescent="0.25">
      <c r="A2821" s="36" t="b">
        <v>0</v>
      </c>
      <c r="B2821" s="56" t="b">
        <v>0</v>
      </c>
      <c r="C2821" s="56" t="b">
        <v>0</v>
      </c>
      <c r="D2821" s="56" t="b">
        <v>0</v>
      </c>
      <c r="E2821" s="56">
        <f ca="1">IF(PV[[#This Row],[Business Date]]=Control!$C$6, PV[[#This Row],[Notional Value Local Cur]], -PV[[#This Row],[Notional Value Local Cur]])</f>
        <v>0</v>
      </c>
    </row>
    <row r="2822" spans="1:5" x14ac:dyDescent="0.25">
      <c r="A2822" s="36" t="b">
        <v>0</v>
      </c>
      <c r="B2822" s="56" t="b">
        <v>0</v>
      </c>
      <c r="C2822" s="56" t="b">
        <v>0</v>
      </c>
      <c r="D2822" s="56" t="b">
        <v>0</v>
      </c>
      <c r="E2822" s="56">
        <f ca="1">IF(PV[[#This Row],[Business Date]]=Control!$C$6, PV[[#This Row],[Notional Value Local Cur]], -PV[[#This Row],[Notional Value Local Cur]])</f>
        <v>0</v>
      </c>
    </row>
    <row r="2823" spans="1:5" x14ac:dyDescent="0.25">
      <c r="A2823" s="36" t="b">
        <v>0</v>
      </c>
      <c r="B2823" s="56" t="b">
        <v>0</v>
      </c>
      <c r="C2823" s="56" t="b">
        <v>0</v>
      </c>
      <c r="D2823" s="56" t="b">
        <v>0</v>
      </c>
      <c r="E2823" s="56">
        <f ca="1">IF(PV[[#This Row],[Business Date]]=Control!$C$6, PV[[#This Row],[Notional Value Local Cur]], -PV[[#This Row],[Notional Value Local Cur]])</f>
        <v>0</v>
      </c>
    </row>
    <row r="2824" spans="1:5" x14ac:dyDescent="0.25">
      <c r="A2824" s="36" t="b">
        <v>0</v>
      </c>
      <c r="B2824" s="56" t="b">
        <v>0</v>
      </c>
      <c r="C2824" s="56" t="b">
        <v>0</v>
      </c>
      <c r="D2824" s="56" t="b">
        <v>0</v>
      </c>
      <c r="E2824" s="56">
        <f ca="1">IF(PV[[#This Row],[Business Date]]=Control!$C$6, PV[[#This Row],[Notional Value Local Cur]], -PV[[#This Row],[Notional Value Local Cur]])</f>
        <v>0</v>
      </c>
    </row>
    <row r="2825" spans="1:5" x14ac:dyDescent="0.25">
      <c r="A2825" s="36" t="b">
        <v>0</v>
      </c>
      <c r="B2825" s="56" t="b">
        <v>0</v>
      </c>
      <c r="C2825" s="56" t="b">
        <v>0</v>
      </c>
      <c r="D2825" s="56" t="b">
        <v>0</v>
      </c>
      <c r="E2825" s="56">
        <f ca="1">IF(PV[[#This Row],[Business Date]]=Control!$C$6, PV[[#This Row],[Notional Value Local Cur]], -PV[[#This Row],[Notional Value Local Cur]])</f>
        <v>0</v>
      </c>
    </row>
    <row r="2826" spans="1:5" x14ac:dyDescent="0.25">
      <c r="A2826" s="36" t="b">
        <v>0</v>
      </c>
      <c r="B2826" s="56" t="b">
        <v>0</v>
      </c>
      <c r="C2826" s="56" t="b">
        <v>0</v>
      </c>
      <c r="D2826" s="56" t="b">
        <v>0</v>
      </c>
      <c r="E2826" s="56">
        <f ca="1">IF(PV[[#This Row],[Business Date]]=Control!$C$6, PV[[#This Row],[Notional Value Local Cur]], -PV[[#This Row],[Notional Value Local Cur]])</f>
        <v>0</v>
      </c>
    </row>
    <row r="2827" spans="1:5" x14ac:dyDescent="0.25">
      <c r="A2827" s="36" t="b">
        <v>0</v>
      </c>
      <c r="B2827" s="56" t="b">
        <v>0</v>
      </c>
      <c r="C2827" s="56" t="b">
        <v>0</v>
      </c>
      <c r="D2827" s="56" t="b">
        <v>0</v>
      </c>
      <c r="E2827" s="56">
        <f ca="1">IF(PV[[#This Row],[Business Date]]=Control!$C$6, PV[[#This Row],[Notional Value Local Cur]], -PV[[#This Row],[Notional Value Local Cur]])</f>
        <v>0</v>
      </c>
    </row>
    <row r="2828" spans="1:5" x14ac:dyDescent="0.25">
      <c r="A2828" s="36" t="b">
        <v>0</v>
      </c>
      <c r="B2828" s="56" t="b">
        <v>0</v>
      </c>
      <c r="C2828" s="56" t="b">
        <v>0</v>
      </c>
      <c r="D2828" s="56" t="b">
        <v>0</v>
      </c>
      <c r="E2828" s="56">
        <f ca="1">IF(PV[[#This Row],[Business Date]]=Control!$C$6, PV[[#This Row],[Notional Value Local Cur]], -PV[[#This Row],[Notional Value Local Cur]])</f>
        <v>0</v>
      </c>
    </row>
    <row r="2829" spans="1:5" x14ac:dyDescent="0.25">
      <c r="A2829" s="36" t="b">
        <v>0</v>
      </c>
      <c r="B2829" s="56" t="b">
        <v>0</v>
      </c>
      <c r="C2829" s="56" t="b">
        <v>0</v>
      </c>
      <c r="D2829" s="56" t="b">
        <v>0</v>
      </c>
      <c r="E2829" s="56">
        <f ca="1">IF(PV[[#This Row],[Business Date]]=Control!$C$6, PV[[#This Row],[Notional Value Local Cur]], -PV[[#This Row],[Notional Value Local Cur]])</f>
        <v>0</v>
      </c>
    </row>
    <row r="2830" spans="1:5" x14ac:dyDescent="0.25">
      <c r="A2830" s="36" t="b">
        <v>0</v>
      </c>
      <c r="B2830" s="56" t="b">
        <v>0</v>
      </c>
      <c r="C2830" s="56" t="b">
        <v>0</v>
      </c>
      <c r="D2830" s="56" t="b">
        <v>0</v>
      </c>
      <c r="E2830" s="56">
        <f ca="1">IF(PV[[#This Row],[Business Date]]=Control!$C$6, PV[[#This Row],[Notional Value Local Cur]], -PV[[#This Row],[Notional Value Local Cur]])</f>
        <v>0</v>
      </c>
    </row>
    <row r="2831" spans="1:5" x14ac:dyDescent="0.25">
      <c r="A2831" s="36" t="b">
        <v>0</v>
      </c>
      <c r="B2831" s="56" t="b">
        <v>0</v>
      </c>
      <c r="C2831" s="56" t="b">
        <v>0</v>
      </c>
      <c r="D2831" s="56" t="b">
        <v>0</v>
      </c>
      <c r="E2831" s="56">
        <f ca="1">IF(PV[[#This Row],[Business Date]]=Control!$C$6, PV[[#This Row],[Notional Value Local Cur]], -PV[[#This Row],[Notional Value Local Cur]])</f>
        <v>0</v>
      </c>
    </row>
    <row r="2832" spans="1:5" x14ac:dyDescent="0.25">
      <c r="A2832" s="36" t="b">
        <v>0</v>
      </c>
      <c r="B2832" s="56" t="b">
        <v>0</v>
      </c>
      <c r="C2832" s="56" t="b">
        <v>0</v>
      </c>
      <c r="D2832" s="56" t="b">
        <v>0</v>
      </c>
      <c r="E2832" s="56">
        <f ca="1">IF(PV[[#This Row],[Business Date]]=Control!$C$6, PV[[#This Row],[Notional Value Local Cur]], -PV[[#This Row],[Notional Value Local Cur]])</f>
        <v>0</v>
      </c>
    </row>
    <row r="2833" spans="1:5" x14ac:dyDescent="0.25">
      <c r="A2833" s="36" t="b">
        <v>0</v>
      </c>
      <c r="B2833" s="56" t="b">
        <v>0</v>
      </c>
      <c r="C2833" s="56" t="b">
        <v>0</v>
      </c>
      <c r="D2833" s="56" t="b">
        <v>0</v>
      </c>
      <c r="E2833" s="56">
        <f ca="1">IF(PV[[#This Row],[Business Date]]=Control!$C$6, PV[[#This Row],[Notional Value Local Cur]], -PV[[#This Row],[Notional Value Local Cur]])</f>
        <v>0</v>
      </c>
    </row>
    <row r="2834" spans="1:5" x14ac:dyDescent="0.25">
      <c r="A2834" s="36" t="b">
        <v>0</v>
      </c>
      <c r="B2834" s="56" t="b">
        <v>0</v>
      </c>
      <c r="C2834" s="56" t="b">
        <v>0</v>
      </c>
      <c r="D2834" s="56" t="b">
        <v>0</v>
      </c>
      <c r="E2834" s="56">
        <f ca="1">IF(PV[[#This Row],[Business Date]]=Control!$C$6, PV[[#This Row],[Notional Value Local Cur]], -PV[[#This Row],[Notional Value Local Cur]])</f>
        <v>0</v>
      </c>
    </row>
    <row r="2835" spans="1:5" x14ac:dyDescent="0.25">
      <c r="A2835" s="36" t="b">
        <v>0</v>
      </c>
      <c r="B2835" s="56" t="b">
        <v>0</v>
      </c>
      <c r="C2835" s="56" t="b">
        <v>0</v>
      </c>
      <c r="D2835" s="56" t="b">
        <v>0</v>
      </c>
      <c r="E2835" s="56">
        <f ca="1">IF(PV[[#This Row],[Business Date]]=Control!$C$6, PV[[#This Row],[Notional Value Local Cur]], -PV[[#This Row],[Notional Value Local Cur]])</f>
        <v>0</v>
      </c>
    </row>
    <row r="2836" spans="1:5" x14ac:dyDescent="0.25">
      <c r="A2836" s="36" t="b">
        <v>0</v>
      </c>
      <c r="B2836" s="56" t="b">
        <v>0</v>
      </c>
      <c r="C2836" s="56" t="b">
        <v>0</v>
      </c>
      <c r="D2836" s="56" t="b">
        <v>0</v>
      </c>
      <c r="E2836" s="56">
        <f ca="1">IF(PV[[#This Row],[Business Date]]=Control!$C$6, PV[[#This Row],[Notional Value Local Cur]], -PV[[#This Row],[Notional Value Local Cur]])</f>
        <v>0</v>
      </c>
    </row>
    <row r="2837" spans="1:5" x14ac:dyDescent="0.25">
      <c r="A2837" s="36" t="b">
        <v>0</v>
      </c>
      <c r="B2837" s="56" t="b">
        <v>0</v>
      </c>
      <c r="C2837" s="56" t="b">
        <v>0</v>
      </c>
      <c r="D2837" s="56" t="b">
        <v>0</v>
      </c>
      <c r="E2837" s="56">
        <f ca="1">IF(PV[[#This Row],[Business Date]]=Control!$C$6, PV[[#This Row],[Notional Value Local Cur]], -PV[[#This Row],[Notional Value Local Cur]])</f>
        <v>0</v>
      </c>
    </row>
    <row r="2838" spans="1:5" x14ac:dyDescent="0.25">
      <c r="A2838" s="36" t="b">
        <v>0</v>
      </c>
      <c r="B2838" s="56" t="b">
        <v>0</v>
      </c>
      <c r="C2838" s="56" t="b">
        <v>0</v>
      </c>
      <c r="D2838" s="56" t="b">
        <v>0</v>
      </c>
      <c r="E2838" s="56">
        <f ca="1">IF(PV[[#This Row],[Business Date]]=Control!$C$6, PV[[#This Row],[Notional Value Local Cur]], -PV[[#This Row],[Notional Value Local Cur]])</f>
        <v>0</v>
      </c>
    </row>
    <row r="2839" spans="1:5" x14ac:dyDescent="0.25">
      <c r="A2839" s="36" t="b">
        <v>0</v>
      </c>
      <c r="B2839" s="56" t="b">
        <v>0</v>
      </c>
      <c r="C2839" s="56" t="b">
        <v>0</v>
      </c>
      <c r="D2839" s="56" t="b">
        <v>0</v>
      </c>
      <c r="E2839" s="56">
        <f ca="1">IF(PV[[#This Row],[Business Date]]=Control!$C$6, PV[[#This Row],[Notional Value Local Cur]], -PV[[#This Row],[Notional Value Local Cur]])</f>
        <v>0</v>
      </c>
    </row>
    <row r="2840" spans="1:5" x14ac:dyDescent="0.25">
      <c r="A2840" s="36" t="b">
        <v>0</v>
      </c>
      <c r="B2840" s="56" t="b">
        <v>0</v>
      </c>
      <c r="C2840" s="56" t="b">
        <v>0</v>
      </c>
      <c r="D2840" s="56" t="b">
        <v>0</v>
      </c>
      <c r="E2840" s="56">
        <f ca="1">IF(PV[[#This Row],[Business Date]]=Control!$C$6, PV[[#This Row],[Notional Value Local Cur]], -PV[[#This Row],[Notional Value Local Cur]])</f>
        <v>0</v>
      </c>
    </row>
    <row r="2841" spans="1:5" x14ac:dyDescent="0.25">
      <c r="A2841" s="36" t="b">
        <v>0</v>
      </c>
      <c r="B2841" s="56" t="b">
        <v>0</v>
      </c>
      <c r="C2841" s="56" t="b">
        <v>0</v>
      </c>
      <c r="D2841" s="56" t="b">
        <v>0</v>
      </c>
      <c r="E2841" s="56">
        <f ca="1">IF(PV[[#This Row],[Business Date]]=Control!$C$6, PV[[#This Row],[Notional Value Local Cur]], -PV[[#This Row],[Notional Value Local Cur]])</f>
        <v>0</v>
      </c>
    </row>
    <row r="2842" spans="1:5" x14ac:dyDescent="0.25">
      <c r="A2842" s="36" t="b">
        <v>0</v>
      </c>
      <c r="B2842" s="56" t="b">
        <v>0</v>
      </c>
      <c r="C2842" s="56" t="b">
        <v>0</v>
      </c>
      <c r="D2842" s="56" t="b">
        <v>0</v>
      </c>
      <c r="E2842" s="56">
        <f ca="1">IF(PV[[#This Row],[Business Date]]=Control!$C$6, PV[[#This Row],[Notional Value Local Cur]], -PV[[#This Row],[Notional Value Local Cur]])</f>
        <v>0</v>
      </c>
    </row>
    <row r="2843" spans="1:5" x14ac:dyDescent="0.25">
      <c r="A2843" s="36" t="b">
        <v>0</v>
      </c>
      <c r="B2843" s="56" t="b">
        <v>0</v>
      </c>
      <c r="C2843" s="56" t="b">
        <v>0</v>
      </c>
      <c r="D2843" s="56" t="b">
        <v>0</v>
      </c>
      <c r="E2843" s="56">
        <f ca="1">IF(PV[[#This Row],[Business Date]]=Control!$C$6, PV[[#This Row],[Notional Value Local Cur]], -PV[[#This Row],[Notional Value Local Cur]])</f>
        <v>0</v>
      </c>
    </row>
    <row r="2844" spans="1:5" x14ac:dyDescent="0.25">
      <c r="A2844" s="36" t="b">
        <v>0</v>
      </c>
      <c r="B2844" s="56" t="b">
        <v>0</v>
      </c>
      <c r="C2844" s="56" t="b">
        <v>0</v>
      </c>
      <c r="D2844" s="56" t="b">
        <v>0</v>
      </c>
      <c r="E2844" s="56">
        <f ca="1">IF(PV[[#This Row],[Business Date]]=Control!$C$6, PV[[#This Row],[Notional Value Local Cur]], -PV[[#This Row],[Notional Value Local Cur]])</f>
        <v>0</v>
      </c>
    </row>
    <row r="2845" spans="1:5" x14ac:dyDescent="0.25">
      <c r="A2845" s="36" t="b">
        <v>0</v>
      </c>
      <c r="B2845" s="56" t="b">
        <v>0</v>
      </c>
      <c r="C2845" s="56" t="b">
        <v>0</v>
      </c>
      <c r="D2845" s="56" t="b">
        <v>0</v>
      </c>
      <c r="E2845" s="56">
        <f ca="1">IF(PV[[#This Row],[Business Date]]=Control!$C$6, PV[[#This Row],[Notional Value Local Cur]], -PV[[#This Row],[Notional Value Local Cur]])</f>
        <v>0</v>
      </c>
    </row>
    <row r="2846" spans="1:5" x14ac:dyDescent="0.25">
      <c r="A2846" s="36" t="b">
        <v>0</v>
      </c>
      <c r="B2846" s="56" t="b">
        <v>0</v>
      </c>
      <c r="C2846" s="56" t="b">
        <v>0</v>
      </c>
      <c r="D2846" s="56" t="b">
        <v>0</v>
      </c>
      <c r="E2846" s="56">
        <f ca="1">IF(PV[[#This Row],[Business Date]]=Control!$C$6, PV[[#This Row],[Notional Value Local Cur]], -PV[[#This Row],[Notional Value Local Cur]])</f>
        <v>0</v>
      </c>
    </row>
    <row r="2847" spans="1:5" x14ac:dyDescent="0.25">
      <c r="A2847" s="36" t="b">
        <v>0</v>
      </c>
      <c r="B2847" s="56" t="b">
        <v>0</v>
      </c>
      <c r="C2847" s="56" t="b">
        <v>0</v>
      </c>
      <c r="D2847" s="56" t="b">
        <v>0</v>
      </c>
      <c r="E2847" s="56">
        <f ca="1">IF(PV[[#This Row],[Business Date]]=Control!$C$6, PV[[#This Row],[Notional Value Local Cur]], -PV[[#This Row],[Notional Value Local Cur]])</f>
        <v>0</v>
      </c>
    </row>
    <row r="2848" spans="1:5" x14ac:dyDescent="0.25">
      <c r="A2848" s="36" t="b">
        <v>0</v>
      </c>
      <c r="B2848" s="56" t="b">
        <v>0</v>
      </c>
      <c r="C2848" s="56" t="b">
        <v>0</v>
      </c>
      <c r="D2848" s="56" t="b">
        <v>0</v>
      </c>
      <c r="E2848" s="56">
        <f ca="1">IF(PV[[#This Row],[Business Date]]=Control!$C$6, PV[[#This Row],[Notional Value Local Cur]], -PV[[#This Row],[Notional Value Local Cur]])</f>
        <v>0</v>
      </c>
    </row>
    <row r="2849" spans="1:5" x14ac:dyDescent="0.25">
      <c r="A2849" s="36" t="b">
        <v>0</v>
      </c>
      <c r="B2849" s="56" t="b">
        <v>0</v>
      </c>
      <c r="C2849" s="56" t="b">
        <v>0</v>
      </c>
      <c r="D2849" s="56" t="b">
        <v>0</v>
      </c>
      <c r="E2849" s="56">
        <f ca="1">IF(PV[[#This Row],[Business Date]]=Control!$C$6, PV[[#This Row],[Notional Value Local Cur]], -PV[[#This Row],[Notional Value Local Cur]])</f>
        <v>0</v>
      </c>
    </row>
    <row r="2850" spans="1:5" x14ac:dyDescent="0.25">
      <c r="A2850" s="36" t="b">
        <v>0</v>
      </c>
      <c r="B2850" s="56" t="b">
        <v>0</v>
      </c>
      <c r="C2850" s="56" t="b">
        <v>0</v>
      </c>
      <c r="D2850" s="56" t="b">
        <v>0</v>
      </c>
      <c r="E2850" s="56">
        <f ca="1">IF(PV[[#This Row],[Business Date]]=Control!$C$6, PV[[#This Row],[Notional Value Local Cur]], -PV[[#This Row],[Notional Value Local Cur]])</f>
        <v>0</v>
      </c>
    </row>
    <row r="2851" spans="1:5" x14ac:dyDescent="0.25">
      <c r="A2851" s="36" t="b">
        <v>0</v>
      </c>
      <c r="B2851" s="56" t="b">
        <v>0</v>
      </c>
      <c r="C2851" s="56" t="b">
        <v>0</v>
      </c>
      <c r="D2851" s="56" t="b">
        <v>0</v>
      </c>
      <c r="E2851" s="56">
        <f ca="1">IF(PV[[#This Row],[Business Date]]=Control!$C$6, PV[[#This Row],[Notional Value Local Cur]], -PV[[#This Row],[Notional Value Local Cur]])</f>
        <v>0</v>
      </c>
    </row>
    <row r="2852" spans="1:5" x14ac:dyDescent="0.25">
      <c r="A2852" s="36" t="b">
        <v>0</v>
      </c>
      <c r="B2852" s="56" t="b">
        <v>0</v>
      </c>
      <c r="C2852" s="56" t="b">
        <v>0</v>
      </c>
      <c r="D2852" s="56" t="b">
        <v>0</v>
      </c>
      <c r="E2852" s="56">
        <f ca="1">IF(PV[[#This Row],[Business Date]]=Control!$C$6, PV[[#This Row],[Notional Value Local Cur]], -PV[[#This Row],[Notional Value Local Cur]])</f>
        <v>0</v>
      </c>
    </row>
    <row r="2853" spans="1:5" x14ac:dyDescent="0.25">
      <c r="A2853" s="36" t="b">
        <v>0</v>
      </c>
      <c r="B2853" s="56" t="b">
        <v>0</v>
      </c>
      <c r="C2853" s="56" t="b">
        <v>0</v>
      </c>
      <c r="D2853" s="56" t="b">
        <v>0</v>
      </c>
      <c r="E2853" s="56">
        <f ca="1">IF(PV[[#This Row],[Business Date]]=Control!$C$6, PV[[#This Row],[Notional Value Local Cur]], -PV[[#This Row],[Notional Value Local Cur]])</f>
        <v>0</v>
      </c>
    </row>
    <row r="2854" spans="1:5" x14ac:dyDescent="0.25">
      <c r="A2854" s="36" t="b">
        <v>0</v>
      </c>
      <c r="B2854" s="56" t="b">
        <v>0</v>
      </c>
      <c r="C2854" s="56" t="b">
        <v>0</v>
      </c>
      <c r="D2854" s="56" t="b">
        <v>0</v>
      </c>
      <c r="E2854" s="56">
        <f ca="1">IF(PV[[#This Row],[Business Date]]=Control!$C$6, PV[[#This Row],[Notional Value Local Cur]], -PV[[#This Row],[Notional Value Local Cur]])</f>
        <v>0</v>
      </c>
    </row>
    <row r="2855" spans="1:5" x14ac:dyDescent="0.25">
      <c r="A2855" s="36" t="b">
        <v>0</v>
      </c>
      <c r="B2855" s="56" t="b">
        <v>0</v>
      </c>
      <c r="C2855" s="56" t="b">
        <v>0</v>
      </c>
      <c r="D2855" s="56" t="b">
        <v>0</v>
      </c>
      <c r="E2855" s="56">
        <f ca="1">IF(PV[[#This Row],[Business Date]]=Control!$C$6, PV[[#This Row],[Notional Value Local Cur]], -PV[[#This Row],[Notional Value Local Cur]])</f>
        <v>0</v>
      </c>
    </row>
    <row r="2856" spans="1:5" x14ac:dyDescent="0.25">
      <c r="A2856" s="36" t="b">
        <v>0</v>
      </c>
      <c r="B2856" s="56" t="b">
        <v>0</v>
      </c>
      <c r="C2856" s="56" t="b">
        <v>0</v>
      </c>
      <c r="D2856" s="56" t="b">
        <v>0</v>
      </c>
      <c r="E2856" s="56">
        <f ca="1">IF(PV[[#This Row],[Business Date]]=Control!$C$6, PV[[#This Row],[Notional Value Local Cur]], -PV[[#This Row],[Notional Value Local Cur]])</f>
        <v>0</v>
      </c>
    </row>
    <row r="2857" spans="1:5" x14ac:dyDescent="0.25">
      <c r="A2857" s="36" t="b">
        <v>0</v>
      </c>
      <c r="B2857" s="56" t="b">
        <v>0</v>
      </c>
      <c r="C2857" s="56" t="b">
        <v>0</v>
      </c>
      <c r="D2857" s="56" t="b">
        <v>0</v>
      </c>
      <c r="E2857" s="56">
        <f ca="1">IF(PV[[#This Row],[Business Date]]=Control!$C$6, PV[[#This Row],[Notional Value Local Cur]], -PV[[#This Row],[Notional Value Local Cur]])</f>
        <v>0</v>
      </c>
    </row>
    <row r="2858" spans="1:5" x14ac:dyDescent="0.25">
      <c r="A2858" s="36" t="b">
        <v>0</v>
      </c>
      <c r="B2858" s="56" t="b">
        <v>0</v>
      </c>
      <c r="C2858" s="56" t="b">
        <v>0</v>
      </c>
      <c r="D2858" s="56" t="b">
        <v>0</v>
      </c>
      <c r="E2858" s="56">
        <f ca="1">IF(PV[[#This Row],[Business Date]]=Control!$C$6, PV[[#This Row],[Notional Value Local Cur]], -PV[[#This Row],[Notional Value Local Cur]])</f>
        <v>0</v>
      </c>
    </row>
    <row r="2859" spans="1:5" x14ac:dyDescent="0.25">
      <c r="A2859" s="36" t="b">
        <v>0</v>
      </c>
      <c r="B2859" s="56" t="b">
        <v>0</v>
      </c>
      <c r="C2859" s="56" t="b">
        <v>0</v>
      </c>
      <c r="D2859" s="56" t="b">
        <v>0</v>
      </c>
      <c r="E2859" s="56">
        <f ca="1">IF(PV[[#This Row],[Business Date]]=Control!$C$6, PV[[#This Row],[Notional Value Local Cur]], -PV[[#This Row],[Notional Value Local Cur]])</f>
        <v>0</v>
      </c>
    </row>
    <row r="2860" spans="1:5" x14ac:dyDescent="0.25">
      <c r="A2860" s="36" t="b">
        <v>0</v>
      </c>
      <c r="B2860" s="56" t="b">
        <v>0</v>
      </c>
      <c r="C2860" s="56" t="b">
        <v>0</v>
      </c>
      <c r="D2860" s="56" t="b">
        <v>0</v>
      </c>
      <c r="E2860" s="56">
        <f ca="1">IF(PV[[#This Row],[Business Date]]=Control!$C$6, PV[[#This Row],[Notional Value Local Cur]], -PV[[#This Row],[Notional Value Local Cur]])</f>
        <v>0</v>
      </c>
    </row>
    <row r="2861" spans="1:5" x14ac:dyDescent="0.25">
      <c r="A2861" s="36" t="b">
        <v>0</v>
      </c>
      <c r="B2861" s="56" t="b">
        <v>0</v>
      </c>
      <c r="C2861" s="56" t="b">
        <v>0</v>
      </c>
      <c r="D2861" s="56" t="b">
        <v>0</v>
      </c>
      <c r="E2861" s="56">
        <f ca="1">IF(PV[[#This Row],[Business Date]]=Control!$C$6, PV[[#This Row],[Notional Value Local Cur]], -PV[[#This Row],[Notional Value Local Cur]])</f>
        <v>0</v>
      </c>
    </row>
    <row r="2862" spans="1:5" x14ac:dyDescent="0.25">
      <c r="A2862" s="36" t="b">
        <v>0</v>
      </c>
      <c r="B2862" s="56" t="b">
        <v>0</v>
      </c>
      <c r="C2862" s="56" t="b">
        <v>0</v>
      </c>
      <c r="D2862" s="56" t="b">
        <v>0</v>
      </c>
      <c r="E2862" s="56">
        <f ca="1">IF(PV[[#This Row],[Business Date]]=Control!$C$6, PV[[#This Row],[Notional Value Local Cur]], -PV[[#This Row],[Notional Value Local Cur]])</f>
        <v>0</v>
      </c>
    </row>
    <row r="2863" spans="1:5" x14ac:dyDescent="0.25">
      <c r="A2863" s="36" t="b">
        <v>0</v>
      </c>
      <c r="B2863" s="56" t="b">
        <v>0</v>
      </c>
      <c r="C2863" s="56" t="b">
        <v>0</v>
      </c>
      <c r="D2863" s="56" t="b">
        <v>0</v>
      </c>
      <c r="E2863" s="56">
        <f ca="1">IF(PV[[#This Row],[Business Date]]=Control!$C$6, PV[[#This Row],[Notional Value Local Cur]], -PV[[#This Row],[Notional Value Local Cur]])</f>
        <v>0</v>
      </c>
    </row>
    <row r="2864" spans="1:5" x14ac:dyDescent="0.25">
      <c r="A2864" s="36" t="b">
        <v>0</v>
      </c>
      <c r="B2864" s="56" t="b">
        <v>0</v>
      </c>
      <c r="C2864" s="56" t="b">
        <v>0</v>
      </c>
      <c r="D2864" s="56" t="b">
        <v>0</v>
      </c>
      <c r="E2864" s="56">
        <f ca="1">IF(PV[[#This Row],[Business Date]]=Control!$C$6, PV[[#This Row],[Notional Value Local Cur]], -PV[[#This Row],[Notional Value Local Cur]])</f>
        <v>0</v>
      </c>
    </row>
    <row r="2865" spans="1:5" x14ac:dyDescent="0.25">
      <c r="A2865" s="36" t="b">
        <v>0</v>
      </c>
      <c r="B2865" s="56" t="b">
        <v>0</v>
      </c>
      <c r="C2865" s="56" t="b">
        <v>0</v>
      </c>
      <c r="D2865" s="56" t="b">
        <v>0</v>
      </c>
      <c r="E2865" s="56">
        <f ca="1">IF(PV[[#This Row],[Business Date]]=Control!$C$6, PV[[#This Row],[Notional Value Local Cur]], -PV[[#This Row],[Notional Value Local Cur]])</f>
        <v>0</v>
      </c>
    </row>
    <row r="2866" spans="1:5" x14ac:dyDescent="0.25">
      <c r="A2866" s="36" t="b">
        <v>0</v>
      </c>
      <c r="B2866" s="56" t="b">
        <v>0</v>
      </c>
      <c r="C2866" s="56" t="b">
        <v>0</v>
      </c>
      <c r="D2866" s="56" t="b">
        <v>0</v>
      </c>
      <c r="E2866" s="56">
        <f ca="1">IF(PV[[#This Row],[Business Date]]=Control!$C$6, PV[[#This Row],[Notional Value Local Cur]], -PV[[#This Row],[Notional Value Local Cur]])</f>
        <v>0</v>
      </c>
    </row>
    <row r="2867" spans="1:5" x14ac:dyDescent="0.25">
      <c r="A2867" s="36" t="b">
        <v>0</v>
      </c>
      <c r="B2867" s="56" t="b">
        <v>0</v>
      </c>
      <c r="C2867" s="56" t="b">
        <v>0</v>
      </c>
      <c r="D2867" s="56" t="b">
        <v>0</v>
      </c>
      <c r="E2867" s="56">
        <f ca="1">IF(PV[[#This Row],[Business Date]]=Control!$C$6, PV[[#This Row],[Notional Value Local Cur]], -PV[[#This Row],[Notional Value Local Cur]])</f>
        <v>0</v>
      </c>
    </row>
    <row r="2868" spans="1:5" x14ac:dyDescent="0.25">
      <c r="A2868" s="36" t="b">
        <v>0</v>
      </c>
      <c r="B2868" s="56" t="b">
        <v>0</v>
      </c>
      <c r="C2868" s="56" t="b">
        <v>0</v>
      </c>
      <c r="D2868" s="56" t="b">
        <v>0</v>
      </c>
      <c r="E2868" s="56">
        <f ca="1">IF(PV[[#This Row],[Business Date]]=Control!$C$6, PV[[#This Row],[Notional Value Local Cur]], -PV[[#This Row],[Notional Value Local Cur]])</f>
        <v>0</v>
      </c>
    </row>
    <row r="2869" spans="1:5" x14ac:dyDescent="0.25">
      <c r="A2869" s="36" t="b">
        <v>0</v>
      </c>
      <c r="B2869" s="56" t="b">
        <v>0</v>
      </c>
      <c r="C2869" s="56" t="b">
        <v>0</v>
      </c>
      <c r="D2869" s="56" t="b">
        <v>0</v>
      </c>
      <c r="E2869" s="56">
        <f ca="1">IF(PV[[#This Row],[Business Date]]=Control!$C$6, PV[[#This Row],[Notional Value Local Cur]], -PV[[#This Row],[Notional Value Local Cur]])</f>
        <v>0</v>
      </c>
    </row>
    <row r="2870" spans="1:5" x14ac:dyDescent="0.25">
      <c r="A2870" s="36" t="b">
        <v>0</v>
      </c>
      <c r="B2870" s="56" t="b">
        <v>0</v>
      </c>
      <c r="C2870" s="56" t="b">
        <v>0</v>
      </c>
      <c r="D2870" s="56" t="b">
        <v>0</v>
      </c>
      <c r="E2870" s="56">
        <f ca="1">IF(PV[[#This Row],[Business Date]]=Control!$C$6, PV[[#This Row],[Notional Value Local Cur]], -PV[[#This Row],[Notional Value Local Cur]])</f>
        <v>0</v>
      </c>
    </row>
    <row r="2871" spans="1:5" x14ac:dyDescent="0.25">
      <c r="A2871" s="36" t="b">
        <v>0</v>
      </c>
      <c r="B2871" s="56" t="b">
        <v>0</v>
      </c>
      <c r="C2871" s="56" t="b">
        <v>0</v>
      </c>
      <c r="D2871" s="56" t="b">
        <v>0</v>
      </c>
      <c r="E2871" s="56">
        <f ca="1">IF(PV[[#This Row],[Business Date]]=Control!$C$6, PV[[#This Row],[Notional Value Local Cur]], -PV[[#This Row],[Notional Value Local Cur]])</f>
        <v>0</v>
      </c>
    </row>
    <row r="2872" spans="1:5" x14ac:dyDescent="0.25">
      <c r="A2872" s="36" t="b">
        <v>0</v>
      </c>
      <c r="B2872" s="56" t="b">
        <v>0</v>
      </c>
      <c r="C2872" s="56" t="b">
        <v>0</v>
      </c>
      <c r="D2872" s="56" t="b">
        <v>0</v>
      </c>
      <c r="E2872" s="56">
        <f ca="1">IF(PV[[#This Row],[Business Date]]=Control!$C$6, PV[[#This Row],[Notional Value Local Cur]], -PV[[#This Row],[Notional Value Local Cur]])</f>
        <v>0</v>
      </c>
    </row>
    <row r="2873" spans="1:5" x14ac:dyDescent="0.25">
      <c r="A2873" s="36" t="b">
        <v>0</v>
      </c>
      <c r="B2873" s="56" t="b">
        <v>0</v>
      </c>
      <c r="C2873" s="56" t="b">
        <v>0</v>
      </c>
      <c r="D2873" s="56" t="b">
        <v>0</v>
      </c>
      <c r="E2873" s="56">
        <f ca="1">IF(PV[[#This Row],[Business Date]]=Control!$C$6, PV[[#This Row],[Notional Value Local Cur]], -PV[[#This Row],[Notional Value Local Cur]])</f>
        <v>0</v>
      </c>
    </row>
    <row r="2874" spans="1:5" x14ac:dyDescent="0.25">
      <c r="A2874" s="36" t="b">
        <v>0</v>
      </c>
      <c r="B2874" s="56" t="b">
        <v>0</v>
      </c>
      <c r="C2874" s="56" t="b">
        <v>0</v>
      </c>
      <c r="D2874" s="56" t="b">
        <v>0</v>
      </c>
      <c r="E2874" s="56">
        <f ca="1">IF(PV[[#This Row],[Business Date]]=Control!$C$6, PV[[#This Row],[Notional Value Local Cur]], -PV[[#This Row],[Notional Value Local Cur]])</f>
        <v>0</v>
      </c>
    </row>
    <row r="2875" spans="1:5" x14ac:dyDescent="0.25">
      <c r="A2875" s="36" t="b">
        <v>0</v>
      </c>
      <c r="B2875" s="56" t="b">
        <v>0</v>
      </c>
      <c r="C2875" s="56" t="b">
        <v>0</v>
      </c>
      <c r="D2875" s="56" t="b">
        <v>0</v>
      </c>
      <c r="E2875" s="56">
        <f ca="1">IF(PV[[#This Row],[Business Date]]=Control!$C$6, PV[[#This Row],[Notional Value Local Cur]], -PV[[#This Row],[Notional Value Local Cur]])</f>
        <v>0</v>
      </c>
    </row>
    <row r="2876" spans="1:5" x14ac:dyDescent="0.25">
      <c r="A2876" s="36" t="b">
        <v>0</v>
      </c>
      <c r="B2876" s="56" t="b">
        <v>0</v>
      </c>
      <c r="C2876" s="56" t="b">
        <v>0</v>
      </c>
      <c r="D2876" s="56" t="b">
        <v>0</v>
      </c>
      <c r="E2876" s="56">
        <f ca="1">IF(PV[[#This Row],[Business Date]]=Control!$C$6, PV[[#This Row],[Notional Value Local Cur]], -PV[[#This Row],[Notional Value Local Cur]])</f>
        <v>0</v>
      </c>
    </row>
    <row r="2877" spans="1:5" x14ac:dyDescent="0.25">
      <c r="A2877" s="36" t="b">
        <v>0</v>
      </c>
      <c r="B2877" s="56" t="b">
        <v>0</v>
      </c>
      <c r="C2877" s="56" t="b">
        <v>0</v>
      </c>
      <c r="D2877" s="56" t="b">
        <v>0</v>
      </c>
      <c r="E2877" s="56">
        <f ca="1">IF(PV[[#This Row],[Business Date]]=Control!$C$6, PV[[#This Row],[Notional Value Local Cur]], -PV[[#This Row],[Notional Value Local Cur]])</f>
        <v>0</v>
      </c>
    </row>
    <row r="2878" spans="1:5" x14ac:dyDescent="0.25">
      <c r="A2878" s="36" t="b">
        <v>0</v>
      </c>
      <c r="B2878" s="56" t="b">
        <v>0</v>
      </c>
      <c r="C2878" s="56" t="b">
        <v>0</v>
      </c>
      <c r="D2878" s="56" t="b">
        <v>0</v>
      </c>
      <c r="E2878" s="56">
        <f ca="1">IF(PV[[#This Row],[Business Date]]=Control!$C$6, PV[[#This Row],[Notional Value Local Cur]], -PV[[#This Row],[Notional Value Local Cur]])</f>
        <v>0</v>
      </c>
    </row>
    <row r="2879" spans="1:5" x14ac:dyDescent="0.25">
      <c r="A2879" s="36" t="b">
        <v>0</v>
      </c>
      <c r="B2879" s="56" t="b">
        <v>0</v>
      </c>
      <c r="C2879" s="56" t="b">
        <v>0</v>
      </c>
      <c r="D2879" s="56" t="b">
        <v>0</v>
      </c>
      <c r="E2879" s="56">
        <f ca="1">IF(PV[[#This Row],[Business Date]]=Control!$C$6, PV[[#This Row],[Notional Value Local Cur]], -PV[[#This Row],[Notional Value Local Cur]])</f>
        <v>0</v>
      </c>
    </row>
    <row r="2880" spans="1:5" x14ac:dyDescent="0.25">
      <c r="A2880" s="36" t="b">
        <v>0</v>
      </c>
      <c r="B2880" s="56" t="b">
        <v>0</v>
      </c>
      <c r="C2880" s="56" t="b">
        <v>0</v>
      </c>
      <c r="D2880" s="56" t="b">
        <v>0</v>
      </c>
      <c r="E2880" s="56">
        <f ca="1">IF(PV[[#This Row],[Business Date]]=Control!$C$6, PV[[#This Row],[Notional Value Local Cur]], -PV[[#This Row],[Notional Value Local Cur]])</f>
        <v>0</v>
      </c>
    </row>
    <row r="2881" spans="1:5" x14ac:dyDescent="0.25">
      <c r="A2881" s="36" t="b">
        <v>0</v>
      </c>
      <c r="B2881" s="56" t="b">
        <v>0</v>
      </c>
      <c r="C2881" s="56" t="b">
        <v>0</v>
      </c>
      <c r="D2881" s="56" t="b">
        <v>0</v>
      </c>
      <c r="E2881" s="56">
        <f ca="1">IF(PV[[#This Row],[Business Date]]=Control!$C$6, PV[[#This Row],[Notional Value Local Cur]], -PV[[#This Row],[Notional Value Local Cur]])</f>
        <v>0</v>
      </c>
    </row>
    <row r="2882" spans="1:5" x14ac:dyDescent="0.25">
      <c r="A2882" s="36" t="b">
        <v>0</v>
      </c>
      <c r="B2882" s="56" t="b">
        <v>0</v>
      </c>
      <c r="C2882" s="56" t="b">
        <v>0</v>
      </c>
      <c r="D2882" s="56" t="b">
        <v>0</v>
      </c>
      <c r="E2882" s="56">
        <f ca="1">IF(PV[[#This Row],[Business Date]]=Control!$C$6, PV[[#This Row],[Notional Value Local Cur]], -PV[[#This Row],[Notional Value Local Cur]])</f>
        <v>0</v>
      </c>
    </row>
    <row r="2883" spans="1:5" x14ac:dyDescent="0.25">
      <c r="A2883" s="36" t="b">
        <v>0</v>
      </c>
      <c r="B2883" s="56" t="b">
        <v>0</v>
      </c>
      <c r="C2883" s="56" t="b">
        <v>0</v>
      </c>
      <c r="D2883" s="56" t="b">
        <v>0</v>
      </c>
      <c r="E2883" s="56">
        <f ca="1">IF(PV[[#This Row],[Business Date]]=Control!$C$6, PV[[#This Row],[Notional Value Local Cur]], -PV[[#This Row],[Notional Value Local Cur]])</f>
        <v>0</v>
      </c>
    </row>
    <row r="2884" spans="1:5" x14ac:dyDescent="0.25">
      <c r="A2884" s="36" t="b">
        <v>0</v>
      </c>
      <c r="B2884" s="56" t="b">
        <v>0</v>
      </c>
      <c r="C2884" s="56" t="b">
        <v>0</v>
      </c>
      <c r="D2884" s="56" t="b">
        <v>0</v>
      </c>
      <c r="E2884" s="56">
        <f ca="1">IF(PV[[#This Row],[Business Date]]=Control!$C$6, PV[[#This Row],[Notional Value Local Cur]], -PV[[#This Row],[Notional Value Local Cur]])</f>
        <v>0</v>
      </c>
    </row>
    <row r="2885" spans="1:5" x14ac:dyDescent="0.25">
      <c r="A2885" s="36" t="b">
        <v>0</v>
      </c>
      <c r="B2885" s="56" t="b">
        <v>0</v>
      </c>
      <c r="C2885" s="56" t="b">
        <v>0</v>
      </c>
      <c r="D2885" s="56" t="b">
        <v>0</v>
      </c>
      <c r="E2885" s="56">
        <f ca="1">IF(PV[[#This Row],[Business Date]]=Control!$C$6, PV[[#This Row],[Notional Value Local Cur]], -PV[[#This Row],[Notional Value Local Cur]])</f>
        <v>0</v>
      </c>
    </row>
    <row r="2886" spans="1:5" x14ac:dyDescent="0.25">
      <c r="A2886" s="36" t="b">
        <v>0</v>
      </c>
      <c r="B2886" s="56" t="b">
        <v>0</v>
      </c>
      <c r="C2886" s="56" t="b">
        <v>0</v>
      </c>
      <c r="D2886" s="56" t="b">
        <v>0</v>
      </c>
      <c r="E2886" s="56">
        <f ca="1">IF(PV[[#This Row],[Business Date]]=Control!$C$6, PV[[#This Row],[Notional Value Local Cur]], -PV[[#This Row],[Notional Value Local Cur]])</f>
        <v>0</v>
      </c>
    </row>
    <row r="2887" spans="1:5" x14ac:dyDescent="0.25">
      <c r="A2887" s="36" t="b">
        <v>0</v>
      </c>
      <c r="B2887" s="56" t="b">
        <v>0</v>
      </c>
      <c r="C2887" s="56" t="b">
        <v>0</v>
      </c>
      <c r="D2887" s="56" t="b">
        <v>0</v>
      </c>
      <c r="E2887" s="56">
        <f ca="1">IF(PV[[#This Row],[Business Date]]=Control!$C$6, PV[[#This Row],[Notional Value Local Cur]], -PV[[#This Row],[Notional Value Local Cur]])</f>
        <v>0</v>
      </c>
    </row>
    <row r="2888" spans="1:5" x14ac:dyDescent="0.25">
      <c r="A2888" s="36" t="b">
        <v>0</v>
      </c>
      <c r="B2888" s="56" t="b">
        <v>0</v>
      </c>
      <c r="C2888" s="56" t="b">
        <v>0</v>
      </c>
      <c r="D2888" s="56" t="b">
        <v>0</v>
      </c>
      <c r="E2888" s="56">
        <f ca="1">IF(PV[[#This Row],[Business Date]]=Control!$C$6, PV[[#This Row],[Notional Value Local Cur]], -PV[[#This Row],[Notional Value Local Cur]])</f>
        <v>0</v>
      </c>
    </row>
    <row r="2889" spans="1:5" x14ac:dyDescent="0.25">
      <c r="A2889" s="36" t="b">
        <v>0</v>
      </c>
      <c r="B2889" s="56" t="b">
        <v>0</v>
      </c>
      <c r="C2889" s="56" t="b">
        <v>0</v>
      </c>
      <c r="D2889" s="56" t="b">
        <v>0</v>
      </c>
      <c r="E2889" s="56">
        <f ca="1">IF(PV[[#This Row],[Business Date]]=Control!$C$6, PV[[#This Row],[Notional Value Local Cur]], -PV[[#This Row],[Notional Value Local Cur]])</f>
        <v>0</v>
      </c>
    </row>
    <row r="2890" spans="1:5" x14ac:dyDescent="0.25">
      <c r="A2890" s="36" t="b">
        <v>0</v>
      </c>
      <c r="B2890" s="56" t="b">
        <v>0</v>
      </c>
      <c r="C2890" s="56" t="b">
        <v>0</v>
      </c>
      <c r="D2890" s="56" t="b">
        <v>0</v>
      </c>
      <c r="E2890" s="56">
        <f ca="1">IF(PV[[#This Row],[Business Date]]=Control!$C$6, PV[[#This Row],[Notional Value Local Cur]], -PV[[#This Row],[Notional Value Local Cur]])</f>
        <v>0</v>
      </c>
    </row>
    <row r="2891" spans="1:5" x14ac:dyDescent="0.25">
      <c r="A2891" s="36" t="b">
        <v>0</v>
      </c>
      <c r="B2891" s="56" t="b">
        <v>0</v>
      </c>
      <c r="C2891" s="56" t="b">
        <v>0</v>
      </c>
      <c r="D2891" s="56" t="b">
        <v>0</v>
      </c>
      <c r="E2891" s="56">
        <f ca="1">IF(PV[[#This Row],[Business Date]]=Control!$C$6, PV[[#This Row],[Notional Value Local Cur]], -PV[[#This Row],[Notional Value Local Cur]])</f>
        <v>0</v>
      </c>
    </row>
    <row r="2892" spans="1:5" x14ac:dyDescent="0.25">
      <c r="A2892" s="36" t="b">
        <v>0</v>
      </c>
      <c r="B2892" s="56" t="b">
        <v>0</v>
      </c>
      <c r="C2892" s="56" t="b">
        <v>0</v>
      </c>
      <c r="D2892" s="56" t="b">
        <v>0</v>
      </c>
      <c r="E2892" s="56">
        <f ca="1">IF(PV[[#This Row],[Business Date]]=Control!$C$6, PV[[#This Row],[Notional Value Local Cur]], -PV[[#This Row],[Notional Value Local Cur]])</f>
        <v>0</v>
      </c>
    </row>
    <row r="2893" spans="1:5" x14ac:dyDescent="0.25">
      <c r="A2893" s="36" t="b">
        <v>0</v>
      </c>
      <c r="B2893" s="56" t="b">
        <v>0</v>
      </c>
      <c r="C2893" s="56" t="b">
        <v>0</v>
      </c>
      <c r="D2893" s="56" t="b">
        <v>0</v>
      </c>
      <c r="E2893" s="56">
        <f ca="1">IF(PV[[#This Row],[Business Date]]=Control!$C$6, PV[[#This Row],[Notional Value Local Cur]], -PV[[#This Row],[Notional Value Local Cur]])</f>
        <v>0</v>
      </c>
    </row>
    <row r="2894" spans="1:5" x14ac:dyDescent="0.25">
      <c r="A2894" s="36" t="b">
        <v>0</v>
      </c>
      <c r="B2894" s="56" t="b">
        <v>0</v>
      </c>
      <c r="C2894" s="56" t="b">
        <v>0</v>
      </c>
      <c r="D2894" s="56" t="b">
        <v>0</v>
      </c>
      <c r="E2894" s="56">
        <f ca="1">IF(PV[[#This Row],[Business Date]]=Control!$C$6, PV[[#This Row],[Notional Value Local Cur]], -PV[[#This Row],[Notional Value Local Cur]])</f>
        <v>0</v>
      </c>
    </row>
    <row r="2895" spans="1:5" x14ac:dyDescent="0.25">
      <c r="A2895" s="36" t="b">
        <v>0</v>
      </c>
      <c r="B2895" s="56" t="b">
        <v>0</v>
      </c>
      <c r="C2895" s="56" t="b">
        <v>0</v>
      </c>
      <c r="D2895" s="56" t="b">
        <v>0</v>
      </c>
      <c r="E2895" s="56">
        <f ca="1">IF(PV[[#This Row],[Business Date]]=Control!$C$6, PV[[#This Row],[Notional Value Local Cur]], -PV[[#This Row],[Notional Value Local Cur]])</f>
        <v>0</v>
      </c>
    </row>
    <row r="2896" spans="1:5" x14ac:dyDescent="0.25">
      <c r="A2896" s="36" t="b">
        <v>0</v>
      </c>
      <c r="B2896" s="56" t="b">
        <v>0</v>
      </c>
      <c r="C2896" s="56" t="b">
        <v>0</v>
      </c>
      <c r="D2896" s="56" t="b">
        <v>0</v>
      </c>
      <c r="E2896" s="56">
        <f ca="1">IF(PV[[#This Row],[Business Date]]=Control!$C$6, PV[[#This Row],[Notional Value Local Cur]], -PV[[#This Row],[Notional Value Local Cur]])</f>
        <v>0</v>
      </c>
    </row>
    <row r="2897" spans="1:5" x14ac:dyDescent="0.25">
      <c r="A2897" s="36" t="b">
        <v>0</v>
      </c>
      <c r="B2897" s="56" t="b">
        <v>0</v>
      </c>
      <c r="C2897" s="56" t="b">
        <v>0</v>
      </c>
      <c r="D2897" s="56" t="b">
        <v>0</v>
      </c>
      <c r="E2897" s="56">
        <f ca="1">IF(PV[[#This Row],[Business Date]]=Control!$C$6, PV[[#This Row],[Notional Value Local Cur]], -PV[[#This Row],[Notional Value Local Cur]])</f>
        <v>0</v>
      </c>
    </row>
    <row r="2898" spans="1:5" x14ac:dyDescent="0.25">
      <c r="A2898" s="36" t="b">
        <v>0</v>
      </c>
      <c r="B2898" s="56" t="b">
        <v>0</v>
      </c>
      <c r="C2898" s="56" t="b">
        <v>0</v>
      </c>
      <c r="D2898" s="56" t="b">
        <v>0</v>
      </c>
      <c r="E2898" s="56">
        <f ca="1">IF(PV[[#This Row],[Business Date]]=Control!$C$6, PV[[#This Row],[Notional Value Local Cur]], -PV[[#This Row],[Notional Value Local Cur]])</f>
        <v>0</v>
      </c>
    </row>
    <row r="2899" spans="1:5" x14ac:dyDescent="0.25">
      <c r="A2899" s="36" t="b">
        <v>0</v>
      </c>
      <c r="B2899" s="56" t="b">
        <v>0</v>
      </c>
      <c r="C2899" s="56" t="b">
        <v>0</v>
      </c>
      <c r="D2899" s="56" t="b">
        <v>0</v>
      </c>
      <c r="E2899" s="56">
        <f ca="1">IF(PV[[#This Row],[Business Date]]=Control!$C$6, PV[[#This Row],[Notional Value Local Cur]], -PV[[#This Row],[Notional Value Local Cur]])</f>
        <v>0</v>
      </c>
    </row>
    <row r="2900" spans="1:5" x14ac:dyDescent="0.25">
      <c r="A2900" s="36" t="b">
        <v>0</v>
      </c>
      <c r="B2900" s="56" t="b">
        <v>0</v>
      </c>
      <c r="C2900" s="56" t="b">
        <v>0</v>
      </c>
      <c r="D2900" s="56" t="b">
        <v>0</v>
      </c>
      <c r="E2900" s="56">
        <f ca="1">IF(PV[[#This Row],[Business Date]]=Control!$C$6, PV[[#This Row],[Notional Value Local Cur]], -PV[[#This Row],[Notional Value Local Cur]])</f>
        <v>0</v>
      </c>
    </row>
    <row r="2901" spans="1:5" x14ac:dyDescent="0.25">
      <c r="A2901" s="36" t="b">
        <v>0</v>
      </c>
      <c r="B2901" s="56" t="b">
        <v>0</v>
      </c>
      <c r="C2901" s="56" t="b">
        <v>0</v>
      </c>
      <c r="D2901" s="56" t="b">
        <v>0</v>
      </c>
      <c r="E2901" s="56">
        <f ca="1">IF(PV[[#This Row],[Business Date]]=Control!$C$6, PV[[#This Row],[Notional Value Local Cur]], -PV[[#This Row],[Notional Value Local Cur]])</f>
        <v>0</v>
      </c>
    </row>
    <row r="2902" spans="1:5" x14ac:dyDescent="0.25">
      <c r="A2902" s="36" t="b">
        <v>0</v>
      </c>
      <c r="B2902" s="56" t="b">
        <v>0</v>
      </c>
      <c r="C2902" s="56" t="b">
        <v>0</v>
      </c>
      <c r="D2902" s="56" t="b">
        <v>0</v>
      </c>
      <c r="E2902" s="56">
        <f ca="1">IF(PV[[#This Row],[Business Date]]=Control!$C$6, PV[[#This Row],[Notional Value Local Cur]], -PV[[#This Row],[Notional Value Local Cur]])</f>
        <v>0</v>
      </c>
    </row>
    <row r="2903" spans="1:5" x14ac:dyDescent="0.25">
      <c r="A2903" s="36" t="b">
        <v>0</v>
      </c>
      <c r="B2903" s="56" t="b">
        <v>0</v>
      </c>
      <c r="C2903" s="56" t="b">
        <v>0</v>
      </c>
      <c r="D2903" s="56" t="b">
        <v>0</v>
      </c>
      <c r="E2903" s="56">
        <f ca="1">IF(PV[[#This Row],[Business Date]]=Control!$C$6, PV[[#This Row],[Notional Value Local Cur]], -PV[[#This Row],[Notional Value Local Cur]])</f>
        <v>0</v>
      </c>
    </row>
    <row r="2904" spans="1:5" x14ac:dyDescent="0.25">
      <c r="A2904" s="36" t="b">
        <v>0</v>
      </c>
      <c r="B2904" s="56" t="b">
        <v>0</v>
      </c>
      <c r="C2904" s="56" t="b">
        <v>0</v>
      </c>
      <c r="D2904" s="56" t="b">
        <v>0</v>
      </c>
      <c r="E2904" s="56">
        <f ca="1">IF(PV[[#This Row],[Business Date]]=Control!$C$6, PV[[#This Row],[Notional Value Local Cur]], -PV[[#This Row],[Notional Value Local Cur]])</f>
        <v>0</v>
      </c>
    </row>
    <row r="2905" spans="1:5" x14ac:dyDescent="0.25">
      <c r="A2905" s="36" t="b">
        <v>0</v>
      </c>
      <c r="B2905" s="56" t="b">
        <v>0</v>
      </c>
      <c r="C2905" s="56" t="b">
        <v>0</v>
      </c>
      <c r="D2905" s="56" t="b">
        <v>0</v>
      </c>
      <c r="E2905" s="56">
        <f ca="1">IF(PV[[#This Row],[Business Date]]=Control!$C$6, PV[[#This Row],[Notional Value Local Cur]], -PV[[#This Row],[Notional Value Local Cur]])</f>
        <v>0</v>
      </c>
    </row>
    <row r="2906" spans="1:5" x14ac:dyDescent="0.25">
      <c r="A2906" s="36" t="b">
        <v>0</v>
      </c>
      <c r="B2906" s="56" t="b">
        <v>0</v>
      </c>
      <c r="C2906" s="56" t="b">
        <v>0</v>
      </c>
      <c r="D2906" s="56" t="b">
        <v>0</v>
      </c>
      <c r="E2906" s="56">
        <f ca="1">IF(PV[[#This Row],[Business Date]]=Control!$C$6, PV[[#This Row],[Notional Value Local Cur]], -PV[[#This Row],[Notional Value Local Cur]])</f>
        <v>0</v>
      </c>
    </row>
    <row r="2907" spans="1:5" x14ac:dyDescent="0.25">
      <c r="A2907" s="36" t="b">
        <v>0</v>
      </c>
      <c r="B2907" s="56" t="b">
        <v>0</v>
      </c>
      <c r="C2907" s="56" t="b">
        <v>0</v>
      </c>
      <c r="D2907" s="56" t="b">
        <v>0</v>
      </c>
      <c r="E2907" s="56">
        <f ca="1">IF(PV[[#This Row],[Business Date]]=Control!$C$6, PV[[#This Row],[Notional Value Local Cur]], -PV[[#This Row],[Notional Value Local Cur]])</f>
        <v>0</v>
      </c>
    </row>
    <row r="2908" spans="1:5" x14ac:dyDescent="0.25">
      <c r="A2908" s="36" t="b">
        <v>0</v>
      </c>
      <c r="B2908" s="56" t="b">
        <v>0</v>
      </c>
      <c r="C2908" s="56" t="b">
        <v>0</v>
      </c>
      <c r="D2908" s="56" t="b">
        <v>0</v>
      </c>
      <c r="E2908" s="56">
        <f ca="1">IF(PV[[#This Row],[Business Date]]=Control!$C$6, PV[[#This Row],[Notional Value Local Cur]], -PV[[#This Row],[Notional Value Local Cur]])</f>
        <v>0</v>
      </c>
    </row>
    <row r="2909" spans="1:5" x14ac:dyDescent="0.25">
      <c r="A2909" s="36" t="b">
        <v>0</v>
      </c>
      <c r="B2909" s="56" t="b">
        <v>0</v>
      </c>
      <c r="C2909" s="56" t="b">
        <v>0</v>
      </c>
      <c r="D2909" s="56" t="b">
        <v>0</v>
      </c>
      <c r="E2909" s="56">
        <f ca="1">IF(PV[[#This Row],[Business Date]]=Control!$C$6, PV[[#This Row],[Notional Value Local Cur]], -PV[[#This Row],[Notional Value Local Cur]])</f>
        <v>0</v>
      </c>
    </row>
    <row r="2910" spans="1:5" x14ac:dyDescent="0.25">
      <c r="A2910" s="36" t="b">
        <v>0</v>
      </c>
      <c r="B2910" s="56" t="b">
        <v>0</v>
      </c>
      <c r="C2910" s="56" t="b">
        <v>0</v>
      </c>
      <c r="D2910" s="56" t="b">
        <v>0</v>
      </c>
      <c r="E2910" s="56">
        <f ca="1">IF(PV[[#This Row],[Business Date]]=Control!$C$6, PV[[#This Row],[Notional Value Local Cur]], -PV[[#This Row],[Notional Value Local Cur]])</f>
        <v>0</v>
      </c>
    </row>
    <row r="2911" spans="1:5" x14ac:dyDescent="0.25">
      <c r="A2911" s="36" t="b">
        <v>0</v>
      </c>
      <c r="B2911" s="56" t="b">
        <v>0</v>
      </c>
      <c r="C2911" s="56" t="b">
        <v>0</v>
      </c>
      <c r="D2911" s="56" t="b">
        <v>0</v>
      </c>
      <c r="E2911" s="56">
        <f ca="1">IF(PV[[#This Row],[Business Date]]=Control!$C$6, PV[[#This Row],[Notional Value Local Cur]], -PV[[#This Row],[Notional Value Local Cur]])</f>
        <v>0</v>
      </c>
    </row>
    <row r="2912" spans="1:5" x14ac:dyDescent="0.25">
      <c r="A2912" s="36" t="b">
        <v>0</v>
      </c>
      <c r="B2912" s="56" t="b">
        <v>0</v>
      </c>
      <c r="C2912" s="56" t="b">
        <v>0</v>
      </c>
      <c r="D2912" s="56" t="b">
        <v>0</v>
      </c>
      <c r="E2912" s="56">
        <f ca="1">IF(PV[[#This Row],[Business Date]]=Control!$C$6, PV[[#This Row],[Notional Value Local Cur]], -PV[[#This Row],[Notional Value Local Cur]])</f>
        <v>0</v>
      </c>
    </row>
    <row r="2913" spans="1:5" x14ac:dyDescent="0.25">
      <c r="A2913" s="36" t="b">
        <v>0</v>
      </c>
      <c r="B2913" s="56" t="b">
        <v>0</v>
      </c>
      <c r="C2913" s="56" t="b">
        <v>0</v>
      </c>
      <c r="D2913" s="56" t="b">
        <v>0</v>
      </c>
      <c r="E2913" s="56">
        <f ca="1">IF(PV[[#This Row],[Business Date]]=Control!$C$6, PV[[#This Row],[Notional Value Local Cur]], -PV[[#This Row],[Notional Value Local Cur]])</f>
        <v>0</v>
      </c>
    </row>
    <row r="2914" spans="1:5" x14ac:dyDescent="0.25">
      <c r="A2914" s="36" t="b">
        <v>0</v>
      </c>
      <c r="B2914" s="56" t="b">
        <v>0</v>
      </c>
      <c r="C2914" s="56" t="b">
        <v>0</v>
      </c>
      <c r="D2914" s="56" t="b">
        <v>0</v>
      </c>
      <c r="E2914" s="56">
        <f ca="1">IF(PV[[#This Row],[Business Date]]=Control!$C$6, PV[[#This Row],[Notional Value Local Cur]], -PV[[#This Row],[Notional Value Local Cur]])</f>
        <v>0</v>
      </c>
    </row>
    <row r="2915" spans="1:5" x14ac:dyDescent="0.25">
      <c r="A2915" s="36" t="b">
        <v>0</v>
      </c>
      <c r="B2915" s="56" t="b">
        <v>0</v>
      </c>
      <c r="C2915" s="56" t="b">
        <v>0</v>
      </c>
      <c r="D2915" s="56" t="b">
        <v>0</v>
      </c>
      <c r="E2915" s="56">
        <f ca="1">IF(PV[[#This Row],[Business Date]]=Control!$C$6, PV[[#This Row],[Notional Value Local Cur]], -PV[[#This Row],[Notional Value Local Cur]])</f>
        <v>0</v>
      </c>
    </row>
    <row r="2916" spans="1:5" x14ac:dyDescent="0.25">
      <c r="A2916" s="36" t="b">
        <v>0</v>
      </c>
      <c r="B2916" s="56" t="b">
        <v>0</v>
      </c>
      <c r="C2916" s="56" t="b">
        <v>0</v>
      </c>
      <c r="D2916" s="56" t="b">
        <v>0</v>
      </c>
      <c r="E2916" s="56">
        <f ca="1">IF(PV[[#This Row],[Business Date]]=Control!$C$6, PV[[#This Row],[Notional Value Local Cur]], -PV[[#This Row],[Notional Value Local Cur]])</f>
        <v>0</v>
      </c>
    </row>
    <row r="2917" spans="1:5" x14ac:dyDescent="0.25">
      <c r="A2917" s="36" t="b">
        <v>0</v>
      </c>
      <c r="B2917" s="56" t="b">
        <v>0</v>
      </c>
      <c r="C2917" s="56" t="b">
        <v>0</v>
      </c>
      <c r="D2917" s="56" t="b">
        <v>0</v>
      </c>
      <c r="E2917" s="56">
        <f ca="1">IF(PV[[#This Row],[Business Date]]=Control!$C$6, PV[[#This Row],[Notional Value Local Cur]], -PV[[#This Row],[Notional Value Local Cur]])</f>
        <v>0</v>
      </c>
    </row>
    <row r="2918" spans="1:5" x14ac:dyDescent="0.25">
      <c r="A2918" s="36" t="b">
        <v>0</v>
      </c>
      <c r="B2918" s="56" t="b">
        <v>0</v>
      </c>
      <c r="C2918" s="56" t="b">
        <v>0</v>
      </c>
      <c r="D2918" s="56" t="b">
        <v>0</v>
      </c>
      <c r="E2918" s="56">
        <f ca="1">IF(PV[[#This Row],[Business Date]]=Control!$C$6, PV[[#This Row],[Notional Value Local Cur]], -PV[[#This Row],[Notional Value Local Cur]])</f>
        <v>0</v>
      </c>
    </row>
    <row r="2919" spans="1:5" x14ac:dyDescent="0.25">
      <c r="A2919" s="36" t="b">
        <v>0</v>
      </c>
      <c r="B2919" s="56" t="b">
        <v>0</v>
      </c>
      <c r="C2919" s="56" t="b">
        <v>0</v>
      </c>
      <c r="D2919" s="56" t="b">
        <v>0</v>
      </c>
      <c r="E2919" s="56">
        <f ca="1">IF(PV[[#This Row],[Business Date]]=Control!$C$6, PV[[#This Row],[Notional Value Local Cur]], -PV[[#This Row],[Notional Value Local Cur]])</f>
        <v>0</v>
      </c>
    </row>
    <row r="2920" spans="1:5" x14ac:dyDescent="0.25">
      <c r="A2920" s="36" t="b">
        <v>0</v>
      </c>
      <c r="B2920" s="56" t="b">
        <v>0</v>
      </c>
      <c r="C2920" s="56" t="b">
        <v>0</v>
      </c>
      <c r="D2920" s="56" t="b">
        <v>0</v>
      </c>
      <c r="E2920" s="56">
        <f ca="1">IF(PV[[#This Row],[Business Date]]=Control!$C$6, PV[[#This Row],[Notional Value Local Cur]], -PV[[#This Row],[Notional Value Local Cur]])</f>
        <v>0</v>
      </c>
    </row>
    <row r="2921" spans="1:5" x14ac:dyDescent="0.25">
      <c r="A2921" s="36" t="b">
        <v>0</v>
      </c>
      <c r="B2921" s="56" t="b">
        <v>0</v>
      </c>
      <c r="C2921" s="56" t="b">
        <v>0</v>
      </c>
      <c r="D2921" s="56" t="b">
        <v>0</v>
      </c>
      <c r="E2921" s="56">
        <f ca="1">IF(PV[[#This Row],[Business Date]]=Control!$C$6, PV[[#This Row],[Notional Value Local Cur]], -PV[[#This Row],[Notional Value Local Cur]])</f>
        <v>0</v>
      </c>
    </row>
    <row r="2922" spans="1:5" x14ac:dyDescent="0.25">
      <c r="A2922" s="36" t="b">
        <v>0</v>
      </c>
      <c r="B2922" s="56" t="b">
        <v>0</v>
      </c>
      <c r="C2922" s="56" t="b">
        <v>0</v>
      </c>
      <c r="D2922" s="56" t="b">
        <v>0</v>
      </c>
      <c r="E2922" s="56">
        <f ca="1">IF(PV[[#This Row],[Business Date]]=Control!$C$6, PV[[#This Row],[Notional Value Local Cur]], -PV[[#This Row],[Notional Value Local Cur]])</f>
        <v>0</v>
      </c>
    </row>
    <row r="2923" spans="1:5" x14ac:dyDescent="0.25">
      <c r="A2923" s="36" t="b">
        <v>0</v>
      </c>
      <c r="B2923" s="56" t="b">
        <v>0</v>
      </c>
      <c r="C2923" s="56" t="b">
        <v>0</v>
      </c>
      <c r="D2923" s="56" t="b">
        <v>0</v>
      </c>
      <c r="E2923" s="56">
        <f ca="1">IF(PV[[#This Row],[Business Date]]=Control!$C$6, PV[[#This Row],[Notional Value Local Cur]], -PV[[#This Row],[Notional Value Local Cur]])</f>
        <v>0</v>
      </c>
    </row>
    <row r="2924" spans="1:5" x14ac:dyDescent="0.25">
      <c r="A2924" s="36" t="b">
        <v>0</v>
      </c>
      <c r="B2924" s="56" t="b">
        <v>0</v>
      </c>
      <c r="C2924" s="56" t="b">
        <v>0</v>
      </c>
      <c r="D2924" s="56" t="b">
        <v>0</v>
      </c>
      <c r="E2924" s="56">
        <f ca="1">IF(PV[[#This Row],[Business Date]]=Control!$C$6, PV[[#This Row],[Notional Value Local Cur]], -PV[[#This Row],[Notional Value Local Cur]])</f>
        <v>0</v>
      </c>
    </row>
    <row r="2925" spans="1:5" x14ac:dyDescent="0.25">
      <c r="A2925" s="36" t="b">
        <v>0</v>
      </c>
      <c r="B2925" s="56" t="b">
        <v>0</v>
      </c>
      <c r="C2925" s="56" t="b">
        <v>0</v>
      </c>
      <c r="D2925" s="56" t="b">
        <v>0</v>
      </c>
      <c r="E2925" s="56">
        <f ca="1">IF(PV[[#This Row],[Business Date]]=Control!$C$6, PV[[#This Row],[Notional Value Local Cur]], -PV[[#This Row],[Notional Value Local Cur]])</f>
        <v>0</v>
      </c>
    </row>
    <row r="2926" spans="1:5" x14ac:dyDescent="0.25">
      <c r="A2926" s="36" t="b">
        <v>0</v>
      </c>
      <c r="B2926" s="56" t="b">
        <v>0</v>
      </c>
      <c r="C2926" s="56" t="b">
        <v>0</v>
      </c>
      <c r="D2926" s="56" t="b">
        <v>0</v>
      </c>
      <c r="E2926" s="56">
        <f ca="1">IF(PV[[#This Row],[Business Date]]=Control!$C$6, PV[[#This Row],[Notional Value Local Cur]], -PV[[#This Row],[Notional Value Local Cur]])</f>
        <v>0</v>
      </c>
    </row>
    <row r="2927" spans="1:5" x14ac:dyDescent="0.25">
      <c r="A2927" s="36" t="b">
        <v>0</v>
      </c>
      <c r="B2927" s="56" t="b">
        <v>0</v>
      </c>
      <c r="C2927" s="56" t="b">
        <v>0</v>
      </c>
      <c r="D2927" s="56" t="b">
        <v>0</v>
      </c>
      <c r="E2927" s="56">
        <f ca="1">IF(PV[[#This Row],[Business Date]]=Control!$C$6, PV[[#This Row],[Notional Value Local Cur]], -PV[[#This Row],[Notional Value Local Cur]])</f>
        <v>0</v>
      </c>
    </row>
    <row r="2928" spans="1:5" x14ac:dyDescent="0.25">
      <c r="A2928" s="36" t="b">
        <v>0</v>
      </c>
      <c r="B2928" s="56" t="b">
        <v>0</v>
      </c>
      <c r="C2928" s="56" t="b">
        <v>0</v>
      </c>
      <c r="D2928" s="56" t="b">
        <v>0</v>
      </c>
      <c r="E2928" s="56">
        <f ca="1">IF(PV[[#This Row],[Business Date]]=Control!$C$6, PV[[#This Row],[Notional Value Local Cur]], -PV[[#This Row],[Notional Value Local Cur]])</f>
        <v>0</v>
      </c>
    </row>
    <row r="2929" spans="1:5" x14ac:dyDescent="0.25">
      <c r="A2929" s="36" t="b">
        <v>0</v>
      </c>
      <c r="B2929" s="56" t="b">
        <v>0</v>
      </c>
      <c r="C2929" s="56" t="b">
        <v>0</v>
      </c>
      <c r="D2929" s="56" t="b">
        <v>0</v>
      </c>
      <c r="E2929" s="56">
        <f ca="1">IF(PV[[#This Row],[Business Date]]=Control!$C$6, PV[[#This Row],[Notional Value Local Cur]], -PV[[#This Row],[Notional Value Local Cur]])</f>
        <v>0</v>
      </c>
    </row>
    <row r="2930" spans="1:5" x14ac:dyDescent="0.25">
      <c r="A2930" s="36" t="b">
        <v>0</v>
      </c>
      <c r="B2930" s="56" t="b">
        <v>0</v>
      </c>
      <c r="C2930" s="56" t="b">
        <v>0</v>
      </c>
      <c r="D2930" s="56" t="b">
        <v>0</v>
      </c>
      <c r="E2930" s="56">
        <f ca="1">IF(PV[[#This Row],[Business Date]]=Control!$C$6, PV[[#This Row],[Notional Value Local Cur]], -PV[[#This Row],[Notional Value Local Cur]])</f>
        <v>0</v>
      </c>
    </row>
    <row r="2931" spans="1:5" x14ac:dyDescent="0.25">
      <c r="A2931" s="36" t="b">
        <v>0</v>
      </c>
      <c r="B2931" s="56" t="b">
        <v>0</v>
      </c>
      <c r="C2931" s="56" t="b">
        <v>0</v>
      </c>
      <c r="D2931" s="56" t="b">
        <v>0</v>
      </c>
      <c r="E2931" s="56">
        <f ca="1">IF(PV[[#This Row],[Business Date]]=Control!$C$6, PV[[#This Row],[Notional Value Local Cur]], -PV[[#This Row],[Notional Value Local Cur]])</f>
        <v>0</v>
      </c>
    </row>
    <row r="2932" spans="1:5" x14ac:dyDescent="0.25">
      <c r="A2932" s="36" t="b">
        <v>0</v>
      </c>
      <c r="B2932" s="56" t="b">
        <v>0</v>
      </c>
      <c r="C2932" s="56" t="b">
        <v>0</v>
      </c>
      <c r="D2932" s="56" t="b">
        <v>0</v>
      </c>
      <c r="E2932" s="56">
        <f ca="1">IF(PV[[#This Row],[Business Date]]=Control!$C$6, PV[[#This Row],[Notional Value Local Cur]], -PV[[#This Row],[Notional Value Local Cur]])</f>
        <v>0</v>
      </c>
    </row>
    <row r="2933" spans="1:5" x14ac:dyDescent="0.25">
      <c r="A2933" s="36" t="b">
        <v>0</v>
      </c>
      <c r="B2933" s="56" t="b">
        <v>0</v>
      </c>
      <c r="C2933" s="56" t="b">
        <v>0</v>
      </c>
      <c r="D2933" s="56" t="b">
        <v>0</v>
      </c>
      <c r="E2933" s="56">
        <f ca="1">IF(PV[[#This Row],[Business Date]]=Control!$C$6, PV[[#This Row],[Notional Value Local Cur]], -PV[[#This Row],[Notional Value Local Cur]])</f>
        <v>0</v>
      </c>
    </row>
    <row r="2934" spans="1:5" x14ac:dyDescent="0.25">
      <c r="A2934" s="36" t="b">
        <v>0</v>
      </c>
      <c r="B2934" s="56" t="b">
        <v>0</v>
      </c>
      <c r="C2934" s="56" t="b">
        <v>0</v>
      </c>
      <c r="D2934" s="56" t="b">
        <v>0</v>
      </c>
      <c r="E2934" s="56">
        <f ca="1">IF(PV[[#This Row],[Business Date]]=Control!$C$6, PV[[#This Row],[Notional Value Local Cur]], -PV[[#This Row],[Notional Value Local Cur]])</f>
        <v>0</v>
      </c>
    </row>
    <row r="2935" spans="1:5" x14ac:dyDescent="0.25">
      <c r="A2935" s="36" t="b">
        <v>0</v>
      </c>
      <c r="B2935" s="56" t="b">
        <v>0</v>
      </c>
      <c r="C2935" s="56" t="b">
        <v>0</v>
      </c>
      <c r="D2935" s="56" t="b">
        <v>0</v>
      </c>
      <c r="E2935" s="56">
        <f ca="1">IF(PV[[#This Row],[Business Date]]=Control!$C$6, PV[[#This Row],[Notional Value Local Cur]], -PV[[#This Row],[Notional Value Local Cur]])</f>
        <v>0</v>
      </c>
    </row>
    <row r="2936" spans="1:5" x14ac:dyDescent="0.25">
      <c r="A2936" s="36" t="b">
        <v>0</v>
      </c>
      <c r="B2936" s="56" t="b">
        <v>0</v>
      </c>
      <c r="C2936" s="56" t="b">
        <v>0</v>
      </c>
      <c r="D2936" s="56" t="b">
        <v>0</v>
      </c>
      <c r="E2936" s="56">
        <f ca="1">IF(PV[[#This Row],[Business Date]]=Control!$C$6, PV[[#This Row],[Notional Value Local Cur]], -PV[[#This Row],[Notional Value Local Cur]])</f>
        <v>0</v>
      </c>
    </row>
    <row r="2937" spans="1:5" x14ac:dyDescent="0.25">
      <c r="A2937" s="36" t="b">
        <v>0</v>
      </c>
      <c r="B2937" s="56" t="b">
        <v>0</v>
      </c>
      <c r="C2937" s="56" t="b">
        <v>0</v>
      </c>
      <c r="D2937" s="56" t="b">
        <v>0</v>
      </c>
      <c r="E2937" s="56">
        <f ca="1">IF(PV[[#This Row],[Business Date]]=Control!$C$6, PV[[#This Row],[Notional Value Local Cur]], -PV[[#This Row],[Notional Value Local Cur]])</f>
        <v>0</v>
      </c>
    </row>
    <row r="2938" spans="1:5" x14ac:dyDescent="0.25">
      <c r="A2938" s="36" t="b">
        <v>0</v>
      </c>
      <c r="B2938" s="56" t="b">
        <v>0</v>
      </c>
      <c r="C2938" s="56" t="b">
        <v>0</v>
      </c>
      <c r="D2938" s="56" t="b">
        <v>0</v>
      </c>
      <c r="E2938" s="56">
        <f ca="1">IF(PV[[#This Row],[Business Date]]=Control!$C$6, PV[[#This Row],[Notional Value Local Cur]], -PV[[#This Row],[Notional Value Local Cur]])</f>
        <v>0</v>
      </c>
    </row>
    <row r="2939" spans="1:5" x14ac:dyDescent="0.25">
      <c r="A2939" s="36" t="b">
        <v>0</v>
      </c>
      <c r="B2939" s="56" t="b">
        <v>0</v>
      </c>
      <c r="C2939" s="56" t="b">
        <v>0</v>
      </c>
      <c r="D2939" s="56" t="b">
        <v>0</v>
      </c>
      <c r="E2939" s="56">
        <f ca="1">IF(PV[[#This Row],[Business Date]]=Control!$C$6, PV[[#This Row],[Notional Value Local Cur]], -PV[[#This Row],[Notional Value Local Cur]])</f>
        <v>0</v>
      </c>
    </row>
    <row r="2940" spans="1:5" x14ac:dyDescent="0.25">
      <c r="A2940" s="36" t="b">
        <v>0</v>
      </c>
      <c r="B2940" s="56" t="b">
        <v>0</v>
      </c>
      <c r="C2940" s="56" t="b">
        <v>0</v>
      </c>
      <c r="D2940" s="56" t="b">
        <v>0</v>
      </c>
      <c r="E2940" s="56">
        <f ca="1">IF(PV[[#This Row],[Business Date]]=Control!$C$6, PV[[#This Row],[Notional Value Local Cur]], -PV[[#This Row],[Notional Value Local Cur]])</f>
        <v>0</v>
      </c>
    </row>
    <row r="2941" spans="1:5" x14ac:dyDescent="0.25">
      <c r="A2941" s="36" t="b">
        <v>0</v>
      </c>
      <c r="B2941" s="56" t="b">
        <v>0</v>
      </c>
      <c r="C2941" s="56" t="b">
        <v>0</v>
      </c>
      <c r="D2941" s="56" t="b">
        <v>0</v>
      </c>
      <c r="E2941" s="56">
        <f ca="1">IF(PV[[#This Row],[Business Date]]=Control!$C$6, PV[[#This Row],[Notional Value Local Cur]], -PV[[#This Row],[Notional Value Local Cur]])</f>
        <v>0</v>
      </c>
    </row>
    <row r="2942" spans="1:5" x14ac:dyDescent="0.25">
      <c r="A2942" s="36" t="b">
        <v>0</v>
      </c>
      <c r="B2942" s="56" t="b">
        <v>0</v>
      </c>
      <c r="C2942" s="56" t="b">
        <v>0</v>
      </c>
      <c r="D2942" s="56" t="b">
        <v>0</v>
      </c>
      <c r="E2942" s="56">
        <f ca="1">IF(PV[[#This Row],[Business Date]]=Control!$C$6, PV[[#This Row],[Notional Value Local Cur]], -PV[[#This Row],[Notional Value Local Cur]])</f>
        <v>0</v>
      </c>
    </row>
    <row r="2943" spans="1:5" x14ac:dyDescent="0.25">
      <c r="A2943" s="36" t="b">
        <v>0</v>
      </c>
      <c r="B2943" s="56" t="b">
        <v>0</v>
      </c>
      <c r="C2943" s="56" t="b">
        <v>0</v>
      </c>
      <c r="D2943" s="56" t="b">
        <v>0</v>
      </c>
      <c r="E2943" s="56">
        <f ca="1">IF(PV[[#This Row],[Business Date]]=Control!$C$6, PV[[#This Row],[Notional Value Local Cur]], -PV[[#This Row],[Notional Value Local Cur]])</f>
        <v>0</v>
      </c>
    </row>
    <row r="2944" spans="1:5" x14ac:dyDescent="0.25">
      <c r="A2944" s="36" t="b">
        <v>0</v>
      </c>
      <c r="B2944" s="56" t="b">
        <v>0</v>
      </c>
      <c r="C2944" s="56" t="b">
        <v>0</v>
      </c>
      <c r="D2944" s="56" t="b">
        <v>0</v>
      </c>
      <c r="E2944" s="56">
        <f ca="1">IF(PV[[#This Row],[Business Date]]=Control!$C$6, PV[[#This Row],[Notional Value Local Cur]], -PV[[#This Row],[Notional Value Local Cur]])</f>
        <v>0</v>
      </c>
    </row>
    <row r="2945" spans="1:5" x14ac:dyDescent="0.25">
      <c r="A2945" s="36" t="b">
        <v>0</v>
      </c>
      <c r="B2945" s="56" t="b">
        <v>0</v>
      </c>
      <c r="C2945" s="56" t="b">
        <v>0</v>
      </c>
      <c r="D2945" s="56" t="b">
        <v>0</v>
      </c>
      <c r="E2945" s="56">
        <f ca="1">IF(PV[[#This Row],[Business Date]]=Control!$C$6, PV[[#This Row],[Notional Value Local Cur]], -PV[[#This Row],[Notional Value Local Cur]])</f>
        <v>0</v>
      </c>
    </row>
    <row r="2946" spans="1:5" x14ac:dyDescent="0.25">
      <c r="A2946" s="36" t="b">
        <v>0</v>
      </c>
      <c r="B2946" s="56" t="b">
        <v>0</v>
      </c>
      <c r="C2946" s="56" t="b">
        <v>0</v>
      </c>
      <c r="D2946" s="56" t="b">
        <v>0</v>
      </c>
      <c r="E2946" s="56">
        <f ca="1">IF(PV[[#This Row],[Business Date]]=Control!$C$6, PV[[#This Row],[Notional Value Local Cur]], -PV[[#This Row],[Notional Value Local Cur]])</f>
        <v>0</v>
      </c>
    </row>
    <row r="2947" spans="1:5" x14ac:dyDescent="0.25">
      <c r="A2947" s="36" t="b">
        <v>0</v>
      </c>
      <c r="B2947" s="56" t="b">
        <v>0</v>
      </c>
      <c r="C2947" s="56" t="b">
        <v>0</v>
      </c>
      <c r="D2947" s="56" t="b">
        <v>0</v>
      </c>
      <c r="E2947" s="56">
        <f ca="1">IF(PV[[#This Row],[Business Date]]=Control!$C$6, PV[[#This Row],[Notional Value Local Cur]], -PV[[#This Row],[Notional Value Local Cur]])</f>
        <v>0</v>
      </c>
    </row>
    <row r="2948" spans="1:5" x14ac:dyDescent="0.25">
      <c r="A2948" s="36" t="b">
        <v>0</v>
      </c>
      <c r="B2948" s="56" t="b">
        <v>0</v>
      </c>
      <c r="C2948" s="56" t="b">
        <v>0</v>
      </c>
      <c r="D2948" s="56" t="b">
        <v>0</v>
      </c>
      <c r="E2948" s="56">
        <f ca="1">IF(PV[[#This Row],[Business Date]]=Control!$C$6, PV[[#This Row],[Notional Value Local Cur]], -PV[[#This Row],[Notional Value Local Cur]])</f>
        <v>0</v>
      </c>
    </row>
    <row r="2949" spans="1:5" x14ac:dyDescent="0.25">
      <c r="A2949" s="36" t="b">
        <v>0</v>
      </c>
      <c r="B2949" s="56" t="b">
        <v>0</v>
      </c>
      <c r="C2949" s="56" t="b">
        <v>0</v>
      </c>
      <c r="D2949" s="56" t="b">
        <v>0</v>
      </c>
      <c r="E2949" s="56">
        <f ca="1">IF(PV[[#This Row],[Business Date]]=Control!$C$6, PV[[#This Row],[Notional Value Local Cur]], -PV[[#This Row],[Notional Value Local Cur]])</f>
        <v>0</v>
      </c>
    </row>
    <row r="2950" spans="1:5" x14ac:dyDescent="0.25">
      <c r="A2950" s="36" t="b">
        <v>0</v>
      </c>
      <c r="B2950" s="56" t="b">
        <v>0</v>
      </c>
      <c r="C2950" s="56" t="b">
        <v>0</v>
      </c>
      <c r="D2950" s="56" t="b">
        <v>0</v>
      </c>
      <c r="E2950" s="56">
        <f ca="1">IF(PV[[#This Row],[Business Date]]=Control!$C$6, PV[[#This Row],[Notional Value Local Cur]], -PV[[#This Row],[Notional Value Local Cur]])</f>
        <v>0</v>
      </c>
    </row>
    <row r="2951" spans="1:5" x14ac:dyDescent="0.25">
      <c r="A2951" s="36" t="b">
        <v>0</v>
      </c>
      <c r="B2951" s="56" t="b">
        <v>0</v>
      </c>
      <c r="C2951" s="56" t="b">
        <v>0</v>
      </c>
      <c r="D2951" s="56" t="b">
        <v>0</v>
      </c>
      <c r="E2951" s="56">
        <f ca="1">IF(PV[[#This Row],[Business Date]]=Control!$C$6, PV[[#This Row],[Notional Value Local Cur]], -PV[[#This Row],[Notional Value Local Cur]])</f>
        <v>0</v>
      </c>
    </row>
    <row r="2952" spans="1:5" x14ac:dyDescent="0.25">
      <c r="A2952" s="36" t="b">
        <v>0</v>
      </c>
      <c r="B2952" s="56" t="b">
        <v>0</v>
      </c>
      <c r="C2952" s="56" t="b">
        <v>0</v>
      </c>
      <c r="D2952" s="56" t="b">
        <v>0</v>
      </c>
      <c r="E2952" s="56">
        <f ca="1">IF(PV[[#This Row],[Business Date]]=Control!$C$6, PV[[#This Row],[Notional Value Local Cur]], -PV[[#This Row],[Notional Value Local Cur]])</f>
        <v>0</v>
      </c>
    </row>
    <row r="2953" spans="1:5" x14ac:dyDescent="0.25">
      <c r="A2953" s="36" t="b">
        <v>0</v>
      </c>
      <c r="B2953" s="56" t="b">
        <v>0</v>
      </c>
      <c r="C2953" s="56" t="b">
        <v>0</v>
      </c>
      <c r="D2953" s="56" t="b">
        <v>0</v>
      </c>
      <c r="E2953" s="56">
        <f ca="1">IF(PV[[#This Row],[Business Date]]=Control!$C$6, PV[[#This Row],[Notional Value Local Cur]], -PV[[#This Row],[Notional Value Local Cur]])</f>
        <v>0</v>
      </c>
    </row>
    <row r="2954" spans="1:5" x14ac:dyDescent="0.25">
      <c r="A2954" s="36" t="b">
        <v>0</v>
      </c>
      <c r="B2954" s="56" t="b">
        <v>0</v>
      </c>
      <c r="C2954" s="56" t="b">
        <v>0</v>
      </c>
      <c r="D2954" s="56" t="b">
        <v>0</v>
      </c>
      <c r="E2954" s="56">
        <f ca="1">IF(PV[[#This Row],[Business Date]]=Control!$C$6, PV[[#This Row],[Notional Value Local Cur]], -PV[[#This Row],[Notional Value Local Cur]])</f>
        <v>0</v>
      </c>
    </row>
    <row r="2955" spans="1:5" x14ac:dyDescent="0.25">
      <c r="A2955" s="36" t="b">
        <v>0</v>
      </c>
      <c r="B2955" s="56" t="b">
        <v>0</v>
      </c>
      <c r="C2955" s="56" t="b">
        <v>0</v>
      </c>
      <c r="D2955" s="56" t="b">
        <v>0</v>
      </c>
      <c r="E2955" s="56">
        <f ca="1">IF(PV[[#This Row],[Business Date]]=Control!$C$6, PV[[#This Row],[Notional Value Local Cur]], -PV[[#This Row],[Notional Value Local Cur]])</f>
        <v>0</v>
      </c>
    </row>
    <row r="2956" spans="1:5" x14ac:dyDescent="0.25">
      <c r="A2956" s="36" t="b">
        <v>0</v>
      </c>
      <c r="B2956" s="56" t="b">
        <v>0</v>
      </c>
      <c r="C2956" s="56" t="b">
        <v>0</v>
      </c>
      <c r="D2956" s="56" t="b">
        <v>0</v>
      </c>
      <c r="E2956" s="56">
        <f ca="1">IF(PV[[#This Row],[Business Date]]=Control!$C$6, PV[[#This Row],[Notional Value Local Cur]], -PV[[#This Row],[Notional Value Local Cur]])</f>
        <v>0</v>
      </c>
    </row>
    <row r="2957" spans="1:5" x14ac:dyDescent="0.25">
      <c r="A2957" s="36" t="b">
        <v>0</v>
      </c>
      <c r="B2957" s="56" t="b">
        <v>0</v>
      </c>
      <c r="C2957" s="56" t="b">
        <v>0</v>
      </c>
      <c r="D2957" s="56" t="b">
        <v>0</v>
      </c>
      <c r="E2957" s="56">
        <f ca="1">IF(PV[[#This Row],[Business Date]]=Control!$C$6, PV[[#This Row],[Notional Value Local Cur]], -PV[[#This Row],[Notional Value Local Cur]])</f>
        <v>0</v>
      </c>
    </row>
    <row r="2958" spans="1:5" x14ac:dyDescent="0.25">
      <c r="A2958" s="36" t="b">
        <v>0</v>
      </c>
      <c r="B2958" s="56" t="b">
        <v>0</v>
      </c>
      <c r="C2958" s="56" t="b">
        <v>0</v>
      </c>
      <c r="D2958" s="56" t="b">
        <v>0</v>
      </c>
      <c r="E2958" s="56">
        <f ca="1">IF(PV[[#This Row],[Business Date]]=Control!$C$6, PV[[#This Row],[Notional Value Local Cur]], -PV[[#This Row],[Notional Value Local Cur]])</f>
        <v>0</v>
      </c>
    </row>
    <row r="2959" spans="1:5" x14ac:dyDescent="0.25">
      <c r="A2959" s="36" t="b">
        <v>0</v>
      </c>
      <c r="B2959" s="56" t="b">
        <v>0</v>
      </c>
      <c r="C2959" s="56" t="b">
        <v>0</v>
      </c>
      <c r="D2959" s="56" t="b">
        <v>0</v>
      </c>
      <c r="E2959" s="56">
        <f ca="1">IF(PV[[#This Row],[Business Date]]=Control!$C$6, PV[[#This Row],[Notional Value Local Cur]], -PV[[#This Row],[Notional Value Local Cur]])</f>
        <v>0</v>
      </c>
    </row>
    <row r="2960" spans="1:5" x14ac:dyDescent="0.25">
      <c r="A2960" s="36" t="b">
        <v>0</v>
      </c>
      <c r="B2960" s="56" t="b">
        <v>0</v>
      </c>
      <c r="C2960" s="56" t="b">
        <v>0</v>
      </c>
      <c r="D2960" s="56" t="b">
        <v>0</v>
      </c>
      <c r="E2960" s="56">
        <f ca="1">IF(PV[[#This Row],[Business Date]]=Control!$C$6, PV[[#This Row],[Notional Value Local Cur]], -PV[[#This Row],[Notional Value Local Cur]])</f>
        <v>0</v>
      </c>
    </row>
    <row r="2961" spans="1:5" x14ac:dyDescent="0.25">
      <c r="A2961" s="36" t="b">
        <v>0</v>
      </c>
      <c r="B2961" s="56" t="b">
        <v>0</v>
      </c>
      <c r="C2961" s="56" t="b">
        <v>0</v>
      </c>
      <c r="D2961" s="56" t="b">
        <v>0</v>
      </c>
      <c r="E2961" s="56">
        <f ca="1">IF(PV[[#This Row],[Business Date]]=Control!$C$6, PV[[#This Row],[Notional Value Local Cur]], -PV[[#This Row],[Notional Value Local Cur]])</f>
        <v>0</v>
      </c>
    </row>
    <row r="2962" spans="1:5" x14ac:dyDescent="0.25">
      <c r="A2962" s="36" t="b">
        <v>0</v>
      </c>
      <c r="B2962" s="56" t="b">
        <v>0</v>
      </c>
      <c r="C2962" s="56" t="b">
        <v>0</v>
      </c>
      <c r="D2962" s="56" t="b">
        <v>0</v>
      </c>
      <c r="E2962" s="56">
        <f ca="1">IF(PV[[#This Row],[Business Date]]=Control!$C$6, PV[[#This Row],[Notional Value Local Cur]], -PV[[#This Row],[Notional Value Local Cur]])</f>
        <v>0</v>
      </c>
    </row>
    <row r="2963" spans="1:5" x14ac:dyDescent="0.25">
      <c r="A2963" s="36" t="b">
        <v>0</v>
      </c>
      <c r="B2963" s="56" t="b">
        <v>0</v>
      </c>
      <c r="C2963" s="56" t="b">
        <v>0</v>
      </c>
      <c r="D2963" s="56" t="b">
        <v>0</v>
      </c>
      <c r="E2963" s="56">
        <f ca="1">IF(PV[[#This Row],[Business Date]]=Control!$C$6, PV[[#This Row],[Notional Value Local Cur]], -PV[[#This Row],[Notional Value Local Cur]])</f>
        <v>0</v>
      </c>
    </row>
    <row r="2964" spans="1:5" x14ac:dyDescent="0.25">
      <c r="A2964" s="36" t="b">
        <v>0</v>
      </c>
      <c r="B2964" s="56" t="b">
        <v>0</v>
      </c>
      <c r="C2964" s="56" t="b">
        <v>0</v>
      </c>
      <c r="D2964" s="56" t="b">
        <v>0</v>
      </c>
      <c r="E2964" s="56">
        <f ca="1">IF(PV[[#This Row],[Business Date]]=Control!$C$6, PV[[#This Row],[Notional Value Local Cur]], -PV[[#This Row],[Notional Value Local Cur]])</f>
        <v>0</v>
      </c>
    </row>
    <row r="2965" spans="1:5" x14ac:dyDescent="0.25">
      <c r="A2965" s="36" t="b">
        <v>0</v>
      </c>
      <c r="B2965" s="56" t="b">
        <v>0</v>
      </c>
      <c r="C2965" s="56" t="b">
        <v>0</v>
      </c>
      <c r="D2965" s="56" t="b">
        <v>0</v>
      </c>
      <c r="E2965" s="56">
        <f ca="1">IF(PV[[#This Row],[Business Date]]=Control!$C$6, PV[[#This Row],[Notional Value Local Cur]], -PV[[#This Row],[Notional Value Local Cur]])</f>
        <v>0</v>
      </c>
    </row>
    <row r="2966" spans="1:5" x14ac:dyDescent="0.25">
      <c r="A2966" s="36" t="b">
        <v>0</v>
      </c>
      <c r="B2966" s="56" t="b">
        <v>0</v>
      </c>
      <c r="C2966" s="56" t="b">
        <v>0</v>
      </c>
      <c r="D2966" s="56" t="b">
        <v>0</v>
      </c>
      <c r="E2966" s="56">
        <f ca="1">IF(PV[[#This Row],[Business Date]]=Control!$C$6, PV[[#This Row],[Notional Value Local Cur]], -PV[[#This Row],[Notional Value Local Cur]])</f>
        <v>0</v>
      </c>
    </row>
    <row r="2967" spans="1:5" x14ac:dyDescent="0.25">
      <c r="A2967" s="36" t="b">
        <v>0</v>
      </c>
      <c r="B2967" s="56" t="b">
        <v>0</v>
      </c>
      <c r="C2967" s="56" t="b">
        <v>0</v>
      </c>
      <c r="D2967" s="56" t="b">
        <v>0</v>
      </c>
      <c r="E2967" s="56">
        <f ca="1">IF(PV[[#This Row],[Business Date]]=Control!$C$6, PV[[#This Row],[Notional Value Local Cur]], -PV[[#This Row],[Notional Value Local Cur]])</f>
        <v>0</v>
      </c>
    </row>
    <row r="2968" spans="1:5" x14ac:dyDescent="0.25">
      <c r="A2968" s="36" t="b">
        <v>0</v>
      </c>
      <c r="B2968" s="56" t="b">
        <v>0</v>
      </c>
      <c r="C2968" s="56" t="b">
        <v>0</v>
      </c>
      <c r="D2968" s="56" t="b">
        <v>0</v>
      </c>
      <c r="E2968" s="56">
        <f ca="1">IF(PV[[#This Row],[Business Date]]=Control!$C$6, PV[[#This Row],[Notional Value Local Cur]], -PV[[#This Row],[Notional Value Local Cur]])</f>
        <v>0</v>
      </c>
    </row>
    <row r="2969" spans="1:5" x14ac:dyDescent="0.25">
      <c r="A2969" s="36" t="b">
        <v>0</v>
      </c>
      <c r="B2969" s="56" t="b">
        <v>0</v>
      </c>
      <c r="C2969" s="56" t="b">
        <v>0</v>
      </c>
      <c r="D2969" s="56" t="b">
        <v>0</v>
      </c>
      <c r="E2969" s="56">
        <f ca="1">IF(PV[[#This Row],[Business Date]]=Control!$C$6, PV[[#This Row],[Notional Value Local Cur]], -PV[[#This Row],[Notional Value Local Cur]])</f>
        <v>0</v>
      </c>
    </row>
    <row r="2970" spans="1:5" x14ac:dyDescent="0.25">
      <c r="A2970" s="36" t="b">
        <v>0</v>
      </c>
      <c r="B2970" s="56" t="b">
        <v>0</v>
      </c>
      <c r="C2970" s="56" t="b">
        <v>0</v>
      </c>
      <c r="D2970" s="56" t="b">
        <v>0</v>
      </c>
      <c r="E2970" s="56">
        <f ca="1">IF(PV[[#This Row],[Business Date]]=Control!$C$6, PV[[#This Row],[Notional Value Local Cur]], -PV[[#This Row],[Notional Value Local Cur]])</f>
        <v>0</v>
      </c>
    </row>
    <row r="2971" spans="1:5" x14ac:dyDescent="0.25">
      <c r="A2971" s="36" t="b">
        <v>0</v>
      </c>
      <c r="B2971" s="56" t="b">
        <v>0</v>
      </c>
      <c r="C2971" s="56" t="b">
        <v>0</v>
      </c>
      <c r="D2971" s="56" t="b">
        <v>0</v>
      </c>
      <c r="E2971" s="56">
        <f ca="1">IF(PV[[#This Row],[Business Date]]=Control!$C$6, PV[[#This Row],[Notional Value Local Cur]], -PV[[#This Row],[Notional Value Local Cur]])</f>
        <v>0</v>
      </c>
    </row>
    <row r="2972" spans="1:5" x14ac:dyDescent="0.25">
      <c r="A2972" s="36" t="b">
        <v>0</v>
      </c>
      <c r="B2972" s="56" t="b">
        <v>0</v>
      </c>
      <c r="C2972" s="56" t="b">
        <v>0</v>
      </c>
      <c r="D2972" s="56" t="b">
        <v>0</v>
      </c>
      <c r="E2972" s="56">
        <f ca="1">IF(PV[[#This Row],[Business Date]]=Control!$C$6, PV[[#This Row],[Notional Value Local Cur]], -PV[[#This Row],[Notional Value Local Cur]])</f>
        <v>0</v>
      </c>
    </row>
    <row r="2973" spans="1:5" x14ac:dyDescent="0.25">
      <c r="A2973" s="36" t="b">
        <v>0</v>
      </c>
      <c r="B2973" s="56" t="b">
        <v>0</v>
      </c>
      <c r="C2973" s="56" t="b">
        <v>0</v>
      </c>
      <c r="D2973" s="56" t="b">
        <v>0</v>
      </c>
      <c r="E2973" s="56">
        <f ca="1">IF(PV[[#This Row],[Business Date]]=Control!$C$6, PV[[#This Row],[Notional Value Local Cur]], -PV[[#This Row],[Notional Value Local Cur]])</f>
        <v>0</v>
      </c>
    </row>
    <row r="2974" spans="1:5" x14ac:dyDescent="0.25">
      <c r="A2974" s="36" t="b">
        <v>0</v>
      </c>
      <c r="B2974" s="56" t="b">
        <v>0</v>
      </c>
      <c r="C2974" s="56" t="b">
        <v>0</v>
      </c>
      <c r="D2974" s="56" t="b">
        <v>0</v>
      </c>
      <c r="E2974" s="56">
        <f ca="1">IF(PV[[#This Row],[Business Date]]=Control!$C$6, PV[[#This Row],[Notional Value Local Cur]], -PV[[#This Row],[Notional Value Local Cur]])</f>
        <v>0</v>
      </c>
    </row>
    <row r="2975" spans="1:5" x14ac:dyDescent="0.25">
      <c r="A2975" s="36" t="b">
        <v>0</v>
      </c>
      <c r="B2975" s="56" t="b">
        <v>0</v>
      </c>
      <c r="C2975" s="56" t="b">
        <v>0</v>
      </c>
      <c r="D2975" s="56" t="b">
        <v>0</v>
      </c>
      <c r="E2975" s="56">
        <f ca="1">IF(PV[[#This Row],[Business Date]]=Control!$C$6, PV[[#This Row],[Notional Value Local Cur]], -PV[[#This Row],[Notional Value Local Cur]])</f>
        <v>0</v>
      </c>
    </row>
    <row r="2976" spans="1:5" x14ac:dyDescent="0.25">
      <c r="A2976" s="36" t="b">
        <v>0</v>
      </c>
      <c r="B2976" s="56" t="b">
        <v>0</v>
      </c>
      <c r="C2976" s="56" t="b">
        <v>0</v>
      </c>
      <c r="D2976" s="56" t="b">
        <v>0</v>
      </c>
      <c r="E2976" s="56">
        <f ca="1">IF(PV[[#This Row],[Business Date]]=Control!$C$6, PV[[#This Row],[Notional Value Local Cur]], -PV[[#This Row],[Notional Value Local Cur]])</f>
        <v>0</v>
      </c>
    </row>
    <row r="2977" spans="1:5" x14ac:dyDescent="0.25">
      <c r="A2977" s="36" t="b">
        <v>0</v>
      </c>
      <c r="B2977" s="56" t="b">
        <v>0</v>
      </c>
      <c r="C2977" s="56" t="b">
        <v>0</v>
      </c>
      <c r="D2977" s="56" t="b">
        <v>0</v>
      </c>
      <c r="E2977" s="56">
        <f ca="1">IF(PV[[#This Row],[Business Date]]=Control!$C$6, PV[[#This Row],[Notional Value Local Cur]], -PV[[#This Row],[Notional Value Local Cur]])</f>
        <v>0</v>
      </c>
    </row>
    <row r="2978" spans="1:5" x14ac:dyDescent="0.25">
      <c r="A2978" s="36" t="b">
        <v>0</v>
      </c>
      <c r="B2978" s="56" t="b">
        <v>0</v>
      </c>
      <c r="C2978" s="56" t="b">
        <v>0</v>
      </c>
      <c r="D2978" s="56" t="b">
        <v>0</v>
      </c>
      <c r="E2978" s="56">
        <f ca="1">IF(PV[[#This Row],[Business Date]]=Control!$C$6, PV[[#This Row],[Notional Value Local Cur]], -PV[[#This Row],[Notional Value Local Cur]])</f>
        <v>0</v>
      </c>
    </row>
    <row r="2979" spans="1:5" x14ac:dyDescent="0.25">
      <c r="A2979" s="36" t="b">
        <v>0</v>
      </c>
      <c r="B2979" s="56" t="b">
        <v>0</v>
      </c>
      <c r="C2979" s="56" t="b">
        <v>0</v>
      </c>
      <c r="D2979" s="56" t="b">
        <v>0</v>
      </c>
      <c r="E2979" s="56">
        <f ca="1">IF(PV[[#This Row],[Business Date]]=Control!$C$6, PV[[#This Row],[Notional Value Local Cur]], -PV[[#This Row],[Notional Value Local Cur]])</f>
        <v>0</v>
      </c>
    </row>
    <row r="2980" spans="1:5" x14ac:dyDescent="0.25">
      <c r="A2980" s="36" t="b">
        <v>0</v>
      </c>
      <c r="B2980" s="56" t="b">
        <v>0</v>
      </c>
      <c r="C2980" s="56" t="b">
        <v>0</v>
      </c>
      <c r="D2980" s="56" t="b">
        <v>0</v>
      </c>
      <c r="E2980" s="56">
        <f ca="1">IF(PV[[#This Row],[Business Date]]=Control!$C$6, PV[[#This Row],[Notional Value Local Cur]], -PV[[#This Row],[Notional Value Local Cur]])</f>
        <v>0</v>
      </c>
    </row>
    <row r="2981" spans="1:5" x14ac:dyDescent="0.25">
      <c r="A2981" s="36" t="b">
        <v>0</v>
      </c>
      <c r="B2981" s="56" t="b">
        <v>0</v>
      </c>
      <c r="C2981" s="56" t="b">
        <v>0</v>
      </c>
      <c r="D2981" s="56" t="b">
        <v>0</v>
      </c>
      <c r="E2981" s="56">
        <f ca="1">IF(PV[[#This Row],[Business Date]]=Control!$C$6, PV[[#This Row],[Notional Value Local Cur]], -PV[[#This Row],[Notional Value Local Cur]])</f>
        <v>0</v>
      </c>
    </row>
    <row r="2982" spans="1:5" x14ac:dyDescent="0.25">
      <c r="A2982" s="36" t="b">
        <v>0</v>
      </c>
      <c r="B2982" s="56" t="b">
        <v>0</v>
      </c>
      <c r="C2982" s="56" t="b">
        <v>0</v>
      </c>
      <c r="D2982" s="56" t="b">
        <v>0</v>
      </c>
      <c r="E2982" s="56">
        <f ca="1">IF(PV[[#This Row],[Business Date]]=Control!$C$6, PV[[#This Row],[Notional Value Local Cur]], -PV[[#This Row],[Notional Value Local Cur]])</f>
        <v>0</v>
      </c>
    </row>
    <row r="2983" spans="1:5" x14ac:dyDescent="0.25">
      <c r="A2983" s="36" t="b">
        <v>0</v>
      </c>
      <c r="B2983" s="56" t="b">
        <v>0</v>
      </c>
      <c r="C2983" s="56" t="b">
        <v>0</v>
      </c>
      <c r="D2983" s="56" t="b">
        <v>0</v>
      </c>
      <c r="E2983" s="56">
        <f ca="1">IF(PV[[#This Row],[Business Date]]=Control!$C$6, PV[[#This Row],[Notional Value Local Cur]], -PV[[#This Row],[Notional Value Local Cur]])</f>
        <v>0</v>
      </c>
    </row>
    <row r="2984" spans="1:5" x14ac:dyDescent="0.25">
      <c r="A2984" s="36" t="b">
        <v>0</v>
      </c>
      <c r="B2984" s="56" t="b">
        <v>0</v>
      </c>
      <c r="C2984" s="56" t="b">
        <v>0</v>
      </c>
      <c r="D2984" s="56" t="b">
        <v>0</v>
      </c>
      <c r="E2984" s="56">
        <f ca="1">IF(PV[[#This Row],[Business Date]]=Control!$C$6, PV[[#This Row],[Notional Value Local Cur]], -PV[[#This Row],[Notional Value Local Cur]])</f>
        <v>0</v>
      </c>
    </row>
    <row r="2985" spans="1:5" x14ac:dyDescent="0.25">
      <c r="A2985" s="36" t="b">
        <v>0</v>
      </c>
      <c r="B2985" s="56" t="b">
        <v>0</v>
      </c>
      <c r="C2985" s="56" t="b">
        <v>0</v>
      </c>
      <c r="D2985" s="56" t="b">
        <v>0</v>
      </c>
      <c r="E2985" s="56">
        <f ca="1">IF(PV[[#This Row],[Business Date]]=Control!$C$6, PV[[#This Row],[Notional Value Local Cur]], -PV[[#This Row],[Notional Value Local Cur]])</f>
        <v>0</v>
      </c>
    </row>
    <row r="2986" spans="1:5" x14ac:dyDescent="0.25">
      <c r="A2986" s="36" t="b">
        <v>0</v>
      </c>
      <c r="B2986" s="56" t="b">
        <v>0</v>
      </c>
      <c r="C2986" s="56" t="b">
        <v>0</v>
      </c>
      <c r="D2986" s="56" t="b">
        <v>0</v>
      </c>
      <c r="E2986" s="56">
        <f ca="1">IF(PV[[#This Row],[Business Date]]=Control!$C$6, PV[[#This Row],[Notional Value Local Cur]], -PV[[#This Row],[Notional Value Local Cur]])</f>
        <v>0</v>
      </c>
    </row>
    <row r="2987" spans="1:5" x14ac:dyDescent="0.25">
      <c r="A2987" s="36" t="b">
        <v>0</v>
      </c>
      <c r="B2987" s="56" t="b">
        <v>0</v>
      </c>
      <c r="C2987" s="56" t="b">
        <v>0</v>
      </c>
      <c r="D2987" s="56" t="b">
        <v>0</v>
      </c>
      <c r="E2987" s="56">
        <f ca="1">IF(PV[[#This Row],[Business Date]]=Control!$C$6, PV[[#This Row],[Notional Value Local Cur]], -PV[[#This Row],[Notional Value Local Cur]])</f>
        <v>0</v>
      </c>
    </row>
    <row r="2988" spans="1:5" x14ac:dyDescent="0.25">
      <c r="A2988" s="36" t="b">
        <v>0</v>
      </c>
      <c r="B2988" s="56" t="b">
        <v>0</v>
      </c>
      <c r="C2988" s="56" t="b">
        <v>0</v>
      </c>
      <c r="D2988" s="56" t="b">
        <v>0</v>
      </c>
      <c r="E2988" s="56">
        <f ca="1">IF(PV[[#This Row],[Business Date]]=Control!$C$6, PV[[#This Row],[Notional Value Local Cur]], -PV[[#This Row],[Notional Value Local Cur]])</f>
        <v>0</v>
      </c>
    </row>
    <row r="2989" spans="1:5" x14ac:dyDescent="0.25">
      <c r="A2989" s="36" t="b">
        <v>0</v>
      </c>
      <c r="B2989" s="56" t="b">
        <v>0</v>
      </c>
      <c r="C2989" s="56" t="b">
        <v>0</v>
      </c>
      <c r="D2989" s="56" t="b">
        <v>0</v>
      </c>
      <c r="E2989" s="56">
        <f ca="1">IF(PV[[#This Row],[Business Date]]=Control!$C$6, PV[[#This Row],[Notional Value Local Cur]], -PV[[#This Row],[Notional Value Local Cur]])</f>
        <v>0</v>
      </c>
    </row>
    <row r="2990" spans="1:5" x14ac:dyDescent="0.25">
      <c r="A2990" s="36" t="b">
        <v>0</v>
      </c>
      <c r="B2990" s="56" t="b">
        <v>0</v>
      </c>
      <c r="C2990" s="56" t="b">
        <v>0</v>
      </c>
      <c r="D2990" s="56" t="b">
        <v>0</v>
      </c>
      <c r="E2990" s="56">
        <f ca="1">IF(PV[[#This Row],[Business Date]]=Control!$C$6, PV[[#This Row],[Notional Value Local Cur]], -PV[[#This Row],[Notional Value Local Cur]])</f>
        <v>0</v>
      </c>
    </row>
    <row r="2991" spans="1:5" x14ac:dyDescent="0.25">
      <c r="A2991" s="36" t="b">
        <v>0</v>
      </c>
      <c r="B2991" s="56" t="b">
        <v>0</v>
      </c>
      <c r="C2991" s="56" t="b">
        <v>0</v>
      </c>
      <c r="D2991" s="56" t="b">
        <v>0</v>
      </c>
      <c r="E2991" s="56">
        <f ca="1">IF(PV[[#This Row],[Business Date]]=Control!$C$6, PV[[#This Row],[Notional Value Local Cur]], -PV[[#This Row],[Notional Value Local Cur]])</f>
        <v>0</v>
      </c>
    </row>
    <row r="2992" spans="1:5" x14ac:dyDescent="0.25">
      <c r="A2992" s="36" t="b">
        <v>0</v>
      </c>
      <c r="B2992" s="56" t="b">
        <v>0</v>
      </c>
      <c r="C2992" s="56" t="b">
        <v>0</v>
      </c>
      <c r="D2992" s="56" t="b">
        <v>0</v>
      </c>
      <c r="E2992" s="56">
        <f ca="1">IF(PV[[#This Row],[Business Date]]=Control!$C$6, PV[[#This Row],[Notional Value Local Cur]], -PV[[#This Row],[Notional Value Local Cur]])</f>
        <v>0</v>
      </c>
    </row>
    <row r="2993" spans="1:5" x14ac:dyDescent="0.25">
      <c r="A2993" s="36" t="b">
        <v>0</v>
      </c>
      <c r="B2993" s="56" t="b">
        <v>0</v>
      </c>
      <c r="C2993" s="56" t="b">
        <v>0</v>
      </c>
      <c r="D2993" s="56" t="b">
        <v>0</v>
      </c>
      <c r="E2993" s="56">
        <f ca="1">IF(PV[[#This Row],[Business Date]]=Control!$C$6, PV[[#This Row],[Notional Value Local Cur]], -PV[[#This Row],[Notional Value Local Cur]])</f>
        <v>0</v>
      </c>
    </row>
    <row r="2994" spans="1:5" x14ac:dyDescent="0.25">
      <c r="A2994" s="36" t="b">
        <v>0</v>
      </c>
      <c r="B2994" s="56" t="b">
        <v>0</v>
      </c>
      <c r="C2994" s="56" t="b">
        <v>0</v>
      </c>
      <c r="D2994" s="56" t="b">
        <v>0</v>
      </c>
      <c r="E2994" s="56">
        <f ca="1">IF(PV[[#This Row],[Business Date]]=Control!$C$6, PV[[#This Row],[Notional Value Local Cur]], -PV[[#This Row],[Notional Value Local Cur]])</f>
        <v>0</v>
      </c>
    </row>
    <row r="2995" spans="1:5" x14ac:dyDescent="0.25">
      <c r="A2995" s="36" t="b">
        <v>0</v>
      </c>
      <c r="B2995" s="56" t="b">
        <v>0</v>
      </c>
      <c r="C2995" s="56" t="b">
        <v>0</v>
      </c>
      <c r="D2995" s="56" t="b">
        <v>0</v>
      </c>
      <c r="E2995" s="56">
        <f ca="1">IF(PV[[#This Row],[Business Date]]=Control!$C$6, PV[[#This Row],[Notional Value Local Cur]], -PV[[#This Row],[Notional Value Local Cur]])</f>
        <v>0</v>
      </c>
    </row>
    <row r="2996" spans="1:5" x14ac:dyDescent="0.25">
      <c r="A2996" s="36" t="b">
        <v>0</v>
      </c>
      <c r="B2996" s="56" t="b">
        <v>0</v>
      </c>
      <c r="C2996" s="56" t="b">
        <v>0</v>
      </c>
      <c r="D2996" s="56" t="b">
        <v>0</v>
      </c>
      <c r="E2996" s="56">
        <f ca="1">IF(PV[[#This Row],[Business Date]]=Control!$C$6, PV[[#This Row],[Notional Value Local Cur]], -PV[[#This Row],[Notional Value Local Cur]])</f>
        <v>0</v>
      </c>
    </row>
    <row r="2997" spans="1:5" x14ac:dyDescent="0.25">
      <c r="A2997" s="36" t="b">
        <v>0</v>
      </c>
      <c r="B2997" s="56" t="b">
        <v>0</v>
      </c>
      <c r="C2997" s="56" t="b">
        <v>0</v>
      </c>
      <c r="D2997" s="56" t="b">
        <v>0</v>
      </c>
      <c r="E2997" s="56">
        <f ca="1">IF(PV[[#This Row],[Business Date]]=Control!$C$6, PV[[#This Row],[Notional Value Local Cur]], -PV[[#This Row],[Notional Value Local Cur]])</f>
        <v>0</v>
      </c>
    </row>
    <row r="2998" spans="1:5" x14ac:dyDescent="0.25">
      <c r="A2998" s="36" t="b">
        <v>0</v>
      </c>
      <c r="B2998" s="56" t="b">
        <v>0</v>
      </c>
      <c r="C2998" s="56" t="b">
        <v>0</v>
      </c>
      <c r="D2998" s="56" t="b">
        <v>0</v>
      </c>
      <c r="E2998" s="56">
        <f ca="1">IF(PV[[#This Row],[Business Date]]=Control!$C$6, PV[[#This Row],[Notional Value Local Cur]], -PV[[#This Row],[Notional Value Local Cur]])</f>
        <v>0</v>
      </c>
    </row>
    <row r="2999" spans="1:5" x14ac:dyDescent="0.25">
      <c r="A2999" s="36" t="b">
        <v>0</v>
      </c>
      <c r="B2999" s="56" t="b">
        <v>0</v>
      </c>
      <c r="C2999" s="56" t="b">
        <v>0</v>
      </c>
      <c r="D2999" s="56" t="b">
        <v>0</v>
      </c>
      <c r="E2999" s="56">
        <f ca="1">IF(PV[[#This Row],[Business Date]]=Control!$C$6, PV[[#This Row],[Notional Value Local Cur]], -PV[[#This Row],[Notional Value Local Cur]])</f>
        <v>0</v>
      </c>
    </row>
    <row r="3000" spans="1:5" x14ac:dyDescent="0.25">
      <c r="A3000" s="36" t="b">
        <v>0</v>
      </c>
      <c r="B3000" s="56" t="b">
        <v>0</v>
      </c>
      <c r="C3000" s="56" t="b">
        <v>0</v>
      </c>
      <c r="D3000" s="56" t="b">
        <v>0</v>
      </c>
      <c r="E3000" s="56">
        <f ca="1">IF(PV[[#This Row],[Business Date]]=Control!$C$6, PV[[#This Row],[Notional Value Local Cur]], -PV[[#This Row],[Notional Value Local Cur]])</f>
        <v>0</v>
      </c>
    </row>
    <row r="3001" spans="1:5" x14ac:dyDescent="0.25">
      <c r="A3001" s="36" t="b">
        <v>0</v>
      </c>
      <c r="B3001" s="56" t="b">
        <v>0</v>
      </c>
      <c r="C3001" s="56" t="b">
        <v>0</v>
      </c>
      <c r="D3001" s="56" t="b">
        <v>0</v>
      </c>
      <c r="E3001" s="56">
        <f ca="1">IF(PV[[#This Row],[Business Date]]=Control!$C$6, PV[[#This Row],[Notional Value Local Cur]], -PV[[#This Row],[Notional Value Local Cur]])</f>
        <v>0</v>
      </c>
    </row>
    <row r="3002" spans="1:5" x14ac:dyDescent="0.25">
      <c r="A3002" s="36" t="b">
        <v>0</v>
      </c>
      <c r="B3002" s="56" t="b">
        <v>0</v>
      </c>
      <c r="C3002" s="56" t="b">
        <v>0</v>
      </c>
      <c r="D3002" s="56" t="b">
        <v>0</v>
      </c>
      <c r="E3002" s="56">
        <f ca="1">IF(PV[[#This Row],[Business Date]]=Control!$C$6, PV[[#This Row],[Notional Value Local Cur]], -PV[[#This Row],[Notional Value Local Cur]])</f>
        <v>0</v>
      </c>
    </row>
    <row r="3003" spans="1:5" x14ac:dyDescent="0.25">
      <c r="A3003" s="36" t="b">
        <v>0</v>
      </c>
      <c r="B3003" s="56" t="b">
        <v>0</v>
      </c>
      <c r="C3003" s="56" t="b">
        <v>0</v>
      </c>
      <c r="D3003" s="56" t="b">
        <v>0</v>
      </c>
      <c r="E3003" s="56">
        <f ca="1">IF(PV[[#This Row],[Business Date]]=Control!$C$6, PV[[#This Row],[Notional Value Local Cur]], -PV[[#This Row],[Notional Value Local Cur]])</f>
        <v>0</v>
      </c>
    </row>
    <row r="3004" spans="1:5" x14ac:dyDescent="0.25">
      <c r="A3004" s="36" t="b">
        <v>0</v>
      </c>
      <c r="B3004" s="56" t="b">
        <v>0</v>
      </c>
      <c r="C3004" s="56" t="b">
        <v>0</v>
      </c>
      <c r="D3004" s="56" t="b">
        <v>0</v>
      </c>
      <c r="E3004" s="56">
        <f ca="1">IF(PV[[#This Row],[Business Date]]=Control!$C$6, PV[[#This Row],[Notional Value Local Cur]], -PV[[#This Row],[Notional Value Local Cur]])</f>
        <v>0</v>
      </c>
    </row>
    <row r="3005" spans="1:5" x14ac:dyDescent="0.25">
      <c r="A3005" s="36" t="b">
        <v>0</v>
      </c>
      <c r="B3005" s="56" t="b">
        <v>0</v>
      </c>
      <c r="C3005" s="56" t="b">
        <v>0</v>
      </c>
      <c r="D3005" s="56" t="b">
        <v>0</v>
      </c>
      <c r="E3005" s="56">
        <f ca="1">IF(PV[[#This Row],[Business Date]]=Control!$C$6, PV[[#This Row],[Notional Value Local Cur]], -PV[[#This Row],[Notional Value Local Cur]])</f>
        <v>0</v>
      </c>
    </row>
    <row r="3006" spans="1:5" x14ac:dyDescent="0.25">
      <c r="A3006" s="36" t="b">
        <v>0</v>
      </c>
      <c r="B3006" s="56" t="b">
        <v>0</v>
      </c>
      <c r="C3006" s="56" t="b">
        <v>0</v>
      </c>
      <c r="D3006" s="56" t="b">
        <v>0</v>
      </c>
      <c r="E3006" s="56">
        <f ca="1">IF(PV[[#This Row],[Business Date]]=Control!$C$6, PV[[#This Row],[Notional Value Local Cur]], -PV[[#This Row],[Notional Value Local Cur]])</f>
        <v>0</v>
      </c>
    </row>
    <row r="3007" spans="1:5" x14ac:dyDescent="0.25">
      <c r="A3007" s="36" t="b">
        <v>0</v>
      </c>
      <c r="B3007" s="56" t="b">
        <v>0</v>
      </c>
      <c r="C3007" s="56" t="b">
        <v>0</v>
      </c>
      <c r="D3007" s="56" t="b">
        <v>0</v>
      </c>
      <c r="E3007" s="56">
        <f ca="1">IF(PV[[#This Row],[Business Date]]=Control!$C$6, PV[[#This Row],[Notional Value Local Cur]], -PV[[#This Row],[Notional Value Local Cur]])</f>
        <v>0</v>
      </c>
    </row>
    <row r="3008" spans="1:5" x14ac:dyDescent="0.25">
      <c r="A3008" s="36" t="b">
        <v>0</v>
      </c>
      <c r="B3008" s="56" t="b">
        <v>0</v>
      </c>
      <c r="C3008" s="56" t="b">
        <v>0</v>
      </c>
      <c r="D3008" s="56" t="b">
        <v>0</v>
      </c>
      <c r="E3008" s="56">
        <f ca="1">IF(PV[[#This Row],[Business Date]]=Control!$C$6, PV[[#This Row],[Notional Value Local Cur]], -PV[[#This Row],[Notional Value Local Cur]])</f>
        <v>0</v>
      </c>
    </row>
    <row r="3009" spans="1:5" x14ac:dyDescent="0.25">
      <c r="A3009" s="36" t="b">
        <v>0</v>
      </c>
      <c r="B3009" s="56" t="b">
        <v>0</v>
      </c>
      <c r="C3009" s="56" t="b">
        <v>0</v>
      </c>
      <c r="D3009" s="56" t="b">
        <v>0</v>
      </c>
      <c r="E3009" s="56">
        <f ca="1">IF(PV[[#This Row],[Business Date]]=Control!$C$6, PV[[#This Row],[Notional Value Local Cur]], -PV[[#This Row],[Notional Value Local Cur]])</f>
        <v>0</v>
      </c>
    </row>
    <row r="3010" spans="1:5" x14ac:dyDescent="0.25">
      <c r="A3010" s="36" t="b">
        <v>0</v>
      </c>
      <c r="B3010" s="56" t="b">
        <v>0</v>
      </c>
      <c r="C3010" s="56" t="b">
        <v>0</v>
      </c>
      <c r="D3010" s="56" t="b">
        <v>0</v>
      </c>
      <c r="E3010" s="56">
        <f ca="1">IF(PV[[#This Row],[Business Date]]=Control!$C$6, PV[[#This Row],[Notional Value Local Cur]], -PV[[#This Row],[Notional Value Local Cur]])</f>
        <v>0</v>
      </c>
    </row>
    <row r="3011" spans="1:5" x14ac:dyDescent="0.25">
      <c r="A3011" s="36" t="b">
        <v>0</v>
      </c>
      <c r="B3011" s="56" t="b">
        <v>0</v>
      </c>
      <c r="C3011" s="56" t="b">
        <v>0</v>
      </c>
      <c r="D3011" s="56" t="b">
        <v>0</v>
      </c>
      <c r="E3011" s="56">
        <f ca="1">IF(PV[[#This Row],[Business Date]]=Control!$C$6, PV[[#This Row],[Notional Value Local Cur]], -PV[[#This Row],[Notional Value Local Cur]])</f>
        <v>0</v>
      </c>
    </row>
    <row r="3012" spans="1:5" x14ac:dyDescent="0.25">
      <c r="A3012" s="36" t="b">
        <v>0</v>
      </c>
      <c r="B3012" s="56" t="b">
        <v>0</v>
      </c>
      <c r="C3012" s="56" t="b">
        <v>0</v>
      </c>
      <c r="D3012" s="56" t="b">
        <v>0</v>
      </c>
      <c r="E3012" s="56">
        <f ca="1">IF(PV[[#This Row],[Business Date]]=Control!$C$6, PV[[#This Row],[Notional Value Local Cur]], -PV[[#This Row],[Notional Value Local Cur]])</f>
        <v>0</v>
      </c>
    </row>
    <row r="3013" spans="1:5" x14ac:dyDescent="0.25">
      <c r="A3013" s="36" t="b">
        <v>0</v>
      </c>
      <c r="B3013" s="56" t="b">
        <v>0</v>
      </c>
      <c r="C3013" s="56" t="b">
        <v>0</v>
      </c>
      <c r="D3013" s="56" t="b">
        <v>0</v>
      </c>
      <c r="E3013" s="56">
        <f ca="1">IF(PV[[#This Row],[Business Date]]=Control!$C$6, PV[[#This Row],[Notional Value Local Cur]], -PV[[#This Row],[Notional Value Local Cur]])</f>
        <v>0</v>
      </c>
    </row>
    <row r="3014" spans="1:5" x14ac:dyDescent="0.25">
      <c r="A3014" s="36" t="b">
        <v>0</v>
      </c>
      <c r="B3014" s="56" t="b">
        <v>0</v>
      </c>
      <c r="C3014" s="56" t="b">
        <v>0</v>
      </c>
      <c r="D3014" s="56" t="b">
        <v>0</v>
      </c>
      <c r="E3014" s="56">
        <f ca="1">IF(PV[[#This Row],[Business Date]]=Control!$C$6, PV[[#This Row],[Notional Value Local Cur]], -PV[[#This Row],[Notional Value Local Cur]])</f>
        <v>0</v>
      </c>
    </row>
    <row r="3015" spans="1:5" x14ac:dyDescent="0.25">
      <c r="A3015" s="36" t="b">
        <v>0</v>
      </c>
      <c r="B3015" s="56" t="b">
        <v>0</v>
      </c>
      <c r="C3015" s="56" t="b">
        <v>0</v>
      </c>
      <c r="D3015" s="56" t="b">
        <v>0</v>
      </c>
      <c r="E3015" s="56">
        <f ca="1">IF(PV[[#This Row],[Business Date]]=Control!$C$6, PV[[#This Row],[Notional Value Local Cur]], -PV[[#This Row],[Notional Value Local Cur]])</f>
        <v>0</v>
      </c>
    </row>
    <row r="3016" spans="1:5" x14ac:dyDescent="0.25">
      <c r="A3016" s="36" t="b">
        <v>0</v>
      </c>
      <c r="B3016" s="56" t="b">
        <v>0</v>
      </c>
      <c r="C3016" s="56" t="b">
        <v>0</v>
      </c>
      <c r="D3016" s="56" t="b">
        <v>0</v>
      </c>
      <c r="E3016" s="56">
        <f ca="1">IF(PV[[#This Row],[Business Date]]=Control!$C$6, PV[[#This Row],[Notional Value Local Cur]], -PV[[#This Row],[Notional Value Local Cur]])</f>
        <v>0</v>
      </c>
    </row>
    <row r="3017" spans="1:5" x14ac:dyDescent="0.25">
      <c r="A3017" s="36" t="b">
        <v>0</v>
      </c>
      <c r="B3017" s="56" t="b">
        <v>0</v>
      </c>
      <c r="C3017" s="56" t="b">
        <v>0</v>
      </c>
      <c r="D3017" s="56" t="b">
        <v>0</v>
      </c>
      <c r="E3017" s="56">
        <f ca="1">IF(PV[[#This Row],[Business Date]]=Control!$C$6, PV[[#This Row],[Notional Value Local Cur]], -PV[[#This Row],[Notional Value Local Cur]])</f>
        <v>0</v>
      </c>
    </row>
    <row r="3018" spans="1:5" x14ac:dyDescent="0.25">
      <c r="A3018" s="36" t="b">
        <v>0</v>
      </c>
      <c r="B3018" s="56" t="b">
        <v>0</v>
      </c>
      <c r="C3018" s="56" t="b">
        <v>0</v>
      </c>
      <c r="D3018" s="56" t="b">
        <v>0</v>
      </c>
      <c r="E3018" s="56">
        <f ca="1">IF(PV[[#This Row],[Business Date]]=Control!$C$6, PV[[#This Row],[Notional Value Local Cur]], -PV[[#This Row],[Notional Value Local Cur]])</f>
        <v>0</v>
      </c>
    </row>
    <row r="3019" spans="1:5" x14ac:dyDescent="0.25">
      <c r="A3019" s="36" t="b">
        <v>0</v>
      </c>
      <c r="B3019" s="56" t="b">
        <v>0</v>
      </c>
      <c r="C3019" s="56" t="b">
        <v>0</v>
      </c>
      <c r="D3019" s="56" t="b">
        <v>0</v>
      </c>
      <c r="E3019" s="56">
        <f ca="1">IF(PV[[#This Row],[Business Date]]=Control!$C$6, PV[[#This Row],[Notional Value Local Cur]], -PV[[#This Row],[Notional Value Local Cur]])</f>
        <v>0</v>
      </c>
    </row>
    <row r="3020" spans="1:5" x14ac:dyDescent="0.25">
      <c r="A3020" s="36" t="b">
        <v>0</v>
      </c>
      <c r="B3020" s="56" t="b">
        <v>0</v>
      </c>
      <c r="C3020" s="56" t="b">
        <v>0</v>
      </c>
      <c r="D3020" s="56" t="b">
        <v>0</v>
      </c>
      <c r="E3020" s="56">
        <f ca="1">IF(PV[[#This Row],[Business Date]]=Control!$C$6, PV[[#This Row],[Notional Value Local Cur]], -PV[[#This Row],[Notional Value Local Cur]])</f>
        <v>0</v>
      </c>
    </row>
    <row r="3021" spans="1:5" x14ac:dyDescent="0.25">
      <c r="A3021" s="36" t="b">
        <v>0</v>
      </c>
      <c r="B3021" s="56" t="b">
        <v>0</v>
      </c>
      <c r="C3021" s="56" t="b">
        <v>0</v>
      </c>
      <c r="D3021" s="56" t="b">
        <v>0</v>
      </c>
      <c r="E3021" s="56">
        <f ca="1">IF(PV[[#This Row],[Business Date]]=Control!$C$6, PV[[#This Row],[Notional Value Local Cur]], -PV[[#This Row],[Notional Value Local Cur]])</f>
        <v>0</v>
      </c>
    </row>
    <row r="3022" spans="1:5" x14ac:dyDescent="0.25">
      <c r="A3022" s="36" t="b">
        <v>0</v>
      </c>
      <c r="B3022" s="56" t="b">
        <v>0</v>
      </c>
      <c r="C3022" s="56" t="b">
        <v>0</v>
      </c>
      <c r="D3022" s="56" t="b">
        <v>0</v>
      </c>
      <c r="E3022" s="56">
        <f ca="1">IF(PV[[#This Row],[Business Date]]=Control!$C$6, PV[[#This Row],[Notional Value Local Cur]], -PV[[#This Row],[Notional Value Local Cur]])</f>
        <v>0</v>
      </c>
    </row>
    <row r="3023" spans="1:5" x14ac:dyDescent="0.25">
      <c r="A3023" s="36" t="b">
        <v>0</v>
      </c>
      <c r="B3023" s="56" t="b">
        <v>0</v>
      </c>
      <c r="C3023" s="56" t="b">
        <v>0</v>
      </c>
      <c r="D3023" s="56" t="b">
        <v>0</v>
      </c>
      <c r="E3023" s="56">
        <f ca="1">IF(PV[[#This Row],[Business Date]]=Control!$C$6, PV[[#This Row],[Notional Value Local Cur]], -PV[[#This Row],[Notional Value Local Cur]])</f>
        <v>0</v>
      </c>
    </row>
    <row r="3024" spans="1:5" x14ac:dyDescent="0.25">
      <c r="A3024" s="36" t="b">
        <v>0</v>
      </c>
      <c r="B3024" s="56" t="b">
        <v>0</v>
      </c>
      <c r="C3024" s="56" t="b">
        <v>0</v>
      </c>
      <c r="D3024" s="56" t="b">
        <v>0</v>
      </c>
      <c r="E3024" s="56">
        <f ca="1">IF(PV[[#This Row],[Business Date]]=Control!$C$6, PV[[#This Row],[Notional Value Local Cur]], -PV[[#This Row],[Notional Value Local Cur]])</f>
        <v>0</v>
      </c>
    </row>
    <row r="3025" spans="1:5" x14ac:dyDescent="0.25">
      <c r="A3025" s="36" t="b">
        <v>0</v>
      </c>
      <c r="B3025" s="56" t="b">
        <v>0</v>
      </c>
      <c r="C3025" s="56" t="b">
        <v>0</v>
      </c>
      <c r="D3025" s="56" t="b">
        <v>0</v>
      </c>
      <c r="E3025" s="56">
        <f ca="1">IF(PV[[#This Row],[Business Date]]=Control!$C$6, PV[[#This Row],[Notional Value Local Cur]], -PV[[#This Row],[Notional Value Local Cur]])</f>
        <v>0</v>
      </c>
    </row>
    <row r="3026" spans="1:5" x14ac:dyDescent="0.25">
      <c r="A3026" s="36" t="b">
        <v>0</v>
      </c>
      <c r="B3026" s="56" t="b">
        <v>0</v>
      </c>
      <c r="C3026" s="56" t="b">
        <v>0</v>
      </c>
      <c r="D3026" s="56" t="b">
        <v>0</v>
      </c>
      <c r="E3026" s="56">
        <f ca="1">IF(PV[[#This Row],[Business Date]]=Control!$C$6, PV[[#This Row],[Notional Value Local Cur]], -PV[[#This Row],[Notional Value Local Cur]])</f>
        <v>0</v>
      </c>
    </row>
    <row r="3027" spans="1:5" x14ac:dyDescent="0.25">
      <c r="A3027" s="36" t="b">
        <v>0</v>
      </c>
      <c r="B3027" s="56" t="b">
        <v>0</v>
      </c>
      <c r="C3027" s="56" t="b">
        <v>0</v>
      </c>
      <c r="D3027" s="56" t="b">
        <v>0</v>
      </c>
      <c r="E3027" s="56">
        <f ca="1">IF(PV[[#This Row],[Business Date]]=Control!$C$6, PV[[#This Row],[Notional Value Local Cur]], -PV[[#This Row],[Notional Value Local Cur]])</f>
        <v>0</v>
      </c>
    </row>
    <row r="3028" spans="1:5" x14ac:dyDescent="0.25">
      <c r="A3028" s="36" t="b">
        <v>0</v>
      </c>
      <c r="B3028" s="56" t="b">
        <v>0</v>
      </c>
      <c r="C3028" s="56" t="b">
        <v>0</v>
      </c>
      <c r="D3028" s="56" t="b">
        <v>0</v>
      </c>
      <c r="E3028" s="56">
        <f ca="1">IF(PV[[#This Row],[Business Date]]=Control!$C$6, PV[[#This Row],[Notional Value Local Cur]], -PV[[#This Row],[Notional Value Local Cur]])</f>
        <v>0</v>
      </c>
    </row>
    <row r="3029" spans="1:5" x14ac:dyDescent="0.25">
      <c r="A3029" s="36" t="b">
        <v>0</v>
      </c>
      <c r="B3029" s="56" t="b">
        <v>0</v>
      </c>
      <c r="C3029" s="56" t="b">
        <v>0</v>
      </c>
      <c r="D3029" s="56" t="b">
        <v>0</v>
      </c>
      <c r="E3029" s="56">
        <f ca="1">IF(PV[[#This Row],[Business Date]]=Control!$C$6, PV[[#This Row],[Notional Value Local Cur]], -PV[[#This Row],[Notional Value Local Cur]])</f>
        <v>0</v>
      </c>
    </row>
    <row r="3030" spans="1:5" x14ac:dyDescent="0.25">
      <c r="A3030" s="36" t="b">
        <v>0</v>
      </c>
      <c r="B3030" s="56" t="b">
        <v>0</v>
      </c>
      <c r="C3030" s="56" t="b">
        <v>0</v>
      </c>
      <c r="D3030" s="56" t="b">
        <v>0</v>
      </c>
      <c r="E3030" s="56">
        <f ca="1">IF(PV[[#This Row],[Business Date]]=Control!$C$6, PV[[#This Row],[Notional Value Local Cur]], -PV[[#This Row],[Notional Value Local Cur]])</f>
        <v>0</v>
      </c>
    </row>
    <row r="3031" spans="1:5" x14ac:dyDescent="0.25">
      <c r="A3031" s="36" t="b">
        <v>0</v>
      </c>
      <c r="B3031" s="56" t="b">
        <v>0</v>
      </c>
      <c r="C3031" s="56" t="b">
        <v>0</v>
      </c>
      <c r="D3031" s="56" t="b">
        <v>0</v>
      </c>
      <c r="E3031" s="56">
        <f ca="1">IF(PV[[#This Row],[Business Date]]=Control!$C$6, PV[[#This Row],[Notional Value Local Cur]], -PV[[#This Row],[Notional Value Local Cur]])</f>
        <v>0</v>
      </c>
    </row>
    <row r="3032" spans="1:5" x14ac:dyDescent="0.25">
      <c r="A3032" s="36" t="b">
        <v>0</v>
      </c>
      <c r="B3032" s="56" t="b">
        <v>0</v>
      </c>
      <c r="C3032" s="56" t="b">
        <v>0</v>
      </c>
      <c r="D3032" s="56" t="b">
        <v>0</v>
      </c>
      <c r="E3032" s="56">
        <f ca="1">IF(PV[[#This Row],[Business Date]]=Control!$C$6, PV[[#This Row],[Notional Value Local Cur]], -PV[[#This Row],[Notional Value Local Cur]])</f>
        <v>0</v>
      </c>
    </row>
    <row r="3033" spans="1:5" x14ac:dyDescent="0.25">
      <c r="A3033" s="36" t="b">
        <v>0</v>
      </c>
      <c r="B3033" s="56" t="b">
        <v>0</v>
      </c>
      <c r="C3033" s="56" t="b">
        <v>0</v>
      </c>
      <c r="D3033" s="56" t="b">
        <v>0</v>
      </c>
      <c r="E3033" s="56">
        <f ca="1">IF(PV[[#This Row],[Business Date]]=Control!$C$6, PV[[#This Row],[Notional Value Local Cur]], -PV[[#This Row],[Notional Value Local Cur]])</f>
        <v>0</v>
      </c>
    </row>
    <row r="3034" spans="1:5" x14ac:dyDescent="0.25">
      <c r="A3034" s="36" t="b">
        <v>0</v>
      </c>
      <c r="B3034" s="56" t="b">
        <v>0</v>
      </c>
      <c r="C3034" s="56" t="b">
        <v>0</v>
      </c>
      <c r="D3034" s="56" t="b">
        <v>0</v>
      </c>
      <c r="E3034" s="56">
        <f ca="1">IF(PV[[#This Row],[Business Date]]=Control!$C$6, PV[[#This Row],[Notional Value Local Cur]], -PV[[#This Row],[Notional Value Local Cur]])</f>
        <v>0</v>
      </c>
    </row>
    <row r="3035" spans="1:5" x14ac:dyDescent="0.25">
      <c r="A3035" s="36" t="b">
        <v>0</v>
      </c>
      <c r="B3035" s="56" t="b">
        <v>0</v>
      </c>
      <c r="C3035" s="56" t="b">
        <v>0</v>
      </c>
      <c r="D3035" s="56" t="b">
        <v>0</v>
      </c>
      <c r="E3035" s="56">
        <f ca="1">IF(PV[[#This Row],[Business Date]]=Control!$C$6, PV[[#This Row],[Notional Value Local Cur]], -PV[[#This Row],[Notional Value Local Cur]])</f>
        <v>0</v>
      </c>
    </row>
    <row r="3036" spans="1:5" x14ac:dyDescent="0.25">
      <c r="A3036" s="36" t="b">
        <v>0</v>
      </c>
      <c r="B3036" s="56" t="b">
        <v>0</v>
      </c>
      <c r="C3036" s="56" t="b">
        <v>0</v>
      </c>
      <c r="D3036" s="56" t="b">
        <v>0</v>
      </c>
      <c r="E3036" s="56">
        <f ca="1">IF(PV[[#This Row],[Business Date]]=Control!$C$6, PV[[#This Row],[Notional Value Local Cur]], -PV[[#This Row],[Notional Value Local Cur]])</f>
        <v>0</v>
      </c>
    </row>
    <row r="3037" spans="1:5" x14ac:dyDescent="0.25">
      <c r="A3037" s="36" t="b">
        <v>0</v>
      </c>
      <c r="B3037" s="56" t="b">
        <v>0</v>
      </c>
      <c r="C3037" s="56" t="b">
        <v>0</v>
      </c>
      <c r="D3037" s="56" t="b">
        <v>0</v>
      </c>
      <c r="E3037" s="56">
        <f ca="1">IF(PV[[#This Row],[Business Date]]=Control!$C$6, PV[[#This Row],[Notional Value Local Cur]], -PV[[#This Row],[Notional Value Local Cur]])</f>
        <v>0</v>
      </c>
    </row>
    <row r="3038" spans="1:5" x14ac:dyDescent="0.25">
      <c r="A3038" s="36" t="b">
        <v>0</v>
      </c>
      <c r="B3038" s="56" t="b">
        <v>0</v>
      </c>
      <c r="C3038" s="56" t="b">
        <v>0</v>
      </c>
      <c r="D3038" s="56" t="b">
        <v>0</v>
      </c>
      <c r="E3038" s="56">
        <f ca="1">IF(PV[[#This Row],[Business Date]]=Control!$C$6, PV[[#This Row],[Notional Value Local Cur]], -PV[[#This Row],[Notional Value Local Cur]])</f>
        <v>0</v>
      </c>
    </row>
    <row r="3039" spans="1:5" x14ac:dyDescent="0.25">
      <c r="A3039" s="36" t="b">
        <v>0</v>
      </c>
      <c r="B3039" s="56" t="b">
        <v>0</v>
      </c>
      <c r="C3039" s="56" t="b">
        <v>0</v>
      </c>
      <c r="D3039" s="56" t="b">
        <v>0</v>
      </c>
      <c r="E3039" s="56">
        <f ca="1">IF(PV[[#This Row],[Business Date]]=Control!$C$6, PV[[#This Row],[Notional Value Local Cur]], -PV[[#This Row],[Notional Value Local Cur]])</f>
        <v>0</v>
      </c>
    </row>
    <row r="3040" spans="1:5" x14ac:dyDescent="0.25">
      <c r="A3040" s="36" t="b">
        <v>0</v>
      </c>
      <c r="B3040" s="56" t="b">
        <v>0</v>
      </c>
      <c r="C3040" s="56" t="b">
        <v>0</v>
      </c>
      <c r="D3040" s="56" t="b">
        <v>0</v>
      </c>
      <c r="E3040" s="56">
        <f ca="1">IF(PV[[#This Row],[Business Date]]=Control!$C$6, PV[[#This Row],[Notional Value Local Cur]], -PV[[#This Row],[Notional Value Local Cur]])</f>
        <v>0</v>
      </c>
    </row>
    <row r="3041" spans="1:5" x14ac:dyDescent="0.25">
      <c r="A3041" s="36" t="b">
        <v>0</v>
      </c>
      <c r="B3041" s="56" t="b">
        <v>0</v>
      </c>
      <c r="C3041" s="56" t="b">
        <v>0</v>
      </c>
      <c r="D3041" s="56" t="b">
        <v>0</v>
      </c>
      <c r="E3041" s="56">
        <f ca="1">IF(PV[[#This Row],[Business Date]]=Control!$C$6, PV[[#This Row],[Notional Value Local Cur]], -PV[[#This Row],[Notional Value Local Cur]])</f>
        <v>0</v>
      </c>
    </row>
    <row r="3042" spans="1:5" x14ac:dyDescent="0.25">
      <c r="A3042" s="36" t="b">
        <v>0</v>
      </c>
      <c r="B3042" s="56" t="b">
        <v>0</v>
      </c>
      <c r="C3042" s="56" t="b">
        <v>0</v>
      </c>
      <c r="D3042" s="56" t="b">
        <v>0</v>
      </c>
      <c r="E3042" s="56">
        <f ca="1">IF(PV[[#This Row],[Business Date]]=Control!$C$6, PV[[#This Row],[Notional Value Local Cur]], -PV[[#This Row],[Notional Value Local Cur]])</f>
        <v>0</v>
      </c>
    </row>
    <row r="3043" spans="1:5" x14ac:dyDescent="0.25">
      <c r="A3043" s="36" t="b">
        <v>0</v>
      </c>
      <c r="B3043" s="56" t="b">
        <v>0</v>
      </c>
      <c r="C3043" s="56" t="b">
        <v>0</v>
      </c>
      <c r="D3043" s="56" t="b">
        <v>0</v>
      </c>
      <c r="E3043" s="56">
        <f ca="1">IF(PV[[#This Row],[Business Date]]=Control!$C$6, PV[[#This Row],[Notional Value Local Cur]], -PV[[#This Row],[Notional Value Local Cur]])</f>
        <v>0</v>
      </c>
    </row>
    <row r="3044" spans="1:5" x14ac:dyDescent="0.25">
      <c r="A3044" s="36" t="b">
        <v>0</v>
      </c>
      <c r="B3044" s="56" t="b">
        <v>0</v>
      </c>
      <c r="C3044" s="56" t="b">
        <v>0</v>
      </c>
      <c r="D3044" s="56" t="b">
        <v>0</v>
      </c>
      <c r="E3044" s="56">
        <f ca="1">IF(PV[[#This Row],[Business Date]]=Control!$C$6, PV[[#This Row],[Notional Value Local Cur]], -PV[[#This Row],[Notional Value Local Cur]])</f>
        <v>0</v>
      </c>
    </row>
    <row r="3045" spans="1:5" x14ac:dyDescent="0.25">
      <c r="A3045" s="36" t="b">
        <v>0</v>
      </c>
      <c r="B3045" s="56" t="b">
        <v>0</v>
      </c>
      <c r="C3045" s="56" t="b">
        <v>0</v>
      </c>
      <c r="D3045" s="56" t="b">
        <v>0</v>
      </c>
      <c r="E3045" s="56">
        <f ca="1">IF(PV[[#This Row],[Business Date]]=Control!$C$6, PV[[#This Row],[Notional Value Local Cur]], -PV[[#This Row],[Notional Value Local Cur]])</f>
        <v>0</v>
      </c>
    </row>
    <row r="3046" spans="1:5" x14ac:dyDescent="0.25">
      <c r="A3046" s="36" t="b">
        <v>0</v>
      </c>
      <c r="B3046" s="56" t="b">
        <v>0</v>
      </c>
      <c r="C3046" s="56" t="b">
        <v>0</v>
      </c>
      <c r="D3046" s="56" t="b">
        <v>0</v>
      </c>
      <c r="E3046" s="56">
        <f ca="1">IF(PV[[#This Row],[Business Date]]=Control!$C$6, PV[[#This Row],[Notional Value Local Cur]], -PV[[#This Row],[Notional Value Local Cur]])</f>
        <v>0</v>
      </c>
    </row>
    <row r="3047" spans="1:5" x14ac:dyDescent="0.25">
      <c r="A3047" s="36" t="b">
        <v>0</v>
      </c>
      <c r="B3047" s="56" t="b">
        <v>0</v>
      </c>
      <c r="C3047" s="56" t="b">
        <v>0</v>
      </c>
      <c r="D3047" s="56" t="b">
        <v>0</v>
      </c>
      <c r="E3047" s="56">
        <f ca="1">IF(PV[[#This Row],[Business Date]]=Control!$C$6, PV[[#This Row],[Notional Value Local Cur]], -PV[[#This Row],[Notional Value Local Cur]])</f>
        <v>0</v>
      </c>
    </row>
    <row r="3048" spans="1:5" x14ac:dyDescent="0.25">
      <c r="A3048" s="36" t="b">
        <v>0</v>
      </c>
      <c r="B3048" s="56" t="b">
        <v>0</v>
      </c>
      <c r="C3048" s="56" t="b">
        <v>0</v>
      </c>
      <c r="D3048" s="56" t="b">
        <v>0</v>
      </c>
      <c r="E3048" s="56">
        <f ca="1">IF(PV[[#This Row],[Business Date]]=Control!$C$6, PV[[#This Row],[Notional Value Local Cur]], -PV[[#This Row],[Notional Value Local Cur]])</f>
        <v>0</v>
      </c>
    </row>
    <row r="3049" spans="1:5" x14ac:dyDescent="0.25">
      <c r="A3049" s="36" t="b">
        <v>0</v>
      </c>
      <c r="B3049" s="56" t="b">
        <v>0</v>
      </c>
      <c r="C3049" s="56" t="b">
        <v>0</v>
      </c>
      <c r="D3049" s="56" t="b">
        <v>0</v>
      </c>
      <c r="E3049" s="56">
        <f ca="1">IF(PV[[#This Row],[Business Date]]=Control!$C$6, PV[[#This Row],[Notional Value Local Cur]], -PV[[#This Row],[Notional Value Local Cur]])</f>
        <v>0</v>
      </c>
    </row>
    <row r="3050" spans="1:5" x14ac:dyDescent="0.25">
      <c r="A3050" s="36" t="b">
        <v>0</v>
      </c>
      <c r="B3050" s="56" t="b">
        <v>0</v>
      </c>
      <c r="C3050" s="56" t="b">
        <v>0</v>
      </c>
      <c r="D3050" s="56" t="b">
        <v>0</v>
      </c>
      <c r="E3050" s="56">
        <f ca="1">IF(PV[[#This Row],[Business Date]]=Control!$C$6, PV[[#This Row],[Notional Value Local Cur]], -PV[[#This Row],[Notional Value Local Cur]])</f>
        <v>0</v>
      </c>
    </row>
    <row r="3051" spans="1:5" x14ac:dyDescent="0.25">
      <c r="A3051" s="36" t="b">
        <v>0</v>
      </c>
      <c r="B3051" s="56" t="b">
        <v>0</v>
      </c>
      <c r="C3051" s="56" t="b">
        <v>0</v>
      </c>
      <c r="D3051" s="56" t="b">
        <v>0</v>
      </c>
      <c r="E3051" s="56">
        <f ca="1">IF(PV[[#This Row],[Business Date]]=Control!$C$6, PV[[#This Row],[Notional Value Local Cur]], -PV[[#This Row],[Notional Value Local Cur]])</f>
        <v>0</v>
      </c>
    </row>
    <row r="3052" spans="1:5" x14ac:dyDescent="0.25">
      <c r="A3052" s="36" t="b">
        <v>0</v>
      </c>
      <c r="B3052" s="56" t="b">
        <v>0</v>
      </c>
      <c r="C3052" s="56" t="b">
        <v>0</v>
      </c>
      <c r="D3052" s="56" t="b">
        <v>0</v>
      </c>
      <c r="E3052" s="56">
        <f ca="1">IF(PV[[#This Row],[Business Date]]=Control!$C$6, PV[[#This Row],[Notional Value Local Cur]], -PV[[#This Row],[Notional Value Local Cur]])</f>
        <v>0</v>
      </c>
    </row>
    <row r="3053" spans="1:5" x14ac:dyDescent="0.25">
      <c r="A3053" s="36" t="b">
        <v>0</v>
      </c>
      <c r="B3053" s="56" t="b">
        <v>0</v>
      </c>
      <c r="C3053" s="56" t="b">
        <v>0</v>
      </c>
      <c r="D3053" s="56" t="b">
        <v>0</v>
      </c>
      <c r="E3053" s="56">
        <f ca="1">IF(PV[[#This Row],[Business Date]]=Control!$C$6, PV[[#This Row],[Notional Value Local Cur]], -PV[[#This Row],[Notional Value Local Cur]])</f>
        <v>0</v>
      </c>
    </row>
    <row r="3054" spans="1:5" x14ac:dyDescent="0.25">
      <c r="A3054" s="36" t="b">
        <v>0</v>
      </c>
      <c r="B3054" s="56" t="b">
        <v>0</v>
      </c>
      <c r="C3054" s="56" t="b">
        <v>0</v>
      </c>
      <c r="D3054" s="56" t="b">
        <v>0</v>
      </c>
      <c r="E3054" s="56">
        <f ca="1">IF(PV[[#This Row],[Business Date]]=Control!$C$6, PV[[#This Row],[Notional Value Local Cur]], -PV[[#This Row],[Notional Value Local Cur]])</f>
        <v>0</v>
      </c>
    </row>
    <row r="3055" spans="1:5" x14ac:dyDescent="0.25">
      <c r="A3055" s="36" t="b">
        <v>0</v>
      </c>
      <c r="B3055" s="56" t="b">
        <v>0</v>
      </c>
      <c r="C3055" s="56" t="b">
        <v>0</v>
      </c>
      <c r="D3055" s="56" t="b">
        <v>0</v>
      </c>
      <c r="E3055" s="56">
        <f ca="1">IF(PV[[#This Row],[Business Date]]=Control!$C$6, PV[[#This Row],[Notional Value Local Cur]], -PV[[#This Row],[Notional Value Local Cur]])</f>
        <v>0</v>
      </c>
    </row>
    <row r="3056" spans="1:5" x14ac:dyDescent="0.25">
      <c r="A3056" s="36" t="b">
        <v>0</v>
      </c>
      <c r="B3056" s="56" t="b">
        <v>0</v>
      </c>
      <c r="C3056" s="56" t="b">
        <v>0</v>
      </c>
      <c r="D3056" s="56" t="b">
        <v>0</v>
      </c>
      <c r="E3056" s="56">
        <f ca="1">IF(PV[[#This Row],[Business Date]]=Control!$C$6, PV[[#This Row],[Notional Value Local Cur]], -PV[[#This Row],[Notional Value Local Cur]])</f>
        <v>0</v>
      </c>
    </row>
    <row r="3057" spans="1:5" x14ac:dyDescent="0.25">
      <c r="A3057" s="36" t="b">
        <v>0</v>
      </c>
      <c r="B3057" s="56" t="b">
        <v>0</v>
      </c>
      <c r="C3057" s="56" t="b">
        <v>0</v>
      </c>
      <c r="D3057" s="56" t="b">
        <v>0</v>
      </c>
      <c r="E3057" s="56">
        <f ca="1">IF(PV[[#This Row],[Business Date]]=Control!$C$6, PV[[#This Row],[Notional Value Local Cur]], -PV[[#This Row],[Notional Value Local Cur]])</f>
        <v>0</v>
      </c>
    </row>
    <row r="3058" spans="1:5" x14ac:dyDescent="0.25">
      <c r="A3058" s="36" t="b">
        <v>0</v>
      </c>
      <c r="B3058" s="56" t="b">
        <v>0</v>
      </c>
      <c r="C3058" s="56" t="b">
        <v>0</v>
      </c>
      <c r="D3058" s="56" t="b">
        <v>0</v>
      </c>
      <c r="E3058" s="56">
        <f ca="1">IF(PV[[#This Row],[Business Date]]=Control!$C$6, PV[[#This Row],[Notional Value Local Cur]], -PV[[#This Row],[Notional Value Local Cur]])</f>
        <v>0</v>
      </c>
    </row>
    <row r="3059" spans="1:5" x14ac:dyDescent="0.25">
      <c r="A3059" s="36" t="b">
        <v>0</v>
      </c>
      <c r="B3059" s="56" t="b">
        <v>0</v>
      </c>
      <c r="C3059" s="56" t="b">
        <v>0</v>
      </c>
      <c r="D3059" s="56" t="b">
        <v>0</v>
      </c>
      <c r="E3059" s="56">
        <f ca="1">IF(PV[[#This Row],[Business Date]]=Control!$C$6, PV[[#This Row],[Notional Value Local Cur]], -PV[[#This Row],[Notional Value Local Cur]])</f>
        <v>0</v>
      </c>
    </row>
    <row r="3060" spans="1:5" x14ac:dyDescent="0.25">
      <c r="A3060" s="36" t="b">
        <v>0</v>
      </c>
      <c r="B3060" s="56" t="b">
        <v>0</v>
      </c>
      <c r="C3060" s="56" t="b">
        <v>0</v>
      </c>
      <c r="D3060" s="56" t="b">
        <v>0</v>
      </c>
      <c r="E3060" s="56">
        <f ca="1">IF(PV[[#This Row],[Business Date]]=Control!$C$6, PV[[#This Row],[Notional Value Local Cur]], -PV[[#This Row],[Notional Value Local Cur]])</f>
        <v>0</v>
      </c>
    </row>
    <row r="3061" spans="1:5" x14ac:dyDescent="0.25">
      <c r="A3061" s="36" t="b">
        <v>0</v>
      </c>
      <c r="B3061" s="56" t="b">
        <v>0</v>
      </c>
      <c r="C3061" s="56" t="b">
        <v>0</v>
      </c>
      <c r="D3061" s="56" t="b">
        <v>0</v>
      </c>
      <c r="E3061" s="56">
        <f ca="1">IF(PV[[#This Row],[Business Date]]=Control!$C$6, PV[[#This Row],[Notional Value Local Cur]], -PV[[#This Row],[Notional Value Local Cur]])</f>
        <v>0</v>
      </c>
    </row>
    <row r="3062" spans="1:5" x14ac:dyDescent="0.25">
      <c r="A3062" s="36" t="b">
        <v>0</v>
      </c>
      <c r="B3062" s="56" t="b">
        <v>0</v>
      </c>
      <c r="C3062" s="56" t="b">
        <v>0</v>
      </c>
      <c r="D3062" s="56" t="b">
        <v>0</v>
      </c>
      <c r="E3062" s="56">
        <f ca="1">IF(PV[[#This Row],[Business Date]]=Control!$C$6, PV[[#This Row],[Notional Value Local Cur]], -PV[[#This Row],[Notional Value Local Cur]])</f>
        <v>0</v>
      </c>
    </row>
    <row r="3063" spans="1:5" x14ac:dyDescent="0.25">
      <c r="A3063" s="36" t="b">
        <v>0</v>
      </c>
      <c r="B3063" s="56" t="b">
        <v>0</v>
      </c>
      <c r="C3063" s="56" t="b">
        <v>0</v>
      </c>
      <c r="D3063" s="56" t="b">
        <v>0</v>
      </c>
      <c r="E3063" s="56">
        <f ca="1">IF(PV[[#This Row],[Business Date]]=Control!$C$6, PV[[#This Row],[Notional Value Local Cur]], -PV[[#This Row],[Notional Value Local Cur]])</f>
        <v>0</v>
      </c>
    </row>
    <row r="3064" spans="1:5" x14ac:dyDescent="0.25">
      <c r="A3064" s="36" t="b">
        <v>0</v>
      </c>
      <c r="B3064" s="56" t="b">
        <v>0</v>
      </c>
      <c r="C3064" s="56" t="b">
        <v>0</v>
      </c>
      <c r="D3064" s="56" t="b">
        <v>0</v>
      </c>
      <c r="E3064" s="56">
        <f ca="1">IF(PV[[#This Row],[Business Date]]=Control!$C$6, PV[[#This Row],[Notional Value Local Cur]], -PV[[#This Row],[Notional Value Local Cur]])</f>
        <v>0</v>
      </c>
    </row>
    <row r="3065" spans="1:5" x14ac:dyDescent="0.25">
      <c r="A3065" s="36" t="b">
        <v>0</v>
      </c>
      <c r="B3065" s="56" t="b">
        <v>0</v>
      </c>
      <c r="C3065" s="56" t="b">
        <v>0</v>
      </c>
      <c r="D3065" s="56" t="b">
        <v>0</v>
      </c>
      <c r="E3065" s="56">
        <f ca="1">IF(PV[[#This Row],[Business Date]]=Control!$C$6, PV[[#This Row],[Notional Value Local Cur]], -PV[[#This Row],[Notional Value Local Cur]])</f>
        <v>0</v>
      </c>
    </row>
    <row r="3066" spans="1:5" x14ac:dyDescent="0.25">
      <c r="A3066" s="36" t="b">
        <v>0</v>
      </c>
      <c r="B3066" s="56" t="b">
        <v>0</v>
      </c>
      <c r="C3066" s="56" t="b">
        <v>0</v>
      </c>
      <c r="D3066" s="56" t="b">
        <v>0</v>
      </c>
      <c r="E3066" s="56">
        <f ca="1">IF(PV[[#This Row],[Business Date]]=Control!$C$6, PV[[#This Row],[Notional Value Local Cur]], -PV[[#This Row],[Notional Value Local Cur]])</f>
        <v>0</v>
      </c>
    </row>
    <row r="3067" spans="1:5" x14ac:dyDescent="0.25">
      <c r="A3067" s="36" t="b">
        <v>0</v>
      </c>
      <c r="B3067" s="56" t="b">
        <v>0</v>
      </c>
      <c r="C3067" s="56" t="b">
        <v>0</v>
      </c>
      <c r="D3067" s="56" t="b">
        <v>0</v>
      </c>
      <c r="E3067" s="56">
        <f ca="1">IF(PV[[#This Row],[Business Date]]=Control!$C$6, PV[[#This Row],[Notional Value Local Cur]], -PV[[#This Row],[Notional Value Local Cur]])</f>
        <v>0</v>
      </c>
    </row>
    <row r="3068" spans="1:5" x14ac:dyDescent="0.25">
      <c r="A3068" s="36" t="b">
        <v>0</v>
      </c>
      <c r="B3068" s="56" t="b">
        <v>0</v>
      </c>
      <c r="C3068" s="56" t="b">
        <v>0</v>
      </c>
      <c r="D3068" s="56" t="b">
        <v>0</v>
      </c>
      <c r="E3068" s="56">
        <f ca="1">IF(PV[[#This Row],[Business Date]]=Control!$C$6, PV[[#This Row],[Notional Value Local Cur]], -PV[[#This Row],[Notional Value Local Cur]])</f>
        <v>0</v>
      </c>
    </row>
    <row r="3069" spans="1:5" x14ac:dyDescent="0.25">
      <c r="A3069" s="36" t="b">
        <v>0</v>
      </c>
      <c r="B3069" s="56" t="b">
        <v>0</v>
      </c>
      <c r="C3069" s="56" t="b">
        <v>0</v>
      </c>
      <c r="D3069" s="56" t="b">
        <v>0</v>
      </c>
      <c r="E3069" s="56">
        <f ca="1">IF(PV[[#This Row],[Business Date]]=Control!$C$6, PV[[#This Row],[Notional Value Local Cur]], -PV[[#This Row],[Notional Value Local Cur]])</f>
        <v>0</v>
      </c>
    </row>
    <row r="3070" spans="1:5" x14ac:dyDescent="0.25">
      <c r="A3070" s="36" t="b">
        <v>0</v>
      </c>
      <c r="B3070" s="56" t="b">
        <v>0</v>
      </c>
      <c r="C3070" s="56" t="b">
        <v>0</v>
      </c>
      <c r="D3070" s="56" t="b">
        <v>0</v>
      </c>
      <c r="E3070" s="56">
        <f ca="1">IF(PV[[#This Row],[Business Date]]=Control!$C$6, PV[[#This Row],[Notional Value Local Cur]], -PV[[#This Row],[Notional Value Local Cur]])</f>
        <v>0</v>
      </c>
    </row>
    <row r="3071" spans="1:5" x14ac:dyDescent="0.25">
      <c r="A3071" s="36" t="b">
        <v>0</v>
      </c>
      <c r="B3071" s="56" t="b">
        <v>0</v>
      </c>
      <c r="C3071" s="56" t="b">
        <v>0</v>
      </c>
      <c r="D3071" s="56" t="b">
        <v>0</v>
      </c>
      <c r="E3071" s="56">
        <f ca="1">IF(PV[[#This Row],[Business Date]]=Control!$C$6, PV[[#This Row],[Notional Value Local Cur]], -PV[[#This Row],[Notional Value Local Cur]])</f>
        <v>0</v>
      </c>
    </row>
    <row r="3072" spans="1:5" x14ac:dyDescent="0.25">
      <c r="A3072" s="36" t="b">
        <v>0</v>
      </c>
      <c r="B3072" s="56" t="b">
        <v>0</v>
      </c>
      <c r="C3072" s="56" t="b">
        <v>0</v>
      </c>
      <c r="D3072" s="56" t="b">
        <v>0</v>
      </c>
      <c r="E3072" s="56">
        <f ca="1">IF(PV[[#This Row],[Business Date]]=Control!$C$6, PV[[#This Row],[Notional Value Local Cur]], -PV[[#This Row],[Notional Value Local Cur]])</f>
        <v>0</v>
      </c>
    </row>
    <row r="3073" spans="1:5" x14ac:dyDescent="0.25">
      <c r="A3073" s="36" t="b">
        <v>0</v>
      </c>
      <c r="B3073" s="56" t="b">
        <v>0</v>
      </c>
      <c r="C3073" s="56" t="b">
        <v>0</v>
      </c>
      <c r="D3073" s="56" t="b">
        <v>0</v>
      </c>
      <c r="E3073" s="56">
        <f ca="1">IF(PV[[#This Row],[Business Date]]=Control!$C$6, PV[[#This Row],[Notional Value Local Cur]], -PV[[#This Row],[Notional Value Local Cur]])</f>
        <v>0</v>
      </c>
    </row>
    <row r="3074" spans="1:5" x14ac:dyDescent="0.25">
      <c r="A3074" s="36" t="b">
        <v>0</v>
      </c>
      <c r="B3074" s="56" t="b">
        <v>0</v>
      </c>
      <c r="C3074" s="56" t="b">
        <v>0</v>
      </c>
      <c r="D3074" s="56" t="b">
        <v>0</v>
      </c>
      <c r="E3074" s="56">
        <f ca="1">IF(PV[[#This Row],[Business Date]]=Control!$C$6, PV[[#This Row],[Notional Value Local Cur]], -PV[[#This Row],[Notional Value Local Cur]])</f>
        <v>0</v>
      </c>
    </row>
    <row r="3075" spans="1:5" x14ac:dyDescent="0.25">
      <c r="A3075" s="36" t="b">
        <v>0</v>
      </c>
      <c r="B3075" s="56" t="b">
        <v>0</v>
      </c>
      <c r="C3075" s="56" t="b">
        <v>0</v>
      </c>
      <c r="D3075" s="56" t="b">
        <v>0</v>
      </c>
      <c r="E3075" s="56">
        <f ca="1">IF(PV[[#This Row],[Business Date]]=Control!$C$6, PV[[#This Row],[Notional Value Local Cur]], -PV[[#This Row],[Notional Value Local Cur]])</f>
        <v>0</v>
      </c>
    </row>
    <row r="3076" spans="1:5" x14ac:dyDescent="0.25">
      <c r="A3076" s="36" t="b">
        <v>0</v>
      </c>
      <c r="B3076" s="56" t="b">
        <v>0</v>
      </c>
      <c r="C3076" s="56" t="b">
        <v>0</v>
      </c>
      <c r="D3076" s="56" t="b">
        <v>0</v>
      </c>
      <c r="E3076" s="56">
        <f ca="1">IF(PV[[#This Row],[Business Date]]=Control!$C$6, PV[[#This Row],[Notional Value Local Cur]], -PV[[#This Row],[Notional Value Local Cur]])</f>
        <v>0</v>
      </c>
    </row>
    <row r="3077" spans="1:5" x14ac:dyDescent="0.25">
      <c r="A3077" s="36" t="b">
        <v>0</v>
      </c>
      <c r="B3077" s="56" t="b">
        <v>0</v>
      </c>
      <c r="C3077" s="56" t="b">
        <v>0</v>
      </c>
      <c r="D3077" s="56" t="b">
        <v>0</v>
      </c>
      <c r="E3077" s="56">
        <f ca="1">IF(PV[[#This Row],[Business Date]]=Control!$C$6, PV[[#This Row],[Notional Value Local Cur]], -PV[[#This Row],[Notional Value Local Cur]])</f>
        <v>0</v>
      </c>
    </row>
    <row r="3078" spans="1:5" x14ac:dyDescent="0.25">
      <c r="A3078" s="36" t="b">
        <v>0</v>
      </c>
      <c r="B3078" s="56" t="b">
        <v>0</v>
      </c>
      <c r="C3078" s="56" t="b">
        <v>0</v>
      </c>
      <c r="D3078" s="56" t="b">
        <v>0</v>
      </c>
      <c r="E3078" s="56">
        <f ca="1">IF(PV[[#This Row],[Business Date]]=Control!$C$6, PV[[#This Row],[Notional Value Local Cur]], -PV[[#This Row],[Notional Value Local Cur]])</f>
        <v>0</v>
      </c>
    </row>
    <row r="3079" spans="1:5" x14ac:dyDescent="0.25">
      <c r="A3079" s="36" t="b">
        <v>0</v>
      </c>
      <c r="B3079" s="56" t="b">
        <v>0</v>
      </c>
      <c r="C3079" s="56" t="b">
        <v>0</v>
      </c>
      <c r="D3079" s="56" t="b">
        <v>0</v>
      </c>
      <c r="E3079" s="56">
        <f ca="1">IF(PV[[#This Row],[Business Date]]=Control!$C$6, PV[[#This Row],[Notional Value Local Cur]], -PV[[#This Row],[Notional Value Local Cur]])</f>
        <v>0</v>
      </c>
    </row>
    <row r="3080" spans="1:5" x14ac:dyDescent="0.25">
      <c r="A3080" s="36" t="b">
        <v>0</v>
      </c>
      <c r="B3080" s="56" t="b">
        <v>0</v>
      </c>
      <c r="C3080" s="56" t="b">
        <v>0</v>
      </c>
      <c r="D3080" s="56" t="b">
        <v>0</v>
      </c>
      <c r="E3080" s="56">
        <f ca="1">IF(PV[[#This Row],[Business Date]]=Control!$C$6, PV[[#This Row],[Notional Value Local Cur]], -PV[[#This Row],[Notional Value Local Cur]])</f>
        <v>0</v>
      </c>
    </row>
    <row r="3081" spans="1:5" x14ac:dyDescent="0.25">
      <c r="A3081" s="36" t="b">
        <v>0</v>
      </c>
      <c r="B3081" s="56" t="b">
        <v>0</v>
      </c>
      <c r="C3081" s="56" t="b">
        <v>0</v>
      </c>
      <c r="D3081" s="56" t="b">
        <v>0</v>
      </c>
      <c r="E3081" s="56">
        <f ca="1">IF(PV[[#This Row],[Business Date]]=Control!$C$6, PV[[#This Row],[Notional Value Local Cur]], -PV[[#This Row],[Notional Value Local Cur]])</f>
        <v>0</v>
      </c>
    </row>
    <row r="3082" spans="1:5" x14ac:dyDescent="0.25">
      <c r="A3082" s="36" t="b">
        <v>0</v>
      </c>
      <c r="B3082" s="56" t="b">
        <v>0</v>
      </c>
      <c r="C3082" s="56" t="b">
        <v>0</v>
      </c>
      <c r="D3082" s="56" t="b">
        <v>0</v>
      </c>
      <c r="E3082" s="56">
        <f ca="1">IF(PV[[#This Row],[Business Date]]=Control!$C$6, PV[[#This Row],[Notional Value Local Cur]], -PV[[#This Row],[Notional Value Local Cur]])</f>
        <v>0</v>
      </c>
    </row>
    <row r="3083" spans="1:5" x14ac:dyDescent="0.25">
      <c r="A3083" s="36" t="b">
        <v>0</v>
      </c>
      <c r="B3083" s="56" t="b">
        <v>0</v>
      </c>
      <c r="C3083" s="56" t="b">
        <v>0</v>
      </c>
      <c r="D3083" s="56" t="b">
        <v>0</v>
      </c>
      <c r="E3083" s="56">
        <f ca="1">IF(PV[[#This Row],[Business Date]]=Control!$C$6, PV[[#This Row],[Notional Value Local Cur]], -PV[[#This Row],[Notional Value Local Cur]])</f>
        <v>0</v>
      </c>
    </row>
    <row r="3084" spans="1:5" x14ac:dyDescent="0.25">
      <c r="A3084" s="36" t="b">
        <v>0</v>
      </c>
      <c r="B3084" s="56" t="b">
        <v>0</v>
      </c>
      <c r="C3084" s="56" t="b">
        <v>0</v>
      </c>
      <c r="D3084" s="56" t="b">
        <v>0</v>
      </c>
      <c r="E3084" s="56">
        <f ca="1">IF(PV[[#This Row],[Business Date]]=Control!$C$6, PV[[#This Row],[Notional Value Local Cur]], -PV[[#This Row],[Notional Value Local Cur]])</f>
        <v>0</v>
      </c>
    </row>
    <row r="3085" spans="1:5" x14ac:dyDescent="0.25">
      <c r="A3085" s="36" t="b">
        <v>0</v>
      </c>
      <c r="B3085" s="56" t="b">
        <v>0</v>
      </c>
      <c r="C3085" s="56" t="b">
        <v>0</v>
      </c>
      <c r="D3085" s="56" t="b">
        <v>0</v>
      </c>
      <c r="E3085" s="56">
        <f ca="1">IF(PV[[#This Row],[Business Date]]=Control!$C$6, PV[[#This Row],[Notional Value Local Cur]], -PV[[#This Row],[Notional Value Local Cur]])</f>
        <v>0</v>
      </c>
    </row>
    <row r="3086" spans="1:5" x14ac:dyDescent="0.25">
      <c r="A3086" s="36" t="b">
        <v>0</v>
      </c>
      <c r="B3086" s="56" t="b">
        <v>0</v>
      </c>
      <c r="C3086" s="56" t="b">
        <v>0</v>
      </c>
      <c r="D3086" s="56" t="b">
        <v>0</v>
      </c>
      <c r="E3086" s="56">
        <f ca="1">IF(PV[[#This Row],[Business Date]]=Control!$C$6, PV[[#This Row],[Notional Value Local Cur]], -PV[[#This Row],[Notional Value Local Cur]])</f>
        <v>0</v>
      </c>
    </row>
    <row r="3087" spans="1:5" x14ac:dyDescent="0.25">
      <c r="A3087" s="36" t="b">
        <v>0</v>
      </c>
      <c r="B3087" s="56" t="b">
        <v>0</v>
      </c>
      <c r="C3087" s="56" t="b">
        <v>0</v>
      </c>
      <c r="D3087" s="56" t="b">
        <v>0</v>
      </c>
      <c r="E3087" s="56">
        <f ca="1">IF(PV[[#This Row],[Business Date]]=Control!$C$6, PV[[#This Row],[Notional Value Local Cur]], -PV[[#This Row],[Notional Value Local Cur]])</f>
        <v>0</v>
      </c>
    </row>
    <row r="3088" spans="1:5" x14ac:dyDescent="0.25">
      <c r="A3088" s="36" t="b">
        <v>0</v>
      </c>
      <c r="B3088" s="56" t="b">
        <v>0</v>
      </c>
      <c r="C3088" s="56" t="b">
        <v>0</v>
      </c>
      <c r="D3088" s="56" t="b">
        <v>0</v>
      </c>
      <c r="E3088" s="56">
        <f ca="1">IF(PV[[#This Row],[Business Date]]=Control!$C$6, PV[[#This Row],[Notional Value Local Cur]], -PV[[#This Row],[Notional Value Local Cur]])</f>
        <v>0</v>
      </c>
    </row>
    <row r="3089" spans="1:5" x14ac:dyDescent="0.25">
      <c r="A3089" s="36" t="b">
        <v>0</v>
      </c>
      <c r="B3089" s="56" t="b">
        <v>0</v>
      </c>
      <c r="C3089" s="56" t="b">
        <v>0</v>
      </c>
      <c r="D3089" s="56" t="b">
        <v>0</v>
      </c>
      <c r="E3089" s="56">
        <f ca="1">IF(PV[[#This Row],[Business Date]]=Control!$C$6, PV[[#This Row],[Notional Value Local Cur]], -PV[[#This Row],[Notional Value Local Cur]])</f>
        <v>0</v>
      </c>
    </row>
    <row r="3090" spans="1:5" x14ac:dyDescent="0.25">
      <c r="A3090" s="36" t="b">
        <v>0</v>
      </c>
      <c r="B3090" s="56" t="b">
        <v>0</v>
      </c>
      <c r="C3090" s="56" t="b">
        <v>0</v>
      </c>
      <c r="D3090" s="56" t="b">
        <v>0</v>
      </c>
      <c r="E3090" s="56">
        <f ca="1">IF(PV[[#This Row],[Business Date]]=Control!$C$6, PV[[#This Row],[Notional Value Local Cur]], -PV[[#This Row],[Notional Value Local Cur]])</f>
        <v>0</v>
      </c>
    </row>
    <row r="3091" spans="1:5" x14ac:dyDescent="0.25">
      <c r="A3091" s="36" t="b">
        <v>0</v>
      </c>
      <c r="B3091" s="56" t="b">
        <v>0</v>
      </c>
      <c r="C3091" s="56" t="b">
        <v>0</v>
      </c>
      <c r="D3091" s="56" t="b">
        <v>0</v>
      </c>
      <c r="E3091" s="56">
        <f ca="1">IF(PV[[#This Row],[Business Date]]=Control!$C$6, PV[[#This Row],[Notional Value Local Cur]], -PV[[#This Row],[Notional Value Local Cur]])</f>
        <v>0</v>
      </c>
    </row>
    <row r="3092" spans="1:5" x14ac:dyDescent="0.25">
      <c r="A3092" s="36" t="b">
        <v>0</v>
      </c>
      <c r="B3092" s="56" t="b">
        <v>0</v>
      </c>
      <c r="C3092" s="56" t="b">
        <v>0</v>
      </c>
      <c r="D3092" s="56" t="b">
        <v>0</v>
      </c>
      <c r="E3092" s="56">
        <f ca="1">IF(PV[[#This Row],[Business Date]]=Control!$C$6, PV[[#This Row],[Notional Value Local Cur]], -PV[[#This Row],[Notional Value Local Cur]])</f>
        <v>0</v>
      </c>
    </row>
    <row r="3093" spans="1:5" x14ac:dyDescent="0.25">
      <c r="A3093" s="36" t="b">
        <v>0</v>
      </c>
      <c r="B3093" s="56" t="b">
        <v>0</v>
      </c>
      <c r="C3093" s="56" t="b">
        <v>0</v>
      </c>
      <c r="D3093" s="56" t="b">
        <v>0</v>
      </c>
      <c r="E3093" s="56">
        <f ca="1">IF(PV[[#This Row],[Business Date]]=Control!$C$6, PV[[#This Row],[Notional Value Local Cur]], -PV[[#This Row],[Notional Value Local Cur]])</f>
        <v>0</v>
      </c>
    </row>
    <row r="3094" spans="1:5" x14ac:dyDescent="0.25">
      <c r="A3094" s="36" t="b">
        <v>0</v>
      </c>
      <c r="B3094" s="56" t="b">
        <v>0</v>
      </c>
      <c r="C3094" s="56" t="b">
        <v>0</v>
      </c>
      <c r="D3094" s="56" t="b">
        <v>0</v>
      </c>
      <c r="E3094" s="56">
        <f ca="1">IF(PV[[#This Row],[Business Date]]=Control!$C$6, PV[[#This Row],[Notional Value Local Cur]], -PV[[#This Row],[Notional Value Local Cur]])</f>
        <v>0</v>
      </c>
    </row>
    <row r="3095" spans="1:5" x14ac:dyDescent="0.25">
      <c r="A3095" s="36" t="b">
        <v>0</v>
      </c>
      <c r="B3095" s="56" t="b">
        <v>0</v>
      </c>
      <c r="C3095" s="56" t="b">
        <v>0</v>
      </c>
      <c r="D3095" s="56" t="b">
        <v>0</v>
      </c>
      <c r="E3095" s="56">
        <f ca="1">IF(PV[[#This Row],[Business Date]]=Control!$C$6, PV[[#This Row],[Notional Value Local Cur]], -PV[[#This Row],[Notional Value Local Cur]])</f>
        <v>0</v>
      </c>
    </row>
    <row r="3096" spans="1:5" x14ac:dyDescent="0.25">
      <c r="A3096" s="36" t="b">
        <v>0</v>
      </c>
      <c r="B3096" s="56" t="b">
        <v>0</v>
      </c>
      <c r="C3096" s="56" t="b">
        <v>0</v>
      </c>
      <c r="D3096" s="56" t="b">
        <v>0</v>
      </c>
      <c r="E3096" s="56">
        <f ca="1">IF(PV[[#This Row],[Business Date]]=Control!$C$6, PV[[#This Row],[Notional Value Local Cur]], -PV[[#This Row],[Notional Value Local Cur]])</f>
        <v>0</v>
      </c>
    </row>
    <row r="3097" spans="1:5" x14ac:dyDescent="0.25">
      <c r="A3097" s="36" t="b">
        <v>0</v>
      </c>
      <c r="B3097" s="56" t="b">
        <v>0</v>
      </c>
      <c r="C3097" s="56" t="b">
        <v>0</v>
      </c>
      <c r="D3097" s="56" t="b">
        <v>0</v>
      </c>
      <c r="E3097" s="56">
        <f ca="1">IF(PV[[#This Row],[Business Date]]=Control!$C$6, PV[[#This Row],[Notional Value Local Cur]], -PV[[#This Row],[Notional Value Local Cur]])</f>
        <v>0</v>
      </c>
    </row>
    <row r="3098" spans="1:5" x14ac:dyDescent="0.25">
      <c r="A3098" s="36" t="b">
        <v>0</v>
      </c>
      <c r="B3098" s="56" t="b">
        <v>0</v>
      </c>
      <c r="C3098" s="56" t="b">
        <v>0</v>
      </c>
      <c r="D3098" s="56" t="b">
        <v>0</v>
      </c>
      <c r="E3098" s="56">
        <f ca="1">IF(PV[[#This Row],[Business Date]]=Control!$C$6, PV[[#This Row],[Notional Value Local Cur]], -PV[[#This Row],[Notional Value Local Cur]])</f>
        <v>0</v>
      </c>
    </row>
    <row r="3099" spans="1:5" x14ac:dyDescent="0.25">
      <c r="A3099" s="36" t="b">
        <v>0</v>
      </c>
      <c r="B3099" s="56" t="b">
        <v>0</v>
      </c>
      <c r="C3099" s="56" t="b">
        <v>0</v>
      </c>
      <c r="D3099" s="56" t="b">
        <v>0</v>
      </c>
      <c r="E3099" s="56">
        <f ca="1">IF(PV[[#This Row],[Business Date]]=Control!$C$6, PV[[#This Row],[Notional Value Local Cur]], -PV[[#This Row],[Notional Value Local Cur]])</f>
        <v>0</v>
      </c>
    </row>
    <row r="3100" spans="1:5" x14ac:dyDescent="0.25">
      <c r="A3100" s="36" t="b">
        <v>0</v>
      </c>
      <c r="B3100" s="56" t="b">
        <v>0</v>
      </c>
      <c r="C3100" s="56" t="b">
        <v>0</v>
      </c>
      <c r="D3100" s="56" t="b">
        <v>0</v>
      </c>
      <c r="E3100" s="56">
        <f ca="1">IF(PV[[#This Row],[Business Date]]=Control!$C$6, PV[[#This Row],[Notional Value Local Cur]], -PV[[#This Row],[Notional Value Local Cur]])</f>
        <v>0</v>
      </c>
    </row>
    <row r="3101" spans="1:5" x14ac:dyDescent="0.25">
      <c r="A3101" s="36" t="b">
        <v>0</v>
      </c>
      <c r="B3101" s="56" t="b">
        <v>0</v>
      </c>
      <c r="C3101" s="56" t="b">
        <v>0</v>
      </c>
      <c r="D3101" s="56" t="b">
        <v>0</v>
      </c>
      <c r="E3101" s="56">
        <f ca="1">IF(PV[[#This Row],[Business Date]]=Control!$C$6, PV[[#This Row],[Notional Value Local Cur]], -PV[[#This Row],[Notional Value Local Cur]])</f>
        <v>0</v>
      </c>
    </row>
    <row r="3102" spans="1:5" x14ac:dyDescent="0.25">
      <c r="A3102" s="36" t="b">
        <v>0</v>
      </c>
      <c r="B3102" s="56" t="b">
        <v>0</v>
      </c>
      <c r="C3102" s="56" t="b">
        <v>0</v>
      </c>
      <c r="D3102" s="56" t="b">
        <v>0</v>
      </c>
      <c r="E3102" s="56">
        <f ca="1">IF(PV[[#This Row],[Business Date]]=Control!$C$6, PV[[#This Row],[Notional Value Local Cur]], -PV[[#This Row],[Notional Value Local Cur]])</f>
        <v>0</v>
      </c>
    </row>
    <row r="3103" spans="1:5" x14ac:dyDescent="0.25">
      <c r="A3103" s="36" t="b">
        <v>0</v>
      </c>
      <c r="B3103" s="56" t="b">
        <v>0</v>
      </c>
      <c r="C3103" s="56" t="b">
        <v>0</v>
      </c>
      <c r="D3103" s="56" t="b">
        <v>0</v>
      </c>
      <c r="E3103" s="56">
        <f ca="1">IF(PV[[#This Row],[Business Date]]=Control!$C$6, PV[[#This Row],[Notional Value Local Cur]], -PV[[#This Row],[Notional Value Local Cur]])</f>
        <v>0</v>
      </c>
    </row>
    <row r="3104" spans="1:5" x14ac:dyDescent="0.25">
      <c r="A3104" s="36" t="b">
        <v>0</v>
      </c>
      <c r="B3104" s="56" t="b">
        <v>0</v>
      </c>
      <c r="C3104" s="56" t="b">
        <v>0</v>
      </c>
      <c r="D3104" s="56" t="b">
        <v>0</v>
      </c>
      <c r="E3104" s="56">
        <f ca="1">IF(PV[[#This Row],[Business Date]]=Control!$C$6, PV[[#This Row],[Notional Value Local Cur]], -PV[[#This Row],[Notional Value Local Cur]])</f>
        <v>0</v>
      </c>
    </row>
    <row r="3105" spans="1:5" x14ac:dyDescent="0.25">
      <c r="A3105" s="36" t="b">
        <v>0</v>
      </c>
      <c r="B3105" s="56" t="b">
        <v>0</v>
      </c>
      <c r="C3105" s="56" t="b">
        <v>0</v>
      </c>
      <c r="D3105" s="56" t="b">
        <v>0</v>
      </c>
      <c r="E3105" s="56">
        <f ca="1">IF(PV[[#This Row],[Business Date]]=Control!$C$6, PV[[#This Row],[Notional Value Local Cur]], -PV[[#This Row],[Notional Value Local Cur]])</f>
        <v>0</v>
      </c>
    </row>
    <row r="3106" spans="1:5" x14ac:dyDescent="0.25">
      <c r="A3106" s="36" t="b">
        <v>0</v>
      </c>
      <c r="B3106" s="56" t="b">
        <v>0</v>
      </c>
      <c r="C3106" s="56" t="b">
        <v>0</v>
      </c>
      <c r="D3106" s="56" t="b">
        <v>0</v>
      </c>
      <c r="E3106" s="56">
        <f ca="1">IF(PV[[#This Row],[Business Date]]=Control!$C$6, PV[[#This Row],[Notional Value Local Cur]], -PV[[#This Row],[Notional Value Local Cur]])</f>
        <v>0</v>
      </c>
    </row>
    <row r="3107" spans="1:5" x14ac:dyDescent="0.25">
      <c r="A3107" s="36" t="b">
        <v>0</v>
      </c>
      <c r="B3107" s="56" t="b">
        <v>0</v>
      </c>
      <c r="C3107" s="56" t="b">
        <v>0</v>
      </c>
      <c r="D3107" s="56" t="b">
        <v>0</v>
      </c>
      <c r="E3107" s="56">
        <f ca="1">IF(PV[[#This Row],[Business Date]]=Control!$C$6, PV[[#This Row],[Notional Value Local Cur]], -PV[[#This Row],[Notional Value Local Cur]])</f>
        <v>0</v>
      </c>
    </row>
    <row r="3108" spans="1:5" x14ac:dyDescent="0.25">
      <c r="A3108" s="36" t="b">
        <v>0</v>
      </c>
      <c r="B3108" s="56" t="b">
        <v>0</v>
      </c>
      <c r="C3108" s="56" t="b">
        <v>0</v>
      </c>
      <c r="D3108" s="56" t="b">
        <v>0</v>
      </c>
      <c r="E3108" s="56">
        <f ca="1">IF(PV[[#This Row],[Business Date]]=Control!$C$6, PV[[#This Row],[Notional Value Local Cur]], -PV[[#This Row],[Notional Value Local Cur]])</f>
        <v>0</v>
      </c>
    </row>
    <row r="3109" spans="1:5" x14ac:dyDescent="0.25">
      <c r="A3109" s="36" t="b">
        <v>0</v>
      </c>
      <c r="B3109" s="56" t="b">
        <v>0</v>
      </c>
      <c r="C3109" s="56" t="b">
        <v>0</v>
      </c>
      <c r="D3109" s="56" t="b">
        <v>0</v>
      </c>
      <c r="E3109" s="56">
        <f ca="1">IF(PV[[#This Row],[Business Date]]=Control!$C$6, PV[[#This Row],[Notional Value Local Cur]], -PV[[#This Row],[Notional Value Local Cur]])</f>
        <v>0</v>
      </c>
    </row>
    <row r="3110" spans="1:5" x14ac:dyDescent="0.25">
      <c r="A3110" s="36" t="b">
        <v>0</v>
      </c>
      <c r="B3110" s="56" t="b">
        <v>0</v>
      </c>
      <c r="C3110" s="56" t="b">
        <v>0</v>
      </c>
      <c r="D3110" s="56" t="b">
        <v>0</v>
      </c>
      <c r="E3110" s="56">
        <f ca="1">IF(PV[[#This Row],[Business Date]]=Control!$C$6, PV[[#This Row],[Notional Value Local Cur]], -PV[[#This Row],[Notional Value Local Cur]])</f>
        <v>0</v>
      </c>
    </row>
    <row r="3111" spans="1:5" x14ac:dyDescent="0.25">
      <c r="A3111" s="36" t="b">
        <v>0</v>
      </c>
      <c r="B3111" s="56" t="b">
        <v>0</v>
      </c>
      <c r="C3111" s="56" t="b">
        <v>0</v>
      </c>
      <c r="D3111" s="56" t="b">
        <v>0</v>
      </c>
      <c r="E3111" s="56">
        <f ca="1">IF(PV[[#This Row],[Business Date]]=Control!$C$6, PV[[#This Row],[Notional Value Local Cur]], -PV[[#This Row],[Notional Value Local Cur]])</f>
        <v>0</v>
      </c>
    </row>
    <row r="3112" spans="1:5" x14ac:dyDescent="0.25">
      <c r="A3112" s="36" t="b">
        <v>0</v>
      </c>
      <c r="B3112" s="56" t="b">
        <v>0</v>
      </c>
      <c r="C3112" s="56" t="b">
        <v>0</v>
      </c>
      <c r="D3112" s="56" t="b">
        <v>0</v>
      </c>
      <c r="E3112" s="56">
        <f ca="1">IF(PV[[#This Row],[Business Date]]=Control!$C$6, PV[[#This Row],[Notional Value Local Cur]], -PV[[#This Row],[Notional Value Local Cur]])</f>
        <v>0</v>
      </c>
    </row>
    <row r="3113" spans="1:5" x14ac:dyDescent="0.25">
      <c r="A3113" s="36" t="b">
        <v>0</v>
      </c>
      <c r="B3113" s="56" t="b">
        <v>0</v>
      </c>
      <c r="C3113" s="56" t="b">
        <v>0</v>
      </c>
      <c r="D3113" s="56" t="b">
        <v>0</v>
      </c>
      <c r="E3113" s="56">
        <f ca="1">IF(PV[[#This Row],[Business Date]]=Control!$C$6, PV[[#This Row],[Notional Value Local Cur]], -PV[[#This Row],[Notional Value Local Cur]])</f>
        <v>0</v>
      </c>
    </row>
    <row r="3114" spans="1:5" x14ac:dyDescent="0.25">
      <c r="A3114" s="36" t="b">
        <v>0</v>
      </c>
      <c r="B3114" s="56" t="b">
        <v>0</v>
      </c>
      <c r="C3114" s="56" t="b">
        <v>0</v>
      </c>
      <c r="D3114" s="56" t="b">
        <v>0</v>
      </c>
      <c r="E3114" s="56">
        <f ca="1">IF(PV[[#This Row],[Business Date]]=Control!$C$6, PV[[#This Row],[Notional Value Local Cur]], -PV[[#This Row],[Notional Value Local Cur]])</f>
        <v>0</v>
      </c>
    </row>
    <row r="3115" spans="1:5" x14ac:dyDescent="0.25">
      <c r="A3115" s="36" t="b">
        <v>0</v>
      </c>
      <c r="B3115" s="56" t="b">
        <v>0</v>
      </c>
      <c r="C3115" s="56" t="b">
        <v>0</v>
      </c>
      <c r="D3115" s="56" t="b">
        <v>0</v>
      </c>
      <c r="E3115" s="56">
        <f ca="1">IF(PV[[#This Row],[Business Date]]=Control!$C$6, PV[[#This Row],[Notional Value Local Cur]], -PV[[#This Row],[Notional Value Local Cur]])</f>
        <v>0</v>
      </c>
    </row>
    <row r="3116" spans="1:5" x14ac:dyDescent="0.25">
      <c r="A3116" s="36" t="b">
        <v>0</v>
      </c>
      <c r="B3116" s="56" t="b">
        <v>0</v>
      </c>
      <c r="C3116" s="56" t="b">
        <v>0</v>
      </c>
      <c r="D3116" s="56" t="b">
        <v>0</v>
      </c>
      <c r="E3116" s="56">
        <f ca="1">IF(PV[[#This Row],[Business Date]]=Control!$C$6, PV[[#This Row],[Notional Value Local Cur]], -PV[[#This Row],[Notional Value Local Cur]])</f>
        <v>0</v>
      </c>
    </row>
    <row r="3117" spans="1:5" x14ac:dyDescent="0.25">
      <c r="A3117" s="36" t="b">
        <v>0</v>
      </c>
      <c r="B3117" s="56" t="b">
        <v>0</v>
      </c>
      <c r="C3117" s="56" t="b">
        <v>0</v>
      </c>
      <c r="D3117" s="56" t="b">
        <v>0</v>
      </c>
      <c r="E3117" s="56">
        <f ca="1">IF(PV[[#This Row],[Business Date]]=Control!$C$6, PV[[#This Row],[Notional Value Local Cur]], -PV[[#This Row],[Notional Value Local Cur]])</f>
        <v>0</v>
      </c>
    </row>
    <row r="3118" spans="1:5" x14ac:dyDescent="0.25">
      <c r="A3118" s="36" t="b">
        <v>0</v>
      </c>
      <c r="B3118" s="56" t="b">
        <v>0</v>
      </c>
      <c r="C3118" s="56" t="b">
        <v>0</v>
      </c>
      <c r="D3118" s="56" t="b">
        <v>0</v>
      </c>
      <c r="E3118" s="56">
        <f ca="1">IF(PV[[#This Row],[Business Date]]=Control!$C$6, PV[[#This Row],[Notional Value Local Cur]], -PV[[#This Row],[Notional Value Local Cur]])</f>
        <v>0</v>
      </c>
    </row>
    <row r="3119" spans="1:5" x14ac:dyDescent="0.25">
      <c r="A3119" s="36" t="b">
        <v>0</v>
      </c>
      <c r="B3119" s="56" t="b">
        <v>0</v>
      </c>
      <c r="C3119" s="56" t="b">
        <v>0</v>
      </c>
      <c r="D3119" s="56" t="b">
        <v>0</v>
      </c>
      <c r="E3119" s="56">
        <f ca="1">IF(PV[[#This Row],[Business Date]]=Control!$C$6, PV[[#This Row],[Notional Value Local Cur]], -PV[[#This Row],[Notional Value Local Cur]])</f>
        <v>0</v>
      </c>
    </row>
    <row r="3120" spans="1:5" x14ac:dyDescent="0.25">
      <c r="A3120" s="36" t="b">
        <v>0</v>
      </c>
      <c r="B3120" s="56" t="b">
        <v>0</v>
      </c>
      <c r="C3120" s="56" t="b">
        <v>0</v>
      </c>
      <c r="D3120" s="56" t="b">
        <v>0</v>
      </c>
      <c r="E3120" s="56">
        <f ca="1">IF(PV[[#This Row],[Business Date]]=Control!$C$6, PV[[#This Row],[Notional Value Local Cur]], -PV[[#This Row],[Notional Value Local Cur]])</f>
        <v>0</v>
      </c>
    </row>
    <row r="3121" spans="1:5" x14ac:dyDescent="0.25">
      <c r="A3121" s="36" t="b">
        <v>0</v>
      </c>
      <c r="B3121" s="56" t="b">
        <v>0</v>
      </c>
      <c r="C3121" s="56" t="b">
        <v>0</v>
      </c>
      <c r="D3121" s="56" t="b">
        <v>0</v>
      </c>
      <c r="E3121" s="56">
        <f ca="1">IF(PV[[#This Row],[Business Date]]=Control!$C$6, PV[[#This Row],[Notional Value Local Cur]], -PV[[#This Row],[Notional Value Local Cur]])</f>
        <v>0</v>
      </c>
    </row>
    <row r="3122" spans="1:5" x14ac:dyDescent="0.25">
      <c r="A3122" s="36" t="b">
        <v>0</v>
      </c>
      <c r="B3122" s="56" t="b">
        <v>0</v>
      </c>
      <c r="C3122" s="56" t="b">
        <v>0</v>
      </c>
      <c r="D3122" s="56" t="b">
        <v>0</v>
      </c>
      <c r="E3122" s="56">
        <f ca="1">IF(PV[[#This Row],[Business Date]]=Control!$C$6, PV[[#This Row],[Notional Value Local Cur]], -PV[[#This Row],[Notional Value Local Cur]])</f>
        <v>0</v>
      </c>
    </row>
    <row r="3123" spans="1:5" x14ac:dyDescent="0.25">
      <c r="A3123" s="36" t="b">
        <v>0</v>
      </c>
      <c r="B3123" s="56" t="b">
        <v>0</v>
      </c>
      <c r="C3123" s="56" t="b">
        <v>0</v>
      </c>
      <c r="D3123" s="56" t="b">
        <v>0</v>
      </c>
      <c r="E3123" s="56">
        <f ca="1">IF(PV[[#This Row],[Business Date]]=Control!$C$6, PV[[#This Row],[Notional Value Local Cur]], -PV[[#This Row],[Notional Value Local Cur]])</f>
        <v>0</v>
      </c>
    </row>
    <row r="3124" spans="1:5" x14ac:dyDescent="0.25">
      <c r="A3124" s="36" t="b">
        <v>0</v>
      </c>
      <c r="B3124" s="56" t="b">
        <v>0</v>
      </c>
      <c r="C3124" s="56" t="b">
        <v>0</v>
      </c>
      <c r="D3124" s="56" t="b">
        <v>0</v>
      </c>
      <c r="E3124" s="56">
        <f ca="1">IF(PV[[#This Row],[Business Date]]=Control!$C$6, PV[[#This Row],[Notional Value Local Cur]], -PV[[#This Row],[Notional Value Local Cur]])</f>
        <v>0</v>
      </c>
    </row>
    <row r="3125" spans="1:5" x14ac:dyDescent="0.25">
      <c r="A3125" s="36" t="b">
        <v>0</v>
      </c>
      <c r="B3125" s="56" t="b">
        <v>0</v>
      </c>
      <c r="C3125" s="56" t="b">
        <v>0</v>
      </c>
      <c r="D3125" s="56" t="b">
        <v>0</v>
      </c>
      <c r="E3125" s="56">
        <f ca="1">IF(PV[[#This Row],[Business Date]]=Control!$C$6, PV[[#This Row],[Notional Value Local Cur]], -PV[[#This Row],[Notional Value Local Cur]])</f>
        <v>0</v>
      </c>
    </row>
    <row r="3126" spans="1:5" x14ac:dyDescent="0.25">
      <c r="A3126" s="36" t="b">
        <v>0</v>
      </c>
      <c r="B3126" s="56" t="b">
        <v>0</v>
      </c>
      <c r="C3126" s="56" t="b">
        <v>0</v>
      </c>
      <c r="D3126" s="56" t="b">
        <v>0</v>
      </c>
      <c r="E3126" s="56">
        <f ca="1">IF(PV[[#This Row],[Business Date]]=Control!$C$6, PV[[#This Row],[Notional Value Local Cur]], -PV[[#This Row],[Notional Value Local Cur]])</f>
        <v>0</v>
      </c>
    </row>
    <row r="3127" spans="1:5" x14ac:dyDescent="0.25">
      <c r="A3127" s="36" t="b">
        <v>0</v>
      </c>
      <c r="B3127" s="56" t="b">
        <v>0</v>
      </c>
      <c r="C3127" s="56" t="b">
        <v>0</v>
      </c>
      <c r="D3127" s="56" t="b">
        <v>0</v>
      </c>
      <c r="E3127" s="56">
        <f ca="1">IF(PV[[#This Row],[Business Date]]=Control!$C$6, PV[[#This Row],[Notional Value Local Cur]], -PV[[#This Row],[Notional Value Local Cur]])</f>
        <v>0</v>
      </c>
    </row>
    <row r="3128" spans="1:5" x14ac:dyDescent="0.25">
      <c r="A3128" s="36" t="b">
        <v>0</v>
      </c>
      <c r="B3128" s="56" t="b">
        <v>0</v>
      </c>
      <c r="C3128" s="56" t="b">
        <v>0</v>
      </c>
      <c r="D3128" s="56" t="b">
        <v>0</v>
      </c>
      <c r="E3128" s="56">
        <f ca="1">IF(PV[[#This Row],[Business Date]]=Control!$C$6, PV[[#This Row],[Notional Value Local Cur]], -PV[[#This Row],[Notional Value Local Cur]])</f>
        <v>0</v>
      </c>
    </row>
    <row r="3129" spans="1:5" x14ac:dyDescent="0.25">
      <c r="A3129" s="36" t="b">
        <v>0</v>
      </c>
      <c r="B3129" s="56" t="b">
        <v>0</v>
      </c>
      <c r="C3129" s="56" t="b">
        <v>0</v>
      </c>
      <c r="D3129" s="56" t="b">
        <v>0</v>
      </c>
      <c r="E3129" s="56">
        <f ca="1">IF(PV[[#This Row],[Business Date]]=Control!$C$6, PV[[#This Row],[Notional Value Local Cur]], -PV[[#This Row],[Notional Value Local Cur]])</f>
        <v>0</v>
      </c>
    </row>
    <row r="3130" spans="1:5" x14ac:dyDescent="0.25">
      <c r="A3130" s="36" t="b">
        <v>0</v>
      </c>
      <c r="B3130" s="56" t="b">
        <v>0</v>
      </c>
      <c r="C3130" s="56" t="b">
        <v>0</v>
      </c>
      <c r="D3130" s="56" t="b">
        <v>0</v>
      </c>
      <c r="E3130" s="56">
        <f ca="1">IF(PV[[#This Row],[Business Date]]=Control!$C$6, PV[[#This Row],[Notional Value Local Cur]], -PV[[#This Row],[Notional Value Local Cur]])</f>
        <v>0</v>
      </c>
    </row>
    <row r="3131" spans="1:5" x14ac:dyDescent="0.25">
      <c r="A3131" s="36" t="b">
        <v>0</v>
      </c>
      <c r="B3131" s="56" t="b">
        <v>0</v>
      </c>
      <c r="C3131" s="56" t="b">
        <v>0</v>
      </c>
      <c r="D3131" s="56" t="b">
        <v>0</v>
      </c>
      <c r="E3131" s="56">
        <f ca="1">IF(PV[[#This Row],[Business Date]]=Control!$C$6, PV[[#This Row],[Notional Value Local Cur]], -PV[[#This Row],[Notional Value Local Cur]])</f>
        <v>0</v>
      </c>
    </row>
    <row r="3132" spans="1:5" x14ac:dyDescent="0.25">
      <c r="A3132" s="36" t="b">
        <v>0</v>
      </c>
      <c r="B3132" s="56" t="b">
        <v>0</v>
      </c>
      <c r="C3132" s="56" t="b">
        <v>0</v>
      </c>
      <c r="D3132" s="56" t="b">
        <v>0</v>
      </c>
      <c r="E3132" s="56">
        <f ca="1">IF(PV[[#This Row],[Business Date]]=Control!$C$6, PV[[#This Row],[Notional Value Local Cur]], -PV[[#This Row],[Notional Value Local Cur]])</f>
        <v>0</v>
      </c>
    </row>
    <row r="3133" spans="1:5" x14ac:dyDescent="0.25">
      <c r="A3133" s="36" t="b">
        <v>0</v>
      </c>
      <c r="B3133" s="56" t="b">
        <v>0</v>
      </c>
      <c r="C3133" s="56" t="b">
        <v>0</v>
      </c>
      <c r="D3133" s="56" t="b">
        <v>0</v>
      </c>
      <c r="E3133" s="56">
        <f ca="1">IF(PV[[#This Row],[Business Date]]=Control!$C$6, PV[[#This Row],[Notional Value Local Cur]], -PV[[#This Row],[Notional Value Local Cur]])</f>
        <v>0</v>
      </c>
    </row>
    <row r="3134" spans="1:5" x14ac:dyDescent="0.25">
      <c r="A3134" s="36" t="b">
        <v>0</v>
      </c>
      <c r="B3134" s="56" t="b">
        <v>0</v>
      </c>
      <c r="C3134" s="56" t="b">
        <v>0</v>
      </c>
      <c r="D3134" s="56" t="b">
        <v>0</v>
      </c>
      <c r="E3134" s="56">
        <f ca="1">IF(PV[[#This Row],[Business Date]]=Control!$C$6, PV[[#This Row],[Notional Value Local Cur]], -PV[[#This Row],[Notional Value Local Cur]])</f>
        <v>0</v>
      </c>
    </row>
    <row r="3135" spans="1:5" x14ac:dyDescent="0.25">
      <c r="A3135" s="36" t="b">
        <v>0</v>
      </c>
      <c r="B3135" s="56" t="b">
        <v>0</v>
      </c>
      <c r="C3135" s="56" t="b">
        <v>0</v>
      </c>
      <c r="D3135" s="56" t="b">
        <v>0</v>
      </c>
      <c r="E3135" s="56">
        <f ca="1">IF(PV[[#This Row],[Business Date]]=Control!$C$6, PV[[#This Row],[Notional Value Local Cur]], -PV[[#This Row],[Notional Value Local Cur]])</f>
        <v>0</v>
      </c>
    </row>
    <row r="3136" spans="1:5" x14ac:dyDescent="0.25">
      <c r="A3136" s="36" t="b">
        <v>0</v>
      </c>
      <c r="B3136" s="56" t="b">
        <v>0</v>
      </c>
      <c r="C3136" s="56" t="b">
        <v>0</v>
      </c>
      <c r="D3136" s="56" t="b">
        <v>0</v>
      </c>
      <c r="E3136" s="56">
        <f ca="1">IF(PV[[#This Row],[Business Date]]=Control!$C$6, PV[[#This Row],[Notional Value Local Cur]], -PV[[#This Row],[Notional Value Local Cur]])</f>
        <v>0</v>
      </c>
    </row>
    <row r="3137" spans="1:5" x14ac:dyDescent="0.25">
      <c r="A3137" s="36" t="b">
        <v>0</v>
      </c>
      <c r="B3137" s="56" t="b">
        <v>0</v>
      </c>
      <c r="C3137" s="56" t="b">
        <v>0</v>
      </c>
      <c r="D3137" s="56" t="b">
        <v>0</v>
      </c>
      <c r="E3137" s="56">
        <f ca="1">IF(PV[[#This Row],[Business Date]]=Control!$C$6, PV[[#This Row],[Notional Value Local Cur]], -PV[[#This Row],[Notional Value Local Cur]])</f>
        <v>0</v>
      </c>
    </row>
    <row r="3138" spans="1:5" x14ac:dyDescent="0.25">
      <c r="A3138" s="36" t="b">
        <v>0</v>
      </c>
      <c r="B3138" s="56" t="b">
        <v>0</v>
      </c>
      <c r="C3138" s="56" t="b">
        <v>0</v>
      </c>
      <c r="D3138" s="56" t="b">
        <v>0</v>
      </c>
      <c r="E3138" s="56">
        <f ca="1">IF(PV[[#This Row],[Business Date]]=Control!$C$6, PV[[#This Row],[Notional Value Local Cur]], -PV[[#This Row],[Notional Value Local Cur]])</f>
        <v>0</v>
      </c>
    </row>
    <row r="3139" spans="1:5" x14ac:dyDescent="0.25">
      <c r="A3139" s="36" t="b">
        <v>0</v>
      </c>
      <c r="B3139" s="56" t="b">
        <v>0</v>
      </c>
      <c r="C3139" s="56" t="b">
        <v>0</v>
      </c>
      <c r="D3139" s="56" t="b">
        <v>0</v>
      </c>
      <c r="E3139" s="56">
        <f ca="1">IF(PV[[#This Row],[Business Date]]=Control!$C$6, PV[[#This Row],[Notional Value Local Cur]], -PV[[#This Row],[Notional Value Local Cur]])</f>
        <v>0</v>
      </c>
    </row>
    <row r="3140" spans="1:5" x14ac:dyDescent="0.25">
      <c r="A3140" s="36" t="b">
        <v>0</v>
      </c>
      <c r="B3140" s="56" t="b">
        <v>0</v>
      </c>
      <c r="C3140" s="56" t="b">
        <v>0</v>
      </c>
      <c r="D3140" s="56" t="b">
        <v>0</v>
      </c>
      <c r="E3140" s="56">
        <f ca="1">IF(PV[[#This Row],[Business Date]]=Control!$C$6, PV[[#This Row],[Notional Value Local Cur]], -PV[[#This Row],[Notional Value Local Cur]])</f>
        <v>0</v>
      </c>
    </row>
    <row r="3141" spans="1:5" x14ac:dyDescent="0.25">
      <c r="A3141" s="36" t="b">
        <v>0</v>
      </c>
      <c r="B3141" s="56" t="b">
        <v>0</v>
      </c>
      <c r="C3141" s="56" t="b">
        <v>0</v>
      </c>
      <c r="D3141" s="56" t="b">
        <v>0</v>
      </c>
      <c r="E3141" s="56">
        <f ca="1">IF(PV[[#This Row],[Business Date]]=Control!$C$6, PV[[#This Row],[Notional Value Local Cur]], -PV[[#This Row],[Notional Value Local Cur]])</f>
        <v>0</v>
      </c>
    </row>
    <row r="3142" spans="1:5" x14ac:dyDescent="0.25">
      <c r="A3142" s="36" t="b">
        <v>0</v>
      </c>
      <c r="B3142" s="56" t="b">
        <v>0</v>
      </c>
      <c r="C3142" s="56" t="b">
        <v>0</v>
      </c>
      <c r="D3142" s="56" t="b">
        <v>0</v>
      </c>
      <c r="E3142" s="56">
        <f ca="1">IF(PV[[#This Row],[Business Date]]=Control!$C$6, PV[[#This Row],[Notional Value Local Cur]], -PV[[#This Row],[Notional Value Local Cur]])</f>
        <v>0</v>
      </c>
    </row>
    <row r="3143" spans="1:5" x14ac:dyDescent="0.25">
      <c r="A3143" s="36" t="b">
        <v>0</v>
      </c>
      <c r="B3143" s="56" t="b">
        <v>0</v>
      </c>
      <c r="C3143" s="56" t="b">
        <v>0</v>
      </c>
      <c r="D3143" s="56" t="b">
        <v>0</v>
      </c>
      <c r="E3143" s="56">
        <f ca="1">IF(PV[[#This Row],[Business Date]]=Control!$C$6, PV[[#This Row],[Notional Value Local Cur]], -PV[[#This Row],[Notional Value Local Cur]])</f>
        <v>0</v>
      </c>
    </row>
    <row r="3144" spans="1:5" x14ac:dyDescent="0.25">
      <c r="A3144" s="36" t="b">
        <v>0</v>
      </c>
      <c r="B3144" s="56" t="b">
        <v>0</v>
      </c>
      <c r="C3144" s="56" t="b">
        <v>0</v>
      </c>
      <c r="D3144" s="56" t="b">
        <v>0</v>
      </c>
      <c r="E3144" s="56">
        <f ca="1">IF(PV[[#This Row],[Business Date]]=Control!$C$6, PV[[#This Row],[Notional Value Local Cur]], -PV[[#This Row],[Notional Value Local Cur]])</f>
        <v>0</v>
      </c>
    </row>
    <row r="3145" spans="1:5" x14ac:dyDescent="0.25">
      <c r="A3145" s="36" t="b">
        <v>0</v>
      </c>
      <c r="B3145" s="56" t="b">
        <v>0</v>
      </c>
      <c r="C3145" s="56" t="b">
        <v>0</v>
      </c>
      <c r="D3145" s="56" t="b">
        <v>0</v>
      </c>
      <c r="E3145" s="56">
        <f ca="1">IF(PV[[#This Row],[Business Date]]=Control!$C$6, PV[[#This Row],[Notional Value Local Cur]], -PV[[#This Row],[Notional Value Local Cur]])</f>
        <v>0</v>
      </c>
    </row>
    <row r="3146" spans="1:5" x14ac:dyDescent="0.25">
      <c r="A3146" s="36" t="b">
        <v>0</v>
      </c>
      <c r="B3146" s="56" t="b">
        <v>0</v>
      </c>
      <c r="C3146" s="56" t="b">
        <v>0</v>
      </c>
      <c r="D3146" s="56" t="b">
        <v>0</v>
      </c>
      <c r="E3146" s="56">
        <f ca="1">IF(PV[[#This Row],[Business Date]]=Control!$C$6, PV[[#This Row],[Notional Value Local Cur]], -PV[[#This Row],[Notional Value Local Cur]])</f>
        <v>0</v>
      </c>
    </row>
    <row r="3147" spans="1:5" x14ac:dyDescent="0.25">
      <c r="A3147" s="36" t="b">
        <v>0</v>
      </c>
      <c r="B3147" s="56" t="b">
        <v>0</v>
      </c>
      <c r="C3147" s="56" t="b">
        <v>0</v>
      </c>
      <c r="D3147" s="56" t="b">
        <v>0</v>
      </c>
      <c r="E3147" s="56">
        <f ca="1">IF(PV[[#This Row],[Business Date]]=Control!$C$6, PV[[#This Row],[Notional Value Local Cur]], -PV[[#This Row],[Notional Value Local Cur]])</f>
        <v>0</v>
      </c>
    </row>
    <row r="3148" spans="1:5" x14ac:dyDescent="0.25">
      <c r="A3148" s="36" t="b">
        <v>0</v>
      </c>
      <c r="B3148" s="56" t="b">
        <v>0</v>
      </c>
      <c r="C3148" s="56" t="b">
        <v>0</v>
      </c>
      <c r="D3148" s="56" t="b">
        <v>0</v>
      </c>
      <c r="E3148" s="56">
        <f ca="1">IF(PV[[#This Row],[Business Date]]=Control!$C$6, PV[[#This Row],[Notional Value Local Cur]], -PV[[#This Row],[Notional Value Local Cur]])</f>
        <v>0</v>
      </c>
    </row>
    <row r="3149" spans="1:5" x14ac:dyDescent="0.25">
      <c r="A3149" s="36" t="b">
        <v>0</v>
      </c>
      <c r="B3149" s="56" t="b">
        <v>0</v>
      </c>
      <c r="C3149" s="56" t="b">
        <v>0</v>
      </c>
      <c r="D3149" s="56" t="b">
        <v>0</v>
      </c>
      <c r="E3149" s="56">
        <f ca="1">IF(PV[[#This Row],[Business Date]]=Control!$C$6, PV[[#This Row],[Notional Value Local Cur]], -PV[[#This Row],[Notional Value Local Cur]])</f>
        <v>0</v>
      </c>
    </row>
    <row r="3150" spans="1:5" x14ac:dyDescent="0.25">
      <c r="A3150" s="36" t="b">
        <v>0</v>
      </c>
      <c r="B3150" s="56" t="b">
        <v>0</v>
      </c>
      <c r="C3150" s="56" t="b">
        <v>0</v>
      </c>
      <c r="D3150" s="56" t="b">
        <v>0</v>
      </c>
      <c r="E3150" s="56">
        <f ca="1">IF(PV[[#This Row],[Business Date]]=Control!$C$6, PV[[#This Row],[Notional Value Local Cur]], -PV[[#This Row],[Notional Value Local Cur]])</f>
        <v>0</v>
      </c>
    </row>
    <row r="3151" spans="1:5" x14ac:dyDescent="0.25">
      <c r="A3151" s="36" t="b">
        <v>0</v>
      </c>
      <c r="B3151" s="56" t="b">
        <v>0</v>
      </c>
      <c r="C3151" s="56" t="b">
        <v>0</v>
      </c>
      <c r="D3151" s="56" t="b">
        <v>0</v>
      </c>
      <c r="E3151" s="56">
        <f ca="1">IF(PV[[#This Row],[Business Date]]=Control!$C$6, PV[[#This Row],[Notional Value Local Cur]], -PV[[#This Row],[Notional Value Local Cur]])</f>
        <v>0</v>
      </c>
    </row>
    <row r="3152" spans="1:5" x14ac:dyDescent="0.25">
      <c r="A3152" s="36" t="b">
        <v>0</v>
      </c>
      <c r="B3152" s="56" t="b">
        <v>0</v>
      </c>
      <c r="C3152" s="56" t="b">
        <v>0</v>
      </c>
      <c r="D3152" s="56" t="b">
        <v>0</v>
      </c>
      <c r="E3152" s="56">
        <f ca="1">IF(PV[[#This Row],[Business Date]]=Control!$C$6, PV[[#This Row],[Notional Value Local Cur]], -PV[[#This Row],[Notional Value Local Cur]])</f>
        <v>0</v>
      </c>
    </row>
    <row r="3153" spans="1:5" x14ac:dyDescent="0.25">
      <c r="A3153" s="36" t="b">
        <v>0</v>
      </c>
      <c r="B3153" s="56" t="b">
        <v>0</v>
      </c>
      <c r="C3153" s="56" t="b">
        <v>0</v>
      </c>
      <c r="D3153" s="56" t="b">
        <v>0</v>
      </c>
      <c r="E3153" s="56">
        <f ca="1">IF(PV[[#This Row],[Business Date]]=Control!$C$6, PV[[#This Row],[Notional Value Local Cur]], -PV[[#This Row],[Notional Value Local Cur]])</f>
        <v>0</v>
      </c>
    </row>
    <row r="3154" spans="1:5" x14ac:dyDescent="0.25">
      <c r="A3154" s="36" t="b">
        <v>0</v>
      </c>
      <c r="B3154" s="56" t="b">
        <v>0</v>
      </c>
      <c r="C3154" s="56" t="b">
        <v>0</v>
      </c>
      <c r="D3154" s="56" t="b">
        <v>0</v>
      </c>
      <c r="E3154" s="56">
        <f ca="1">IF(PV[[#This Row],[Business Date]]=Control!$C$6, PV[[#This Row],[Notional Value Local Cur]], -PV[[#This Row],[Notional Value Local Cur]])</f>
        <v>0</v>
      </c>
    </row>
    <row r="3155" spans="1:5" x14ac:dyDescent="0.25">
      <c r="A3155" s="36" t="b">
        <v>0</v>
      </c>
      <c r="B3155" s="56" t="b">
        <v>0</v>
      </c>
      <c r="C3155" s="56" t="b">
        <v>0</v>
      </c>
      <c r="D3155" s="56" t="b">
        <v>0</v>
      </c>
      <c r="E3155" s="56">
        <f ca="1">IF(PV[[#This Row],[Business Date]]=Control!$C$6, PV[[#This Row],[Notional Value Local Cur]], -PV[[#This Row],[Notional Value Local Cur]])</f>
        <v>0</v>
      </c>
    </row>
    <row r="3156" spans="1:5" x14ac:dyDescent="0.25">
      <c r="A3156" s="36" t="b">
        <v>0</v>
      </c>
      <c r="B3156" s="56" t="b">
        <v>0</v>
      </c>
      <c r="C3156" s="56" t="b">
        <v>0</v>
      </c>
      <c r="D3156" s="56" t="b">
        <v>0</v>
      </c>
      <c r="E3156" s="56">
        <f ca="1">IF(PV[[#This Row],[Business Date]]=Control!$C$6, PV[[#This Row],[Notional Value Local Cur]], -PV[[#This Row],[Notional Value Local Cur]])</f>
        <v>0</v>
      </c>
    </row>
    <row r="3157" spans="1:5" x14ac:dyDescent="0.25">
      <c r="A3157" s="36" t="b">
        <v>0</v>
      </c>
      <c r="B3157" s="56" t="b">
        <v>0</v>
      </c>
      <c r="C3157" s="56" t="b">
        <v>0</v>
      </c>
      <c r="D3157" s="56" t="b">
        <v>0</v>
      </c>
      <c r="E3157" s="56">
        <f ca="1">IF(PV[[#This Row],[Business Date]]=Control!$C$6, PV[[#This Row],[Notional Value Local Cur]], -PV[[#This Row],[Notional Value Local Cur]])</f>
        <v>0</v>
      </c>
    </row>
    <row r="3158" spans="1:5" x14ac:dyDescent="0.25">
      <c r="A3158" s="36" t="b">
        <v>0</v>
      </c>
      <c r="B3158" s="56" t="b">
        <v>0</v>
      </c>
      <c r="C3158" s="56" t="b">
        <v>0</v>
      </c>
      <c r="D3158" s="56" t="b">
        <v>0</v>
      </c>
      <c r="E3158" s="56">
        <f ca="1">IF(PV[[#This Row],[Business Date]]=Control!$C$6, PV[[#This Row],[Notional Value Local Cur]], -PV[[#This Row],[Notional Value Local Cur]])</f>
        <v>0</v>
      </c>
    </row>
    <row r="3159" spans="1:5" x14ac:dyDescent="0.25">
      <c r="A3159" s="36" t="b">
        <v>0</v>
      </c>
      <c r="B3159" s="56" t="b">
        <v>0</v>
      </c>
      <c r="C3159" s="56" t="b">
        <v>0</v>
      </c>
      <c r="D3159" s="56" t="b">
        <v>0</v>
      </c>
      <c r="E3159" s="56">
        <f ca="1">IF(PV[[#This Row],[Business Date]]=Control!$C$6, PV[[#This Row],[Notional Value Local Cur]], -PV[[#This Row],[Notional Value Local Cur]])</f>
        <v>0</v>
      </c>
    </row>
    <row r="3160" spans="1:5" x14ac:dyDescent="0.25">
      <c r="A3160" s="36" t="b">
        <v>0</v>
      </c>
      <c r="B3160" s="56" t="b">
        <v>0</v>
      </c>
      <c r="C3160" s="56" t="b">
        <v>0</v>
      </c>
      <c r="D3160" s="56" t="b">
        <v>0</v>
      </c>
      <c r="E3160" s="56">
        <f ca="1">IF(PV[[#This Row],[Business Date]]=Control!$C$6, PV[[#This Row],[Notional Value Local Cur]], -PV[[#This Row],[Notional Value Local Cur]])</f>
        <v>0</v>
      </c>
    </row>
    <row r="3161" spans="1:5" x14ac:dyDescent="0.25">
      <c r="A3161" s="36" t="b">
        <v>0</v>
      </c>
      <c r="B3161" s="56" t="b">
        <v>0</v>
      </c>
      <c r="C3161" s="56" t="b">
        <v>0</v>
      </c>
      <c r="D3161" s="56" t="b">
        <v>0</v>
      </c>
      <c r="E3161" s="56">
        <f ca="1">IF(PV[[#This Row],[Business Date]]=Control!$C$6, PV[[#This Row],[Notional Value Local Cur]], -PV[[#This Row],[Notional Value Local Cur]])</f>
        <v>0</v>
      </c>
    </row>
    <row r="3162" spans="1:5" x14ac:dyDescent="0.25">
      <c r="A3162" s="36" t="b">
        <v>0</v>
      </c>
      <c r="B3162" s="56" t="b">
        <v>0</v>
      </c>
      <c r="C3162" s="56" t="b">
        <v>0</v>
      </c>
      <c r="D3162" s="56" t="b">
        <v>0</v>
      </c>
      <c r="E3162" s="56">
        <f ca="1">IF(PV[[#This Row],[Business Date]]=Control!$C$6, PV[[#This Row],[Notional Value Local Cur]], -PV[[#This Row],[Notional Value Local Cur]])</f>
        <v>0</v>
      </c>
    </row>
    <row r="3163" spans="1:5" x14ac:dyDescent="0.25">
      <c r="A3163" s="36" t="b">
        <v>0</v>
      </c>
      <c r="B3163" s="56" t="b">
        <v>0</v>
      </c>
      <c r="C3163" s="56" t="b">
        <v>0</v>
      </c>
      <c r="D3163" s="56" t="b">
        <v>0</v>
      </c>
      <c r="E3163" s="56">
        <f ca="1">IF(PV[[#This Row],[Business Date]]=Control!$C$6, PV[[#This Row],[Notional Value Local Cur]], -PV[[#This Row],[Notional Value Local Cur]])</f>
        <v>0</v>
      </c>
    </row>
    <row r="3164" spans="1:5" x14ac:dyDescent="0.25">
      <c r="A3164" s="36" t="b">
        <v>0</v>
      </c>
      <c r="B3164" s="56" t="b">
        <v>0</v>
      </c>
      <c r="C3164" s="56" t="b">
        <v>0</v>
      </c>
      <c r="D3164" s="56" t="b">
        <v>0</v>
      </c>
      <c r="E3164" s="56">
        <f ca="1">IF(PV[[#This Row],[Business Date]]=Control!$C$6, PV[[#This Row],[Notional Value Local Cur]], -PV[[#This Row],[Notional Value Local Cur]])</f>
        <v>0</v>
      </c>
    </row>
    <row r="3165" spans="1:5" x14ac:dyDescent="0.25">
      <c r="A3165" s="36" t="b">
        <v>0</v>
      </c>
      <c r="B3165" s="56" t="b">
        <v>0</v>
      </c>
      <c r="C3165" s="56" t="b">
        <v>0</v>
      </c>
      <c r="D3165" s="56" t="b">
        <v>0</v>
      </c>
      <c r="E3165" s="56">
        <f ca="1">IF(PV[[#This Row],[Business Date]]=Control!$C$6, PV[[#This Row],[Notional Value Local Cur]], -PV[[#This Row],[Notional Value Local Cur]])</f>
        <v>0</v>
      </c>
    </row>
    <row r="3166" spans="1:5" x14ac:dyDescent="0.25">
      <c r="A3166" s="36" t="b">
        <v>0</v>
      </c>
      <c r="B3166" s="56" t="b">
        <v>0</v>
      </c>
      <c r="C3166" s="56" t="b">
        <v>0</v>
      </c>
      <c r="D3166" s="56" t="b">
        <v>0</v>
      </c>
      <c r="E3166" s="56">
        <f ca="1">IF(PV[[#This Row],[Business Date]]=Control!$C$6, PV[[#This Row],[Notional Value Local Cur]], -PV[[#This Row],[Notional Value Local Cur]])</f>
        <v>0</v>
      </c>
    </row>
    <row r="3167" spans="1:5" x14ac:dyDescent="0.25">
      <c r="A3167" s="36" t="b">
        <v>0</v>
      </c>
      <c r="B3167" s="56" t="b">
        <v>0</v>
      </c>
      <c r="C3167" s="56" t="b">
        <v>0</v>
      </c>
      <c r="D3167" s="56" t="b">
        <v>0</v>
      </c>
      <c r="E3167" s="56">
        <f ca="1">IF(PV[[#This Row],[Business Date]]=Control!$C$6, PV[[#This Row],[Notional Value Local Cur]], -PV[[#This Row],[Notional Value Local Cur]])</f>
        <v>0</v>
      </c>
    </row>
    <row r="3168" spans="1:5" x14ac:dyDescent="0.25">
      <c r="A3168" s="36" t="b">
        <v>0</v>
      </c>
      <c r="B3168" s="56" t="b">
        <v>0</v>
      </c>
      <c r="C3168" s="56" t="b">
        <v>0</v>
      </c>
      <c r="D3168" s="56" t="b">
        <v>0</v>
      </c>
      <c r="E3168" s="56">
        <f ca="1">IF(PV[[#This Row],[Business Date]]=Control!$C$6, PV[[#This Row],[Notional Value Local Cur]], -PV[[#This Row],[Notional Value Local Cur]])</f>
        <v>0</v>
      </c>
    </row>
    <row r="3169" spans="1:5" x14ac:dyDescent="0.25">
      <c r="A3169" s="36" t="b">
        <v>0</v>
      </c>
      <c r="B3169" s="56" t="b">
        <v>0</v>
      </c>
      <c r="C3169" s="56" t="b">
        <v>0</v>
      </c>
      <c r="D3169" s="56" t="b">
        <v>0</v>
      </c>
      <c r="E3169" s="56">
        <f ca="1">IF(PV[[#This Row],[Business Date]]=Control!$C$6, PV[[#This Row],[Notional Value Local Cur]], -PV[[#This Row],[Notional Value Local Cur]])</f>
        <v>0</v>
      </c>
    </row>
    <row r="3170" spans="1:5" x14ac:dyDescent="0.25">
      <c r="A3170" s="36" t="b">
        <v>0</v>
      </c>
      <c r="B3170" s="56" t="b">
        <v>0</v>
      </c>
      <c r="C3170" s="56" t="b">
        <v>0</v>
      </c>
      <c r="D3170" s="56" t="b">
        <v>0</v>
      </c>
      <c r="E3170" s="56">
        <f ca="1">IF(PV[[#This Row],[Business Date]]=Control!$C$6, PV[[#This Row],[Notional Value Local Cur]], -PV[[#This Row],[Notional Value Local Cur]])</f>
        <v>0</v>
      </c>
    </row>
    <row r="3171" spans="1:5" x14ac:dyDescent="0.25">
      <c r="A3171" s="36" t="b">
        <v>0</v>
      </c>
      <c r="B3171" s="56" t="b">
        <v>0</v>
      </c>
      <c r="C3171" s="56" t="b">
        <v>0</v>
      </c>
      <c r="D3171" s="56" t="b">
        <v>0</v>
      </c>
      <c r="E3171" s="56">
        <f ca="1">IF(PV[[#This Row],[Business Date]]=Control!$C$6, PV[[#This Row],[Notional Value Local Cur]], -PV[[#This Row],[Notional Value Local Cur]])</f>
        <v>0</v>
      </c>
    </row>
    <row r="3172" spans="1:5" x14ac:dyDescent="0.25">
      <c r="A3172" s="36" t="b">
        <v>0</v>
      </c>
      <c r="B3172" s="56" t="b">
        <v>0</v>
      </c>
      <c r="C3172" s="56" t="b">
        <v>0</v>
      </c>
      <c r="D3172" s="56" t="b">
        <v>0</v>
      </c>
      <c r="E3172" s="56">
        <f ca="1">IF(PV[[#This Row],[Business Date]]=Control!$C$6, PV[[#This Row],[Notional Value Local Cur]], -PV[[#This Row],[Notional Value Local Cur]])</f>
        <v>0</v>
      </c>
    </row>
    <row r="3173" spans="1:5" x14ac:dyDescent="0.25">
      <c r="A3173" s="36" t="b">
        <v>0</v>
      </c>
      <c r="B3173" s="56" t="b">
        <v>0</v>
      </c>
      <c r="C3173" s="56" t="b">
        <v>0</v>
      </c>
      <c r="D3173" s="56" t="b">
        <v>0</v>
      </c>
      <c r="E3173" s="56">
        <f ca="1">IF(PV[[#This Row],[Business Date]]=Control!$C$6, PV[[#This Row],[Notional Value Local Cur]], -PV[[#This Row],[Notional Value Local Cur]])</f>
        <v>0</v>
      </c>
    </row>
    <row r="3174" spans="1:5" x14ac:dyDescent="0.25">
      <c r="A3174" s="36" t="b">
        <v>0</v>
      </c>
      <c r="B3174" s="56" t="b">
        <v>0</v>
      </c>
      <c r="C3174" s="56" t="b">
        <v>0</v>
      </c>
      <c r="D3174" s="56" t="b">
        <v>0</v>
      </c>
      <c r="E3174" s="56">
        <f ca="1">IF(PV[[#This Row],[Business Date]]=Control!$C$6, PV[[#This Row],[Notional Value Local Cur]], -PV[[#This Row],[Notional Value Local Cur]])</f>
        <v>0</v>
      </c>
    </row>
    <row r="3175" spans="1:5" x14ac:dyDescent="0.25">
      <c r="A3175" s="36" t="b">
        <v>0</v>
      </c>
      <c r="B3175" s="56" t="b">
        <v>0</v>
      </c>
      <c r="C3175" s="56" t="b">
        <v>0</v>
      </c>
      <c r="D3175" s="56" t="b">
        <v>0</v>
      </c>
      <c r="E3175" s="56">
        <f ca="1">IF(PV[[#This Row],[Business Date]]=Control!$C$6, PV[[#This Row],[Notional Value Local Cur]], -PV[[#This Row],[Notional Value Local Cur]])</f>
        <v>0</v>
      </c>
    </row>
    <row r="3176" spans="1:5" x14ac:dyDescent="0.25">
      <c r="A3176" s="36" t="b">
        <v>0</v>
      </c>
      <c r="B3176" s="56" t="b">
        <v>0</v>
      </c>
      <c r="C3176" s="56" t="b">
        <v>0</v>
      </c>
      <c r="D3176" s="56" t="b">
        <v>0</v>
      </c>
      <c r="E3176" s="56">
        <f ca="1">IF(PV[[#This Row],[Business Date]]=Control!$C$6, PV[[#This Row],[Notional Value Local Cur]], -PV[[#This Row],[Notional Value Local Cur]])</f>
        <v>0</v>
      </c>
    </row>
    <row r="3177" spans="1:5" x14ac:dyDescent="0.25">
      <c r="A3177" s="36" t="b">
        <v>0</v>
      </c>
      <c r="B3177" s="56" t="b">
        <v>0</v>
      </c>
      <c r="C3177" s="56" t="b">
        <v>0</v>
      </c>
      <c r="D3177" s="56" t="b">
        <v>0</v>
      </c>
      <c r="E3177" s="56">
        <f ca="1">IF(PV[[#This Row],[Business Date]]=Control!$C$6, PV[[#This Row],[Notional Value Local Cur]], -PV[[#This Row],[Notional Value Local Cur]])</f>
        <v>0</v>
      </c>
    </row>
    <row r="3178" spans="1:5" x14ac:dyDescent="0.25">
      <c r="A3178" s="36" t="b">
        <v>0</v>
      </c>
      <c r="B3178" s="56" t="b">
        <v>0</v>
      </c>
      <c r="C3178" s="56" t="b">
        <v>0</v>
      </c>
      <c r="D3178" s="56" t="b">
        <v>0</v>
      </c>
      <c r="E3178" s="56">
        <f ca="1">IF(PV[[#This Row],[Business Date]]=Control!$C$6, PV[[#This Row],[Notional Value Local Cur]], -PV[[#This Row],[Notional Value Local Cur]])</f>
        <v>0</v>
      </c>
    </row>
    <row r="3179" spans="1:5" x14ac:dyDescent="0.25">
      <c r="A3179" s="36" t="b">
        <v>0</v>
      </c>
      <c r="B3179" s="56" t="b">
        <v>0</v>
      </c>
      <c r="C3179" s="56" t="b">
        <v>0</v>
      </c>
      <c r="D3179" s="56" t="b">
        <v>0</v>
      </c>
      <c r="E3179" s="56">
        <f ca="1">IF(PV[[#This Row],[Business Date]]=Control!$C$6, PV[[#This Row],[Notional Value Local Cur]], -PV[[#This Row],[Notional Value Local Cur]])</f>
        <v>0</v>
      </c>
    </row>
    <row r="3180" spans="1:5" x14ac:dyDescent="0.25">
      <c r="A3180" s="36" t="b">
        <v>0</v>
      </c>
      <c r="B3180" s="56" t="b">
        <v>0</v>
      </c>
      <c r="C3180" s="56" t="b">
        <v>0</v>
      </c>
      <c r="D3180" s="56" t="b">
        <v>0</v>
      </c>
      <c r="E3180" s="56">
        <f ca="1">IF(PV[[#This Row],[Business Date]]=Control!$C$6, PV[[#This Row],[Notional Value Local Cur]], -PV[[#This Row],[Notional Value Local Cur]])</f>
        <v>0</v>
      </c>
    </row>
    <row r="3181" spans="1:5" x14ac:dyDescent="0.25">
      <c r="A3181" s="36" t="b">
        <v>0</v>
      </c>
      <c r="B3181" s="56" t="b">
        <v>0</v>
      </c>
      <c r="C3181" s="56" t="b">
        <v>0</v>
      </c>
      <c r="D3181" s="56" t="b">
        <v>0</v>
      </c>
      <c r="E3181" s="56">
        <f ca="1">IF(PV[[#This Row],[Business Date]]=Control!$C$6, PV[[#This Row],[Notional Value Local Cur]], -PV[[#This Row],[Notional Value Local Cur]])</f>
        <v>0</v>
      </c>
    </row>
    <row r="3182" spans="1:5" x14ac:dyDescent="0.25">
      <c r="A3182" s="36" t="b">
        <v>0</v>
      </c>
      <c r="B3182" s="56" t="b">
        <v>0</v>
      </c>
      <c r="C3182" s="56" t="b">
        <v>0</v>
      </c>
      <c r="D3182" s="56" t="b">
        <v>0</v>
      </c>
      <c r="E3182" s="56">
        <f ca="1">IF(PV[[#This Row],[Business Date]]=Control!$C$6, PV[[#This Row],[Notional Value Local Cur]], -PV[[#This Row],[Notional Value Local Cur]])</f>
        <v>0</v>
      </c>
    </row>
    <row r="3183" spans="1:5" x14ac:dyDescent="0.25">
      <c r="A3183" s="36" t="b">
        <v>0</v>
      </c>
      <c r="B3183" s="56" t="b">
        <v>0</v>
      </c>
      <c r="C3183" s="56" t="b">
        <v>0</v>
      </c>
      <c r="D3183" s="56" t="b">
        <v>0</v>
      </c>
      <c r="E3183" s="56">
        <f ca="1">IF(PV[[#This Row],[Business Date]]=Control!$C$6, PV[[#This Row],[Notional Value Local Cur]], -PV[[#This Row],[Notional Value Local Cur]])</f>
        <v>0</v>
      </c>
    </row>
    <row r="3184" spans="1:5" x14ac:dyDescent="0.25">
      <c r="A3184" s="36" t="b">
        <v>0</v>
      </c>
      <c r="B3184" s="56" t="b">
        <v>0</v>
      </c>
      <c r="C3184" s="56" t="b">
        <v>0</v>
      </c>
      <c r="D3184" s="56" t="b">
        <v>0</v>
      </c>
      <c r="E3184" s="56">
        <f ca="1">IF(PV[[#This Row],[Business Date]]=Control!$C$6, PV[[#This Row],[Notional Value Local Cur]], -PV[[#This Row],[Notional Value Local Cur]])</f>
        <v>0</v>
      </c>
    </row>
    <row r="3185" spans="1:5" x14ac:dyDescent="0.25">
      <c r="A3185" s="36" t="b">
        <v>0</v>
      </c>
      <c r="B3185" s="56" t="b">
        <v>0</v>
      </c>
      <c r="C3185" s="56" t="b">
        <v>0</v>
      </c>
      <c r="D3185" s="56" t="b">
        <v>0</v>
      </c>
      <c r="E3185" s="56">
        <f ca="1">IF(PV[[#This Row],[Business Date]]=Control!$C$6, PV[[#This Row],[Notional Value Local Cur]], -PV[[#This Row],[Notional Value Local Cur]])</f>
        <v>0</v>
      </c>
    </row>
    <row r="3186" spans="1:5" x14ac:dyDescent="0.25">
      <c r="A3186" s="36" t="b">
        <v>0</v>
      </c>
      <c r="B3186" s="56" t="b">
        <v>0</v>
      </c>
      <c r="C3186" s="56" t="b">
        <v>0</v>
      </c>
      <c r="D3186" s="56" t="b">
        <v>0</v>
      </c>
      <c r="E3186" s="56">
        <f ca="1">IF(PV[[#This Row],[Business Date]]=Control!$C$6, PV[[#This Row],[Notional Value Local Cur]], -PV[[#This Row],[Notional Value Local Cur]])</f>
        <v>0</v>
      </c>
    </row>
    <row r="3187" spans="1:5" x14ac:dyDescent="0.25">
      <c r="A3187" s="36" t="b">
        <v>0</v>
      </c>
      <c r="B3187" s="56" t="b">
        <v>0</v>
      </c>
      <c r="C3187" s="56" t="b">
        <v>0</v>
      </c>
      <c r="D3187" s="56" t="b">
        <v>0</v>
      </c>
      <c r="E3187" s="56">
        <f ca="1">IF(PV[[#This Row],[Business Date]]=Control!$C$6, PV[[#This Row],[Notional Value Local Cur]], -PV[[#This Row],[Notional Value Local Cur]])</f>
        <v>0</v>
      </c>
    </row>
    <row r="3188" spans="1:5" x14ac:dyDescent="0.25">
      <c r="A3188" s="36" t="b">
        <v>0</v>
      </c>
      <c r="B3188" s="56" t="b">
        <v>0</v>
      </c>
      <c r="C3188" s="56" t="b">
        <v>0</v>
      </c>
      <c r="D3188" s="56" t="b">
        <v>0</v>
      </c>
      <c r="E3188" s="56">
        <f ca="1">IF(PV[[#This Row],[Business Date]]=Control!$C$6, PV[[#This Row],[Notional Value Local Cur]], -PV[[#This Row],[Notional Value Local Cur]])</f>
        <v>0</v>
      </c>
    </row>
    <row r="3189" spans="1:5" x14ac:dyDescent="0.25">
      <c r="A3189" s="36" t="b">
        <v>0</v>
      </c>
      <c r="B3189" s="56" t="b">
        <v>0</v>
      </c>
      <c r="C3189" s="56" t="b">
        <v>0</v>
      </c>
      <c r="D3189" s="56" t="b">
        <v>0</v>
      </c>
      <c r="E3189" s="56">
        <f ca="1">IF(PV[[#This Row],[Business Date]]=Control!$C$6, PV[[#This Row],[Notional Value Local Cur]], -PV[[#This Row],[Notional Value Local Cur]])</f>
        <v>0</v>
      </c>
    </row>
    <row r="3190" spans="1:5" x14ac:dyDescent="0.25">
      <c r="A3190" s="36" t="b">
        <v>0</v>
      </c>
      <c r="B3190" s="56" t="b">
        <v>0</v>
      </c>
      <c r="C3190" s="56" t="b">
        <v>0</v>
      </c>
      <c r="D3190" s="56" t="b">
        <v>0</v>
      </c>
      <c r="E3190" s="56">
        <f ca="1">IF(PV[[#This Row],[Business Date]]=Control!$C$6, PV[[#This Row],[Notional Value Local Cur]], -PV[[#This Row],[Notional Value Local Cur]])</f>
        <v>0</v>
      </c>
    </row>
    <row r="3191" spans="1:5" x14ac:dyDescent="0.25">
      <c r="A3191" s="36" t="b">
        <v>0</v>
      </c>
      <c r="B3191" s="56" t="b">
        <v>0</v>
      </c>
      <c r="C3191" s="56" t="b">
        <v>0</v>
      </c>
      <c r="D3191" s="56" t="b">
        <v>0</v>
      </c>
      <c r="E3191" s="56">
        <f ca="1">IF(PV[[#This Row],[Business Date]]=Control!$C$6, PV[[#This Row],[Notional Value Local Cur]], -PV[[#This Row],[Notional Value Local Cur]])</f>
        <v>0</v>
      </c>
    </row>
    <row r="3192" spans="1:5" x14ac:dyDescent="0.25">
      <c r="A3192" s="36" t="b">
        <v>0</v>
      </c>
      <c r="B3192" s="56" t="b">
        <v>0</v>
      </c>
      <c r="C3192" s="56" t="b">
        <v>0</v>
      </c>
      <c r="D3192" s="56" t="b">
        <v>0</v>
      </c>
      <c r="E3192" s="56">
        <f ca="1">IF(PV[[#This Row],[Business Date]]=Control!$C$6, PV[[#This Row],[Notional Value Local Cur]], -PV[[#This Row],[Notional Value Local Cur]])</f>
        <v>0</v>
      </c>
    </row>
    <row r="3193" spans="1:5" x14ac:dyDescent="0.25">
      <c r="A3193" s="36" t="b">
        <v>0</v>
      </c>
      <c r="B3193" s="56" t="b">
        <v>0</v>
      </c>
      <c r="C3193" s="56" t="b">
        <v>0</v>
      </c>
      <c r="D3193" s="56" t="b">
        <v>0</v>
      </c>
      <c r="E3193" s="56">
        <f ca="1">IF(PV[[#This Row],[Business Date]]=Control!$C$6, PV[[#This Row],[Notional Value Local Cur]], -PV[[#This Row],[Notional Value Local Cur]])</f>
        <v>0</v>
      </c>
    </row>
    <row r="3194" spans="1:5" x14ac:dyDescent="0.25">
      <c r="A3194" s="36" t="b">
        <v>0</v>
      </c>
      <c r="B3194" s="56" t="b">
        <v>0</v>
      </c>
      <c r="C3194" s="56" t="b">
        <v>0</v>
      </c>
      <c r="D3194" s="56" t="b">
        <v>0</v>
      </c>
      <c r="E3194" s="56">
        <f ca="1">IF(PV[[#This Row],[Business Date]]=Control!$C$6, PV[[#This Row],[Notional Value Local Cur]], -PV[[#This Row],[Notional Value Local Cur]])</f>
        <v>0</v>
      </c>
    </row>
    <row r="3195" spans="1:5" x14ac:dyDescent="0.25">
      <c r="A3195" s="36" t="b">
        <v>0</v>
      </c>
      <c r="B3195" s="56" t="b">
        <v>0</v>
      </c>
      <c r="C3195" s="56" t="b">
        <v>0</v>
      </c>
      <c r="D3195" s="56" t="b">
        <v>0</v>
      </c>
      <c r="E3195" s="56">
        <f ca="1">IF(PV[[#This Row],[Business Date]]=Control!$C$6, PV[[#This Row],[Notional Value Local Cur]], -PV[[#This Row],[Notional Value Local Cur]])</f>
        <v>0</v>
      </c>
    </row>
    <row r="3196" spans="1:5" x14ac:dyDescent="0.25">
      <c r="A3196" s="36" t="b">
        <v>0</v>
      </c>
      <c r="B3196" s="56" t="b">
        <v>0</v>
      </c>
      <c r="C3196" s="56" t="b">
        <v>0</v>
      </c>
      <c r="D3196" s="56" t="b">
        <v>0</v>
      </c>
      <c r="E3196" s="56">
        <f ca="1">IF(PV[[#This Row],[Business Date]]=Control!$C$6, PV[[#This Row],[Notional Value Local Cur]], -PV[[#This Row],[Notional Value Local Cur]])</f>
        <v>0</v>
      </c>
    </row>
    <row r="3197" spans="1:5" x14ac:dyDescent="0.25">
      <c r="A3197" s="36" t="b">
        <v>0</v>
      </c>
      <c r="B3197" s="56" t="b">
        <v>0</v>
      </c>
      <c r="C3197" s="56" t="b">
        <v>0</v>
      </c>
      <c r="D3197" s="56" t="b">
        <v>0</v>
      </c>
      <c r="E3197" s="56">
        <f ca="1">IF(PV[[#This Row],[Business Date]]=Control!$C$6, PV[[#This Row],[Notional Value Local Cur]], -PV[[#This Row],[Notional Value Local Cur]])</f>
        <v>0</v>
      </c>
    </row>
    <row r="3198" spans="1:5" x14ac:dyDescent="0.25">
      <c r="A3198" s="36" t="b">
        <v>0</v>
      </c>
      <c r="B3198" s="56" t="b">
        <v>0</v>
      </c>
      <c r="C3198" s="56" t="b">
        <v>0</v>
      </c>
      <c r="D3198" s="56" t="b">
        <v>0</v>
      </c>
      <c r="E3198" s="56">
        <f ca="1">IF(PV[[#This Row],[Business Date]]=Control!$C$6, PV[[#This Row],[Notional Value Local Cur]], -PV[[#This Row],[Notional Value Local Cur]])</f>
        <v>0</v>
      </c>
    </row>
    <row r="3199" spans="1:5" x14ac:dyDescent="0.25">
      <c r="A3199" s="36" t="b">
        <v>0</v>
      </c>
      <c r="B3199" s="56" t="b">
        <v>0</v>
      </c>
      <c r="C3199" s="56" t="b">
        <v>0</v>
      </c>
      <c r="D3199" s="56" t="b">
        <v>0</v>
      </c>
      <c r="E3199" s="56">
        <f ca="1">IF(PV[[#This Row],[Business Date]]=Control!$C$6, PV[[#This Row],[Notional Value Local Cur]], -PV[[#This Row],[Notional Value Local Cur]])</f>
        <v>0</v>
      </c>
    </row>
    <row r="3200" spans="1:5" x14ac:dyDescent="0.25">
      <c r="A3200" s="36" t="b">
        <v>0</v>
      </c>
      <c r="B3200" s="56" t="b">
        <v>0</v>
      </c>
      <c r="C3200" s="56" t="b">
        <v>0</v>
      </c>
      <c r="D3200" s="56" t="b">
        <v>0</v>
      </c>
      <c r="E3200" s="56">
        <f ca="1">IF(PV[[#This Row],[Business Date]]=Control!$C$6, PV[[#This Row],[Notional Value Local Cur]], -PV[[#This Row],[Notional Value Local Cur]])</f>
        <v>0</v>
      </c>
    </row>
    <row r="3201" spans="1:5" x14ac:dyDescent="0.25">
      <c r="A3201" s="36" t="b">
        <v>0</v>
      </c>
      <c r="B3201" s="56" t="b">
        <v>0</v>
      </c>
      <c r="C3201" s="56" t="b">
        <v>0</v>
      </c>
      <c r="D3201" s="56" t="b">
        <v>0</v>
      </c>
      <c r="E3201" s="56">
        <f ca="1">IF(PV[[#This Row],[Business Date]]=Control!$C$6, PV[[#This Row],[Notional Value Local Cur]], -PV[[#This Row],[Notional Value Local Cur]])</f>
        <v>0</v>
      </c>
    </row>
    <row r="3202" spans="1:5" x14ac:dyDescent="0.25">
      <c r="A3202" s="36" t="b">
        <v>0</v>
      </c>
      <c r="B3202" s="56" t="b">
        <v>0</v>
      </c>
      <c r="C3202" s="56" t="b">
        <v>0</v>
      </c>
      <c r="D3202" s="56" t="b">
        <v>0</v>
      </c>
      <c r="E3202" s="56">
        <f ca="1">IF(PV[[#This Row],[Business Date]]=Control!$C$6, PV[[#This Row],[Notional Value Local Cur]], -PV[[#This Row],[Notional Value Local Cur]])</f>
        <v>0</v>
      </c>
    </row>
    <row r="3203" spans="1:5" x14ac:dyDescent="0.25">
      <c r="A3203" s="36" t="b">
        <v>0</v>
      </c>
      <c r="B3203" s="56" t="b">
        <v>0</v>
      </c>
      <c r="C3203" s="56" t="b">
        <v>0</v>
      </c>
      <c r="D3203" s="56" t="b">
        <v>0</v>
      </c>
      <c r="E3203" s="56">
        <f ca="1">IF(PV[[#This Row],[Business Date]]=Control!$C$6, PV[[#This Row],[Notional Value Local Cur]], -PV[[#This Row],[Notional Value Local Cur]])</f>
        <v>0</v>
      </c>
    </row>
    <row r="3204" spans="1:5" x14ac:dyDescent="0.25">
      <c r="A3204" s="36" t="b">
        <v>0</v>
      </c>
      <c r="B3204" s="56" t="b">
        <v>0</v>
      </c>
      <c r="C3204" s="56" t="b">
        <v>0</v>
      </c>
      <c r="D3204" s="56" t="b">
        <v>0</v>
      </c>
      <c r="E3204" s="56">
        <f ca="1">IF(PV[[#This Row],[Business Date]]=Control!$C$6, PV[[#This Row],[Notional Value Local Cur]], -PV[[#This Row],[Notional Value Local Cur]])</f>
        <v>0</v>
      </c>
    </row>
    <row r="3205" spans="1:5" x14ac:dyDescent="0.25">
      <c r="A3205" s="36" t="b">
        <v>0</v>
      </c>
      <c r="B3205" s="56" t="b">
        <v>0</v>
      </c>
      <c r="C3205" s="56" t="b">
        <v>0</v>
      </c>
      <c r="D3205" s="56" t="b">
        <v>0</v>
      </c>
      <c r="E3205" s="56">
        <f ca="1">IF(PV[[#This Row],[Business Date]]=Control!$C$6, PV[[#This Row],[Notional Value Local Cur]], -PV[[#This Row],[Notional Value Local Cur]])</f>
        <v>0</v>
      </c>
    </row>
    <row r="3206" spans="1:5" x14ac:dyDescent="0.25">
      <c r="A3206" s="36" t="b">
        <v>0</v>
      </c>
      <c r="B3206" s="56" t="b">
        <v>0</v>
      </c>
      <c r="C3206" s="56" t="b">
        <v>0</v>
      </c>
      <c r="D3206" s="56" t="b">
        <v>0</v>
      </c>
      <c r="E3206" s="56">
        <f ca="1">IF(PV[[#This Row],[Business Date]]=Control!$C$6, PV[[#This Row],[Notional Value Local Cur]], -PV[[#This Row],[Notional Value Local Cur]])</f>
        <v>0</v>
      </c>
    </row>
    <row r="3207" spans="1:5" x14ac:dyDescent="0.25">
      <c r="A3207" s="36" t="b">
        <v>0</v>
      </c>
      <c r="B3207" s="56" t="b">
        <v>0</v>
      </c>
      <c r="C3207" s="56" t="b">
        <v>0</v>
      </c>
      <c r="D3207" s="56" t="b">
        <v>0</v>
      </c>
      <c r="E3207" s="56">
        <f ca="1">IF(PV[[#This Row],[Business Date]]=Control!$C$6, PV[[#This Row],[Notional Value Local Cur]], -PV[[#This Row],[Notional Value Local Cur]])</f>
        <v>0</v>
      </c>
    </row>
    <row r="3208" spans="1:5" x14ac:dyDescent="0.25">
      <c r="A3208" s="36" t="b">
        <v>0</v>
      </c>
      <c r="B3208" s="56" t="b">
        <v>0</v>
      </c>
      <c r="C3208" s="56" t="b">
        <v>0</v>
      </c>
      <c r="D3208" s="56" t="b">
        <v>0</v>
      </c>
      <c r="E3208" s="56">
        <f ca="1">IF(PV[[#This Row],[Business Date]]=Control!$C$6, PV[[#This Row],[Notional Value Local Cur]], -PV[[#This Row],[Notional Value Local Cur]])</f>
        <v>0</v>
      </c>
    </row>
    <row r="3209" spans="1:5" x14ac:dyDescent="0.25">
      <c r="A3209" s="36" t="b">
        <v>0</v>
      </c>
      <c r="B3209" s="56" t="b">
        <v>0</v>
      </c>
      <c r="C3209" s="56" t="b">
        <v>0</v>
      </c>
      <c r="D3209" s="56" t="b">
        <v>0</v>
      </c>
      <c r="E3209" s="56">
        <f ca="1">IF(PV[[#This Row],[Business Date]]=Control!$C$6, PV[[#This Row],[Notional Value Local Cur]], -PV[[#This Row],[Notional Value Local Cur]])</f>
        <v>0</v>
      </c>
    </row>
    <row r="3210" spans="1:5" x14ac:dyDescent="0.25">
      <c r="A3210" s="36" t="b">
        <v>0</v>
      </c>
      <c r="B3210" s="56" t="b">
        <v>0</v>
      </c>
      <c r="C3210" s="56" t="b">
        <v>0</v>
      </c>
      <c r="D3210" s="56" t="b">
        <v>0</v>
      </c>
      <c r="E3210" s="56">
        <f ca="1">IF(PV[[#This Row],[Business Date]]=Control!$C$6, PV[[#This Row],[Notional Value Local Cur]], -PV[[#This Row],[Notional Value Local Cur]])</f>
        <v>0</v>
      </c>
    </row>
    <row r="3211" spans="1:5" x14ac:dyDescent="0.25">
      <c r="A3211" s="36" t="b">
        <v>0</v>
      </c>
      <c r="B3211" s="56" t="b">
        <v>0</v>
      </c>
      <c r="C3211" s="56" t="b">
        <v>0</v>
      </c>
      <c r="D3211" s="56" t="b">
        <v>0</v>
      </c>
      <c r="E3211" s="56">
        <f ca="1">IF(PV[[#This Row],[Business Date]]=Control!$C$6, PV[[#This Row],[Notional Value Local Cur]], -PV[[#This Row],[Notional Value Local Cur]])</f>
        <v>0</v>
      </c>
    </row>
    <row r="3212" spans="1:5" x14ac:dyDescent="0.25">
      <c r="A3212" s="36" t="b">
        <v>0</v>
      </c>
      <c r="B3212" s="56" t="b">
        <v>0</v>
      </c>
      <c r="C3212" s="56" t="b">
        <v>0</v>
      </c>
      <c r="D3212" s="56" t="b">
        <v>0</v>
      </c>
      <c r="E3212" s="56">
        <f ca="1">IF(PV[[#This Row],[Business Date]]=Control!$C$6, PV[[#This Row],[Notional Value Local Cur]], -PV[[#This Row],[Notional Value Local Cur]])</f>
        <v>0</v>
      </c>
    </row>
    <row r="3213" spans="1:5" x14ac:dyDescent="0.25">
      <c r="A3213" s="36" t="b">
        <v>0</v>
      </c>
      <c r="B3213" s="56" t="b">
        <v>0</v>
      </c>
      <c r="C3213" s="56" t="b">
        <v>0</v>
      </c>
      <c r="D3213" s="56" t="b">
        <v>0</v>
      </c>
      <c r="E3213" s="56">
        <f ca="1">IF(PV[[#This Row],[Business Date]]=Control!$C$6, PV[[#This Row],[Notional Value Local Cur]], -PV[[#This Row],[Notional Value Local Cur]])</f>
        <v>0</v>
      </c>
    </row>
    <row r="3214" spans="1:5" x14ac:dyDescent="0.25">
      <c r="A3214" s="36" t="b">
        <v>0</v>
      </c>
      <c r="B3214" s="56" t="b">
        <v>0</v>
      </c>
      <c r="C3214" s="56" t="b">
        <v>0</v>
      </c>
      <c r="D3214" s="56" t="b">
        <v>0</v>
      </c>
      <c r="E3214" s="56">
        <f ca="1">IF(PV[[#This Row],[Business Date]]=Control!$C$6, PV[[#This Row],[Notional Value Local Cur]], -PV[[#This Row],[Notional Value Local Cur]])</f>
        <v>0</v>
      </c>
    </row>
    <row r="3215" spans="1:5" x14ac:dyDescent="0.25">
      <c r="A3215" s="36" t="b">
        <v>0</v>
      </c>
      <c r="B3215" s="56" t="b">
        <v>0</v>
      </c>
      <c r="C3215" s="56" t="b">
        <v>0</v>
      </c>
      <c r="D3215" s="56" t="b">
        <v>0</v>
      </c>
      <c r="E3215" s="56">
        <f ca="1">IF(PV[[#This Row],[Business Date]]=Control!$C$6, PV[[#This Row],[Notional Value Local Cur]], -PV[[#This Row],[Notional Value Local Cur]])</f>
        <v>0</v>
      </c>
    </row>
    <row r="3216" spans="1:5" x14ac:dyDescent="0.25">
      <c r="A3216" s="36" t="b">
        <v>0</v>
      </c>
      <c r="B3216" s="56" t="b">
        <v>0</v>
      </c>
      <c r="C3216" s="56" t="b">
        <v>0</v>
      </c>
      <c r="D3216" s="56" t="b">
        <v>0</v>
      </c>
      <c r="E3216" s="56">
        <f ca="1">IF(PV[[#This Row],[Business Date]]=Control!$C$6, PV[[#This Row],[Notional Value Local Cur]], -PV[[#This Row],[Notional Value Local Cur]])</f>
        <v>0</v>
      </c>
    </row>
    <row r="3217" spans="1:5" x14ac:dyDescent="0.25">
      <c r="A3217" s="36" t="b">
        <v>0</v>
      </c>
      <c r="B3217" s="56" t="b">
        <v>0</v>
      </c>
      <c r="C3217" s="56" t="b">
        <v>0</v>
      </c>
      <c r="D3217" s="56" t="b">
        <v>0</v>
      </c>
      <c r="E3217" s="56">
        <f ca="1">IF(PV[[#This Row],[Business Date]]=Control!$C$6, PV[[#This Row],[Notional Value Local Cur]], -PV[[#This Row],[Notional Value Local Cur]])</f>
        <v>0</v>
      </c>
    </row>
    <row r="3218" spans="1:5" x14ac:dyDescent="0.25">
      <c r="A3218" s="36" t="b">
        <v>0</v>
      </c>
      <c r="B3218" s="56" t="b">
        <v>0</v>
      </c>
      <c r="C3218" s="56" t="b">
        <v>0</v>
      </c>
      <c r="D3218" s="56" t="b">
        <v>0</v>
      </c>
      <c r="E3218" s="56">
        <f ca="1">IF(PV[[#This Row],[Business Date]]=Control!$C$6, PV[[#This Row],[Notional Value Local Cur]], -PV[[#This Row],[Notional Value Local Cur]])</f>
        <v>0</v>
      </c>
    </row>
    <row r="3219" spans="1:5" x14ac:dyDescent="0.25">
      <c r="A3219" s="36" t="b">
        <v>0</v>
      </c>
      <c r="B3219" s="56" t="b">
        <v>0</v>
      </c>
      <c r="C3219" s="56" t="b">
        <v>0</v>
      </c>
      <c r="D3219" s="56" t="b">
        <v>0</v>
      </c>
      <c r="E3219" s="56">
        <f ca="1">IF(PV[[#This Row],[Business Date]]=Control!$C$6, PV[[#This Row],[Notional Value Local Cur]], -PV[[#This Row],[Notional Value Local Cur]])</f>
        <v>0</v>
      </c>
    </row>
    <row r="3220" spans="1:5" x14ac:dyDescent="0.25">
      <c r="A3220" s="36" t="b">
        <v>0</v>
      </c>
      <c r="B3220" s="56" t="b">
        <v>0</v>
      </c>
      <c r="C3220" s="56" t="b">
        <v>0</v>
      </c>
      <c r="D3220" s="56" t="b">
        <v>0</v>
      </c>
      <c r="E3220" s="56">
        <f ca="1">IF(PV[[#This Row],[Business Date]]=Control!$C$6, PV[[#This Row],[Notional Value Local Cur]], -PV[[#This Row],[Notional Value Local Cur]])</f>
        <v>0</v>
      </c>
    </row>
    <row r="3221" spans="1:5" x14ac:dyDescent="0.25">
      <c r="A3221" s="36" t="b">
        <v>0</v>
      </c>
      <c r="B3221" s="56" t="b">
        <v>0</v>
      </c>
      <c r="C3221" s="56" t="b">
        <v>0</v>
      </c>
      <c r="D3221" s="56" t="b">
        <v>0</v>
      </c>
      <c r="E3221" s="56">
        <f ca="1">IF(PV[[#This Row],[Business Date]]=Control!$C$6, PV[[#This Row],[Notional Value Local Cur]], -PV[[#This Row],[Notional Value Local Cur]])</f>
        <v>0</v>
      </c>
    </row>
    <row r="3222" spans="1:5" x14ac:dyDescent="0.25">
      <c r="A3222" s="36" t="b">
        <v>0</v>
      </c>
      <c r="B3222" s="56" t="b">
        <v>0</v>
      </c>
      <c r="C3222" s="56" t="b">
        <v>0</v>
      </c>
      <c r="D3222" s="56" t="b">
        <v>0</v>
      </c>
      <c r="E3222" s="56">
        <f ca="1">IF(PV[[#This Row],[Business Date]]=Control!$C$6, PV[[#This Row],[Notional Value Local Cur]], -PV[[#This Row],[Notional Value Local Cur]])</f>
        <v>0</v>
      </c>
    </row>
    <row r="3223" spans="1:5" x14ac:dyDescent="0.25">
      <c r="A3223" s="36" t="b">
        <v>0</v>
      </c>
      <c r="B3223" s="56" t="b">
        <v>0</v>
      </c>
      <c r="C3223" s="56" t="b">
        <v>0</v>
      </c>
      <c r="D3223" s="56" t="b">
        <v>0</v>
      </c>
      <c r="E3223" s="56">
        <f ca="1">IF(PV[[#This Row],[Business Date]]=Control!$C$6, PV[[#This Row],[Notional Value Local Cur]], -PV[[#This Row],[Notional Value Local Cur]])</f>
        <v>0</v>
      </c>
    </row>
    <row r="3224" spans="1:5" x14ac:dyDescent="0.25">
      <c r="A3224" s="36" t="b">
        <v>0</v>
      </c>
      <c r="B3224" s="56" t="b">
        <v>0</v>
      </c>
      <c r="C3224" s="56" t="b">
        <v>0</v>
      </c>
      <c r="D3224" s="56" t="b">
        <v>0</v>
      </c>
      <c r="E3224" s="56">
        <f ca="1">IF(PV[[#This Row],[Business Date]]=Control!$C$6, PV[[#This Row],[Notional Value Local Cur]], -PV[[#This Row],[Notional Value Local Cur]])</f>
        <v>0</v>
      </c>
    </row>
    <row r="3225" spans="1:5" x14ac:dyDescent="0.25">
      <c r="A3225" s="36" t="b">
        <v>0</v>
      </c>
      <c r="B3225" s="56" t="b">
        <v>0</v>
      </c>
      <c r="C3225" s="56" t="b">
        <v>0</v>
      </c>
      <c r="D3225" s="56" t="b">
        <v>0</v>
      </c>
      <c r="E3225" s="56">
        <f ca="1">IF(PV[[#This Row],[Business Date]]=Control!$C$6, PV[[#This Row],[Notional Value Local Cur]], -PV[[#This Row],[Notional Value Local Cur]])</f>
        <v>0</v>
      </c>
    </row>
    <row r="3226" spans="1:5" x14ac:dyDescent="0.25">
      <c r="A3226" s="36" t="b">
        <v>0</v>
      </c>
      <c r="B3226" s="56" t="b">
        <v>0</v>
      </c>
      <c r="C3226" s="56" t="b">
        <v>0</v>
      </c>
      <c r="D3226" s="56" t="b">
        <v>0</v>
      </c>
      <c r="E3226" s="56">
        <f ca="1">IF(PV[[#This Row],[Business Date]]=Control!$C$6, PV[[#This Row],[Notional Value Local Cur]], -PV[[#This Row],[Notional Value Local Cur]])</f>
        <v>0</v>
      </c>
    </row>
    <row r="3227" spans="1:5" x14ac:dyDescent="0.25">
      <c r="A3227" s="36" t="b">
        <v>0</v>
      </c>
      <c r="B3227" s="56" t="b">
        <v>0</v>
      </c>
      <c r="C3227" s="56" t="b">
        <v>0</v>
      </c>
      <c r="D3227" s="56" t="b">
        <v>0</v>
      </c>
      <c r="E3227" s="56">
        <f ca="1">IF(PV[[#This Row],[Business Date]]=Control!$C$6, PV[[#This Row],[Notional Value Local Cur]], -PV[[#This Row],[Notional Value Local Cur]])</f>
        <v>0</v>
      </c>
    </row>
    <row r="3228" spans="1:5" x14ac:dyDescent="0.25">
      <c r="A3228" s="36" t="b">
        <v>0</v>
      </c>
      <c r="B3228" s="56" t="b">
        <v>0</v>
      </c>
      <c r="C3228" s="56" t="b">
        <v>0</v>
      </c>
      <c r="D3228" s="56" t="b">
        <v>0</v>
      </c>
      <c r="E3228" s="56">
        <f ca="1">IF(PV[[#This Row],[Business Date]]=Control!$C$6, PV[[#This Row],[Notional Value Local Cur]], -PV[[#This Row],[Notional Value Local Cur]])</f>
        <v>0</v>
      </c>
    </row>
    <row r="3229" spans="1:5" x14ac:dyDescent="0.25">
      <c r="A3229" s="36" t="b">
        <v>0</v>
      </c>
      <c r="B3229" s="56" t="b">
        <v>0</v>
      </c>
      <c r="C3229" s="56" t="b">
        <v>0</v>
      </c>
      <c r="D3229" s="56" t="b">
        <v>0</v>
      </c>
      <c r="E3229" s="56">
        <f ca="1">IF(PV[[#This Row],[Business Date]]=Control!$C$6, PV[[#This Row],[Notional Value Local Cur]], -PV[[#This Row],[Notional Value Local Cur]])</f>
        <v>0</v>
      </c>
    </row>
    <row r="3230" spans="1:5" x14ac:dyDescent="0.25">
      <c r="A3230" s="36" t="b">
        <v>0</v>
      </c>
      <c r="B3230" s="56" t="b">
        <v>0</v>
      </c>
      <c r="C3230" s="56" t="b">
        <v>0</v>
      </c>
      <c r="D3230" s="56" t="b">
        <v>0</v>
      </c>
      <c r="E3230" s="56">
        <f ca="1">IF(PV[[#This Row],[Business Date]]=Control!$C$6, PV[[#This Row],[Notional Value Local Cur]], -PV[[#This Row],[Notional Value Local Cur]])</f>
        <v>0</v>
      </c>
    </row>
    <row r="3231" spans="1:5" x14ac:dyDescent="0.25">
      <c r="A3231" s="36" t="b">
        <v>0</v>
      </c>
      <c r="B3231" s="56" t="b">
        <v>0</v>
      </c>
      <c r="C3231" s="56" t="b">
        <v>0</v>
      </c>
      <c r="D3231" s="56" t="b">
        <v>0</v>
      </c>
      <c r="E3231" s="56">
        <f ca="1">IF(PV[[#This Row],[Business Date]]=Control!$C$6, PV[[#This Row],[Notional Value Local Cur]], -PV[[#This Row],[Notional Value Local Cur]])</f>
        <v>0</v>
      </c>
    </row>
    <row r="3232" spans="1:5" x14ac:dyDescent="0.25">
      <c r="A3232" s="36" t="b">
        <v>0</v>
      </c>
      <c r="B3232" s="56" t="b">
        <v>0</v>
      </c>
      <c r="C3232" s="56" t="b">
        <v>0</v>
      </c>
      <c r="D3232" s="56" t="b">
        <v>0</v>
      </c>
      <c r="E3232" s="56">
        <f ca="1">IF(PV[[#This Row],[Business Date]]=Control!$C$6, PV[[#This Row],[Notional Value Local Cur]], -PV[[#This Row],[Notional Value Local Cur]])</f>
        <v>0</v>
      </c>
    </row>
    <row r="3233" spans="1:5" x14ac:dyDescent="0.25">
      <c r="A3233" s="36" t="b">
        <v>0</v>
      </c>
      <c r="B3233" s="56" t="b">
        <v>0</v>
      </c>
      <c r="C3233" s="56" t="b">
        <v>0</v>
      </c>
      <c r="D3233" s="56" t="b">
        <v>0</v>
      </c>
      <c r="E3233" s="56">
        <f ca="1">IF(PV[[#This Row],[Business Date]]=Control!$C$6, PV[[#This Row],[Notional Value Local Cur]], -PV[[#This Row],[Notional Value Local Cur]])</f>
        <v>0</v>
      </c>
    </row>
    <row r="3234" spans="1:5" x14ac:dyDescent="0.25">
      <c r="A3234" s="36" t="b">
        <v>0</v>
      </c>
      <c r="B3234" s="56" t="b">
        <v>0</v>
      </c>
      <c r="C3234" s="56" t="b">
        <v>0</v>
      </c>
      <c r="D3234" s="56" t="b">
        <v>0</v>
      </c>
      <c r="E3234" s="56">
        <f ca="1">IF(PV[[#This Row],[Business Date]]=Control!$C$6, PV[[#This Row],[Notional Value Local Cur]], -PV[[#This Row],[Notional Value Local Cur]])</f>
        <v>0</v>
      </c>
    </row>
    <row r="3235" spans="1:5" x14ac:dyDescent="0.25">
      <c r="A3235" s="36" t="b">
        <v>0</v>
      </c>
      <c r="B3235" s="56" t="b">
        <v>0</v>
      </c>
      <c r="C3235" s="56" t="b">
        <v>0</v>
      </c>
      <c r="D3235" s="56" t="b">
        <v>0</v>
      </c>
      <c r="E3235" s="56">
        <f ca="1">IF(PV[[#This Row],[Business Date]]=Control!$C$6, PV[[#This Row],[Notional Value Local Cur]], -PV[[#This Row],[Notional Value Local Cur]])</f>
        <v>0</v>
      </c>
    </row>
    <row r="3236" spans="1:5" x14ac:dyDescent="0.25">
      <c r="A3236" s="36" t="b">
        <v>0</v>
      </c>
      <c r="B3236" s="56" t="b">
        <v>0</v>
      </c>
      <c r="C3236" s="56" t="b">
        <v>0</v>
      </c>
      <c r="D3236" s="56" t="b">
        <v>0</v>
      </c>
      <c r="E3236" s="56">
        <f ca="1">IF(PV[[#This Row],[Business Date]]=Control!$C$6, PV[[#This Row],[Notional Value Local Cur]], -PV[[#This Row],[Notional Value Local Cur]])</f>
        <v>0</v>
      </c>
    </row>
    <row r="3237" spans="1:5" x14ac:dyDescent="0.25">
      <c r="A3237" s="36" t="b">
        <v>0</v>
      </c>
      <c r="B3237" s="56" t="b">
        <v>0</v>
      </c>
      <c r="C3237" s="56" t="b">
        <v>0</v>
      </c>
      <c r="D3237" s="56" t="b">
        <v>0</v>
      </c>
      <c r="E3237" s="56">
        <f ca="1">IF(PV[[#This Row],[Business Date]]=Control!$C$6, PV[[#This Row],[Notional Value Local Cur]], -PV[[#This Row],[Notional Value Local Cur]])</f>
        <v>0</v>
      </c>
    </row>
    <row r="3238" spans="1:5" x14ac:dyDescent="0.25">
      <c r="A3238" s="36" t="b">
        <v>0</v>
      </c>
      <c r="B3238" s="56" t="b">
        <v>0</v>
      </c>
      <c r="C3238" s="56" t="b">
        <v>0</v>
      </c>
      <c r="D3238" s="56" t="b">
        <v>0</v>
      </c>
      <c r="E3238" s="56">
        <f ca="1">IF(PV[[#This Row],[Business Date]]=Control!$C$6, PV[[#This Row],[Notional Value Local Cur]], -PV[[#This Row],[Notional Value Local Cur]])</f>
        <v>0</v>
      </c>
    </row>
    <row r="3239" spans="1:5" x14ac:dyDescent="0.25">
      <c r="A3239" s="36" t="b">
        <v>0</v>
      </c>
      <c r="B3239" s="56" t="b">
        <v>0</v>
      </c>
      <c r="C3239" s="56" t="b">
        <v>0</v>
      </c>
      <c r="D3239" s="56" t="b">
        <v>0</v>
      </c>
      <c r="E3239" s="56">
        <f ca="1">IF(PV[[#This Row],[Business Date]]=Control!$C$6, PV[[#This Row],[Notional Value Local Cur]], -PV[[#This Row],[Notional Value Local Cur]])</f>
        <v>0</v>
      </c>
    </row>
    <row r="3240" spans="1:5" x14ac:dyDescent="0.25">
      <c r="A3240" s="36" t="b">
        <v>0</v>
      </c>
      <c r="B3240" s="56" t="b">
        <v>0</v>
      </c>
      <c r="C3240" s="56" t="b">
        <v>0</v>
      </c>
      <c r="D3240" s="56" t="b">
        <v>0</v>
      </c>
      <c r="E3240" s="56">
        <f ca="1">IF(PV[[#This Row],[Business Date]]=Control!$C$6, PV[[#This Row],[Notional Value Local Cur]], -PV[[#This Row],[Notional Value Local Cur]])</f>
        <v>0</v>
      </c>
    </row>
    <row r="3241" spans="1:5" x14ac:dyDescent="0.25">
      <c r="A3241" s="36" t="b">
        <v>0</v>
      </c>
      <c r="B3241" s="56" t="b">
        <v>0</v>
      </c>
      <c r="C3241" s="56" t="b">
        <v>0</v>
      </c>
      <c r="D3241" s="56" t="b">
        <v>0</v>
      </c>
      <c r="E3241" s="56">
        <f ca="1">IF(PV[[#This Row],[Business Date]]=Control!$C$6, PV[[#This Row],[Notional Value Local Cur]], -PV[[#This Row],[Notional Value Local Cur]])</f>
        <v>0</v>
      </c>
    </row>
    <row r="3242" spans="1:5" x14ac:dyDescent="0.25">
      <c r="A3242" s="36" t="b">
        <v>0</v>
      </c>
      <c r="B3242" s="56" t="b">
        <v>0</v>
      </c>
      <c r="C3242" s="56" t="b">
        <v>0</v>
      </c>
      <c r="D3242" s="56" t="b">
        <v>0</v>
      </c>
      <c r="E3242" s="56">
        <f ca="1">IF(PV[[#This Row],[Business Date]]=Control!$C$6, PV[[#This Row],[Notional Value Local Cur]], -PV[[#This Row],[Notional Value Local Cur]])</f>
        <v>0</v>
      </c>
    </row>
    <row r="3243" spans="1:5" x14ac:dyDescent="0.25">
      <c r="A3243" s="36" t="b">
        <v>0</v>
      </c>
      <c r="B3243" s="56" t="b">
        <v>0</v>
      </c>
      <c r="C3243" s="56" t="b">
        <v>0</v>
      </c>
      <c r="D3243" s="56" t="b">
        <v>0</v>
      </c>
      <c r="E3243" s="56">
        <f ca="1">IF(PV[[#This Row],[Business Date]]=Control!$C$6, PV[[#This Row],[Notional Value Local Cur]], -PV[[#This Row],[Notional Value Local Cur]])</f>
        <v>0</v>
      </c>
    </row>
    <row r="3244" spans="1:5" x14ac:dyDescent="0.25">
      <c r="A3244" s="36" t="b">
        <v>0</v>
      </c>
      <c r="B3244" s="56" t="b">
        <v>0</v>
      </c>
      <c r="C3244" s="56" t="b">
        <v>0</v>
      </c>
      <c r="D3244" s="56" t="b">
        <v>0</v>
      </c>
      <c r="E3244" s="56">
        <f ca="1">IF(PV[[#This Row],[Business Date]]=Control!$C$6, PV[[#This Row],[Notional Value Local Cur]], -PV[[#This Row],[Notional Value Local Cur]])</f>
        <v>0</v>
      </c>
    </row>
    <row r="3245" spans="1:5" x14ac:dyDescent="0.25">
      <c r="A3245" s="36" t="b">
        <v>0</v>
      </c>
      <c r="B3245" s="56" t="b">
        <v>0</v>
      </c>
      <c r="C3245" s="56" t="b">
        <v>0</v>
      </c>
      <c r="D3245" s="56" t="b">
        <v>0</v>
      </c>
      <c r="E3245" s="56">
        <f ca="1">IF(PV[[#This Row],[Business Date]]=Control!$C$6, PV[[#This Row],[Notional Value Local Cur]], -PV[[#This Row],[Notional Value Local Cur]])</f>
        <v>0</v>
      </c>
    </row>
    <row r="3246" spans="1:5" x14ac:dyDescent="0.25">
      <c r="A3246" s="36" t="b">
        <v>0</v>
      </c>
      <c r="B3246" s="56" t="b">
        <v>0</v>
      </c>
      <c r="C3246" s="56" t="b">
        <v>0</v>
      </c>
      <c r="D3246" s="56" t="b">
        <v>0</v>
      </c>
      <c r="E3246" s="56">
        <f ca="1">IF(PV[[#This Row],[Business Date]]=Control!$C$6, PV[[#This Row],[Notional Value Local Cur]], -PV[[#This Row],[Notional Value Local Cur]])</f>
        <v>0</v>
      </c>
    </row>
    <row r="3247" spans="1:5" x14ac:dyDescent="0.25">
      <c r="A3247" s="36" t="b">
        <v>0</v>
      </c>
      <c r="B3247" s="56" t="b">
        <v>0</v>
      </c>
      <c r="C3247" s="56" t="b">
        <v>0</v>
      </c>
      <c r="D3247" s="56" t="b">
        <v>0</v>
      </c>
      <c r="E3247" s="56">
        <f ca="1">IF(PV[[#This Row],[Business Date]]=Control!$C$6, PV[[#This Row],[Notional Value Local Cur]], -PV[[#This Row],[Notional Value Local Cur]])</f>
        <v>0</v>
      </c>
    </row>
    <row r="3248" spans="1:5" x14ac:dyDescent="0.25">
      <c r="A3248" s="36" t="b">
        <v>0</v>
      </c>
      <c r="B3248" s="56" t="b">
        <v>0</v>
      </c>
      <c r="C3248" s="56" t="b">
        <v>0</v>
      </c>
      <c r="D3248" s="56" t="b">
        <v>0</v>
      </c>
      <c r="E3248" s="56">
        <f ca="1">IF(PV[[#This Row],[Business Date]]=Control!$C$6, PV[[#This Row],[Notional Value Local Cur]], -PV[[#This Row],[Notional Value Local Cur]])</f>
        <v>0</v>
      </c>
    </row>
    <row r="3249" spans="1:5" x14ac:dyDescent="0.25">
      <c r="A3249" s="36" t="b">
        <v>0</v>
      </c>
      <c r="B3249" s="56" t="b">
        <v>0</v>
      </c>
      <c r="C3249" s="56" t="b">
        <v>0</v>
      </c>
      <c r="D3249" s="56" t="b">
        <v>0</v>
      </c>
      <c r="E3249" s="56">
        <f ca="1">IF(PV[[#This Row],[Business Date]]=Control!$C$6, PV[[#This Row],[Notional Value Local Cur]], -PV[[#This Row],[Notional Value Local Cur]])</f>
        <v>0</v>
      </c>
    </row>
    <row r="3250" spans="1:5" x14ac:dyDescent="0.25">
      <c r="A3250" s="36" t="b">
        <v>0</v>
      </c>
      <c r="B3250" s="56" t="b">
        <v>0</v>
      </c>
      <c r="C3250" s="56" t="b">
        <v>0</v>
      </c>
      <c r="D3250" s="56" t="b">
        <v>0</v>
      </c>
      <c r="E3250" s="56">
        <f ca="1">IF(PV[[#This Row],[Business Date]]=Control!$C$6, PV[[#This Row],[Notional Value Local Cur]], -PV[[#This Row],[Notional Value Local Cur]])</f>
        <v>0</v>
      </c>
    </row>
    <row r="3251" spans="1:5" x14ac:dyDescent="0.25">
      <c r="A3251" s="36" t="b">
        <v>0</v>
      </c>
      <c r="B3251" s="56" t="b">
        <v>0</v>
      </c>
      <c r="C3251" s="56" t="b">
        <v>0</v>
      </c>
      <c r="D3251" s="56" t="b">
        <v>0</v>
      </c>
      <c r="E3251" s="56">
        <f ca="1">IF(PV[[#This Row],[Business Date]]=Control!$C$6, PV[[#This Row],[Notional Value Local Cur]], -PV[[#This Row],[Notional Value Local Cur]])</f>
        <v>0</v>
      </c>
    </row>
    <row r="3252" spans="1:5" x14ac:dyDescent="0.25">
      <c r="A3252" s="36" t="b">
        <v>0</v>
      </c>
      <c r="B3252" s="56" t="b">
        <v>0</v>
      </c>
      <c r="C3252" s="56" t="b">
        <v>0</v>
      </c>
      <c r="D3252" s="56" t="b">
        <v>0</v>
      </c>
      <c r="E3252" s="56">
        <f ca="1">IF(PV[[#This Row],[Business Date]]=Control!$C$6, PV[[#This Row],[Notional Value Local Cur]], -PV[[#This Row],[Notional Value Local Cur]])</f>
        <v>0</v>
      </c>
    </row>
    <row r="3253" spans="1:5" x14ac:dyDescent="0.25">
      <c r="A3253" s="36" t="b">
        <v>0</v>
      </c>
      <c r="B3253" s="56" t="b">
        <v>0</v>
      </c>
      <c r="C3253" s="56" t="b">
        <v>0</v>
      </c>
      <c r="D3253" s="56" t="b">
        <v>0</v>
      </c>
      <c r="E3253" s="56">
        <f ca="1">IF(PV[[#This Row],[Business Date]]=Control!$C$6, PV[[#This Row],[Notional Value Local Cur]], -PV[[#This Row],[Notional Value Local Cur]])</f>
        <v>0</v>
      </c>
    </row>
    <row r="3254" spans="1:5" x14ac:dyDescent="0.25">
      <c r="A3254" s="36" t="b">
        <v>0</v>
      </c>
      <c r="B3254" s="56" t="b">
        <v>0</v>
      </c>
      <c r="C3254" s="56" t="b">
        <v>0</v>
      </c>
      <c r="D3254" s="56" t="b">
        <v>0</v>
      </c>
      <c r="E3254" s="56">
        <f ca="1">IF(PV[[#This Row],[Business Date]]=Control!$C$6, PV[[#This Row],[Notional Value Local Cur]], -PV[[#This Row],[Notional Value Local Cur]])</f>
        <v>0</v>
      </c>
    </row>
    <row r="3255" spans="1:5" x14ac:dyDescent="0.25">
      <c r="A3255" s="36" t="b">
        <v>0</v>
      </c>
      <c r="B3255" s="56" t="b">
        <v>0</v>
      </c>
      <c r="C3255" s="56" t="b">
        <v>0</v>
      </c>
      <c r="D3255" s="56" t="b">
        <v>0</v>
      </c>
      <c r="E3255" s="56">
        <f ca="1">IF(PV[[#This Row],[Business Date]]=Control!$C$6, PV[[#This Row],[Notional Value Local Cur]], -PV[[#This Row],[Notional Value Local Cur]])</f>
        <v>0</v>
      </c>
    </row>
    <row r="3256" spans="1:5" x14ac:dyDescent="0.25">
      <c r="A3256" s="36" t="b">
        <v>0</v>
      </c>
      <c r="B3256" s="56" t="b">
        <v>0</v>
      </c>
      <c r="C3256" s="56" t="b">
        <v>0</v>
      </c>
      <c r="D3256" s="56" t="b">
        <v>0</v>
      </c>
      <c r="E3256" s="56">
        <f ca="1">IF(PV[[#This Row],[Business Date]]=Control!$C$6, PV[[#This Row],[Notional Value Local Cur]], -PV[[#This Row],[Notional Value Local Cur]])</f>
        <v>0</v>
      </c>
    </row>
    <row r="3257" spans="1:5" x14ac:dyDescent="0.25">
      <c r="A3257" s="36" t="b">
        <v>0</v>
      </c>
      <c r="B3257" s="56" t="b">
        <v>0</v>
      </c>
      <c r="C3257" s="56" t="b">
        <v>0</v>
      </c>
      <c r="D3257" s="56" t="b">
        <v>0</v>
      </c>
      <c r="E3257" s="56">
        <f ca="1">IF(PV[[#This Row],[Business Date]]=Control!$C$6, PV[[#This Row],[Notional Value Local Cur]], -PV[[#This Row],[Notional Value Local Cur]])</f>
        <v>0</v>
      </c>
    </row>
    <row r="3258" spans="1:5" x14ac:dyDescent="0.25">
      <c r="A3258" s="36" t="b">
        <v>0</v>
      </c>
      <c r="B3258" s="56" t="b">
        <v>0</v>
      </c>
      <c r="C3258" s="56" t="b">
        <v>0</v>
      </c>
      <c r="D3258" s="56" t="b">
        <v>0</v>
      </c>
      <c r="E3258" s="56">
        <f ca="1">IF(PV[[#This Row],[Business Date]]=Control!$C$6, PV[[#This Row],[Notional Value Local Cur]], -PV[[#This Row],[Notional Value Local Cur]])</f>
        <v>0</v>
      </c>
    </row>
    <row r="3259" spans="1:5" x14ac:dyDescent="0.25">
      <c r="A3259" s="36" t="b">
        <v>0</v>
      </c>
      <c r="B3259" s="56" t="b">
        <v>0</v>
      </c>
      <c r="C3259" s="56" t="b">
        <v>0</v>
      </c>
      <c r="D3259" s="56" t="b">
        <v>0</v>
      </c>
      <c r="E3259" s="56">
        <f ca="1">IF(PV[[#This Row],[Business Date]]=Control!$C$6, PV[[#This Row],[Notional Value Local Cur]], -PV[[#This Row],[Notional Value Local Cur]])</f>
        <v>0</v>
      </c>
    </row>
    <row r="3260" spans="1:5" x14ac:dyDescent="0.25">
      <c r="A3260" s="36" t="b">
        <v>0</v>
      </c>
      <c r="B3260" s="56" t="b">
        <v>0</v>
      </c>
      <c r="C3260" s="56" t="b">
        <v>0</v>
      </c>
      <c r="D3260" s="56" t="b">
        <v>0</v>
      </c>
      <c r="E3260" s="56">
        <f ca="1">IF(PV[[#This Row],[Business Date]]=Control!$C$6, PV[[#This Row],[Notional Value Local Cur]], -PV[[#This Row],[Notional Value Local Cur]])</f>
        <v>0</v>
      </c>
    </row>
    <row r="3261" spans="1:5" x14ac:dyDescent="0.25">
      <c r="A3261" s="36" t="b">
        <v>0</v>
      </c>
      <c r="B3261" s="56" t="b">
        <v>0</v>
      </c>
      <c r="C3261" s="56" t="b">
        <v>0</v>
      </c>
      <c r="D3261" s="56" t="b">
        <v>0</v>
      </c>
      <c r="E3261" s="56">
        <f ca="1">IF(PV[[#This Row],[Business Date]]=Control!$C$6, PV[[#This Row],[Notional Value Local Cur]], -PV[[#This Row],[Notional Value Local Cur]])</f>
        <v>0</v>
      </c>
    </row>
    <row r="3262" spans="1:5" x14ac:dyDescent="0.25">
      <c r="A3262" s="36" t="b">
        <v>0</v>
      </c>
      <c r="B3262" s="56" t="b">
        <v>0</v>
      </c>
      <c r="C3262" s="56" t="b">
        <v>0</v>
      </c>
      <c r="D3262" s="56" t="b">
        <v>0</v>
      </c>
      <c r="E3262" s="56">
        <f ca="1">IF(PV[[#This Row],[Business Date]]=Control!$C$6, PV[[#This Row],[Notional Value Local Cur]], -PV[[#This Row],[Notional Value Local Cur]])</f>
        <v>0</v>
      </c>
    </row>
    <row r="3263" spans="1:5" x14ac:dyDescent="0.25">
      <c r="A3263" s="36" t="b">
        <v>0</v>
      </c>
      <c r="B3263" s="56" t="b">
        <v>0</v>
      </c>
      <c r="C3263" s="56" t="b">
        <v>0</v>
      </c>
      <c r="D3263" s="56" t="b">
        <v>0</v>
      </c>
      <c r="E3263" s="56">
        <f ca="1">IF(PV[[#This Row],[Business Date]]=Control!$C$6, PV[[#This Row],[Notional Value Local Cur]], -PV[[#This Row],[Notional Value Local Cur]])</f>
        <v>0</v>
      </c>
    </row>
    <row r="3264" spans="1:5" x14ac:dyDescent="0.25">
      <c r="A3264" s="36" t="b">
        <v>0</v>
      </c>
      <c r="B3264" s="56" t="b">
        <v>0</v>
      </c>
      <c r="C3264" s="56" t="b">
        <v>0</v>
      </c>
      <c r="D3264" s="56" t="b">
        <v>0</v>
      </c>
      <c r="E3264" s="56">
        <f ca="1">IF(PV[[#This Row],[Business Date]]=Control!$C$6, PV[[#This Row],[Notional Value Local Cur]], -PV[[#This Row],[Notional Value Local Cur]])</f>
        <v>0</v>
      </c>
    </row>
    <row r="3265" spans="1:5" x14ac:dyDescent="0.25">
      <c r="A3265" s="36" t="b">
        <v>0</v>
      </c>
      <c r="B3265" s="56" t="b">
        <v>0</v>
      </c>
      <c r="C3265" s="56" t="b">
        <v>0</v>
      </c>
      <c r="D3265" s="56" t="b">
        <v>0</v>
      </c>
      <c r="E3265" s="56">
        <f ca="1">IF(PV[[#This Row],[Business Date]]=Control!$C$6, PV[[#This Row],[Notional Value Local Cur]], -PV[[#This Row],[Notional Value Local Cur]])</f>
        <v>0</v>
      </c>
    </row>
    <row r="3266" spans="1:5" x14ac:dyDescent="0.25">
      <c r="A3266" s="36" t="b">
        <v>0</v>
      </c>
      <c r="B3266" s="56" t="b">
        <v>0</v>
      </c>
      <c r="C3266" s="56" t="b">
        <v>0</v>
      </c>
      <c r="D3266" s="56" t="b">
        <v>0</v>
      </c>
      <c r="E3266" s="56">
        <f ca="1">IF(PV[[#This Row],[Business Date]]=Control!$C$6, PV[[#This Row],[Notional Value Local Cur]], -PV[[#This Row],[Notional Value Local Cur]])</f>
        <v>0</v>
      </c>
    </row>
    <row r="3267" spans="1:5" x14ac:dyDescent="0.25">
      <c r="A3267" s="36" t="b">
        <v>0</v>
      </c>
      <c r="B3267" s="56" t="b">
        <v>0</v>
      </c>
      <c r="C3267" s="56" t="b">
        <v>0</v>
      </c>
      <c r="D3267" s="56" t="b">
        <v>0</v>
      </c>
      <c r="E3267" s="56">
        <f ca="1">IF(PV[[#This Row],[Business Date]]=Control!$C$6, PV[[#This Row],[Notional Value Local Cur]], -PV[[#This Row],[Notional Value Local Cur]])</f>
        <v>0</v>
      </c>
    </row>
    <row r="3268" spans="1:5" x14ac:dyDescent="0.25">
      <c r="A3268" s="36" t="b">
        <v>0</v>
      </c>
      <c r="B3268" s="56" t="b">
        <v>0</v>
      </c>
      <c r="C3268" s="56" t="b">
        <v>0</v>
      </c>
      <c r="D3268" s="56" t="b">
        <v>0</v>
      </c>
      <c r="E3268" s="56">
        <f ca="1">IF(PV[[#This Row],[Business Date]]=Control!$C$6, PV[[#This Row],[Notional Value Local Cur]], -PV[[#This Row],[Notional Value Local Cur]])</f>
        <v>0</v>
      </c>
    </row>
    <row r="3269" spans="1:5" x14ac:dyDescent="0.25">
      <c r="A3269" s="36" t="b">
        <v>0</v>
      </c>
      <c r="B3269" s="56" t="b">
        <v>0</v>
      </c>
      <c r="C3269" s="56" t="b">
        <v>0</v>
      </c>
      <c r="D3269" s="56" t="b">
        <v>0</v>
      </c>
      <c r="E3269" s="56">
        <f ca="1">IF(PV[[#This Row],[Business Date]]=Control!$C$6, PV[[#This Row],[Notional Value Local Cur]], -PV[[#This Row],[Notional Value Local Cur]])</f>
        <v>0</v>
      </c>
    </row>
    <row r="3270" spans="1:5" x14ac:dyDescent="0.25">
      <c r="A3270" s="36" t="b">
        <v>0</v>
      </c>
      <c r="B3270" s="56" t="b">
        <v>0</v>
      </c>
      <c r="C3270" s="56" t="b">
        <v>0</v>
      </c>
      <c r="D3270" s="56" t="b">
        <v>0</v>
      </c>
      <c r="E3270" s="56">
        <f ca="1">IF(PV[[#This Row],[Business Date]]=Control!$C$6, PV[[#This Row],[Notional Value Local Cur]], -PV[[#This Row],[Notional Value Local Cur]])</f>
        <v>0</v>
      </c>
    </row>
    <row r="3271" spans="1:5" x14ac:dyDescent="0.25">
      <c r="A3271" s="36" t="b">
        <v>0</v>
      </c>
      <c r="B3271" s="56" t="b">
        <v>0</v>
      </c>
      <c r="C3271" s="56" t="b">
        <v>0</v>
      </c>
      <c r="D3271" s="56" t="b">
        <v>0</v>
      </c>
      <c r="E3271" s="56">
        <f ca="1">IF(PV[[#This Row],[Business Date]]=Control!$C$6, PV[[#This Row],[Notional Value Local Cur]], -PV[[#This Row],[Notional Value Local Cur]])</f>
        <v>0</v>
      </c>
    </row>
    <row r="3272" spans="1:5" x14ac:dyDescent="0.25">
      <c r="A3272" s="36" t="b">
        <v>0</v>
      </c>
      <c r="B3272" s="56" t="b">
        <v>0</v>
      </c>
      <c r="C3272" s="56" t="b">
        <v>0</v>
      </c>
      <c r="D3272" s="56" t="b">
        <v>0</v>
      </c>
      <c r="E3272" s="56">
        <f ca="1">IF(PV[[#This Row],[Business Date]]=Control!$C$6, PV[[#This Row],[Notional Value Local Cur]], -PV[[#This Row],[Notional Value Local Cur]])</f>
        <v>0</v>
      </c>
    </row>
    <row r="3273" spans="1:5" x14ac:dyDescent="0.25">
      <c r="A3273" s="36" t="b">
        <v>0</v>
      </c>
      <c r="B3273" s="56" t="b">
        <v>0</v>
      </c>
      <c r="C3273" s="56" t="b">
        <v>0</v>
      </c>
      <c r="D3273" s="56" t="b">
        <v>0</v>
      </c>
      <c r="E3273" s="56">
        <f ca="1">IF(PV[[#This Row],[Business Date]]=Control!$C$6, PV[[#This Row],[Notional Value Local Cur]], -PV[[#This Row],[Notional Value Local Cur]])</f>
        <v>0</v>
      </c>
    </row>
    <row r="3274" spans="1:5" x14ac:dyDescent="0.25">
      <c r="A3274" s="36" t="b">
        <v>0</v>
      </c>
      <c r="B3274" s="56" t="b">
        <v>0</v>
      </c>
      <c r="C3274" s="56" t="b">
        <v>0</v>
      </c>
      <c r="D3274" s="56" t="b">
        <v>0</v>
      </c>
      <c r="E3274" s="56">
        <f ca="1">IF(PV[[#This Row],[Business Date]]=Control!$C$6, PV[[#This Row],[Notional Value Local Cur]], -PV[[#This Row],[Notional Value Local Cur]])</f>
        <v>0</v>
      </c>
    </row>
    <row r="3275" spans="1:5" x14ac:dyDescent="0.25">
      <c r="A3275" s="36" t="b">
        <v>0</v>
      </c>
      <c r="B3275" s="56" t="b">
        <v>0</v>
      </c>
      <c r="C3275" s="56" t="b">
        <v>0</v>
      </c>
      <c r="D3275" s="56" t="b">
        <v>0</v>
      </c>
      <c r="E3275" s="56">
        <f ca="1">IF(PV[[#This Row],[Business Date]]=Control!$C$6, PV[[#This Row],[Notional Value Local Cur]], -PV[[#This Row],[Notional Value Local Cur]])</f>
        <v>0</v>
      </c>
    </row>
    <row r="3276" spans="1:5" x14ac:dyDescent="0.25">
      <c r="A3276" s="36" t="b">
        <v>0</v>
      </c>
      <c r="B3276" s="56" t="b">
        <v>0</v>
      </c>
      <c r="C3276" s="56" t="b">
        <v>0</v>
      </c>
      <c r="D3276" s="56" t="b">
        <v>0</v>
      </c>
      <c r="E3276" s="56">
        <f ca="1">IF(PV[[#This Row],[Business Date]]=Control!$C$6, PV[[#This Row],[Notional Value Local Cur]], -PV[[#This Row],[Notional Value Local Cur]])</f>
        <v>0</v>
      </c>
    </row>
    <row r="3277" spans="1:5" x14ac:dyDescent="0.25">
      <c r="A3277" s="36" t="b">
        <v>0</v>
      </c>
      <c r="B3277" s="56" t="b">
        <v>0</v>
      </c>
      <c r="C3277" s="56" t="b">
        <v>0</v>
      </c>
      <c r="D3277" s="56" t="b">
        <v>0</v>
      </c>
      <c r="E3277" s="56">
        <f ca="1">IF(PV[[#This Row],[Business Date]]=Control!$C$6, PV[[#This Row],[Notional Value Local Cur]], -PV[[#This Row],[Notional Value Local Cur]])</f>
        <v>0</v>
      </c>
    </row>
    <row r="3278" spans="1:5" x14ac:dyDescent="0.25">
      <c r="A3278" s="36" t="b">
        <v>0</v>
      </c>
      <c r="B3278" s="56" t="b">
        <v>0</v>
      </c>
      <c r="C3278" s="56" t="b">
        <v>0</v>
      </c>
      <c r="D3278" s="56" t="b">
        <v>0</v>
      </c>
      <c r="E3278" s="56">
        <f ca="1">IF(PV[[#This Row],[Business Date]]=Control!$C$6, PV[[#This Row],[Notional Value Local Cur]], -PV[[#This Row],[Notional Value Local Cur]])</f>
        <v>0</v>
      </c>
    </row>
    <row r="3279" spans="1:5" x14ac:dyDescent="0.25">
      <c r="A3279" s="36" t="b">
        <v>0</v>
      </c>
      <c r="B3279" s="56" t="b">
        <v>0</v>
      </c>
      <c r="C3279" s="56" t="b">
        <v>0</v>
      </c>
      <c r="D3279" s="56" t="b">
        <v>0</v>
      </c>
      <c r="E3279" s="56">
        <f ca="1">IF(PV[[#This Row],[Business Date]]=Control!$C$6, PV[[#This Row],[Notional Value Local Cur]], -PV[[#This Row],[Notional Value Local Cur]])</f>
        <v>0</v>
      </c>
    </row>
    <row r="3280" spans="1:5" x14ac:dyDescent="0.25">
      <c r="A3280" s="36" t="b">
        <v>0</v>
      </c>
      <c r="B3280" s="56" t="b">
        <v>0</v>
      </c>
      <c r="C3280" s="56" t="b">
        <v>0</v>
      </c>
      <c r="D3280" s="56" t="b">
        <v>0</v>
      </c>
      <c r="E3280" s="56">
        <f ca="1">IF(PV[[#This Row],[Business Date]]=Control!$C$6, PV[[#This Row],[Notional Value Local Cur]], -PV[[#This Row],[Notional Value Local Cur]])</f>
        <v>0</v>
      </c>
    </row>
    <row r="3281" spans="1:5" x14ac:dyDescent="0.25">
      <c r="A3281" s="36" t="b">
        <v>0</v>
      </c>
      <c r="B3281" s="56" t="b">
        <v>0</v>
      </c>
      <c r="C3281" s="56" t="b">
        <v>0</v>
      </c>
      <c r="D3281" s="56" t="b">
        <v>0</v>
      </c>
      <c r="E3281" s="56">
        <f ca="1">IF(PV[[#This Row],[Business Date]]=Control!$C$6, PV[[#This Row],[Notional Value Local Cur]], -PV[[#This Row],[Notional Value Local Cur]])</f>
        <v>0</v>
      </c>
    </row>
    <row r="3282" spans="1:5" x14ac:dyDescent="0.25">
      <c r="A3282" s="36" t="b">
        <v>0</v>
      </c>
      <c r="B3282" s="56" t="b">
        <v>0</v>
      </c>
      <c r="C3282" s="56" t="b">
        <v>0</v>
      </c>
      <c r="D3282" s="56" t="b">
        <v>0</v>
      </c>
      <c r="E3282" s="56">
        <f ca="1">IF(PV[[#This Row],[Business Date]]=Control!$C$6, PV[[#This Row],[Notional Value Local Cur]], -PV[[#This Row],[Notional Value Local Cur]])</f>
        <v>0</v>
      </c>
    </row>
    <row r="3283" spans="1:5" x14ac:dyDescent="0.25">
      <c r="A3283" s="36" t="b">
        <v>0</v>
      </c>
      <c r="B3283" s="56" t="b">
        <v>0</v>
      </c>
      <c r="C3283" s="56" t="b">
        <v>0</v>
      </c>
      <c r="D3283" s="56" t="b">
        <v>0</v>
      </c>
      <c r="E3283" s="56">
        <f ca="1">IF(PV[[#This Row],[Business Date]]=Control!$C$6, PV[[#This Row],[Notional Value Local Cur]], -PV[[#This Row],[Notional Value Local Cur]])</f>
        <v>0</v>
      </c>
    </row>
    <row r="3284" spans="1:5" x14ac:dyDescent="0.25">
      <c r="A3284" s="36" t="b">
        <v>0</v>
      </c>
      <c r="B3284" s="56" t="b">
        <v>0</v>
      </c>
      <c r="C3284" s="56" t="b">
        <v>0</v>
      </c>
      <c r="D3284" s="56" t="b">
        <v>0</v>
      </c>
      <c r="E3284" s="56">
        <f ca="1">IF(PV[[#This Row],[Business Date]]=Control!$C$6, PV[[#This Row],[Notional Value Local Cur]], -PV[[#This Row],[Notional Value Local Cur]])</f>
        <v>0</v>
      </c>
    </row>
    <row r="3285" spans="1:5" x14ac:dyDescent="0.25">
      <c r="A3285" s="36" t="b">
        <v>0</v>
      </c>
      <c r="B3285" s="56" t="b">
        <v>0</v>
      </c>
      <c r="C3285" s="56" t="b">
        <v>0</v>
      </c>
      <c r="D3285" s="56" t="b">
        <v>0</v>
      </c>
      <c r="E3285" s="56">
        <f ca="1">IF(PV[[#This Row],[Business Date]]=Control!$C$6, PV[[#This Row],[Notional Value Local Cur]], -PV[[#This Row],[Notional Value Local Cur]])</f>
        <v>0</v>
      </c>
    </row>
    <row r="3286" spans="1:5" x14ac:dyDescent="0.25">
      <c r="A3286" s="36" t="b">
        <v>0</v>
      </c>
      <c r="B3286" s="56" t="b">
        <v>0</v>
      </c>
      <c r="C3286" s="56" t="b">
        <v>0</v>
      </c>
      <c r="D3286" s="56" t="b">
        <v>0</v>
      </c>
      <c r="E3286" s="56">
        <f ca="1">IF(PV[[#This Row],[Business Date]]=Control!$C$6, PV[[#This Row],[Notional Value Local Cur]], -PV[[#This Row],[Notional Value Local Cur]])</f>
        <v>0</v>
      </c>
    </row>
    <row r="3287" spans="1:5" x14ac:dyDescent="0.25">
      <c r="A3287" s="36" t="b">
        <v>0</v>
      </c>
      <c r="B3287" s="56" t="b">
        <v>0</v>
      </c>
      <c r="C3287" s="56" t="b">
        <v>0</v>
      </c>
      <c r="D3287" s="56" t="b">
        <v>0</v>
      </c>
      <c r="E3287" s="56">
        <f ca="1">IF(PV[[#This Row],[Business Date]]=Control!$C$6, PV[[#This Row],[Notional Value Local Cur]], -PV[[#This Row],[Notional Value Local Cur]])</f>
        <v>0</v>
      </c>
    </row>
    <row r="3288" spans="1:5" x14ac:dyDescent="0.25">
      <c r="A3288" s="36" t="b">
        <v>0</v>
      </c>
      <c r="B3288" s="56" t="b">
        <v>0</v>
      </c>
      <c r="C3288" s="56" t="b">
        <v>0</v>
      </c>
      <c r="D3288" s="56" t="b">
        <v>0</v>
      </c>
      <c r="E3288" s="56">
        <f ca="1">IF(PV[[#This Row],[Business Date]]=Control!$C$6, PV[[#This Row],[Notional Value Local Cur]], -PV[[#This Row],[Notional Value Local Cur]])</f>
        <v>0</v>
      </c>
    </row>
    <row r="3289" spans="1:5" x14ac:dyDescent="0.25">
      <c r="A3289" s="36" t="b">
        <v>0</v>
      </c>
      <c r="B3289" s="56" t="b">
        <v>0</v>
      </c>
      <c r="C3289" s="56" t="b">
        <v>0</v>
      </c>
      <c r="D3289" s="56" t="b">
        <v>0</v>
      </c>
      <c r="E3289" s="56">
        <f ca="1">IF(PV[[#This Row],[Business Date]]=Control!$C$6, PV[[#This Row],[Notional Value Local Cur]], -PV[[#This Row],[Notional Value Local Cur]])</f>
        <v>0</v>
      </c>
    </row>
    <row r="3290" spans="1:5" x14ac:dyDescent="0.25">
      <c r="A3290" s="36" t="b">
        <v>0</v>
      </c>
      <c r="B3290" s="56" t="b">
        <v>0</v>
      </c>
      <c r="C3290" s="56" t="b">
        <v>0</v>
      </c>
      <c r="D3290" s="56" t="b">
        <v>0</v>
      </c>
      <c r="E3290" s="56">
        <f ca="1">IF(PV[[#This Row],[Business Date]]=Control!$C$6, PV[[#This Row],[Notional Value Local Cur]], -PV[[#This Row],[Notional Value Local Cur]])</f>
        <v>0</v>
      </c>
    </row>
    <row r="3291" spans="1:5" x14ac:dyDescent="0.25">
      <c r="A3291" s="36" t="b">
        <v>0</v>
      </c>
      <c r="B3291" s="56" t="b">
        <v>0</v>
      </c>
      <c r="C3291" s="56" t="b">
        <v>0</v>
      </c>
      <c r="D3291" s="56" t="b">
        <v>0</v>
      </c>
      <c r="E3291" s="56">
        <f ca="1">IF(PV[[#This Row],[Business Date]]=Control!$C$6, PV[[#This Row],[Notional Value Local Cur]], -PV[[#This Row],[Notional Value Local Cur]])</f>
        <v>0</v>
      </c>
    </row>
    <row r="3292" spans="1:5" x14ac:dyDescent="0.25">
      <c r="A3292" s="36" t="b">
        <v>0</v>
      </c>
      <c r="B3292" s="56" t="b">
        <v>0</v>
      </c>
      <c r="C3292" s="56" t="b">
        <v>0</v>
      </c>
      <c r="D3292" s="56" t="b">
        <v>0</v>
      </c>
      <c r="E3292" s="56">
        <f ca="1">IF(PV[[#This Row],[Business Date]]=Control!$C$6, PV[[#This Row],[Notional Value Local Cur]], -PV[[#This Row],[Notional Value Local Cur]])</f>
        <v>0</v>
      </c>
    </row>
    <row r="3293" spans="1:5" x14ac:dyDescent="0.25">
      <c r="A3293" s="36" t="b">
        <v>0</v>
      </c>
      <c r="B3293" s="56" t="b">
        <v>0</v>
      </c>
      <c r="C3293" s="56" t="b">
        <v>0</v>
      </c>
      <c r="D3293" s="56" t="b">
        <v>0</v>
      </c>
      <c r="E3293" s="56">
        <f ca="1">IF(PV[[#This Row],[Business Date]]=Control!$C$6, PV[[#This Row],[Notional Value Local Cur]], -PV[[#This Row],[Notional Value Local Cur]])</f>
        <v>0</v>
      </c>
    </row>
    <row r="3294" spans="1:5" x14ac:dyDescent="0.25">
      <c r="A3294" s="36" t="b">
        <v>0</v>
      </c>
      <c r="B3294" s="56" t="b">
        <v>0</v>
      </c>
      <c r="C3294" s="56" t="b">
        <v>0</v>
      </c>
      <c r="D3294" s="56" t="b">
        <v>0</v>
      </c>
      <c r="E3294" s="56">
        <f ca="1">IF(PV[[#This Row],[Business Date]]=Control!$C$6, PV[[#This Row],[Notional Value Local Cur]], -PV[[#This Row],[Notional Value Local Cur]])</f>
        <v>0</v>
      </c>
    </row>
    <row r="3295" spans="1:5" x14ac:dyDescent="0.25">
      <c r="A3295" s="36" t="b">
        <v>0</v>
      </c>
      <c r="B3295" s="56" t="b">
        <v>0</v>
      </c>
      <c r="C3295" s="56" t="b">
        <v>0</v>
      </c>
      <c r="D3295" s="56" t="b">
        <v>0</v>
      </c>
      <c r="E3295" s="56">
        <f ca="1">IF(PV[[#This Row],[Business Date]]=Control!$C$6, PV[[#This Row],[Notional Value Local Cur]], -PV[[#This Row],[Notional Value Local Cur]])</f>
        <v>0</v>
      </c>
    </row>
    <row r="3296" spans="1:5" x14ac:dyDescent="0.25">
      <c r="A3296" s="36" t="b">
        <v>0</v>
      </c>
      <c r="B3296" s="56" t="b">
        <v>0</v>
      </c>
      <c r="C3296" s="56" t="b">
        <v>0</v>
      </c>
      <c r="D3296" s="56" t="b">
        <v>0</v>
      </c>
      <c r="E3296" s="56">
        <f ca="1">IF(PV[[#This Row],[Business Date]]=Control!$C$6, PV[[#This Row],[Notional Value Local Cur]], -PV[[#This Row],[Notional Value Local Cur]])</f>
        <v>0</v>
      </c>
    </row>
    <row r="3297" spans="1:5" x14ac:dyDescent="0.25">
      <c r="A3297" s="36" t="b">
        <v>0</v>
      </c>
      <c r="B3297" s="56" t="b">
        <v>0</v>
      </c>
      <c r="C3297" s="56" t="b">
        <v>0</v>
      </c>
      <c r="D3297" s="56" t="b">
        <v>0</v>
      </c>
      <c r="E3297" s="56">
        <f ca="1">IF(PV[[#This Row],[Business Date]]=Control!$C$6, PV[[#This Row],[Notional Value Local Cur]], -PV[[#This Row],[Notional Value Local Cur]])</f>
        <v>0</v>
      </c>
    </row>
    <row r="3298" spans="1:5" x14ac:dyDescent="0.25">
      <c r="A3298" s="36" t="b">
        <v>0</v>
      </c>
      <c r="B3298" s="56" t="b">
        <v>0</v>
      </c>
      <c r="C3298" s="56" t="b">
        <v>0</v>
      </c>
      <c r="D3298" s="56" t="b">
        <v>0</v>
      </c>
      <c r="E3298" s="56">
        <f ca="1">IF(PV[[#This Row],[Business Date]]=Control!$C$6, PV[[#This Row],[Notional Value Local Cur]], -PV[[#This Row],[Notional Value Local Cur]])</f>
        <v>0</v>
      </c>
    </row>
    <row r="3299" spans="1:5" x14ac:dyDescent="0.25">
      <c r="A3299" s="36" t="b">
        <v>0</v>
      </c>
      <c r="B3299" s="56" t="b">
        <v>0</v>
      </c>
      <c r="C3299" s="56" t="b">
        <v>0</v>
      </c>
      <c r="D3299" s="56" t="b">
        <v>0</v>
      </c>
      <c r="E3299" s="56">
        <f ca="1">IF(PV[[#This Row],[Business Date]]=Control!$C$6, PV[[#This Row],[Notional Value Local Cur]], -PV[[#This Row],[Notional Value Local Cur]])</f>
        <v>0</v>
      </c>
    </row>
    <row r="3300" spans="1:5" x14ac:dyDescent="0.25">
      <c r="A3300" s="36" t="b">
        <v>0</v>
      </c>
      <c r="B3300" s="56" t="b">
        <v>0</v>
      </c>
      <c r="C3300" s="56" t="b">
        <v>0</v>
      </c>
      <c r="D3300" s="56" t="b">
        <v>0</v>
      </c>
      <c r="E3300" s="56">
        <f ca="1">IF(PV[[#This Row],[Business Date]]=Control!$C$6, PV[[#This Row],[Notional Value Local Cur]], -PV[[#This Row],[Notional Value Local Cur]])</f>
        <v>0</v>
      </c>
    </row>
    <row r="3301" spans="1:5" x14ac:dyDescent="0.25">
      <c r="A3301" s="36" t="b">
        <v>0</v>
      </c>
      <c r="B3301" s="56" t="b">
        <v>0</v>
      </c>
      <c r="C3301" s="56" t="b">
        <v>0</v>
      </c>
      <c r="D3301" s="56" t="b">
        <v>0</v>
      </c>
      <c r="E3301" s="56">
        <f ca="1">IF(PV[[#This Row],[Business Date]]=Control!$C$6, PV[[#This Row],[Notional Value Local Cur]], -PV[[#This Row],[Notional Value Local Cur]])</f>
        <v>0</v>
      </c>
    </row>
    <row r="3302" spans="1:5" x14ac:dyDescent="0.25">
      <c r="A3302" s="36" t="b">
        <v>0</v>
      </c>
      <c r="B3302" s="56" t="b">
        <v>0</v>
      </c>
      <c r="C3302" s="56" t="b">
        <v>0</v>
      </c>
      <c r="D3302" s="56" t="b">
        <v>0</v>
      </c>
      <c r="E3302" s="56">
        <f ca="1">IF(PV[[#This Row],[Business Date]]=Control!$C$6, PV[[#This Row],[Notional Value Local Cur]], -PV[[#This Row],[Notional Value Local Cur]])</f>
        <v>0</v>
      </c>
    </row>
    <row r="3303" spans="1:5" x14ac:dyDescent="0.25">
      <c r="A3303" s="36" t="b">
        <v>0</v>
      </c>
      <c r="B3303" s="56" t="b">
        <v>0</v>
      </c>
      <c r="C3303" s="56" t="b">
        <v>0</v>
      </c>
      <c r="D3303" s="56" t="b">
        <v>0</v>
      </c>
      <c r="E3303" s="56">
        <f ca="1">IF(PV[[#This Row],[Business Date]]=Control!$C$6, PV[[#This Row],[Notional Value Local Cur]], -PV[[#This Row],[Notional Value Local Cur]])</f>
        <v>0</v>
      </c>
    </row>
    <row r="3304" spans="1:5" x14ac:dyDescent="0.25">
      <c r="A3304" s="36" t="b">
        <v>0</v>
      </c>
      <c r="B3304" s="56" t="b">
        <v>0</v>
      </c>
      <c r="C3304" s="56" t="b">
        <v>0</v>
      </c>
      <c r="D3304" s="56" t="b">
        <v>0</v>
      </c>
      <c r="E3304" s="56">
        <f ca="1">IF(PV[[#This Row],[Business Date]]=Control!$C$6, PV[[#This Row],[Notional Value Local Cur]], -PV[[#This Row],[Notional Value Local Cur]])</f>
        <v>0</v>
      </c>
    </row>
    <row r="3305" spans="1:5" x14ac:dyDescent="0.25">
      <c r="A3305" s="36" t="b">
        <v>0</v>
      </c>
      <c r="B3305" s="56" t="b">
        <v>0</v>
      </c>
      <c r="C3305" s="56" t="b">
        <v>0</v>
      </c>
      <c r="D3305" s="56" t="b">
        <v>0</v>
      </c>
      <c r="E3305" s="56">
        <f ca="1">IF(PV[[#This Row],[Business Date]]=Control!$C$6, PV[[#This Row],[Notional Value Local Cur]], -PV[[#This Row],[Notional Value Local Cur]])</f>
        <v>0</v>
      </c>
    </row>
    <row r="3306" spans="1:5" x14ac:dyDescent="0.25">
      <c r="A3306" s="36" t="b">
        <v>0</v>
      </c>
      <c r="B3306" s="56" t="b">
        <v>0</v>
      </c>
      <c r="C3306" s="56" t="b">
        <v>0</v>
      </c>
      <c r="D3306" s="56" t="b">
        <v>0</v>
      </c>
      <c r="E3306" s="56">
        <f ca="1">IF(PV[[#This Row],[Business Date]]=Control!$C$6, PV[[#This Row],[Notional Value Local Cur]], -PV[[#This Row],[Notional Value Local Cur]])</f>
        <v>0</v>
      </c>
    </row>
    <row r="3307" spans="1:5" x14ac:dyDescent="0.25">
      <c r="A3307" s="36" t="b">
        <v>0</v>
      </c>
      <c r="B3307" s="56" t="b">
        <v>0</v>
      </c>
      <c r="C3307" s="56" t="b">
        <v>0</v>
      </c>
      <c r="D3307" s="56" t="b">
        <v>0</v>
      </c>
      <c r="E3307" s="56">
        <f ca="1">IF(PV[[#This Row],[Business Date]]=Control!$C$6, PV[[#This Row],[Notional Value Local Cur]], -PV[[#This Row],[Notional Value Local Cur]])</f>
        <v>0</v>
      </c>
    </row>
    <row r="3308" spans="1:5" x14ac:dyDescent="0.25">
      <c r="A3308" s="36" t="b">
        <v>0</v>
      </c>
      <c r="B3308" s="56" t="b">
        <v>0</v>
      </c>
      <c r="C3308" s="56" t="b">
        <v>0</v>
      </c>
      <c r="D3308" s="56" t="b">
        <v>0</v>
      </c>
      <c r="E3308" s="56">
        <f ca="1">IF(PV[[#This Row],[Business Date]]=Control!$C$6, PV[[#This Row],[Notional Value Local Cur]], -PV[[#This Row],[Notional Value Local Cur]])</f>
        <v>0</v>
      </c>
    </row>
    <row r="3309" spans="1:5" x14ac:dyDescent="0.25">
      <c r="A3309" s="36" t="b">
        <v>0</v>
      </c>
      <c r="B3309" s="56" t="b">
        <v>0</v>
      </c>
      <c r="C3309" s="56" t="b">
        <v>0</v>
      </c>
      <c r="D3309" s="56" t="b">
        <v>0</v>
      </c>
      <c r="E3309" s="56">
        <f ca="1">IF(PV[[#This Row],[Business Date]]=Control!$C$6, PV[[#This Row],[Notional Value Local Cur]], -PV[[#This Row],[Notional Value Local Cur]])</f>
        <v>0</v>
      </c>
    </row>
    <row r="3310" spans="1:5" x14ac:dyDescent="0.25">
      <c r="A3310" s="36" t="b">
        <v>0</v>
      </c>
      <c r="B3310" s="56" t="b">
        <v>0</v>
      </c>
      <c r="C3310" s="56" t="b">
        <v>0</v>
      </c>
      <c r="D3310" s="56" t="b">
        <v>0</v>
      </c>
      <c r="E3310" s="56">
        <f ca="1">IF(PV[[#This Row],[Business Date]]=Control!$C$6, PV[[#This Row],[Notional Value Local Cur]], -PV[[#This Row],[Notional Value Local Cur]])</f>
        <v>0</v>
      </c>
    </row>
    <row r="3311" spans="1:5" x14ac:dyDescent="0.25">
      <c r="A3311" s="36" t="b">
        <v>0</v>
      </c>
      <c r="B3311" s="56" t="b">
        <v>0</v>
      </c>
      <c r="C3311" s="56" t="b">
        <v>0</v>
      </c>
      <c r="D3311" s="56" t="b">
        <v>0</v>
      </c>
      <c r="E3311" s="56">
        <f ca="1">IF(PV[[#This Row],[Business Date]]=Control!$C$6, PV[[#This Row],[Notional Value Local Cur]], -PV[[#This Row],[Notional Value Local Cur]])</f>
        <v>0</v>
      </c>
    </row>
    <row r="3312" spans="1:5" x14ac:dyDescent="0.25">
      <c r="A3312" s="36" t="b">
        <v>0</v>
      </c>
      <c r="B3312" s="56" t="b">
        <v>0</v>
      </c>
      <c r="C3312" s="56" t="b">
        <v>0</v>
      </c>
      <c r="D3312" s="56" t="b">
        <v>0</v>
      </c>
      <c r="E3312" s="56">
        <f ca="1">IF(PV[[#This Row],[Business Date]]=Control!$C$6, PV[[#This Row],[Notional Value Local Cur]], -PV[[#This Row],[Notional Value Local Cur]])</f>
        <v>0</v>
      </c>
    </row>
    <row r="3313" spans="1:5" x14ac:dyDescent="0.25">
      <c r="A3313" s="36" t="b">
        <v>0</v>
      </c>
      <c r="B3313" s="56" t="b">
        <v>0</v>
      </c>
      <c r="C3313" s="56" t="b">
        <v>0</v>
      </c>
      <c r="D3313" s="56" t="b">
        <v>0</v>
      </c>
      <c r="E3313" s="56">
        <f ca="1">IF(PV[[#This Row],[Business Date]]=Control!$C$6, PV[[#This Row],[Notional Value Local Cur]], -PV[[#This Row],[Notional Value Local Cur]])</f>
        <v>0</v>
      </c>
    </row>
    <row r="3314" spans="1:5" x14ac:dyDescent="0.25">
      <c r="A3314" s="36" t="b">
        <v>0</v>
      </c>
      <c r="B3314" s="56" t="b">
        <v>0</v>
      </c>
      <c r="C3314" s="56" t="b">
        <v>0</v>
      </c>
      <c r="D3314" s="56" t="b">
        <v>0</v>
      </c>
      <c r="E3314" s="56">
        <f ca="1">IF(PV[[#This Row],[Business Date]]=Control!$C$6, PV[[#This Row],[Notional Value Local Cur]], -PV[[#This Row],[Notional Value Local Cur]])</f>
        <v>0</v>
      </c>
    </row>
    <row r="3315" spans="1:5" x14ac:dyDescent="0.25">
      <c r="A3315" s="36" t="b">
        <v>0</v>
      </c>
      <c r="B3315" s="56" t="b">
        <v>0</v>
      </c>
      <c r="C3315" s="56" t="b">
        <v>0</v>
      </c>
      <c r="D3315" s="56" t="b">
        <v>0</v>
      </c>
      <c r="E3315" s="56">
        <f ca="1">IF(PV[[#This Row],[Business Date]]=Control!$C$6, PV[[#This Row],[Notional Value Local Cur]], -PV[[#This Row],[Notional Value Local Cur]])</f>
        <v>0</v>
      </c>
    </row>
    <row r="3316" spans="1:5" x14ac:dyDescent="0.25">
      <c r="A3316" s="36" t="b">
        <v>0</v>
      </c>
      <c r="B3316" s="56" t="b">
        <v>0</v>
      </c>
      <c r="C3316" s="56" t="b">
        <v>0</v>
      </c>
      <c r="D3316" s="56" t="b">
        <v>0</v>
      </c>
      <c r="E3316" s="56">
        <f ca="1">IF(PV[[#This Row],[Business Date]]=Control!$C$6, PV[[#This Row],[Notional Value Local Cur]], -PV[[#This Row],[Notional Value Local Cur]])</f>
        <v>0</v>
      </c>
    </row>
    <row r="3317" spans="1:5" x14ac:dyDescent="0.25">
      <c r="A3317" s="36" t="b">
        <v>0</v>
      </c>
      <c r="B3317" s="56" t="b">
        <v>0</v>
      </c>
      <c r="C3317" s="56" t="b">
        <v>0</v>
      </c>
      <c r="D3317" s="56" t="b">
        <v>0</v>
      </c>
      <c r="E3317" s="56">
        <f ca="1">IF(PV[[#This Row],[Business Date]]=Control!$C$6, PV[[#This Row],[Notional Value Local Cur]], -PV[[#This Row],[Notional Value Local Cur]])</f>
        <v>0</v>
      </c>
    </row>
    <row r="3318" spans="1:5" x14ac:dyDescent="0.25">
      <c r="A3318" s="36" t="b">
        <v>0</v>
      </c>
      <c r="B3318" s="56" t="b">
        <v>0</v>
      </c>
      <c r="C3318" s="56" t="b">
        <v>0</v>
      </c>
      <c r="D3318" s="56" t="b">
        <v>0</v>
      </c>
      <c r="E3318" s="56">
        <f ca="1">IF(PV[[#This Row],[Business Date]]=Control!$C$6, PV[[#This Row],[Notional Value Local Cur]], -PV[[#This Row],[Notional Value Local Cur]])</f>
        <v>0</v>
      </c>
    </row>
    <row r="3319" spans="1:5" x14ac:dyDescent="0.25">
      <c r="A3319" s="36" t="b">
        <v>0</v>
      </c>
      <c r="B3319" s="56" t="b">
        <v>0</v>
      </c>
      <c r="C3319" s="56" t="b">
        <v>0</v>
      </c>
      <c r="D3319" s="56" t="b">
        <v>0</v>
      </c>
      <c r="E3319" s="56">
        <f ca="1">IF(PV[[#This Row],[Business Date]]=Control!$C$6, PV[[#This Row],[Notional Value Local Cur]], -PV[[#This Row],[Notional Value Local Cur]])</f>
        <v>0</v>
      </c>
    </row>
    <row r="3320" spans="1:5" x14ac:dyDescent="0.25">
      <c r="A3320" s="36" t="b">
        <v>0</v>
      </c>
      <c r="B3320" s="56" t="b">
        <v>0</v>
      </c>
      <c r="C3320" s="56" t="b">
        <v>0</v>
      </c>
      <c r="D3320" s="56" t="b">
        <v>0</v>
      </c>
      <c r="E3320" s="56">
        <f ca="1">IF(PV[[#This Row],[Business Date]]=Control!$C$6, PV[[#This Row],[Notional Value Local Cur]], -PV[[#This Row],[Notional Value Local Cur]])</f>
        <v>0</v>
      </c>
    </row>
    <row r="3321" spans="1:5" x14ac:dyDescent="0.25">
      <c r="A3321" s="36" t="b">
        <v>0</v>
      </c>
      <c r="B3321" s="56" t="b">
        <v>0</v>
      </c>
      <c r="C3321" s="56" t="b">
        <v>0</v>
      </c>
      <c r="D3321" s="56" t="b">
        <v>0</v>
      </c>
      <c r="E3321" s="56">
        <f ca="1">IF(PV[[#This Row],[Business Date]]=Control!$C$6, PV[[#This Row],[Notional Value Local Cur]], -PV[[#This Row],[Notional Value Local Cur]])</f>
        <v>0</v>
      </c>
    </row>
    <row r="3322" spans="1:5" x14ac:dyDescent="0.25">
      <c r="A3322" s="36" t="b">
        <v>0</v>
      </c>
      <c r="B3322" s="56" t="b">
        <v>0</v>
      </c>
      <c r="C3322" s="56" t="b">
        <v>0</v>
      </c>
      <c r="D3322" s="56" t="b">
        <v>0</v>
      </c>
      <c r="E3322" s="56">
        <f ca="1">IF(PV[[#This Row],[Business Date]]=Control!$C$6, PV[[#This Row],[Notional Value Local Cur]], -PV[[#This Row],[Notional Value Local Cur]])</f>
        <v>0</v>
      </c>
    </row>
    <row r="3323" spans="1:5" x14ac:dyDescent="0.25">
      <c r="A3323" s="36" t="b">
        <v>0</v>
      </c>
      <c r="B3323" s="56" t="b">
        <v>0</v>
      </c>
      <c r="C3323" s="56" t="b">
        <v>0</v>
      </c>
      <c r="D3323" s="56" t="b">
        <v>0</v>
      </c>
      <c r="E3323" s="56">
        <f ca="1">IF(PV[[#This Row],[Business Date]]=Control!$C$6, PV[[#This Row],[Notional Value Local Cur]], -PV[[#This Row],[Notional Value Local Cur]])</f>
        <v>0</v>
      </c>
    </row>
    <row r="3324" spans="1:5" x14ac:dyDescent="0.25">
      <c r="A3324" s="36" t="b">
        <v>0</v>
      </c>
      <c r="B3324" s="56" t="b">
        <v>0</v>
      </c>
      <c r="C3324" s="56" t="b">
        <v>0</v>
      </c>
      <c r="D3324" s="56" t="b">
        <v>0</v>
      </c>
      <c r="E3324" s="56">
        <f ca="1">IF(PV[[#This Row],[Business Date]]=Control!$C$6, PV[[#This Row],[Notional Value Local Cur]], -PV[[#This Row],[Notional Value Local Cur]])</f>
        <v>0</v>
      </c>
    </row>
    <row r="3325" spans="1:5" x14ac:dyDescent="0.25">
      <c r="A3325" s="36" t="b">
        <v>0</v>
      </c>
      <c r="B3325" s="56" t="b">
        <v>0</v>
      </c>
      <c r="C3325" s="56" t="b">
        <v>0</v>
      </c>
      <c r="D3325" s="56" t="b">
        <v>0</v>
      </c>
      <c r="E3325" s="56">
        <f ca="1">IF(PV[[#This Row],[Business Date]]=Control!$C$6, PV[[#This Row],[Notional Value Local Cur]], -PV[[#This Row],[Notional Value Local Cur]])</f>
        <v>0</v>
      </c>
    </row>
    <row r="3326" spans="1:5" x14ac:dyDescent="0.25">
      <c r="A3326" s="36" t="b">
        <v>0</v>
      </c>
      <c r="B3326" s="56" t="b">
        <v>0</v>
      </c>
      <c r="C3326" s="56" t="b">
        <v>0</v>
      </c>
      <c r="D3326" s="56" t="b">
        <v>0</v>
      </c>
      <c r="E3326" s="56">
        <f ca="1">IF(PV[[#This Row],[Business Date]]=Control!$C$6, PV[[#This Row],[Notional Value Local Cur]], -PV[[#This Row],[Notional Value Local Cur]])</f>
        <v>0</v>
      </c>
    </row>
    <row r="3327" spans="1:5" x14ac:dyDescent="0.25">
      <c r="A3327" s="36" t="b">
        <v>0</v>
      </c>
      <c r="B3327" s="56" t="b">
        <v>0</v>
      </c>
      <c r="C3327" s="56" t="b">
        <v>0</v>
      </c>
      <c r="D3327" s="56" t="b">
        <v>0</v>
      </c>
      <c r="E3327" s="56">
        <f ca="1">IF(PV[[#This Row],[Business Date]]=Control!$C$6, PV[[#This Row],[Notional Value Local Cur]], -PV[[#This Row],[Notional Value Local Cur]])</f>
        <v>0</v>
      </c>
    </row>
    <row r="3328" spans="1:5" x14ac:dyDescent="0.25">
      <c r="A3328" s="36" t="b">
        <v>0</v>
      </c>
      <c r="B3328" s="56" t="b">
        <v>0</v>
      </c>
      <c r="C3328" s="56" t="b">
        <v>0</v>
      </c>
      <c r="D3328" s="56" t="b">
        <v>0</v>
      </c>
      <c r="E3328" s="56">
        <f ca="1">IF(PV[[#This Row],[Business Date]]=Control!$C$6, PV[[#This Row],[Notional Value Local Cur]], -PV[[#This Row],[Notional Value Local Cur]])</f>
        <v>0</v>
      </c>
    </row>
    <row r="3329" spans="1:5" x14ac:dyDescent="0.25">
      <c r="A3329" s="36" t="b">
        <v>0</v>
      </c>
      <c r="B3329" s="56" t="b">
        <v>0</v>
      </c>
      <c r="C3329" s="56" t="b">
        <v>0</v>
      </c>
      <c r="D3329" s="56" t="b">
        <v>0</v>
      </c>
      <c r="E3329" s="56">
        <f ca="1">IF(PV[[#This Row],[Business Date]]=Control!$C$6, PV[[#This Row],[Notional Value Local Cur]], -PV[[#This Row],[Notional Value Local Cur]])</f>
        <v>0</v>
      </c>
    </row>
    <row r="3330" spans="1:5" x14ac:dyDescent="0.25">
      <c r="A3330" s="36" t="b">
        <v>0</v>
      </c>
      <c r="B3330" s="56" t="b">
        <v>0</v>
      </c>
      <c r="C3330" s="56" t="b">
        <v>0</v>
      </c>
      <c r="D3330" s="56" t="b">
        <v>0</v>
      </c>
      <c r="E3330" s="56">
        <f ca="1">IF(PV[[#This Row],[Business Date]]=Control!$C$6, PV[[#This Row],[Notional Value Local Cur]], -PV[[#This Row],[Notional Value Local Cur]])</f>
        <v>0</v>
      </c>
    </row>
    <row r="3331" spans="1:5" x14ac:dyDescent="0.25">
      <c r="A3331" s="36" t="b">
        <v>0</v>
      </c>
      <c r="B3331" s="56" t="b">
        <v>0</v>
      </c>
      <c r="C3331" s="56" t="b">
        <v>0</v>
      </c>
      <c r="D3331" s="56" t="b">
        <v>0</v>
      </c>
      <c r="E3331" s="56">
        <f ca="1">IF(PV[[#This Row],[Business Date]]=Control!$C$6, PV[[#This Row],[Notional Value Local Cur]], -PV[[#This Row],[Notional Value Local Cur]])</f>
        <v>0</v>
      </c>
    </row>
    <row r="3332" spans="1:5" x14ac:dyDescent="0.25">
      <c r="A3332" s="36" t="b">
        <v>0</v>
      </c>
      <c r="B3332" s="56" t="b">
        <v>0</v>
      </c>
      <c r="C3332" s="56" t="b">
        <v>0</v>
      </c>
      <c r="D3332" s="56" t="b">
        <v>0</v>
      </c>
      <c r="E3332" s="56">
        <f ca="1">IF(PV[[#This Row],[Business Date]]=Control!$C$6, PV[[#This Row],[Notional Value Local Cur]], -PV[[#This Row],[Notional Value Local Cur]])</f>
        <v>0</v>
      </c>
    </row>
    <row r="3333" spans="1:5" x14ac:dyDescent="0.25">
      <c r="A3333" s="36" t="b">
        <v>0</v>
      </c>
      <c r="B3333" s="56" t="b">
        <v>0</v>
      </c>
      <c r="C3333" s="56" t="b">
        <v>0</v>
      </c>
      <c r="D3333" s="56" t="b">
        <v>0</v>
      </c>
      <c r="E3333" s="56">
        <f ca="1">IF(PV[[#This Row],[Business Date]]=Control!$C$6, PV[[#This Row],[Notional Value Local Cur]], -PV[[#This Row],[Notional Value Local Cur]])</f>
        <v>0</v>
      </c>
    </row>
    <row r="3334" spans="1:5" x14ac:dyDescent="0.25">
      <c r="A3334" s="36" t="b">
        <v>0</v>
      </c>
      <c r="B3334" s="56" t="b">
        <v>0</v>
      </c>
      <c r="C3334" s="56" t="b">
        <v>0</v>
      </c>
      <c r="D3334" s="56" t="b">
        <v>0</v>
      </c>
      <c r="E3334" s="56">
        <f ca="1">IF(PV[[#This Row],[Business Date]]=Control!$C$6, PV[[#This Row],[Notional Value Local Cur]], -PV[[#This Row],[Notional Value Local Cur]])</f>
        <v>0</v>
      </c>
    </row>
    <row r="3335" spans="1:5" x14ac:dyDescent="0.25">
      <c r="A3335" s="36" t="b">
        <v>0</v>
      </c>
      <c r="B3335" s="56" t="b">
        <v>0</v>
      </c>
      <c r="C3335" s="56" t="b">
        <v>0</v>
      </c>
      <c r="D3335" s="56" t="b">
        <v>0</v>
      </c>
      <c r="E3335" s="56">
        <f ca="1">IF(PV[[#This Row],[Business Date]]=Control!$C$6, PV[[#This Row],[Notional Value Local Cur]], -PV[[#This Row],[Notional Value Local Cur]])</f>
        <v>0</v>
      </c>
    </row>
    <row r="3336" spans="1:5" x14ac:dyDescent="0.25">
      <c r="A3336" s="36" t="b">
        <v>0</v>
      </c>
      <c r="B3336" s="56" t="b">
        <v>0</v>
      </c>
      <c r="C3336" s="56" t="b">
        <v>0</v>
      </c>
      <c r="D3336" s="56" t="b">
        <v>0</v>
      </c>
      <c r="E3336" s="56">
        <f ca="1">IF(PV[[#This Row],[Business Date]]=Control!$C$6, PV[[#This Row],[Notional Value Local Cur]], -PV[[#This Row],[Notional Value Local Cur]])</f>
        <v>0</v>
      </c>
    </row>
    <row r="3337" spans="1:5" x14ac:dyDescent="0.25">
      <c r="A3337" s="36" t="b">
        <v>0</v>
      </c>
      <c r="B3337" s="56" t="b">
        <v>0</v>
      </c>
      <c r="C3337" s="56" t="b">
        <v>0</v>
      </c>
      <c r="D3337" s="56" t="b">
        <v>0</v>
      </c>
      <c r="E3337" s="56">
        <f ca="1">IF(PV[[#This Row],[Business Date]]=Control!$C$6, PV[[#This Row],[Notional Value Local Cur]], -PV[[#This Row],[Notional Value Local Cur]])</f>
        <v>0</v>
      </c>
    </row>
    <row r="3338" spans="1:5" x14ac:dyDescent="0.25">
      <c r="A3338" s="36" t="b">
        <v>0</v>
      </c>
      <c r="B3338" s="56" t="b">
        <v>0</v>
      </c>
      <c r="C3338" s="56" t="b">
        <v>0</v>
      </c>
      <c r="D3338" s="56" t="b">
        <v>0</v>
      </c>
      <c r="E3338" s="56">
        <f ca="1">IF(PV[[#This Row],[Business Date]]=Control!$C$6, PV[[#This Row],[Notional Value Local Cur]], -PV[[#This Row],[Notional Value Local Cur]])</f>
        <v>0</v>
      </c>
    </row>
    <row r="3339" spans="1:5" x14ac:dyDescent="0.25">
      <c r="A3339" s="36" t="b">
        <v>0</v>
      </c>
      <c r="B3339" s="56" t="b">
        <v>0</v>
      </c>
      <c r="C3339" s="56" t="b">
        <v>0</v>
      </c>
      <c r="D3339" s="56" t="b">
        <v>0</v>
      </c>
      <c r="E3339" s="56">
        <f ca="1">IF(PV[[#This Row],[Business Date]]=Control!$C$6, PV[[#This Row],[Notional Value Local Cur]], -PV[[#This Row],[Notional Value Local Cur]])</f>
        <v>0</v>
      </c>
    </row>
    <row r="3340" spans="1:5" x14ac:dyDescent="0.25">
      <c r="A3340" s="36" t="b">
        <v>0</v>
      </c>
      <c r="B3340" s="56" t="b">
        <v>0</v>
      </c>
      <c r="C3340" s="56" t="b">
        <v>0</v>
      </c>
      <c r="D3340" s="56" t="b">
        <v>0</v>
      </c>
      <c r="E3340" s="56">
        <f ca="1">IF(PV[[#This Row],[Business Date]]=Control!$C$6, PV[[#This Row],[Notional Value Local Cur]], -PV[[#This Row],[Notional Value Local Cur]])</f>
        <v>0</v>
      </c>
    </row>
    <row r="3341" spans="1:5" x14ac:dyDescent="0.25">
      <c r="A3341" s="36" t="b">
        <v>0</v>
      </c>
      <c r="B3341" s="56" t="b">
        <v>0</v>
      </c>
      <c r="C3341" s="56" t="b">
        <v>0</v>
      </c>
      <c r="D3341" s="56" t="b">
        <v>0</v>
      </c>
      <c r="E3341" s="56">
        <f ca="1">IF(PV[[#This Row],[Business Date]]=Control!$C$6, PV[[#This Row],[Notional Value Local Cur]], -PV[[#This Row],[Notional Value Local Cur]])</f>
        <v>0</v>
      </c>
    </row>
    <row r="3342" spans="1:5" x14ac:dyDescent="0.25">
      <c r="A3342" s="36" t="b">
        <v>0</v>
      </c>
      <c r="B3342" s="56" t="b">
        <v>0</v>
      </c>
      <c r="C3342" s="56" t="b">
        <v>0</v>
      </c>
      <c r="D3342" s="56" t="b">
        <v>0</v>
      </c>
      <c r="E3342" s="56">
        <f ca="1">IF(PV[[#This Row],[Business Date]]=Control!$C$6, PV[[#This Row],[Notional Value Local Cur]], -PV[[#This Row],[Notional Value Local Cur]])</f>
        <v>0</v>
      </c>
    </row>
    <row r="3343" spans="1:5" x14ac:dyDescent="0.25">
      <c r="A3343" s="36" t="b">
        <v>0</v>
      </c>
      <c r="B3343" s="56" t="b">
        <v>0</v>
      </c>
      <c r="C3343" s="56" t="b">
        <v>0</v>
      </c>
      <c r="D3343" s="56" t="b">
        <v>0</v>
      </c>
      <c r="E3343" s="56">
        <f ca="1">IF(PV[[#This Row],[Business Date]]=Control!$C$6, PV[[#This Row],[Notional Value Local Cur]], -PV[[#This Row],[Notional Value Local Cur]])</f>
        <v>0</v>
      </c>
    </row>
    <row r="3344" spans="1:5" x14ac:dyDescent="0.25">
      <c r="A3344" s="36" t="b">
        <v>0</v>
      </c>
      <c r="B3344" s="56" t="b">
        <v>0</v>
      </c>
      <c r="C3344" s="56" t="b">
        <v>0</v>
      </c>
      <c r="D3344" s="56" t="b">
        <v>0</v>
      </c>
      <c r="E3344" s="56">
        <f ca="1">IF(PV[[#This Row],[Business Date]]=Control!$C$6, PV[[#This Row],[Notional Value Local Cur]], -PV[[#This Row],[Notional Value Local Cur]])</f>
        <v>0</v>
      </c>
    </row>
    <row r="3345" spans="1:5" x14ac:dyDescent="0.25">
      <c r="A3345" s="36" t="b">
        <v>0</v>
      </c>
      <c r="B3345" s="56" t="b">
        <v>0</v>
      </c>
      <c r="C3345" s="56" t="b">
        <v>0</v>
      </c>
      <c r="D3345" s="56" t="b">
        <v>0</v>
      </c>
      <c r="E3345" s="56">
        <f ca="1">IF(PV[[#This Row],[Business Date]]=Control!$C$6, PV[[#This Row],[Notional Value Local Cur]], -PV[[#This Row],[Notional Value Local Cur]])</f>
        <v>0</v>
      </c>
    </row>
    <row r="3346" spans="1:5" x14ac:dyDescent="0.25">
      <c r="A3346" s="36" t="b">
        <v>0</v>
      </c>
      <c r="B3346" s="56" t="b">
        <v>0</v>
      </c>
      <c r="C3346" s="56" t="b">
        <v>0</v>
      </c>
      <c r="D3346" s="56" t="b">
        <v>0</v>
      </c>
      <c r="E3346" s="56">
        <f ca="1">IF(PV[[#This Row],[Business Date]]=Control!$C$6, PV[[#This Row],[Notional Value Local Cur]], -PV[[#This Row],[Notional Value Local Cur]])</f>
        <v>0</v>
      </c>
    </row>
    <row r="3347" spans="1:5" x14ac:dyDescent="0.25">
      <c r="A3347" s="36" t="b">
        <v>0</v>
      </c>
      <c r="B3347" s="56" t="b">
        <v>0</v>
      </c>
      <c r="C3347" s="56" t="b">
        <v>0</v>
      </c>
      <c r="D3347" s="56" t="b">
        <v>0</v>
      </c>
      <c r="E3347" s="56">
        <f ca="1">IF(PV[[#This Row],[Business Date]]=Control!$C$6, PV[[#This Row],[Notional Value Local Cur]], -PV[[#This Row],[Notional Value Local Cur]])</f>
        <v>0</v>
      </c>
    </row>
    <row r="3348" spans="1:5" x14ac:dyDescent="0.25">
      <c r="A3348" s="36" t="b">
        <v>0</v>
      </c>
      <c r="B3348" s="56" t="b">
        <v>0</v>
      </c>
      <c r="C3348" s="56" t="b">
        <v>0</v>
      </c>
      <c r="D3348" s="56" t="b">
        <v>0</v>
      </c>
      <c r="E3348" s="56">
        <f ca="1">IF(PV[[#This Row],[Business Date]]=Control!$C$6, PV[[#This Row],[Notional Value Local Cur]], -PV[[#This Row],[Notional Value Local Cur]])</f>
        <v>0</v>
      </c>
    </row>
    <row r="3349" spans="1:5" x14ac:dyDescent="0.25">
      <c r="A3349" s="36" t="b">
        <v>0</v>
      </c>
      <c r="B3349" s="56" t="b">
        <v>0</v>
      </c>
      <c r="C3349" s="56" t="b">
        <v>0</v>
      </c>
      <c r="D3349" s="56" t="b">
        <v>0</v>
      </c>
      <c r="E3349" s="56">
        <f ca="1">IF(PV[[#This Row],[Business Date]]=Control!$C$6, PV[[#This Row],[Notional Value Local Cur]], -PV[[#This Row],[Notional Value Local Cur]])</f>
        <v>0</v>
      </c>
    </row>
    <row r="3350" spans="1:5" x14ac:dyDescent="0.25">
      <c r="A3350" s="36" t="b">
        <v>0</v>
      </c>
      <c r="B3350" s="56" t="b">
        <v>0</v>
      </c>
      <c r="C3350" s="56" t="b">
        <v>0</v>
      </c>
      <c r="D3350" s="56" t="b">
        <v>0</v>
      </c>
      <c r="E3350" s="56">
        <f ca="1">IF(PV[[#This Row],[Business Date]]=Control!$C$6, PV[[#This Row],[Notional Value Local Cur]], -PV[[#This Row],[Notional Value Local Cur]])</f>
        <v>0</v>
      </c>
    </row>
    <row r="3351" spans="1:5" x14ac:dyDescent="0.25">
      <c r="A3351" s="36" t="b">
        <v>0</v>
      </c>
      <c r="B3351" s="56" t="b">
        <v>0</v>
      </c>
      <c r="C3351" s="56" t="b">
        <v>0</v>
      </c>
      <c r="D3351" s="56" t="b">
        <v>0</v>
      </c>
      <c r="E3351" s="56">
        <f ca="1">IF(PV[[#This Row],[Business Date]]=Control!$C$6, PV[[#This Row],[Notional Value Local Cur]], -PV[[#This Row],[Notional Value Local Cur]])</f>
        <v>0</v>
      </c>
    </row>
    <row r="3352" spans="1:5" x14ac:dyDescent="0.25">
      <c r="A3352" s="36" t="b">
        <v>0</v>
      </c>
      <c r="B3352" s="56" t="b">
        <v>0</v>
      </c>
      <c r="C3352" s="56" t="b">
        <v>0</v>
      </c>
      <c r="D3352" s="56" t="b">
        <v>0</v>
      </c>
      <c r="E3352" s="56">
        <f ca="1">IF(PV[[#This Row],[Business Date]]=Control!$C$6, PV[[#This Row],[Notional Value Local Cur]], -PV[[#This Row],[Notional Value Local Cur]])</f>
        <v>0</v>
      </c>
    </row>
    <row r="3353" spans="1:5" x14ac:dyDescent="0.25">
      <c r="A3353" s="36" t="b">
        <v>0</v>
      </c>
      <c r="B3353" s="56" t="b">
        <v>0</v>
      </c>
      <c r="C3353" s="56" t="b">
        <v>0</v>
      </c>
      <c r="D3353" s="56" t="b">
        <v>0</v>
      </c>
      <c r="E3353" s="56">
        <f ca="1">IF(PV[[#This Row],[Business Date]]=Control!$C$6, PV[[#This Row],[Notional Value Local Cur]], -PV[[#This Row],[Notional Value Local Cur]])</f>
        <v>0</v>
      </c>
    </row>
    <row r="3354" spans="1:5" x14ac:dyDescent="0.25">
      <c r="A3354" s="36" t="b">
        <v>0</v>
      </c>
      <c r="B3354" s="56" t="b">
        <v>0</v>
      </c>
      <c r="C3354" s="56" t="b">
        <v>0</v>
      </c>
      <c r="D3354" s="56" t="b">
        <v>0</v>
      </c>
      <c r="E3354" s="56">
        <f ca="1">IF(PV[[#This Row],[Business Date]]=Control!$C$6, PV[[#This Row],[Notional Value Local Cur]], -PV[[#This Row],[Notional Value Local Cur]])</f>
        <v>0</v>
      </c>
    </row>
    <row r="3355" spans="1:5" x14ac:dyDescent="0.25">
      <c r="A3355" s="36" t="b">
        <v>0</v>
      </c>
      <c r="B3355" s="56" t="b">
        <v>0</v>
      </c>
      <c r="C3355" s="56" t="b">
        <v>0</v>
      </c>
      <c r="D3355" s="56" t="b">
        <v>0</v>
      </c>
      <c r="E3355" s="56">
        <f ca="1">IF(PV[[#This Row],[Business Date]]=Control!$C$6, PV[[#This Row],[Notional Value Local Cur]], -PV[[#This Row],[Notional Value Local Cur]])</f>
        <v>0</v>
      </c>
    </row>
    <row r="3356" spans="1:5" x14ac:dyDescent="0.25">
      <c r="A3356" s="36" t="b">
        <v>0</v>
      </c>
      <c r="B3356" s="56" t="b">
        <v>0</v>
      </c>
      <c r="C3356" s="56" t="b">
        <v>0</v>
      </c>
      <c r="D3356" s="56" t="b">
        <v>0</v>
      </c>
      <c r="E3356" s="56">
        <f ca="1">IF(PV[[#This Row],[Business Date]]=Control!$C$6, PV[[#This Row],[Notional Value Local Cur]], -PV[[#This Row],[Notional Value Local Cur]])</f>
        <v>0</v>
      </c>
    </row>
    <row r="3357" spans="1:5" x14ac:dyDescent="0.25">
      <c r="A3357" s="36" t="b">
        <v>0</v>
      </c>
      <c r="B3357" s="56" t="b">
        <v>0</v>
      </c>
      <c r="C3357" s="56" t="b">
        <v>0</v>
      </c>
      <c r="D3357" s="56" t="b">
        <v>0</v>
      </c>
      <c r="E3357" s="56">
        <f ca="1">IF(PV[[#This Row],[Business Date]]=Control!$C$6, PV[[#This Row],[Notional Value Local Cur]], -PV[[#This Row],[Notional Value Local Cur]])</f>
        <v>0</v>
      </c>
    </row>
    <row r="3358" spans="1:5" x14ac:dyDescent="0.25">
      <c r="A3358" s="36" t="b">
        <v>0</v>
      </c>
      <c r="B3358" s="56" t="b">
        <v>0</v>
      </c>
      <c r="C3358" s="56" t="b">
        <v>0</v>
      </c>
      <c r="D3358" s="56" t="b">
        <v>0</v>
      </c>
      <c r="E3358" s="56">
        <f ca="1">IF(PV[[#This Row],[Business Date]]=Control!$C$6, PV[[#This Row],[Notional Value Local Cur]], -PV[[#This Row],[Notional Value Local Cur]])</f>
        <v>0</v>
      </c>
    </row>
    <row r="3359" spans="1:5" x14ac:dyDescent="0.25">
      <c r="A3359" s="36" t="b">
        <v>0</v>
      </c>
      <c r="B3359" s="56" t="b">
        <v>0</v>
      </c>
      <c r="C3359" s="56" t="b">
        <v>0</v>
      </c>
      <c r="D3359" s="56" t="b">
        <v>0</v>
      </c>
      <c r="E3359" s="56">
        <f ca="1">IF(PV[[#This Row],[Business Date]]=Control!$C$6, PV[[#This Row],[Notional Value Local Cur]], -PV[[#This Row],[Notional Value Local Cur]])</f>
        <v>0</v>
      </c>
    </row>
    <row r="3360" spans="1:5" x14ac:dyDescent="0.25">
      <c r="A3360" s="36" t="b">
        <v>0</v>
      </c>
      <c r="B3360" s="56" t="b">
        <v>0</v>
      </c>
      <c r="C3360" s="56" t="b">
        <v>0</v>
      </c>
      <c r="D3360" s="56" t="b">
        <v>0</v>
      </c>
      <c r="E3360" s="56">
        <f ca="1">IF(PV[[#This Row],[Business Date]]=Control!$C$6, PV[[#This Row],[Notional Value Local Cur]], -PV[[#This Row],[Notional Value Local Cur]])</f>
        <v>0</v>
      </c>
    </row>
    <row r="3361" spans="1:5" x14ac:dyDescent="0.25">
      <c r="A3361" s="36" t="b">
        <v>0</v>
      </c>
      <c r="B3361" s="56" t="b">
        <v>0</v>
      </c>
      <c r="C3361" s="56" t="b">
        <v>0</v>
      </c>
      <c r="D3361" s="56" t="b">
        <v>0</v>
      </c>
      <c r="E3361" s="56">
        <f ca="1">IF(PV[[#This Row],[Business Date]]=Control!$C$6, PV[[#This Row],[Notional Value Local Cur]], -PV[[#This Row],[Notional Value Local Cur]])</f>
        <v>0</v>
      </c>
    </row>
    <row r="3362" spans="1:5" x14ac:dyDescent="0.25">
      <c r="A3362" s="36" t="b">
        <v>0</v>
      </c>
      <c r="B3362" s="56" t="b">
        <v>0</v>
      </c>
      <c r="C3362" s="56" t="b">
        <v>0</v>
      </c>
      <c r="D3362" s="56" t="b">
        <v>0</v>
      </c>
      <c r="E3362" s="56">
        <f ca="1">IF(PV[[#This Row],[Business Date]]=Control!$C$6, PV[[#This Row],[Notional Value Local Cur]], -PV[[#This Row],[Notional Value Local Cur]])</f>
        <v>0</v>
      </c>
    </row>
    <row r="3363" spans="1:5" x14ac:dyDescent="0.25">
      <c r="A3363" s="36" t="b">
        <v>0</v>
      </c>
      <c r="B3363" s="56" t="b">
        <v>0</v>
      </c>
      <c r="C3363" s="56" t="b">
        <v>0</v>
      </c>
      <c r="D3363" s="56" t="b">
        <v>0</v>
      </c>
      <c r="E3363" s="56">
        <f ca="1">IF(PV[[#This Row],[Business Date]]=Control!$C$6, PV[[#This Row],[Notional Value Local Cur]], -PV[[#This Row],[Notional Value Local Cur]])</f>
        <v>0</v>
      </c>
    </row>
    <row r="3364" spans="1:5" x14ac:dyDescent="0.25">
      <c r="A3364" s="36" t="b">
        <v>0</v>
      </c>
      <c r="B3364" s="56" t="b">
        <v>0</v>
      </c>
      <c r="C3364" s="56" t="b">
        <v>0</v>
      </c>
      <c r="D3364" s="56" t="b">
        <v>0</v>
      </c>
      <c r="E3364" s="56">
        <f ca="1">IF(PV[[#This Row],[Business Date]]=Control!$C$6, PV[[#This Row],[Notional Value Local Cur]], -PV[[#This Row],[Notional Value Local Cur]])</f>
        <v>0</v>
      </c>
    </row>
    <row r="3365" spans="1:5" x14ac:dyDescent="0.25">
      <c r="A3365" s="36" t="b">
        <v>0</v>
      </c>
      <c r="B3365" s="56" t="b">
        <v>0</v>
      </c>
      <c r="C3365" s="56" t="b">
        <v>0</v>
      </c>
      <c r="D3365" s="56" t="b">
        <v>0</v>
      </c>
      <c r="E3365" s="56">
        <f ca="1">IF(PV[[#This Row],[Business Date]]=Control!$C$6, PV[[#This Row],[Notional Value Local Cur]], -PV[[#This Row],[Notional Value Local Cur]])</f>
        <v>0</v>
      </c>
    </row>
    <row r="3366" spans="1:5" x14ac:dyDescent="0.25">
      <c r="A3366" s="36" t="b">
        <v>0</v>
      </c>
      <c r="B3366" s="56" t="b">
        <v>0</v>
      </c>
      <c r="C3366" s="56" t="b">
        <v>0</v>
      </c>
      <c r="D3366" s="56" t="b">
        <v>0</v>
      </c>
      <c r="E3366" s="56">
        <f ca="1">IF(PV[[#This Row],[Business Date]]=Control!$C$6, PV[[#This Row],[Notional Value Local Cur]], -PV[[#This Row],[Notional Value Local Cur]])</f>
        <v>0</v>
      </c>
    </row>
    <row r="3367" spans="1:5" x14ac:dyDescent="0.25">
      <c r="A3367" s="36" t="b">
        <v>0</v>
      </c>
      <c r="B3367" s="56" t="b">
        <v>0</v>
      </c>
      <c r="C3367" s="56" t="b">
        <v>0</v>
      </c>
      <c r="D3367" s="56" t="b">
        <v>0</v>
      </c>
      <c r="E3367" s="56">
        <f ca="1">IF(PV[[#This Row],[Business Date]]=Control!$C$6, PV[[#This Row],[Notional Value Local Cur]], -PV[[#This Row],[Notional Value Local Cur]])</f>
        <v>0</v>
      </c>
    </row>
    <row r="3368" spans="1:5" x14ac:dyDescent="0.25">
      <c r="A3368" s="36" t="b">
        <v>0</v>
      </c>
      <c r="B3368" s="56" t="b">
        <v>0</v>
      </c>
      <c r="C3368" s="56" t="b">
        <v>0</v>
      </c>
      <c r="D3368" s="56" t="b">
        <v>0</v>
      </c>
      <c r="E3368" s="56">
        <f ca="1">IF(PV[[#This Row],[Business Date]]=Control!$C$6, PV[[#This Row],[Notional Value Local Cur]], -PV[[#This Row],[Notional Value Local Cur]])</f>
        <v>0</v>
      </c>
    </row>
    <row r="3369" spans="1:5" x14ac:dyDescent="0.25">
      <c r="A3369" s="36" t="b">
        <v>0</v>
      </c>
      <c r="B3369" s="56" t="b">
        <v>0</v>
      </c>
      <c r="C3369" s="56" t="b">
        <v>0</v>
      </c>
      <c r="D3369" s="56" t="b">
        <v>0</v>
      </c>
      <c r="E3369" s="56">
        <f ca="1">IF(PV[[#This Row],[Business Date]]=Control!$C$6, PV[[#This Row],[Notional Value Local Cur]], -PV[[#This Row],[Notional Value Local Cur]])</f>
        <v>0</v>
      </c>
    </row>
    <row r="3370" spans="1:5" x14ac:dyDescent="0.25">
      <c r="A3370" s="36" t="b">
        <v>0</v>
      </c>
      <c r="B3370" s="56" t="b">
        <v>0</v>
      </c>
      <c r="C3370" s="56" t="b">
        <v>0</v>
      </c>
      <c r="D3370" s="56" t="b">
        <v>0</v>
      </c>
      <c r="E3370" s="56">
        <f ca="1">IF(PV[[#This Row],[Business Date]]=Control!$C$6, PV[[#This Row],[Notional Value Local Cur]], -PV[[#This Row],[Notional Value Local Cur]])</f>
        <v>0</v>
      </c>
    </row>
    <row r="3371" spans="1:5" x14ac:dyDescent="0.25">
      <c r="A3371" s="36" t="b">
        <v>0</v>
      </c>
      <c r="B3371" s="56" t="b">
        <v>0</v>
      </c>
      <c r="C3371" s="56" t="b">
        <v>0</v>
      </c>
      <c r="D3371" s="56" t="b">
        <v>0</v>
      </c>
      <c r="E3371" s="56">
        <f ca="1">IF(PV[[#This Row],[Business Date]]=Control!$C$6, PV[[#This Row],[Notional Value Local Cur]], -PV[[#This Row],[Notional Value Local Cur]])</f>
        <v>0</v>
      </c>
    </row>
    <row r="3372" spans="1:5" x14ac:dyDescent="0.25">
      <c r="A3372" s="36" t="b">
        <v>0</v>
      </c>
      <c r="B3372" s="56" t="b">
        <v>0</v>
      </c>
      <c r="C3372" s="56" t="b">
        <v>0</v>
      </c>
      <c r="D3372" s="56" t="b">
        <v>0</v>
      </c>
      <c r="E3372" s="56">
        <f ca="1">IF(PV[[#This Row],[Business Date]]=Control!$C$6, PV[[#This Row],[Notional Value Local Cur]], -PV[[#This Row],[Notional Value Local Cur]])</f>
        <v>0</v>
      </c>
    </row>
    <row r="3373" spans="1:5" x14ac:dyDescent="0.25">
      <c r="A3373" s="36" t="b">
        <v>0</v>
      </c>
      <c r="B3373" s="56" t="b">
        <v>0</v>
      </c>
      <c r="C3373" s="56" t="b">
        <v>0</v>
      </c>
      <c r="D3373" s="56" t="b">
        <v>0</v>
      </c>
      <c r="E3373" s="56">
        <f ca="1">IF(PV[[#This Row],[Business Date]]=Control!$C$6, PV[[#This Row],[Notional Value Local Cur]], -PV[[#This Row],[Notional Value Local Cur]])</f>
        <v>0</v>
      </c>
    </row>
    <row r="3374" spans="1:5" x14ac:dyDescent="0.25">
      <c r="A3374" s="36" t="b">
        <v>0</v>
      </c>
      <c r="B3374" s="56" t="b">
        <v>0</v>
      </c>
      <c r="C3374" s="56" t="b">
        <v>0</v>
      </c>
      <c r="D3374" s="56" t="b">
        <v>0</v>
      </c>
      <c r="E3374" s="56">
        <f ca="1">IF(PV[[#This Row],[Business Date]]=Control!$C$6, PV[[#This Row],[Notional Value Local Cur]], -PV[[#This Row],[Notional Value Local Cur]])</f>
        <v>0</v>
      </c>
    </row>
    <row r="3375" spans="1:5" x14ac:dyDescent="0.25">
      <c r="A3375" s="36" t="b">
        <v>0</v>
      </c>
      <c r="B3375" s="56" t="b">
        <v>0</v>
      </c>
      <c r="C3375" s="56" t="b">
        <v>0</v>
      </c>
      <c r="D3375" s="56" t="b">
        <v>0</v>
      </c>
      <c r="E3375" s="56">
        <f ca="1">IF(PV[[#This Row],[Business Date]]=Control!$C$6, PV[[#This Row],[Notional Value Local Cur]], -PV[[#This Row],[Notional Value Local Cur]])</f>
        <v>0</v>
      </c>
    </row>
    <row r="3376" spans="1:5" x14ac:dyDescent="0.25">
      <c r="A3376" s="36" t="b">
        <v>0</v>
      </c>
      <c r="B3376" s="56" t="b">
        <v>0</v>
      </c>
      <c r="C3376" s="56" t="b">
        <v>0</v>
      </c>
      <c r="D3376" s="56" t="b">
        <v>0</v>
      </c>
      <c r="E3376" s="56">
        <f ca="1">IF(PV[[#This Row],[Business Date]]=Control!$C$6, PV[[#This Row],[Notional Value Local Cur]], -PV[[#This Row],[Notional Value Local Cur]])</f>
        <v>0</v>
      </c>
    </row>
    <row r="3377" spans="1:5" x14ac:dyDescent="0.25">
      <c r="A3377" s="36" t="b">
        <v>0</v>
      </c>
      <c r="B3377" s="56" t="b">
        <v>0</v>
      </c>
      <c r="C3377" s="56" t="b">
        <v>0</v>
      </c>
      <c r="D3377" s="56" t="b">
        <v>0</v>
      </c>
      <c r="E3377" s="56">
        <f ca="1">IF(PV[[#This Row],[Business Date]]=Control!$C$6, PV[[#This Row],[Notional Value Local Cur]], -PV[[#This Row],[Notional Value Local Cur]])</f>
        <v>0</v>
      </c>
    </row>
    <row r="3378" spans="1:5" x14ac:dyDescent="0.25">
      <c r="A3378" s="36" t="b">
        <v>0</v>
      </c>
      <c r="B3378" s="56" t="b">
        <v>0</v>
      </c>
      <c r="C3378" s="56" t="b">
        <v>0</v>
      </c>
      <c r="D3378" s="56" t="b">
        <v>0</v>
      </c>
      <c r="E3378" s="56">
        <f ca="1">IF(PV[[#This Row],[Business Date]]=Control!$C$6, PV[[#This Row],[Notional Value Local Cur]], -PV[[#This Row],[Notional Value Local Cur]])</f>
        <v>0</v>
      </c>
    </row>
    <row r="3379" spans="1:5" x14ac:dyDescent="0.25">
      <c r="A3379" s="36" t="b">
        <v>0</v>
      </c>
      <c r="B3379" s="56" t="b">
        <v>0</v>
      </c>
      <c r="C3379" s="56" t="b">
        <v>0</v>
      </c>
      <c r="D3379" s="56" t="b">
        <v>0</v>
      </c>
      <c r="E3379" s="56">
        <f ca="1">IF(PV[[#This Row],[Business Date]]=Control!$C$6, PV[[#This Row],[Notional Value Local Cur]], -PV[[#This Row],[Notional Value Local Cur]])</f>
        <v>0</v>
      </c>
    </row>
    <row r="3380" spans="1:5" x14ac:dyDescent="0.25">
      <c r="A3380" s="36" t="b">
        <v>0</v>
      </c>
      <c r="B3380" s="56" t="b">
        <v>0</v>
      </c>
      <c r="C3380" s="56" t="b">
        <v>0</v>
      </c>
      <c r="D3380" s="56" t="b">
        <v>0</v>
      </c>
      <c r="E3380" s="56">
        <f ca="1">IF(PV[[#This Row],[Business Date]]=Control!$C$6, PV[[#This Row],[Notional Value Local Cur]], -PV[[#This Row],[Notional Value Local Cur]])</f>
        <v>0</v>
      </c>
    </row>
    <row r="3381" spans="1:5" x14ac:dyDescent="0.25">
      <c r="A3381" s="36" t="b">
        <v>0</v>
      </c>
      <c r="B3381" s="56" t="b">
        <v>0</v>
      </c>
      <c r="C3381" s="56" t="b">
        <v>0</v>
      </c>
      <c r="D3381" s="56" t="b">
        <v>0</v>
      </c>
      <c r="E3381" s="56">
        <f ca="1">IF(PV[[#This Row],[Business Date]]=Control!$C$6, PV[[#This Row],[Notional Value Local Cur]], -PV[[#This Row],[Notional Value Local Cur]])</f>
        <v>0</v>
      </c>
    </row>
    <row r="3382" spans="1:5" x14ac:dyDescent="0.25">
      <c r="A3382" s="36" t="b">
        <v>0</v>
      </c>
      <c r="B3382" s="56" t="b">
        <v>0</v>
      </c>
      <c r="C3382" s="56" t="b">
        <v>0</v>
      </c>
      <c r="D3382" s="56" t="b">
        <v>0</v>
      </c>
      <c r="E3382" s="56">
        <f ca="1">IF(PV[[#This Row],[Business Date]]=Control!$C$6, PV[[#This Row],[Notional Value Local Cur]], -PV[[#This Row],[Notional Value Local Cur]])</f>
        <v>0</v>
      </c>
    </row>
    <row r="3383" spans="1:5" x14ac:dyDescent="0.25">
      <c r="A3383" s="36" t="b">
        <v>0</v>
      </c>
      <c r="B3383" s="56" t="b">
        <v>0</v>
      </c>
      <c r="C3383" s="56" t="b">
        <v>0</v>
      </c>
      <c r="D3383" s="56" t="b">
        <v>0</v>
      </c>
      <c r="E3383" s="56">
        <f ca="1">IF(PV[[#This Row],[Business Date]]=Control!$C$6, PV[[#This Row],[Notional Value Local Cur]], -PV[[#This Row],[Notional Value Local Cur]])</f>
        <v>0</v>
      </c>
    </row>
    <row r="3384" spans="1:5" x14ac:dyDescent="0.25">
      <c r="A3384" s="36" t="b">
        <v>0</v>
      </c>
      <c r="B3384" s="56" t="b">
        <v>0</v>
      </c>
      <c r="C3384" s="56" t="b">
        <v>0</v>
      </c>
      <c r="D3384" s="56" t="b">
        <v>0</v>
      </c>
      <c r="E3384" s="56">
        <f ca="1">IF(PV[[#This Row],[Business Date]]=Control!$C$6, PV[[#This Row],[Notional Value Local Cur]], -PV[[#This Row],[Notional Value Local Cur]])</f>
        <v>0</v>
      </c>
    </row>
    <row r="3385" spans="1:5" x14ac:dyDescent="0.25">
      <c r="A3385" s="36" t="b">
        <v>0</v>
      </c>
      <c r="B3385" s="56" t="b">
        <v>0</v>
      </c>
      <c r="C3385" s="56" t="b">
        <v>0</v>
      </c>
      <c r="D3385" s="56" t="b">
        <v>0</v>
      </c>
      <c r="E3385" s="56">
        <f ca="1">IF(PV[[#This Row],[Business Date]]=Control!$C$6, PV[[#This Row],[Notional Value Local Cur]], -PV[[#This Row],[Notional Value Local Cur]])</f>
        <v>0</v>
      </c>
    </row>
    <row r="3386" spans="1:5" x14ac:dyDescent="0.25">
      <c r="A3386" s="36" t="b">
        <v>0</v>
      </c>
      <c r="B3386" s="56" t="b">
        <v>0</v>
      </c>
      <c r="C3386" s="56" t="b">
        <v>0</v>
      </c>
      <c r="D3386" s="56" t="b">
        <v>0</v>
      </c>
      <c r="E3386" s="56">
        <f ca="1">IF(PV[[#This Row],[Business Date]]=Control!$C$6, PV[[#This Row],[Notional Value Local Cur]], -PV[[#This Row],[Notional Value Local Cur]])</f>
        <v>0</v>
      </c>
    </row>
    <row r="3387" spans="1:5" x14ac:dyDescent="0.25">
      <c r="A3387" s="36" t="b">
        <v>0</v>
      </c>
      <c r="B3387" s="56" t="b">
        <v>0</v>
      </c>
      <c r="C3387" s="56" t="b">
        <v>0</v>
      </c>
      <c r="D3387" s="56" t="b">
        <v>0</v>
      </c>
      <c r="E3387" s="56">
        <f ca="1">IF(PV[[#This Row],[Business Date]]=Control!$C$6, PV[[#This Row],[Notional Value Local Cur]], -PV[[#This Row],[Notional Value Local Cur]])</f>
        <v>0</v>
      </c>
    </row>
    <row r="3388" spans="1:5" x14ac:dyDescent="0.25">
      <c r="A3388" s="36" t="b">
        <v>0</v>
      </c>
      <c r="B3388" s="56" t="b">
        <v>0</v>
      </c>
      <c r="C3388" s="56" t="b">
        <v>0</v>
      </c>
      <c r="D3388" s="56" t="b">
        <v>0</v>
      </c>
      <c r="E3388" s="56">
        <f ca="1">IF(PV[[#This Row],[Business Date]]=Control!$C$6, PV[[#This Row],[Notional Value Local Cur]], -PV[[#This Row],[Notional Value Local Cur]])</f>
        <v>0</v>
      </c>
    </row>
    <row r="3389" spans="1:5" x14ac:dyDescent="0.25">
      <c r="A3389" s="36" t="b">
        <v>0</v>
      </c>
      <c r="B3389" s="56" t="b">
        <v>0</v>
      </c>
      <c r="C3389" s="56" t="b">
        <v>0</v>
      </c>
      <c r="D3389" s="56" t="b">
        <v>0</v>
      </c>
      <c r="E3389" s="56">
        <f ca="1">IF(PV[[#This Row],[Business Date]]=Control!$C$6, PV[[#This Row],[Notional Value Local Cur]], -PV[[#This Row],[Notional Value Local Cur]])</f>
        <v>0</v>
      </c>
    </row>
    <row r="3390" spans="1:5" x14ac:dyDescent="0.25">
      <c r="A3390" s="36" t="b">
        <v>0</v>
      </c>
      <c r="B3390" s="56" t="b">
        <v>0</v>
      </c>
      <c r="C3390" s="56" t="b">
        <v>0</v>
      </c>
      <c r="D3390" s="56" t="b">
        <v>0</v>
      </c>
      <c r="E3390" s="56">
        <f ca="1">IF(PV[[#This Row],[Business Date]]=Control!$C$6, PV[[#This Row],[Notional Value Local Cur]], -PV[[#This Row],[Notional Value Local Cur]])</f>
        <v>0</v>
      </c>
    </row>
    <row r="3391" spans="1:5" x14ac:dyDescent="0.25">
      <c r="A3391" s="36" t="b">
        <v>0</v>
      </c>
      <c r="B3391" s="56" t="b">
        <v>0</v>
      </c>
      <c r="C3391" s="56" t="b">
        <v>0</v>
      </c>
      <c r="D3391" s="56" t="b">
        <v>0</v>
      </c>
      <c r="E3391" s="56">
        <f ca="1">IF(PV[[#This Row],[Business Date]]=Control!$C$6, PV[[#This Row],[Notional Value Local Cur]], -PV[[#This Row],[Notional Value Local Cur]])</f>
        <v>0</v>
      </c>
    </row>
    <row r="3392" spans="1:5" x14ac:dyDescent="0.25">
      <c r="A3392" s="36" t="b">
        <v>0</v>
      </c>
      <c r="B3392" s="56" t="b">
        <v>0</v>
      </c>
      <c r="C3392" s="56" t="b">
        <v>0</v>
      </c>
      <c r="D3392" s="56" t="b">
        <v>0</v>
      </c>
      <c r="E3392" s="56">
        <f ca="1">IF(PV[[#This Row],[Business Date]]=Control!$C$6, PV[[#This Row],[Notional Value Local Cur]], -PV[[#This Row],[Notional Value Local Cur]])</f>
        <v>0</v>
      </c>
    </row>
    <row r="3393" spans="1:5" x14ac:dyDescent="0.25">
      <c r="A3393" s="36" t="b">
        <v>0</v>
      </c>
      <c r="B3393" s="56" t="b">
        <v>0</v>
      </c>
      <c r="C3393" s="56" t="b">
        <v>0</v>
      </c>
      <c r="D3393" s="56" t="b">
        <v>0</v>
      </c>
      <c r="E3393" s="56">
        <f ca="1">IF(PV[[#This Row],[Business Date]]=Control!$C$6, PV[[#This Row],[Notional Value Local Cur]], -PV[[#This Row],[Notional Value Local Cur]])</f>
        <v>0</v>
      </c>
    </row>
    <row r="3394" spans="1:5" x14ac:dyDescent="0.25">
      <c r="A3394" s="36" t="b">
        <v>0</v>
      </c>
      <c r="B3394" s="56" t="b">
        <v>0</v>
      </c>
      <c r="C3394" s="56" t="b">
        <v>0</v>
      </c>
      <c r="D3394" s="56" t="b">
        <v>0</v>
      </c>
      <c r="E3394" s="56">
        <f ca="1">IF(PV[[#This Row],[Business Date]]=Control!$C$6, PV[[#This Row],[Notional Value Local Cur]], -PV[[#This Row],[Notional Value Local Cur]])</f>
        <v>0</v>
      </c>
    </row>
    <row r="3395" spans="1:5" x14ac:dyDescent="0.25">
      <c r="A3395" s="36" t="b">
        <v>0</v>
      </c>
      <c r="B3395" s="56" t="b">
        <v>0</v>
      </c>
      <c r="C3395" s="56" t="b">
        <v>0</v>
      </c>
      <c r="D3395" s="56" t="b">
        <v>0</v>
      </c>
      <c r="E3395" s="56">
        <f ca="1">IF(PV[[#This Row],[Business Date]]=Control!$C$6, PV[[#This Row],[Notional Value Local Cur]], -PV[[#This Row],[Notional Value Local Cur]])</f>
        <v>0</v>
      </c>
    </row>
    <row r="3396" spans="1:5" x14ac:dyDescent="0.25">
      <c r="A3396" s="36" t="b">
        <v>0</v>
      </c>
      <c r="B3396" s="56" t="b">
        <v>0</v>
      </c>
      <c r="C3396" s="56" t="b">
        <v>0</v>
      </c>
      <c r="D3396" s="56" t="b">
        <v>0</v>
      </c>
      <c r="E3396" s="56">
        <f ca="1">IF(PV[[#This Row],[Business Date]]=Control!$C$6, PV[[#This Row],[Notional Value Local Cur]], -PV[[#This Row],[Notional Value Local Cur]])</f>
        <v>0</v>
      </c>
    </row>
    <row r="3397" spans="1:5" x14ac:dyDescent="0.25">
      <c r="A3397" s="36" t="b">
        <v>0</v>
      </c>
      <c r="B3397" s="56" t="b">
        <v>0</v>
      </c>
      <c r="C3397" s="56" t="b">
        <v>0</v>
      </c>
      <c r="D3397" s="56" t="b">
        <v>0</v>
      </c>
      <c r="E3397" s="56">
        <f ca="1">IF(PV[[#This Row],[Business Date]]=Control!$C$6, PV[[#This Row],[Notional Value Local Cur]], -PV[[#This Row],[Notional Value Local Cur]])</f>
        <v>0</v>
      </c>
    </row>
    <row r="3398" spans="1:5" x14ac:dyDescent="0.25">
      <c r="A3398" s="36" t="b">
        <v>0</v>
      </c>
      <c r="B3398" s="56" t="b">
        <v>0</v>
      </c>
      <c r="C3398" s="56" t="b">
        <v>0</v>
      </c>
      <c r="D3398" s="56" t="b">
        <v>0</v>
      </c>
      <c r="E3398" s="56">
        <f ca="1">IF(PV[[#This Row],[Business Date]]=Control!$C$6, PV[[#This Row],[Notional Value Local Cur]], -PV[[#This Row],[Notional Value Local Cur]])</f>
        <v>0</v>
      </c>
    </row>
    <row r="3399" spans="1:5" x14ac:dyDescent="0.25">
      <c r="A3399" s="36" t="b">
        <v>0</v>
      </c>
      <c r="B3399" s="56" t="b">
        <v>0</v>
      </c>
      <c r="C3399" s="56" t="b">
        <v>0</v>
      </c>
      <c r="D3399" s="56" t="b">
        <v>0</v>
      </c>
      <c r="E3399" s="56">
        <f ca="1">IF(PV[[#This Row],[Business Date]]=Control!$C$6, PV[[#This Row],[Notional Value Local Cur]], -PV[[#This Row],[Notional Value Local Cur]])</f>
        <v>0</v>
      </c>
    </row>
    <row r="3400" spans="1:5" x14ac:dyDescent="0.25">
      <c r="A3400" s="36" t="b">
        <v>0</v>
      </c>
      <c r="B3400" s="56" t="b">
        <v>0</v>
      </c>
      <c r="C3400" s="56" t="b">
        <v>0</v>
      </c>
      <c r="D3400" s="56" t="b">
        <v>0</v>
      </c>
      <c r="E3400" s="56">
        <f ca="1">IF(PV[[#This Row],[Business Date]]=Control!$C$6, PV[[#This Row],[Notional Value Local Cur]], -PV[[#This Row],[Notional Value Local Cur]])</f>
        <v>0</v>
      </c>
    </row>
    <row r="3401" spans="1:5" x14ac:dyDescent="0.25">
      <c r="A3401" s="36" t="b">
        <v>0</v>
      </c>
      <c r="B3401" s="56" t="b">
        <v>0</v>
      </c>
      <c r="C3401" s="56" t="b">
        <v>0</v>
      </c>
      <c r="D3401" s="56" t="b">
        <v>0</v>
      </c>
      <c r="E3401" s="56">
        <f ca="1">IF(PV[[#This Row],[Business Date]]=Control!$C$6, PV[[#This Row],[Notional Value Local Cur]], -PV[[#This Row],[Notional Value Local Cur]])</f>
        <v>0</v>
      </c>
    </row>
    <row r="3402" spans="1:5" x14ac:dyDescent="0.25">
      <c r="A3402" s="36" t="b">
        <v>0</v>
      </c>
      <c r="B3402" s="56" t="b">
        <v>0</v>
      </c>
      <c r="C3402" s="56" t="b">
        <v>0</v>
      </c>
      <c r="D3402" s="56" t="b">
        <v>0</v>
      </c>
      <c r="E3402" s="56">
        <f ca="1">IF(PV[[#This Row],[Business Date]]=Control!$C$6, PV[[#This Row],[Notional Value Local Cur]], -PV[[#This Row],[Notional Value Local Cur]])</f>
        <v>0</v>
      </c>
    </row>
    <row r="3403" spans="1:5" x14ac:dyDescent="0.25">
      <c r="A3403" s="36" t="b">
        <v>0</v>
      </c>
      <c r="B3403" s="56" t="b">
        <v>0</v>
      </c>
      <c r="C3403" s="56" t="b">
        <v>0</v>
      </c>
      <c r="D3403" s="56" t="b">
        <v>0</v>
      </c>
      <c r="E3403" s="56">
        <f ca="1">IF(PV[[#This Row],[Business Date]]=Control!$C$6, PV[[#This Row],[Notional Value Local Cur]], -PV[[#This Row],[Notional Value Local Cur]])</f>
        <v>0</v>
      </c>
    </row>
    <row r="3404" spans="1:5" x14ac:dyDescent="0.25">
      <c r="A3404" s="36" t="b">
        <v>0</v>
      </c>
      <c r="B3404" s="56" t="b">
        <v>0</v>
      </c>
      <c r="C3404" s="56" t="b">
        <v>0</v>
      </c>
      <c r="D3404" s="56" t="b">
        <v>0</v>
      </c>
      <c r="E3404" s="56">
        <f ca="1">IF(PV[[#This Row],[Business Date]]=Control!$C$6, PV[[#This Row],[Notional Value Local Cur]], -PV[[#This Row],[Notional Value Local Cur]])</f>
        <v>0</v>
      </c>
    </row>
    <row r="3405" spans="1:5" x14ac:dyDescent="0.25">
      <c r="A3405" s="36" t="b">
        <v>0</v>
      </c>
      <c r="B3405" s="56" t="b">
        <v>0</v>
      </c>
      <c r="C3405" s="56" t="b">
        <v>0</v>
      </c>
      <c r="D3405" s="56" t="b">
        <v>0</v>
      </c>
      <c r="E3405" s="56">
        <f ca="1">IF(PV[[#This Row],[Business Date]]=Control!$C$6, PV[[#This Row],[Notional Value Local Cur]], -PV[[#This Row],[Notional Value Local Cur]])</f>
        <v>0</v>
      </c>
    </row>
    <row r="3406" spans="1:5" x14ac:dyDescent="0.25">
      <c r="A3406" s="36" t="b">
        <v>0</v>
      </c>
      <c r="B3406" s="56" t="b">
        <v>0</v>
      </c>
      <c r="C3406" s="56" t="b">
        <v>0</v>
      </c>
      <c r="D3406" s="56" t="b">
        <v>0</v>
      </c>
      <c r="E3406" s="56">
        <f ca="1">IF(PV[[#This Row],[Business Date]]=Control!$C$6, PV[[#This Row],[Notional Value Local Cur]], -PV[[#This Row],[Notional Value Local Cur]])</f>
        <v>0</v>
      </c>
    </row>
    <row r="3407" spans="1:5" x14ac:dyDescent="0.25">
      <c r="A3407" s="36" t="b">
        <v>0</v>
      </c>
      <c r="B3407" s="56" t="b">
        <v>0</v>
      </c>
      <c r="C3407" s="56" t="b">
        <v>0</v>
      </c>
      <c r="D3407" s="56" t="b">
        <v>0</v>
      </c>
      <c r="E3407" s="56">
        <f ca="1">IF(PV[[#This Row],[Business Date]]=Control!$C$6, PV[[#This Row],[Notional Value Local Cur]], -PV[[#This Row],[Notional Value Local Cur]])</f>
        <v>0</v>
      </c>
    </row>
    <row r="3408" spans="1:5" x14ac:dyDescent="0.25">
      <c r="A3408" s="36" t="b">
        <v>0</v>
      </c>
      <c r="B3408" s="56" t="b">
        <v>0</v>
      </c>
      <c r="C3408" s="56" t="b">
        <v>0</v>
      </c>
      <c r="D3408" s="56" t="b">
        <v>0</v>
      </c>
      <c r="E3408" s="56">
        <f ca="1">IF(PV[[#This Row],[Business Date]]=Control!$C$6, PV[[#This Row],[Notional Value Local Cur]], -PV[[#This Row],[Notional Value Local Cur]])</f>
        <v>0</v>
      </c>
    </row>
    <row r="3409" spans="1:5" x14ac:dyDescent="0.25">
      <c r="A3409" s="36" t="b">
        <v>0</v>
      </c>
      <c r="B3409" s="56" t="b">
        <v>0</v>
      </c>
      <c r="C3409" s="56" t="b">
        <v>0</v>
      </c>
      <c r="D3409" s="56" t="b">
        <v>0</v>
      </c>
      <c r="E3409" s="56">
        <f ca="1">IF(PV[[#This Row],[Business Date]]=Control!$C$6, PV[[#This Row],[Notional Value Local Cur]], -PV[[#This Row],[Notional Value Local Cur]])</f>
        <v>0</v>
      </c>
    </row>
    <row r="3410" spans="1:5" x14ac:dyDescent="0.25">
      <c r="A3410" s="36" t="b">
        <v>0</v>
      </c>
      <c r="B3410" s="56" t="b">
        <v>0</v>
      </c>
      <c r="C3410" s="56" t="b">
        <v>0</v>
      </c>
      <c r="D3410" s="56" t="b">
        <v>0</v>
      </c>
      <c r="E3410" s="56">
        <f ca="1">IF(PV[[#This Row],[Business Date]]=Control!$C$6, PV[[#This Row],[Notional Value Local Cur]], -PV[[#This Row],[Notional Value Local Cur]])</f>
        <v>0</v>
      </c>
    </row>
    <row r="3411" spans="1:5" x14ac:dyDescent="0.25">
      <c r="A3411" s="36" t="b">
        <v>0</v>
      </c>
      <c r="B3411" s="56" t="b">
        <v>0</v>
      </c>
      <c r="C3411" s="56" t="b">
        <v>0</v>
      </c>
      <c r="D3411" s="56" t="b">
        <v>0</v>
      </c>
      <c r="E3411" s="56">
        <f ca="1">IF(PV[[#This Row],[Business Date]]=Control!$C$6, PV[[#This Row],[Notional Value Local Cur]], -PV[[#This Row],[Notional Value Local Cur]])</f>
        <v>0</v>
      </c>
    </row>
    <row r="3412" spans="1:5" x14ac:dyDescent="0.25">
      <c r="A3412" s="36" t="b">
        <v>0</v>
      </c>
      <c r="B3412" s="56" t="b">
        <v>0</v>
      </c>
      <c r="C3412" s="56" t="b">
        <v>0</v>
      </c>
      <c r="D3412" s="56" t="b">
        <v>0</v>
      </c>
      <c r="E3412" s="56">
        <f ca="1">IF(PV[[#This Row],[Business Date]]=Control!$C$6, PV[[#This Row],[Notional Value Local Cur]], -PV[[#This Row],[Notional Value Local Cur]])</f>
        <v>0</v>
      </c>
    </row>
    <row r="3413" spans="1:5" x14ac:dyDescent="0.25">
      <c r="A3413" s="36" t="b">
        <v>0</v>
      </c>
      <c r="B3413" s="56" t="b">
        <v>0</v>
      </c>
      <c r="C3413" s="56" t="b">
        <v>0</v>
      </c>
      <c r="D3413" s="56" t="b">
        <v>0</v>
      </c>
      <c r="E3413" s="56">
        <f ca="1">IF(PV[[#This Row],[Business Date]]=Control!$C$6, PV[[#This Row],[Notional Value Local Cur]], -PV[[#This Row],[Notional Value Local Cur]])</f>
        <v>0</v>
      </c>
    </row>
    <row r="3414" spans="1:5" x14ac:dyDescent="0.25">
      <c r="A3414" s="36" t="b">
        <v>0</v>
      </c>
      <c r="B3414" s="56" t="b">
        <v>0</v>
      </c>
      <c r="C3414" s="56" t="b">
        <v>0</v>
      </c>
      <c r="D3414" s="56" t="b">
        <v>0</v>
      </c>
      <c r="E3414" s="56">
        <f ca="1">IF(PV[[#This Row],[Business Date]]=Control!$C$6, PV[[#This Row],[Notional Value Local Cur]], -PV[[#This Row],[Notional Value Local Cur]])</f>
        <v>0</v>
      </c>
    </row>
    <row r="3415" spans="1:5" x14ac:dyDescent="0.25">
      <c r="A3415" s="36" t="b">
        <v>0</v>
      </c>
      <c r="B3415" s="56" t="b">
        <v>0</v>
      </c>
      <c r="C3415" s="56" t="b">
        <v>0</v>
      </c>
      <c r="D3415" s="56" t="b">
        <v>0</v>
      </c>
      <c r="E3415" s="56">
        <f ca="1">IF(PV[[#This Row],[Business Date]]=Control!$C$6, PV[[#This Row],[Notional Value Local Cur]], -PV[[#This Row],[Notional Value Local Cur]])</f>
        <v>0</v>
      </c>
    </row>
    <row r="3416" spans="1:5" x14ac:dyDescent="0.25">
      <c r="A3416" s="36" t="b">
        <v>0</v>
      </c>
      <c r="B3416" s="56" t="b">
        <v>0</v>
      </c>
      <c r="C3416" s="56" t="b">
        <v>0</v>
      </c>
      <c r="D3416" s="56" t="b">
        <v>0</v>
      </c>
      <c r="E3416" s="56">
        <f ca="1">IF(PV[[#This Row],[Business Date]]=Control!$C$6, PV[[#This Row],[Notional Value Local Cur]], -PV[[#This Row],[Notional Value Local Cur]])</f>
        <v>0</v>
      </c>
    </row>
    <row r="3417" spans="1:5" x14ac:dyDescent="0.25">
      <c r="A3417" s="36" t="b">
        <v>0</v>
      </c>
      <c r="B3417" s="56" t="b">
        <v>0</v>
      </c>
      <c r="C3417" s="56" t="b">
        <v>0</v>
      </c>
      <c r="D3417" s="56" t="b">
        <v>0</v>
      </c>
      <c r="E3417" s="56">
        <f ca="1">IF(PV[[#This Row],[Business Date]]=Control!$C$6, PV[[#This Row],[Notional Value Local Cur]], -PV[[#This Row],[Notional Value Local Cur]])</f>
        <v>0</v>
      </c>
    </row>
    <row r="3418" spans="1:5" x14ac:dyDescent="0.25">
      <c r="A3418" s="36" t="b">
        <v>0</v>
      </c>
      <c r="B3418" s="56" t="b">
        <v>0</v>
      </c>
      <c r="C3418" s="56" t="b">
        <v>0</v>
      </c>
      <c r="D3418" s="56" t="b">
        <v>0</v>
      </c>
      <c r="E3418" s="56">
        <f ca="1">IF(PV[[#This Row],[Business Date]]=Control!$C$6, PV[[#This Row],[Notional Value Local Cur]], -PV[[#This Row],[Notional Value Local Cur]])</f>
        <v>0</v>
      </c>
    </row>
    <row r="3419" spans="1:5" x14ac:dyDescent="0.25">
      <c r="A3419" s="36" t="b">
        <v>0</v>
      </c>
      <c r="B3419" s="56" t="b">
        <v>0</v>
      </c>
      <c r="C3419" s="56" t="b">
        <v>0</v>
      </c>
      <c r="D3419" s="56" t="b">
        <v>0</v>
      </c>
      <c r="E3419" s="56">
        <f ca="1">IF(PV[[#This Row],[Business Date]]=Control!$C$6, PV[[#This Row],[Notional Value Local Cur]], -PV[[#This Row],[Notional Value Local Cur]])</f>
        <v>0</v>
      </c>
    </row>
    <row r="3420" spans="1:5" x14ac:dyDescent="0.25">
      <c r="A3420" s="36" t="b">
        <v>0</v>
      </c>
      <c r="B3420" s="56" t="b">
        <v>0</v>
      </c>
      <c r="C3420" s="56" t="b">
        <v>0</v>
      </c>
      <c r="D3420" s="56" t="b">
        <v>0</v>
      </c>
      <c r="E3420" s="56">
        <f ca="1">IF(PV[[#This Row],[Business Date]]=Control!$C$6, PV[[#This Row],[Notional Value Local Cur]], -PV[[#This Row],[Notional Value Local Cur]])</f>
        <v>0</v>
      </c>
    </row>
    <row r="3421" spans="1:5" x14ac:dyDescent="0.25">
      <c r="A3421" s="36" t="b">
        <v>0</v>
      </c>
      <c r="B3421" s="56" t="b">
        <v>0</v>
      </c>
      <c r="C3421" s="56" t="b">
        <v>0</v>
      </c>
      <c r="D3421" s="56" t="b">
        <v>0</v>
      </c>
      <c r="E3421" s="56">
        <f ca="1">IF(PV[[#This Row],[Business Date]]=Control!$C$6, PV[[#This Row],[Notional Value Local Cur]], -PV[[#This Row],[Notional Value Local Cur]])</f>
        <v>0</v>
      </c>
    </row>
    <row r="3422" spans="1:5" x14ac:dyDescent="0.25">
      <c r="A3422" s="36" t="b">
        <v>0</v>
      </c>
      <c r="B3422" s="56" t="b">
        <v>0</v>
      </c>
      <c r="C3422" s="56" t="b">
        <v>0</v>
      </c>
      <c r="D3422" s="56" t="b">
        <v>0</v>
      </c>
      <c r="E3422" s="56">
        <f ca="1">IF(PV[[#This Row],[Business Date]]=Control!$C$6, PV[[#This Row],[Notional Value Local Cur]], -PV[[#This Row],[Notional Value Local Cur]])</f>
        <v>0</v>
      </c>
    </row>
    <row r="3423" spans="1:5" x14ac:dyDescent="0.25">
      <c r="A3423" s="36" t="b">
        <v>0</v>
      </c>
      <c r="B3423" s="56" t="b">
        <v>0</v>
      </c>
      <c r="C3423" s="56" t="b">
        <v>0</v>
      </c>
      <c r="D3423" s="56" t="b">
        <v>0</v>
      </c>
      <c r="E3423" s="56">
        <f ca="1">IF(PV[[#This Row],[Business Date]]=Control!$C$6, PV[[#This Row],[Notional Value Local Cur]], -PV[[#This Row],[Notional Value Local Cur]])</f>
        <v>0</v>
      </c>
    </row>
    <row r="3424" spans="1:5" x14ac:dyDescent="0.25">
      <c r="A3424" s="36" t="b">
        <v>0</v>
      </c>
      <c r="B3424" s="56" t="b">
        <v>0</v>
      </c>
      <c r="C3424" s="56" t="b">
        <v>0</v>
      </c>
      <c r="D3424" s="56" t="b">
        <v>0</v>
      </c>
      <c r="E3424" s="56">
        <f ca="1">IF(PV[[#This Row],[Business Date]]=Control!$C$6, PV[[#This Row],[Notional Value Local Cur]], -PV[[#This Row],[Notional Value Local Cur]])</f>
        <v>0</v>
      </c>
    </row>
    <row r="3425" spans="1:5" x14ac:dyDescent="0.25">
      <c r="A3425" s="36" t="b">
        <v>0</v>
      </c>
      <c r="B3425" s="56" t="b">
        <v>0</v>
      </c>
      <c r="C3425" s="56" t="b">
        <v>0</v>
      </c>
      <c r="D3425" s="56" t="b">
        <v>0</v>
      </c>
      <c r="E3425" s="56">
        <f ca="1">IF(PV[[#This Row],[Business Date]]=Control!$C$6, PV[[#This Row],[Notional Value Local Cur]], -PV[[#This Row],[Notional Value Local Cur]])</f>
        <v>0</v>
      </c>
    </row>
    <row r="3426" spans="1:5" x14ac:dyDescent="0.25">
      <c r="A3426" s="36" t="b">
        <v>0</v>
      </c>
      <c r="B3426" s="56" t="b">
        <v>0</v>
      </c>
      <c r="C3426" s="56" t="b">
        <v>0</v>
      </c>
      <c r="D3426" s="56" t="b">
        <v>0</v>
      </c>
      <c r="E3426" s="56">
        <f ca="1">IF(PV[[#This Row],[Business Date]]=Control!$C$6, PV[[#This Row],[Notional Value Local Cur]], -PV[[#This Row],[Notional Value Local Cur]])</f>
        <v>0</v>
      </c>
    </row>
    <row r="3427" spans="1:5" x14ac:dyDescent="0.25">
      <c r="A3427" s="36" t="b">
        <v>0</v>
      </c>
      <c r="B3427" s="56" t="b">
        <v>0</v>
      </c>
      <c r="C3427" s="56" t="b">
        <v>0</v>
      </c>
      <c r="D3427" s="56" t="b">
        <v>0</v>
      </c>
      <c r="E3427" s="56">
        <f ca="1">IF(PV[[#This Row],[Business Date]]=Control!$C$6, PV[[#This Row],[Notional Value Local Cur]], -PV[[#This Row],[Notional Value Local Cur]])</f>
        <v>0</v>
      </c>
    </row>
    <row r="3428" spans="1:5" x14ac:dyDescent="0.25">
      <c r="A3428" s="36" t="b">
        <v>0</v>
      </c>
      <c r="B3428" s="56" t="b">
        <v>0</v>
      </c>
      <c r="C3428" s="56" t="b">
        <v>0</v>
      </c>
      <c r="D3428" s="56" t="b">
        <v>0</v>
      </c>
      <c r="E3428" s="56">
        <f ca="1">IF(PV[[#This Row],[Business Date]]=Control!$C$6, PV[[#This Row],[Notional Value Local Cur]], -PV[[#This Row],[Notional Value Local Cur]])</f>
        <v>0</v>
      </c>
    </row>
    <row r="3429" spans="1:5" x14ac:dyDescent="0.25">
      <c r="A3429" s="36" t="b">
        <v>0</v>
      </c>
      <c r="B3429" s="56" t="b">
        <v>0</v>
      </c>
      <c r="C3429" s="56" t="b">
        <v>0</v>
      </c>
      <c r="D3429" s="56" t="b">
        <v>0</v>
      </c>
      <c r="E3429" s="56">
        <f ca="1">IF(PV[[#This Row],[Business Date]]=Control!$C$6, PV[[#This Row],[Notional Value Local Cur]], -PV[[#This Row],[Notional Value Local Cur]])</f>
        <v>0</v>
      </c>
    </row>
    <row r="3430" spans="1:5" x14ac:dyDescent="0.25">
      <c r="A3430" s="36" t="b">
        <v>0</v>
      </c>
      <c r="B3430" s="56" t="b">
        <v>0</v>
      </c>
      <c r="C3430" s="56" t="b">
        <v>0</v>
      </c>
      <c r="D3430" s="56" t="b">
        <v>0</v>
      </c>
      <c r="E3430" s="56">
        <f ca="1">IF(PV[[#This Row],[Business Date]]=Control!$C$6, PV[[#This Row],[Notional Value Local Cur]], -PV[[#This Row],[Notional Value Local Cur]])</f>
        <v>0</v>
      </c>
    </row>
    <row r="3431" spans="1:5" x14ac:dyDescent="0.25">
      <c r="A3431" s="36" t="b">
        <v>0</v>
      </c>
      <c r="B3431" s="56" t="b">
        <v>0</v>
      </c>
      <c r="C3431" s="56" t="b">
        <v>0</v>
      </c>
      <c r="D3431" s="56" t="b">
        <v>0</v>
      </c>
      <c r="E3431" s="56">
        <f ca="1">IF(PV[[#This Row],[Business Date]]=Control!$C$6, PV[[#This Row],[Notional Value Local Cur]], -PV[[#This Row],[Notional Value Local Cur]])</f>
        <v>0</v>
      </c>
    </row>
    <row r="3432" spans="1:5" x14ac:dyDescent="0.25">
      <c r="A3432" s="36" t="b">
        <v>0</v>
      </c>
      <c r="B3432" s="56" t="b">
        <v>0</v>
      </c>
      <c r="C3432" s="56" t="b">
        <v>0</v>
      </c>
      <c r="D3432" s="56" t="b">
        <v>0</v>
      </c>
      <c r="E3432" s="56">
        <f ca="1">IF(PV[[#This Row],[Business Date]]=Control!$C$6, PV[[#This Row],[Notional Value Local Cur]], -PV[[#This Row],[Notional Value Local Cur]])</f>
        <v>0</v>
      </c>
    </row>
    <row r="3433" spans="1:5" x14ac:dyDescent="0.25">
      <c r="A3433" s="36" t="b">
        <v>0</v>
      </c>
      <c r="B3433" s="56" t="b">
        <v>0</v>
      </c>
      <c r="C3433" s="56" t="b">
        <v>0</v>
      </c>
      <c r="D3433" s="56" t="b">
        <v>0</v>
      </c>
      <c r="E3433" s="56">
        <f ca="1">IF(PV[[#This Row],[Business Date]]=Control!$C$6, PV[[#This Row],[Notional Value Local Cur]], -PV[[#This Row],[Notional Value Local Cur]])</f>
        <v>0</v>
      </c>
    </row>
    <row r="3434" spans="1:5" x14ac:dyDescent="0.25">
      <c r="A3434" s="36" t="b">
        <v>0</v>
      </c>
      <c r="B3434" s="56" t="b">
        <v>0</v>
      </c>
      <c r="C3434" s="56" t="b">
        <v>0</v>
      </c>
      <c r="D3434" s="56" t="b">
        <v>0</v>
      </c>
      <c r="E3434" s="56">
        <f ca="1">IF(PV[[#This Row],[Business Date]]=Control!$C$6, PV[[#This Row],[Notional Value Local Cur]], -PV[[#This Row],[Notional Value Local Cur]])</f>
        <v>0</v>
      </c>
    </row>
    <row r="3435" spans="1:5" x14ac:dyDescent="0.25">
      <c r="A3435" s="36" t="b">
        <v>0</v>
      </c>
      <c r="B3435" s="56" t="b">
        <v>0</v>
      </c>
      <c r="C3435" s="56" t="b">
        <v>0</v>
      </c>
      <c r="D3435" s="56" t="b">
        <v>0</v>
      </c>
      <c r="E3435" s="56">
        <f ca="1">IF(PV[[#This Row],[Business Date]]=Control!$C$6, PV[[#This Row],[Notional Value Local Cur]], -PV[[#This Row],[Notional Value Local Cur]])</f>
        <v>0</v>
      </c>
    </row>
    <row r="3436" spans="1:5" x14ac:dyDescent="0.25">
      <c r="A3436" s="36" t="b">
        <v>0</v>
      </c>
      <c r="B3436" s="56" t="b">
        <v>0</v>
      </c>
      <c r="C3436" s="56" t="b">
        <v>0</v>
      </c>
      <c r="D3436" s="56" t="b">
        <v>0</v>
      </c>
      <c r="E3436" s="56">
        <f ca="1">IF(PV[[#This Row],[Business Date]]=Control!$C$6, PV[[#This Row],[Notional Value Local Cur]], -PV[[#This Row],[Notional Value Local Cur]])</f>
        <v>0</v>
      </c>
    </row>
    <row r="3437" spans="1:5" x14ac:dyDescent="0.25">
      <c r="A3437" s="36" t="b">
        <v>0</v>
      </c>
      <c r="B3437" s="56" t="b">
        <v>0</v>
      </c>
      <c r="C3437" s="56" t="b">
        <v>0</v>
      </c>
      <c r="D3437" s="56" t="b">
        <v>0</v>
      </c>
      <c r="E3437" s="56">
        <f ca="1">IF(PV[[#This Row],[Business Date]]=Control!$C$6, PV[[#This Row],[Notional Value Local Cur]], -PV[[#This Row],[Notional Value Local Cur]])</f>
        <v>0</v>
      </c>
    </row>
    <row r="3438" spans="1:5" x14ac:dyDescent="0.25">
      <c r="A3438" s="36" t="b">
        <v>0</v>
      </c>
      <c r="B3438" s="56" t="b">
        <v>0</v>
      </c>
      <c r="C3438" s="56" t="b">
        <v>0</v>
      </c>
      <c r="D3438" s="56" t="b">
        <v>0</v>
      </c>
      <c r="E3438" s="56">
        <f ca="1">IF(PV[[#This Row],[Business Date]]=Control!$C$6, PV[[#This Row],[Notional Value Local Cur]], -PV[[#This Row],[Notional Value Local Cur]])</f>
        <v>0</v>
      </c>
    </row>
    <row r="3439" spans="1:5" x14ac:dyDescent="0.25">
      <c r="A3439" s="36" t="b">
        <v>0</v>
      </c>
      <c r="B3439" s="56" t="b">
        <v>0</v>
      </c>
      <c r="C3439" s="56" t="b">
        <v>0</v>
      </c>
      <c r="D3439" s="56" t="b">
        <v>0</v>
      </c>
      <c r="E3439" s="56">
        <f ca="1">IF(PV[[#This Row],[Business Date]]=Control!$C$6, PV[[#This Row],[Notional Value Local Cur]], -PV[[#This Row],[Notional Value Local Cur]])</f>
        <v>0</v>
      </c>
    </row>
    <row r="3440" spans="1:5" x14ac:dyDescent="0.25">
      <c r="A3440" s="36" t="b">
        <v>0</v>
      </c>
      <c r="B3440" s="56" t="b">
        <v>0</v>
      </c>
      <c r="C3440" s="56" t="b">
        <v>0</v>
      </c>
      <c r="D3440" s="56" t="b">
        <v>0</v>
      </c>
      <c r="E3440" s="56">
        <f ca="1">IF(PV[[#This Row],[Business Date]]=Control!$C$6, PV[[#This Row],[Notional Value Local Cur]], -PV[[#This Row],[Notional Value Local Cur]])</f>
        <v>0</v>
      </c>
    </row>
    <row r="3441" spans="1:5" x14ac:dyDescent="0.25">
      <c r="A3441" s="36" t="b">
        <v>0</v>
      </c>
      <c r="B3441" s="56" t="b">
        <v>0</v>
      </c>
      <c r="C3441" s="56" t="b">
        <v>0</v>
      </c>
      <c r="D3441" s="56" t="b">
        <v>0</v>
      </c>
      <c r="E3441" s="56">
        <f ca="1">IF(PV[[#This Row],[Business Date]]=Control!$C$6, PV[[#This Row],[Notional Value Local Cur]], -PV[[#This Row],[Notional Value Local Cur]])</f>
        <v>0</v>
      </c>
    </row>
    <row r="3442" spans="1:5" x14ac:dyDescent="0.25">
      <c r="A3442" s="36" t="b">
        <v>0</v>
      </c>
      <c r="B3442" s="56" t="b">
        <v>0</v>
      </c>
      <c r="C3442" s="56" t="b">
        <v>0</v>
      </c>
      <c r="D3442" s="56" t="b">
        <v>0</v>
      </c>
      <c r="E3442" s="56">
        <f ca="1">IF(PV[[#This Row],[Business Date]]=Control!$C$6, PV[[#This Row],[Notional Value Local Cur]], -PV[[#This Row],[Notional Value Local Cur]])</f>
        <v>0</v>
      </c>
    </row>
    <row r="3443" spans="1:5" x14ac:dyDescent="0.25">
      <c r="A3443" s="36" t="b">
        <v>0</v>
      </c>
      <c r="B3443" s="56" t="b">
        <v>0</v>
      </c>
      <c r="C3443" s="56" t="b">
        <v>0</v>
      </c>
      <c r="D3443" s="56" t="b">
        <v>0</v>
      </c>
      <c r="E3443" s="56">
        <f ca="1">IF(PV[[#This Row],[Business Date]]=Control!$C$6, PV[[#This Row],[Notional Value Local Cur]], -PV[[#This Row],[Notional Value Local Cur]])</f>
        <v>0</v>
      </c>
    </row>
    <row r="3444" spans="1:5" x14ac:dyDescent="0.25">
      <c r="A3444" s="36" t="b">
        <v>0</v>
      </c>
      <c r="B3444" s="56" t="b">
        <v>0</v>
      </c>
      <c r="C3444" s="56" t="b">
        <v>0</v>
      </c>
      <c r="D3444" s="56" t="b">
        <v>0</v>
      </c>
      <c r="E3444" s="56">
        <f ca="1">IF(PV[[#This Row],[Business Date]]=Control!$C$6, PV[[#This Row],[Notional Value Local Cur]], -PV[[#This Row],[Notional Value Local Cur]])</f>
        <v>0</v>
      </c>
    </row>
    <row r="3445" spans="1:5" x14ac:dyDescent="0.25">
      <c r="A3445" s="36" t="b">
        <v>0</v>
      </c>
      <c r="B3445" s="56" t="b">
        <v>0</v>
      </c>
      <c r="C3445" s="56" t="b">
        <v>0</v>
      </c>
      <c r="D3445" s="56" t="b">
        <v>0</v>
      </c>
      <c r="E3445" s="56">
        <f ca="1">IF(PV[[#This Row],[Business Date]]=Control!$C$6, PV[[#This Row],[Notional Value Local Cur]], -PV[[#This Row],[Notional Value Local Cur]])</f>
        <v>0</v>
      </c>
    </row>
    <row r="3446" spans="1:5" x14ac:dyDescent="0.25">
      <c r="A3446" s="36" t="b">
        <v>0</v>
      </c>
      <c r="B3446" s="56" t="b">
        <v>0</v>
      </c>
      <c r="C3446" s="56" t="b">
        <v>0</v>
      </c>
      <c r="D3446" s="56" t="b">
        <v>0</v>
      </c>
      <c r="E3446" s="56">
        <f ca="1">IF(PV[[#This Row],[Business Date]]=Control!$C$6, PV[[#This Row],[Notional Value Local Cur]], -PV[[#This Row],[Notional Value Local Cur]])</f>
        <v>0</v>
      </c>
    </row>
    <row r="3447" spans="1:5" x14ac:dyDescent="0.25">
      <c r="A3447" s="36" t="b">
        <v>0</v>
      </c>
      <c r="B3447" s="56" t="b">
        <v>0</v>
      </c>
      <c r="C3447" s="56" t="b">
        <v>0</v>
      </c>
      <c r="D3447" s="56" t="b">
        <v>0</v>
      </c>
      <c r="E3447" s="56">
        <f ca="1">IF(PV[[#This Row],[Business Date]]=Control!$C$6, PV[[#This Row],[Notional Value Local Cur]], -PV[[#This Row],[Notional Value Local Cur]])</f>
        <v>0</v>
      </c>
    </row>
    <row r="3448" spans="1:5" x14ac:dyDescent="0.25">
      <c r="A3448" s="36" t="b">
        <v>0</v>
      </c>
      <c r="B3448" s="56" t="b">
        <v>0</v>
      </c>
      <c r="C3448" s="56" t="b">
        <v>0</v>
      </c>
      <c r="D3448" s="56" t="b">
        <v>0</v>
      </c>
      <c r="E3448" s="56">
        <f ca="1">IF(PV[[#This Row],[Business Date]]=Control!$C$6, PV[[#This Row],[Notional Value Local Cur]], -PV[[#This Row],[Notional Value Local Cur]])</f>
        <v>0</v>
      </c>
    </row>
    <row r="3449" spans="1:5" x14ac:dyDescent="0.25">
      <c r="A3449" s="36" t="b">
        <v>0</v>
      </c>
      <c r="B3449" s="56" t="b">
        <v>0</v>
      </c>
      <c r="C3449" s="56" t="b">
        <v>0</v>
      </c>
      <c r="D3449" s="56" t="b">
        <v>0</v>
      </c>
      <c r="E3449" s="56">
        <f ca="1">IF(PV[[#This Row],[Business Date]]=Control!$C$6, PV[[#This Row],[Notional Value Local Cur]], -PV[[#This Row],[Notional Value Local Cur]])</f>
        <v>0</v>
      </c>
    </row>
    <row r="3450" spans="1:5" x14ac:dyDescent="0.25">
      <c r="A3450" s="36" t="b">
        <v>0</v>
      </c>
      <c r="B3450" s="56" t="b">
        <v>0</v>
      </c>
      <c r="C3450" s="56" t="b">
        <v>0</v>
      </c>
      <c r="D3450" s="56" t="b">
        <v>0</v>
      </c>
      <c r="E3450" s="56">
        <f ca="1">IF(PV[[#This Row],[Business Date]]=Control!$C$6, PV[[#This Row],[Notional Value Local Cur]], -PV[[#This Row],[Notional Value Local Cur]])</f>
        <v>0</v>
      </c>
    </row>
    <row r="3451" spans="1:5" x14ac:dyDescent="0.25">
      <c r="A3451" s="36" t="b">
        <v>0</v>
      </c>
      <c r="B3451" s="56" t="b">
        <v>0</v>
      </c>
      <c r="C3451" s="56" t="b">
        <v>0</v>
      </c>
      <c r="D3451" s="56" t="b">
        <v>0</v>
      </c>
      <c r="E3451" s="56">
        <f ca="1">IF(PV[[#This Row],[Business Date]]=Control!$C$6, PV[[#This Row],[Notional Value Local Cur]], -PV[[#This Row],[Notional Value Local Cur]])</f>
        <v>0</v>
      </c>
    </row>
    <row r="3452" spans="1:5" x14ac:dyDescent="0.25">
      <c r="A3452" s="36" t="b">
        <v>0</v>
      </c>
      <c r="B3452" s="56" t="b">
        <v>0</v>
      </c>
      <c r="C3452" s="56" t="b">
        <v>0</v>
      </c>
      <c r="D3452" s="56" t="b">
        <v>0</v>
      </c>
      <c r="E3452" s="56">
        <f ca="1">IF(PV[[#This Row],[Business Date]]=Control!$C$6, PV[[#This Row],[Notional Value Local Cur]], -PV[[#This Row],[Notional Value Local Cur]])</f>
        <v>0</v>
      </c>
    </row>
    <row r="3453" spans="1:5" x14ac:dyDescent="0.25">
      <c r="A3453" s="36" t="b">
        <v>0</v>
      </c>
      <c r="B3453" s="56" t="b">
        <v>0</v>
      </c>
      <c r="C3453" s="56" t="b">
        <v>0</v>
      </c>
      <c r="D3453" s="56" t="b">
        <v>0</v>
      </c>
      <c r="E3453" s="56">
        <f ca="1">IF(PV[[#This Row],[Business Date]]=Control!$C$6, PV[[#This Row],[Notional Value Local Cur]], -PV[[#This Row],[Notional Value Local Cur]])</f>
        <v>0</v>
      </c>
    </row>
    <row r="3454" spans="1:5" x14ac:dyDescent="0.25">
      <c r="A3454" s="36" t="b">
        <v>0</v>
      </c>
      <c r="B3454" s="56" t="b">
        <v>0</v>
      </c>
      <c r="C3454" s="56" t="b">
        <v>0</v>
      </c>
      <c r="D3454" s="56" t="b">
        <v>0</v>
      </c>
      <c r="E3454" s="56">
        <f ca="1">IF(PV[[#This Row],[Business Date]]=Control!$C$6, PV[[#This Row],[Notional Value Local Cur]], -PV[[#This Row],[Notional Value Local Cur]])</f>
        <v>0</v>
      </c>
    </row>
    <row r="3455" spans="1:5" x14ac:dyDescent="0.25">
      <c r="A3455" s="36" t="b">
        <v>0</v>
      </c>
      <c r="B3455" s="56" t="b">
        <v>0</v>
      </c>
      <c r="C3455" s="56" t="b">
        <v>0</v>
      </c>
      <c r="D3455" s="56" t="b">
        <v>0</v>
      </c>
      <c r="E3455" s="56">
        <f ca="1">IF(PV[[#This Row],[Business Date]]=Control!$C$6, PV[[#This Row],[Notional Value Local Cur]], -PV[[#This Row],[Notional Value Local Cur]])</f>
        <v>0</v>
      </c>
    </row>
    <row r="3456" spans="1:5" x14ac:dyDescent="0.25">
      <c r="A3456" s="36" t="b">
        <v>0</v>
      </c>
      <c r="B3456" s="56" t="b">
        <v>0</v>
      </c>
      <c r="C3456" s="56" t="b">
        <v>0</v>
      </c>
      <c r="D3456" s="56" t="b">
        <v>0</v>
      </c>
      <c r="E3456" s="56">
        <f ca="1">IF(PV[[#This Row],[Business Date]]=Control!$C$6, PV[[#This Row],[Notional Value Local Cur]], -PV[[#This Row],[Notional Value Local Cur]])</f>
        <v>0</v>
      </c>
    </row>
    <row r="3457" spans="1:5" x14ac:dyDescent="0.25">
      <c r="A3457" s="36" t="b">
        <v>0</v>
      </c>
      <c r="B3457" s="56" t="b">
        <v>0</v>
      </c>
      <c r="C3457" s="56" t="b">
        <v>0</v>
      </c>
      <c r="D3457" s="56" t="b">
        <v>0</v>
      </c>
      <c r="E3457" s="56">
        <f ca="1">IF(PV[[#This Row],[Business Date]]=Control!$C$6, PV[[#This Row],[Notional Value Local Cur]], -PV[[#This Row],[Notional Value Local Cur]])</f>
        <v>0</v>
      </c>
    </row>
    <row r="3458" spans="1:5" x14ac:dyDescent="0.25">
      <c r="A3458" s="36" t="b">
        <v>0</v>
      </c>
      <c r="B3458" s="56" t="b">
        <v>0</v>
      </c>
      <c r="C3458" s="56" t="b">
        <v>0</v>
      </c>
      <c r="D3458" s="56" t="b">
        <v>0</v>
      </c>
      <c r="E3458" s="56">
        <f ca="1">IF(PV[[#This Row],[Business Date]]=Control!$C$6, PV[[#This Row],[Notional Value Local Cur]], -PV[[#This Row],[Notional Value Local Cur]])</f>
        <v>0</v>
      </c>
    </row>
    <row r="3459" spans="1:5" x14ac:dyDescent="0.25">
      <c r="A3459" s="36" t="b">
        <v>0</v>
      </c>
      <c r="B3459" s="56" t="b">
        <v>0</v>
      </c>
      <c r="C3459" s="56" t="b">
        <v>0</v>
      </c>
      <c r="D3459" s="56" t="b">
        <v>0</v>
      </c>
      <c r="E3459" s="56">
        <f ca="1">IF(PV[[#This Row],[Business Date]]=Control!$C$6, PV[[#This Row],[Notional Value Local Cur]], -PV[[#This Row],[Notional Value Local Cur]])</f>
        <v>0</v>
      </c>
    </row>
    <row r="3460" spans="1:5" x14ac:dyDescent="0.25">
      <c r="A3460" s="36" t="b">
        <v>0</v>
      </c>
      <c r="B3460" s="56" t="b">
        <v>0</v>
      </c>
      <c r="C3460" s="56" t="b">
        <v>0</v>
      </c>
      <c r="D3460" s="56" t="b">
        <v>0</v>
      </c>
      <c r="E3460" s="56">
        <f ca="1">IF(PV[[#This Row],[Business Date]]=Control!$C$6, PV[[#This Row],[Notional Value Local Cur]], -PV[[#This Row],[Notional Value Local Cur]])</f>
        <v>0</v>
      </c>
    </row>
    <row r="3461" spans="1:5" x14ac:dyDescent="0.25">
      <c r="A3461" s="36" t="b">
        <v>0</v>
      </c>
      <c r="B3461" s="56" t="b">
        <v>0</v>
      </c>
      <c r="C3461" s="56" t="b">
        <v>0</v>
      </c>
      <c r="D3461" s="56" t="b">
        <v>0</v>
      </c>
      <c r="E3461" s="56">
        <f ca="1">IF(PV[[#This Row],[Business Date]]=Control!$C$6, PV[[#This Row],[Notional Value Local Cur]], -PV[[#This Row],[Notional Value Local Cur]])</f>
        <v>0</v>
      </c>
    </row>
    <row r="3462" spans="1:5" x14ac:dyDescent="0.25">
      <c r="A3462" s="36" t="b">
        <v>0</v>
      </c>
      <c r="B3462" s="56" t="b">
        <v>0</v>
      </c>
      <c r="C3462" s="56" t="b">
        <v>0</v>
      </c>
      <c r="D3462" s="56" t="b">
        <v>0</v>
      </c>
      <c r="E3462" s="56">
        <f ca="1">IF(PV[[#This Row],[Business Date]]=Control!$C$6, PV[[#This Row],[Notional Value Local Cur]], -PV[[#This Row],[Notional Value Local Cur]])</f>
        <v>0</v>
      </c>
    </row>
    <row r="3463" spans="1:5" x14ac:dyDescent="0.25">
      <c r="A3463" s="36" t="b">
        <v>0</v>
      </c>
      <c r="B3463" s="56" t="b">
        <v>0</v>
      </c>
      <c r="C3463" s="56" t="b">
        <v>0</v>
      </c>
      <c r="D3463" s="56" t="b">
        <v>0</v>
      </c>
      <c r="E3463" s="56">
        <f ca="1">IF(PV[[#This Row],[Business Date]]=Control!$C$6, PV[[#This Row],[Notional Value Local Cur]], -PV[[#This Row],[Notional Value Local Cur]])</f>
        <v>0</v>
      </c>
    </row>
    <row r="3464" spans="1:5" x14ac:dyDescent="0.25">
      <c r="A3464" s="36" t="b">
        <v>0</v>
      </c>
      <c r="B3464" s="56" t="b">
        <v>0</v>
      </c>
      <c r="C3464" s="56" t="b">
        <v>0</v>
      </c>
      <c r="D3464" s="56" t="b">
        <v>0</v>
      </c>
      <c r="E3464" s="56">
        <f ca="1">IF(PV[[#This Row],[Business Date]]=Control!$C$6, PV[[#This Row],[Notional Value Local Cur]], -PV[[#This Row],[Notional Value Local Cur]])</f>
        <v>0</v>
      </c>
    </row>
    <row r="3465" spans="1:5" x14ac:dyDescent="0.25">
      <c r="A3465" s="36" t="b">
        <v>0</v>
      </c>
      <c r="B3465" s="56" t="b">
        <v>0</v>
      </c>
      <c r="C3465" s="56" t="b">
        <v>0</v>
      </c>
      <c r="D3465" s="56" t="b">
        <v>0</v>
      </c>
      <c r="E3465" s="56">
        <f ca="1">IF(PV[[#This Row],[Business Date]]=Control!$C$6, PV[[#This Row],[Notional Value Local Cur]], -PV[[#This Row],[Notional Value Local Cur]])</f>
        <v>0</v>
      </c>
    </row>
    <row r="3466" spans="1:5" x14ac:dyDescent="0.25">
      <c r="A3466" s="36" t="b">
        <v>0</v>
      </c>
      <c r="B3466" s="56" t="b">
        <v>0</v>
      </c>
      <c r="C3466" s="56" t="b">
        <v>0</v>
      </c>
      <c r="D3466" s="56" t="b">
        <v>0</v>
      </c>
      <c r="E3466" s="56">
        <f ca="1">IF(PV[[#This Row],[Business Date]]=Control!$C$6, PV[[#This Row],[Notional Value Local Cur]], -PV[[#This Row],[Notional Value Local Cur]])</f>
        <v>0</v>
      </c>
    </row>
    <row r="3467" spans="1:5" x14ac:dyDescent="0.25">
      <c r="A3467" s="36" t="b">
        <v>0</v>
      </c>
      <c r="B3467" s="56" t="b">
        <v>0</v>
      </c>
      <c r="C3467" s="56" t="b">
        <v>0</v>
      </c>
      <c r="D3467" s="56" t="b">
        <v>0</v>
      </c>
      <c r="E3467" s="56">
        <f ca="1">IF(PV[[#This Row],[Business Date]]=Control!$C$6, PV[[#This Row],[Notional Value Local Cur]], -PV[[#This Row],[Notional Value Local Cur]])</f>
        <v>0</v>
      </c>
    </row>
    <row r="3468" spans="1:5" x14ac:dyDescent="0.25">
      <c r="A3468" s="36" t="b">
        <v>0</v>
      </c>
      <c r="B3468" s="56" t="b">
        <v>0</v>
      </c>
      <c r="C3468" s="56" t="b">
        <v>0</v>
      </c>
      <c r="D3468" s="56" t="b">
        <v>0</v>
      </c>
      <c r="E3468" s="56">
        <f ca="1">IF(PV[[#This Row],[Business Date]]=Control!$C$6, PV[[#This Row],[Notional Value Local Cur]], -PV[[#This Row],[Notional Value Local Cur]])</f>
        <v>0</v>
      </c>
    </row>
    <row r="3469" spans="1:5" x14ac:dyDescent="0.25">
      <c r="A3469" s="36" t="b">
        <v>0</v>
      </c>
      <c r="B3469" s="56" t="b">
        <v>0</v>
      </c>
      <c r="C3469" s="56" t="b">
        <v>0</v>
      </c>
      <c r="D3469" s="56" t="b">
        <v>0</v>
      </c>
      <c r="E3469" s="56">
        <f ca="1">IF(PV[[#This Row],[Business Date]]=Control!$C$6, PV[[#This Row],[Notional Value Local Cur]], -PV[[#This Row],[Notional Value Local Cur]])</f>
        <v>0</v>
      </c>
    </row>
    <row r="3470" spans="1:5" x14ac:dyDescent="0.25">
      <c r="A3470" s="36" t="b">
        <v>0</v>
      </c>
      <c r="B3470" s="56" t="b">
        <v>0</v>
      </c>
      <c r="C3470" s="56" t="b">
        <v>0</v>
      </c>
      <c r="D3470" s="56" t="b">
        <v>0</v>
      </c>
      <c r="E3470" s="56">
        <f ca="1">IF(PV[[#This Row],[Business Date]]=Control!$C$6, PV[[#This Row],[Notional Value Local Cur]], -PV[[#This Row],[Notional Value Local Cur]])</f>
        <v>0</v>
      </c>
    </row>
    <row r="3471" spans="1:5" x14ac:dyDescent="0.25">
      <c r="A3471" s="36" t="b">
        <v>0</v>
      </c>
      <c r="B3471" s="56" t="b">
        <v>0</v>
      </c>
      <c r="C3471" s="56" t="b">
        <v>0</v>
      </c>
      <c r="D3471" s="56" t="b">
        <v>0</v>
      </c>
      <c r="E3471" s="56">
        <f ca="1">IF(PV[[#This Row],[Business Date]]=Control!$C$6, PV[[#This Row],[Notional Value Local Cur]], -PV[[#This Row],[Notional Value Local Cur]])</f>
        <v>0</v>
      </c>
    </row>
    <row r="3472" spans="1:5" x14ac:dyDescent="0.25">
      <c r="A3472" s="36" t="b">
        <v>0</v>
      </c>
      <c r="B3472" s="56" t="b">
        <v>0</v>
      </c>
      <c r="C3472" s="56" t="b">
        <v>0</v>
      </c>
      <c r="D3472" s="56" t="b">
        <v>0</v>
      </c>
      <c r="E3472" s="56">
        <f ca="1">IF(PV[[#This Row],[Business Date]]=Control!$C$6, PV[[#This Row],[Notional Value Local Cur]], -PV[[#This Row],[Notional Value Local Cur]])</f>
        <v>0</v>
      </c>
    </row>
    <row r="3473" spans="1:5" x14ac:dyDescent="0.25">
      <c r="A3473" s="36" t="b">
        <v>0</v>
      </c>
      <c r="B3473" s="56" t="b">
        <v>0</v>
      </c>
      <c r="C3473" s="56" t="b">
        <v>0</v>
      </c>
      <c r="D3473" s="56" t="b">
        <v>0</v>
      </c>
      <c r="E3473" s="56">
        <f ca="1">IF(PV[[#This Row],[Business Date]]=Control!$C$6, PV[[#This Row],[Notional Value Local Cur]], -PV[[#This Row],[Notional Value Local Cur]])</f>
        <v>0</v>
      </c>
    </row>
    <row r="3474" spans="1:5" x14ac:dyDescent="0.25">
      <c r="A3474" s="36" t="b">
        <v>0</v>
      </c>
      <c r="B3474" s="56" t="b">
        <v>0</v>
      </c>
      <c r="C3474" s="56" t="b">
        <v>0</v>
      </c>
      <c r="D3474" s="56" t="b">
        <v>0</v>
      </c>
      <c r="E3474" s="56">
        <f ca="1">IF(PV[[#This Row],[Business Date]]=Control!$C$6, PV[[#This Row],[Notional Value Local Cur]], -PV[[#This Row],[Notional Value Local Cur]])</f>
        <v>0</v>
      </c>
    </row>
    <row r="3475" spans="1:5" x14ac:dyDescent="0.25">
      <c r="A3475" s="36" t="b">
        <v>0</v>
      </c>
      <c r="B3475" s="56" t="b">
        <v>0</v>
      </c>
      <c r="C3475" s="56" t="b">
        <v>0</v>
      </c>
      <c r="D3475" s="56" t="b">
        <v>0</v>
      </c>
      <c r="E3475" s="56">
        <f ca="1">IF(PV[[#This Row],[Business Date]]=Control!$C$6, PV[[#This Row],[Notional Value Local Cur]], -PV[[#This Row],[Notional Value Local Cur]])</f>
        <v>0</v>
      </c>
    </row>
    <row r="3476" spans="1:5" x14ac:dyDescent="0.25">
      <c r="A3476" s="36" t="b">
        <v>0</v>
      </c>
      <c r="B3476" s="56" t="b">
        <v>0</v>
      </c>
      <c r="C3476" s="56" t="b">
        <v>0</v>
      </c>
      <c r="D3476" s="56" t="b">
        <v>0</v>
      </c>
      <c r="E3476" s="56">
        <f ca="1">IF(PV[[#This Row],[Business Date]]=Control!$C$6, PV[[#This Row],[Notional Value Local Cur]], -PV[[#This Row],[Notional Value Local Cur]])</f>
        <v>0</v>
      </c>
    </row>
    <row r="3477" spans="1:5" x14ac:dyDescent="0.25">
      <c r="A3477" s="36" t="b">
        <v>0</v>
      </c>
      <c r="B3477" s="56" t="b">
        <v>0</v>
      </c>
      <c r="C3477" s="56" t="b">
        <v>0</v>
      </c>
      <c r="D3477" s="56" t="b">
        <v>0</v>
      </c>
      <c r="E3477" s="56">
        <f ca="1">IF(PV[[#This Row],[Business Date]]=Control!$C$6, PV[[#This Row],[Notional Value Local Cur]], -PV[[#This Row],[Notional Value Local Cur]])</f>
        <v>0</v>
      </c>
    </row>
    <row r="3478" spans="1:5" x14ac:dyDescent="0.25">
      <c r="A3478" s="36" t="b">
        <v>0</v>
      </c>
      <c r="B3478" s="56" t="b">
        <v>0</v>
      </c>
      <c r="C3478" s="56" t="b">
        <v>0</v>
      </c>
      <c r="D3478" s="56" t="b">
        <v>0</v>
      </c>
      <c r="E3478" s="56">
        <f ca="1">IF(PV[[#This Row],[Business Date]]=Control!$C$6, PV[[#This Row],[Notional Value Local Cur]], -PV[[#This Row],[Notional Value Local Cur]])</f>
        <v>0</v>
      </c>
    </row>
    <row r="3479" spans="1:5" x14ac:dyDescent="0.25">
      <c r="A3479" s="36" t="b">
        <v>0</v>
      </c>
      <c r="B3479" s="56" t="b">
        <v>0</v>
      </c>
      <c r="C3479" s="56" t="b">
        <v>0</v>
      </c>
      <c r="D3479" s="56" t="b">
        <v>0</v>
      </c>
      <c r="E3479" s="56">
        <f ca="1">IF(PV[[#This Row],[Business Date]]=Control!$C$6, PV[[#This Row],[Notional Value Local Cur]], -PV[[#This Row],[Notional Value Local Cur]])</f>
        <v>0</v>
      </c>
    </row>
    <row r="3480" spans="1:5" x14ac:dyDescent="0.25">
      <c r="A3480" s="36" t="b">
        <v>0</v>
      </c>
      <c r="B3480" s="56" t="b">
        <v>0</v>
      </c>
      <c r="C3480" s="56" t="b">
        <v>0</v>
      </c>
      <c r="D3480" s="56" t="b">
        <v>0</v>
      </c>
      <c r="E3480" s="56">
        <f ca="1">IF(PV[[#This Row],[Business Date]]=Control!$C$6, PV[[#This Row],[Notional Value Local Cur]], -PV[[#This Row],[Notional Value Local Cur]])</f>
        <v>0</v>
      </c>
    </row>
    <row r="3481" spans="1:5" x14ac:dyDescent="0.25">
      <c r="A3481" s="36" t="b">
        <v>0</v>
      </c>
      <c r="B3481" s="56" t="b">
        <v>0</v>
      </c>
      <c r="C3481" s="56" t="b">
        <v>0</v>
      </c>
      <c r="D3481" s="56" t="b">
        <v>0</v>
      </c>
      <c r="E3481" s="56">
        <f ca="1">IF(PV[[#This Row],[Business Date]]=Control!$C$6, PV[[#This Row],[Notional Value Local Cur]], -PV[[#This Row],[Notional Value Local Cur]])</f>
        <v>0</v>
      </c>
    </row>
    <row r="3482" spans="1:5" x14ac:dyDescent="0.25">
      <c r="A3482" s="36" t="b">
        <v>0</v>
      </c>
      <c r="B3482" s="56" t="b">
        <v>0</v>
      </c>
      <c r="C3482" s="56" t="b">
        <v>0</v>
      </c>
      <c r="D3482" s="56" t="b">
        <v>0</v>
      </c>
      <c r="E3482" s="56">
        <f ca="1">IF(PV[[#This Row],[Business Date]]=Control!$C$6, PV[[#This Row],[Notional Value Local Cur]], -PV[[#This Row],[Notional Value Local Cur]])</f>
        <v>0</v>
      </c>
    </row>
    <row r="3483" spans="1:5" x14ac:dyDescent="0.25">
      <c r="A3483" s="36" t="b">
        <v>0</v>
      </c>
      <c r="B3483" s="56" t="b">
        <v>0</v>
      </c>
      <c r="C3483" s="56" t="b">
        <v>0</v>
      </c>
      <c r="D3483" s="56" t="b">
        <v>0</v>
      </c>
      <c r="E3483" s="56">
        <f ca="1">IF(PV[[#This Row],[Business Date]]=Control!$C$6, PV[[#This Row],[Notional Value Local Cur]], -PV[[#This Row],[Notional Value Local Cur]])</f>
        <v>0</v>
      </c>
    </row>
    <row r="3484" spans="1:5" x14ac:dyDescent="0.25">
      <c r="A3484" s="36" t="b">
        <v>0</v>
      </c>
      <c r="B3484" s="56" t="b">
        <v>0</v>
      </c>
      <c r="C3484" s="56" t="b">
        <v>0</v>
      </c>
      <c r="D3484" s="56" t="b">
        <v>0</v>
      </c>
      <c r="E3484" s="56">
        <f ca="1">IF(PV[[#This Row],[Business Date]]=Control!$C$6, PV[[#This Row],[Notional Value Local Cur]], -PV[[#This Row],[Notional Value Local Cur]])</f>
        <v>0</v>
      </c>
    </row>
    <row r="3485" spans="1:5" x14ac:dyDescent="0.25">
      <c r="A3485" s="36" t="b">
        <v>0</v>
      </c>
      <c r="B3485" s="56" t="b">
        <v>0</v>
      </c>
      <c r="C3485" s="56" t="b">
        <v>0</v>
      </c>
      <c r="D3485" s="56" t="b">
        <v>0</v>
      </c>
      <c r="E3485" s="56">
        <f ca="1">IF(PV[[#This Row],[Business Date]]=Control!$C$6, PV[[#This Row],[Notional Value Local Cur]], -PV[[#This Row],[Notional Value Local Cur]])</f>
        <v>0</v>
      </c>
    </row>
    <row r="3486" spans="1:5" x14ac:dyDescent="0.25">
      <c r="A3486" s="36" t="b">
        <v>0</v>
      </c>
      <c r="B3486" s="56" t="b">
        <v>0</v>
      </c>
      <c r="C3486" s="56" t="b">
        <v>0</v>
      </c>
      <c r="D3486" s="56" t="b">
        <v>0</v>
      </c>
      <c r="E3486" s="56">
        <f ca="1">IF(PV[[#This Row],[Business Date]]=Control!$C$6, PV[[#This Row],[Notional Value Local Cur]], -PV[[#This Row],[Notional Value Local Cur]])</f>
        <v>0</v>
      </c>
    </row>
    <row r="3487" spans="1:5" x14ac:dyDescent="0.25">
      <c r="A3487" s="36" t="b">
        <v>0</v>
      </c>
      <c r="B3487" s="56" t="b">
        <v>0</v>
      </c>
      <c r="C3487" s="56" t="b">
        <v>0</v>
      </c>
      <c r="D3487" s="56" t="b">
        <v>0</v>
      </c>
      <c r="E3487" s="56">
        <f ca="1">IF(PV[[#This Row],[Business Date]]=Control!$C$6, PV[[#This Row],[Notional Value Local Cur]], -PV[[#This Row],[Notional Value Local Cur]])</f>
        <v>0</v>
      </c>
    </row>
    <row r="3488" spans="1:5" x14ac:dyDescent="0.25">
      <c r="A3488" s="36" t="b">
        <v>0</v>
      </c>
      <c r="B3488" s="56" t="b">
        <v>0</v>
      </c>
      <c r="C3488" s="56" t="b">
        <v>0</v>
      </c>
      <c r="D3488" s="56" t="b">
        <v>0</v>
      </c>
      <c r="E3488" s="56">
        <f ca="1">IF(PV[[#This Row],[Business Date]]=Control!$C$6, PV[[#This Row],[Notional Value Local Cur]], -PV[[#This Row],[Notional Value Local Cur]])</f>
        <v>0</v>
      </c>
    </row>
    <row r="3489" spans="1:5" x14ac:dyDescent="0.25">
      <c r="A3489" s="36" t="b">
        <v>0</v>
      </c>
      <c r="B3489" s="56" t="b">
        <v>0</v>
      </c>
      <c r="C3489" s="56" t="b">
        <v>0</v>
      </c>
      <c r="D3489" s="56" t="b">
        <v>0</v>
      </c>
      <c r="E3489" s="56">
        <f ca="1">IF(PV[[#This Row],[Business Date]]=Control!$C$6, PV[[#This Row],[Notional Value Local Cur]], -PV[[#This Row],[Notional Value Local Cur]])</f>
        <v>0</v>
      </c>
    </row>
    <row r="3490" spans="1:5" x14ac:dyDescent="0.25">
      <c r="A3490" s="36" t="b">
        <v>0</v>
      </c>
      <c r="B3490" s="56" t="b">
        <v>0</v>
      </c>
      <c r="C3490" s="56" t="b">
        <v>0</v>
      </c>
      <c r="D3490" s="56" t="b">
        <v>0</v>
      </c>
      <c r="E3490" s="56">
        <f ca="1">IF(PV[[#This Row],[Business Date]]=Control!$C$6, PV[[#This Row],[Notional Value Local Cur]], -PV[[#This Row],[Notional Value Local Cur]])</f>
        <v>0</v>
      </c>
    </row>
    <row r="3491" spans="1:5" x14ac:dyDescent="0.25">
      <c r="A3491" s="36" t="b">
        <v>0</v>
      </c>
      <c r="B3491" s="56" t="b">
        <v>0</v>
      </c>
      <c r="C3491" s="56" t="b">
        <v>0</v>
      </c>
      <c r="D3491" s="56" t="b">
        <v>0</v>
      </c>
      <c r="E3491" s="56">
        <f ca="1">IF(PV[[#This Row],[Business Date]]=Control!$C$6, PV[[#This Row],[Notional Value Local Cur]], -PV[[#This Row],[Notional Value Local Cur]])</f>
        <v>0</v>
      </c>
    </row>
    <row r="3492" spans="1:5" x14ac:dyDescent="0.25">
      <c r="A3492" s="36" t="b">
        <v>0</v>
      </c>
      <c r="B3492" s="56" t="b">
        <v>0</v>
      </c>
      <c r="C3492" s="56" t="b">
        <v>0</v>
      </c>
      <c r="D3492" s="56" t="b">
        <v>0</v>
      </c>
      <c r="E3492" s="56">
        <f ca="1">IF(PV[[#This Row],[Business Date]]=Control!$C$6, PV[[#This Row],[Notional Value Local Cur]], -PV[[#This Row],[Notional Value Local Cur]])</f>
        <v>0</v>
      </c>
    </row>
    <row r="3493" spans="1:5" x14ac:dyDescent="0.25">
      <c r="A3493" s="36" t="b">
        <v>0</v>
      </c>
      <c r="B3493" s="56" t="b">
        <v>0</v>
      </c>
      <c r="C3493" s="56" t="b">
        <v>0</v>
      </c>
      <c r="D3493" s="56" t="b">
        <v>0</v>
      </c>
      <c r="E3493" s="56">
        <f ca="1">IF(PV[[#This Row],[Business Date]]=Control!$C$6, PV[[#This Row],[Notional Value Local Cur]], -PV[[#This Row],[Notional Value Local Cur]])</f>
        <v>0</v>
      </c>
    </row>
    <row r="3494" spans="1:5" x14ac:dyDescent="0.25">
      <c r="A3494" s="36" t="b">
        <v>0</v>
      </c>
      <c r="B3494" s="56" t="b">
        <v>0</v>
      </c>
      <c r="C3494" s="56" t="b">
        <v>0</v>
      </c>
      <c r="D3494" s="56" t="b">
        <v>0</v>
      </c>
      <c r="E3494" s="56">
        <f ca="1">IF(PV[[#This Row],[Business Date]]=Control!$C$6, PV[[#This Row],[Notional Value Local Cur]], -PV[[#This Row],[Notional Value Local Cur]])</f>
        <v>0</v>
      </c>
    </row>
    <row r="3495" spans="1:5" x14ac:dyDescent="0.25">
      <c r="A3495" s="36" t="b">
        <v>0</v>
      </c>
      <c r="B3495" s="56" t="b">
        <v>0</v>
      </c>
      <c r="C3495" s="56" t="b">
        <v>0</v>
      </c>
      <c r="D3495" s="56" t="b">
        <v>0</v>
      </c>
      <c r="E3495" s="56">
        <f ca="1">IF(PV[[#This Row],[Business Date]]=Control!$C$6, PV[[#This Row],[Notional Value Local Cur]], -PV[[#This Row],[Notional Value Local Cur]])</f>
        <v>0</v>
      </c>
    </row>
    <row r="3496" spans="1:5" x14ac:dyDescent="0.25">
      <c r="A3496" s="36" t="b">
        <v>0</v>
      </c>
      <c r="B3496" s="56" t="b">
        <v>0</v>
      </c>
      <c r="C3496" s="56" t="b">
        <v>0</v>
      </c>
      <c r="D3496" s="56" t="b">
        <v>0</v>
      </c>
      <c r="E3496" s="56">
        <f ca="1">IF(PV[[#This Row],[Business Date]]=Control!$C$6, PV[[#This Row],[Notional Value Local Cur]], -PV[[#This Row],[Notional Value Local Cur]])</f>
        <v>0</v>
      </c>
    </row>
    <row r="3497" spans="1:5" x14ac:dyDescent="0.25">
      <c r="A3497" s="36" t="b">
        <v>0</v>
      </c>
      <c r="B3497" s="56" t="b">
        <v>0</v>
      </c>
      <c r="C3497" s="56" t="b">
        <v>0</v>
      </c>
      <c r="D3497" s="56" t="b">
        <v>0</v>
      </c>
      <c r="E3497" s="56">
        <f ca="1">IF(PV[[#This Row],[Business Date]]=Control!$C$6, PV[[#This Row],[Notional Value Local Cur]], -PV[[#This Row],[Notional Value Local Cur]])</f>
        <v>0</v>
      </c>
    </row>
    <row r="3498" spans="1:5" x14ac:dyDescent="0.25">
      <c r="A3498" s="36" t="b">
        <v>0</v>
      </c>
      <c r="B3498" s="56" t="b">
        <v>0</v>
      </c>
      <c r="C3498" s="56" t="b">
        <v>0</v>
      </c>
      <c r="D3498" s="56" t="b">
        <v>0</v>
      </c>
      <c r="E3498" s="56">
        <f ca="1">IF(PV[[#This Row],[Business Date]]=Control!$C$6, PV[[#This Row],[Notional Value Local Cur]], -PV[[#This Row],[Notional Value Local Cur]])</f>
        <v>0</v>
      </c>
    </row>
    <row r="3499" spans="1:5" x14ac:dyDescent="0.25">
      <c r="A3499" s="36" t="b">
        <v>0</v>
      </c>
      <c r="B3499" s="56" t="b">
        <v>0</v>
      </c>
      <c r="C3499" s="56" t="b">
        <v>0</v>
      </c>
      <c r="D3499" s="56" t="b">
        <v>0</v>
      </c>
      <c r="E3499" s="56">
        <f ca="1">IF(PV[[#This Row],[Business Date]]=Control!$C$6, PV[[#This Row],[Notional Value Local Cur]], -PV[[#This Row],[Notional Value Local Cur]])</f>
        <v>0</v>
      </c>
    </row>
    <row r="3500" spans="1:5" x14ac:dyDescent="0.25">
      <c r="A3500" s="36" t="b">
        <v>0</v>
      </c>
      <c r="B3500" s="56" t="b">
        <v>0</v>
      </c>
      <c r="C3500" s="56" t="b">
        <v>0</v>
      </c>
      <c r="D3500" s="56" t="b">
        <v>0</v>
      </c>
      <c r="E3500" s="56">
        <f ca="1">IF(PV[[#This Row],[Business Date]]=Control!$C$6, PV[[#This Row],[Notional Value Local Cur]], -PV[[#This Row],[Notional Value Local Cur]])</f>
        <v>0</v>
      </c>
    </row>
    <row r="3501" spans="1:5" x14ac:dyDescent="0.25">
      <c r="A3501" s="36" t="b">
        <v>0</v>
      </c>
      <c r="B3501" s="56" t="b">
        <v>0</v>
      </c>
      <c r="C3501" s="56" t="b">
        <v>0</v>
      </c>
      <c r="D3501" s="56" t="b">
        <v>0</v>
      </c>
      <c r="E3501" s="56">
        <f ca="1">IF(PV[[#This Row],[Business Date]]=Control!$C$6, PV[[#This Row],[Notional Value Local Cur]], -PV[[#This Row],[Notional Value Local Cur]])</f>
        <v>0</v>
      </c>
    </row>
    <row r="3502" spans="1:5" x14ac:dyDescent="0.25">
      <c r="A3502" s="36" t="b">
        <v>0</v>
      </c>
      <c r="B3502" s="56" t="b">
        <v>0</v>
      </c>
      <c r="C3502" s="56" t="b">
        <v>0</v>
      </c>
      <c r="D3502" s="56" t="b">
        <v>0</v>
      </c>
      <c r="E3502" s="56">
        <f ca="1">IF(PV[[#This Row],[Business Date]]=Control!$C$6, PV[[#This Row],[Notional Value Local Cur]], -PV[[#This Row],[Notional Value Local Cur]])</f>
        <v>0</v>
      </c>
    </row>
    <row r="3503" spans="1:5" x14ac:dyDescent="0.25">
      <c r="A3503" s="36" t="b">
        <v>0</v>
      </c>
      <c r="B3503" s="56" t="b">
        <v>0</v>
      </c>
      <c r="C3503" s="56" t="b">
        <v>0</v>
      </c>
      <c r="D3503" s="56" t="b">
        <v>0</v>
      </c>
      <c r="E3503" s="56">
        <f ca="1">IF(PV[[#This Row],[Business Date]]=Control!$C$6, PV[[#This Row],[Notional Value Local Cur]], -PV[[#This Row],[Notional Value Local Cur]])</f>
        <v>0</v>
      </c>
    </row>
    <row r="3504" spans="1:5" x14ac:dyDescent="0.25">
      <c r="A3504" s="36" t="b">
        <v>0</v>
      </c>
      <c r="B3504" s="56" t="b">
        <v>0</v>
      </c>
      <c r="C3504" s="56" t="b">
        <v>0</v>
      </c>
      <c r="D3504" s="56" t="b">
        <v>0</v>
      </c>
      <c r="E3504" s="56">
        <f ca="1">IF(PV[[#This Row],[Business Date]]=Control!$C$6, PV[[#This Row],[Notional Value Local Cur]], -PV[[#This Row],[Notional Value Local Cur]])</f>
        <v>0</v>
      </c>
    </row>
    <row r="3505" spans="1:5" x14ac:dyDescent="0.25">
      <c r="A3505" s="36" t="b">
        <v>0</v>
      </c>
      <c r="B3505" s="56" t="b">
        <v>0</v>
      </c>
      <c r="C3505" s="56" t="b">
        <v>0</v>
      </c>
      <c r="D3505" s="56" t="b">
        <v>0</v>
      </c>
      <c r="E3505" s="56">
        <f ca="1">IF(PV[[#This Row],[Business Date]]=Control!$C$6, PV[[#This Row],[Notional Value Local Cur]], -PV[[#This Row],[Notional Value Local Cur]])</f>
        <v>0</v>
      </c>
    </row>
    <row r="3506" spans="1:5" x14ac:dyDescent="0.25">
      <c r="A3506" s="36" t="b">
        <v>0</v>
      </c>
      <c r="B3506" s="56" t="b">
        <v>0</v>
      </c>
      <c r="C3506" s="56" t="b">
        <v>0</v>
      </c>
      <c r="D3506" s="56" t="b">
        <v>0</v>
      </c>
      <c r="E3506" s="56">
        <f ca="1">IF(PV[[#This Row],[Business Date]]=Control!$C$6, PV[[#This Row],[Notional Value Local Cur]], -PV[[#This Row],[Notional Value Local Cur]])</f>
        <v>0</v>
      </c>
    </row>
    <row r="3507" spans="1:5" x14ac:dyDescent="0.25">
      <c r="A3507" s="36" t="b">
        <v>0</v>
      </c>
      <c r="B3507" s="56" t="b">
        <v>0</v>
      </c>
      <c r="C3507" s="56" t="b">
        <v>0</v>
      </c>
      <c r="D3507" s="56" t="b">
        <v>0</v>
      </c>
      <c r="E3507" s="56">
        <f ca="1">IF(PV[[#This Row],[Business Date]]=Control!$C$6, PV[[#This Row],[Notional Value Local Cur]], -PV[[#This Row],[Notional Value Local Cur]])</f>
        <v>0</v>
      </c>
    </row>
    <row r="3508" spans="1:5" x14ac:dyDescent="0.25">
      <c r="A3508" s="36" t="b">
        <v>0</v>
      </c>
      <c r="B3508" s="56" t="b">
        <v>0</v>
      </c>
      <c r="C3508" s="56" t="b">
        <v>0</v>
      </c>
      <c r="D3508" s="56" t="b">
        <v>0</v>
      </c>
      <c r="E3508" s="56">
        <f ca="1">IF(PV[[#This Row],[Business Date]]=Control!$C$6, PV[[#This Row],[Notional Value Local Cur]], -PV[[#This Row],[Notional Value Local Cur]])</f>
        <v>0</v>
      </c>
    </row>
    <row r="3509" spans="1:5" x14ac:dyDescent="0.25">
      <c r="A3509" s="36" t="b">
        <v>0</v>
      </c>
      <c r="B3509" s="56" t="b">
        <v>0</v>
      </c>
      <c r="C3509" s="56" t="b">
        <v>0</v>
      </c>
      <c r="D3509" s="56" t="b">
        <v>0</v>
      </c>
      <c r="E3509" s="56">
        <f ca="1">IF(PV[[#This Row],[Business Date]]=Control!$C$6, PV[[#This Row],[Notional Value Local Cur]], -PV[[#This Row],[Notional Value Local Cur]])</f>
        <v>0</v>
      </c>
    </row>
    <row r="3510" spans="1:5" x14ac:dyDescent="0.25">
      <c r="A3510" s="36" t="b">
        <v>0</v>
      </c>
      <c r="B3510" s="56" t="b">
        <v>0</v>
      </c>
      <c r="C3510" s="56" t="b">
        <v>0</v>
      </c>
      <c r="D3510" s="56" t="b">
        <v>0</v>
      </c>
      <c r="E3510" s="56">
        <f ca="1">IF(PV[[#This Row],[Business Date]]=Control!$C$6, PV[[#This Row],[Notional Value Local Cur]], -PV[[#This Row],[Notional Value Local Cur]])</f>
        <v>0</v>
      </c>
    </row>
    <row r="3511" spans="1:5" x14ac:dyDescent="0.25">
      <c r="A3511" s="36" t="b">
        <v>0</v>
      </c>
      <c r="B3511" s="56" t="b">
        <v>0</v>
      </c>
      <c r="C3511" s="56" t="b">
        <v>0</v>
      </c>
      <c r="D3511" s="56" t="b">
        <v>0</v>
      </c>
      <c r="E3511" s="56">
        <f ca="1">IF(PV[[#This Row],[Business Date]]=Control!$C$6, PV[[#This Row],[Notional Value Local Cur]], -PV[[#This Row],[Notional Value Local Cur]])</f>
        <v>0</v>
      </c>
    </row>
    <row r="3512" spans="1:5" x14ac:dyDescent="0.25">
      <c r="A3512" s="36" t="b">
        <v>0</v>
      </c>
      <c r="B3512" s="56" t="b">
        <v>0</v>
      </c>
      <c r="C3512" s="56" t="b">
        <v>0</v>
      </c>
      <c r="D3512" s="56" t="b">
        <v>0</v>
      </c>
      <c r="E3512" s="56">
        <f ca="1">IF(PV[[#This Row],[Business Date]]=Control!$C$6, PV[[#This Row],[Notional Value Local Cur]], -PV[[#This Row],[Notional Value Local Cur]])</f>
        <v>0</v>
      </c>
    </row>
    <row r="3513" spans="1:5" x14ac:dyDescent="0.25">
      <c r="A3513" s="36" t="b">
        <v>0</v>
      </c>
      <c r="B3513" s="56" t="b">
        <v>0</v>
      </c>
      <c r="C3513" s="56" t="b">
        <v>0</v>
      </c>
      <c r="D3513" s="56" t="b">
        <v>0</v>
      </c>
      <c r="E3513" s="56">
        <f ca="1">IF(PV[[#This Row],[Business Date]]=Control!$C$6, PV[[#This Row],[Notional Value Local Cur]], -PV[[#This Row],[Notional Value Local Cur]])</f>
        <v>0</v>
      </c>
    </row>
    <row r="3514" spans="1:5" x14ac:dyDescent="0.25">
      <c r="A3514" s="36" t="b">
        <v>0</v>
      </c>
      <c r="B3514" s="56" t="b">
        <v>0</v>
      </c>
      <c r="C3514" s="56" t="b">
        <v>0</v>
      </c>
      <c r="D3514" s="56" t="b">
        <v>0</v>
      </c>
      <c r="E3514" s="56">
        <f ca="1">IF(PV[[#This Row],[Business Date]]=Control!$C$6, PV[[#This Row],[Notional Value Local Cur]], -PV[[#This Row],[Notional Value Local Cur]])</f>
        <v>0</v>
      </c>
    </row>
    <row r="3515" spans="1:5" x14ac:dyDescent="0.25">
      <c r="A3515" s="36" t="b">
        <v>0</v>
      </c>
      <c r="B3515" s="56" t="b">
        <v>0</v>
      </c>
      <c r="C3515" s="56" t="b">
        <v>0</v>
      </c>
      <c r="D3515" s="56" t="b">
        <v>0</v>
      </c>
      <c r="E3515" s="56">
        <f ca="1">IF(PV[[#This Row],[Business Date]]=Control!$C$6, PV[[#This Row],[Notional Value Local Cur]], -PV[[#This Row],[Notional Value Local Cur]])</f>
        <v>0</v>
      </c>
    </row>
    <row r="3516" spans="1:5" x14ac:dyDescent="0.25">
      <c r="A3516" s="36" t="b">
        <v>0</v>
      </c>
      <c r="B3516" s="56" t="b">
        <v>0</v>
      </c>
      <c r="C3516" s="56" t="b">
        <v>0</v>
      </c>
      <c r="D3516" s="56" t="b">
        <v>0</v>
      </c>
      <c r="E3516" s="56">
        <f ca="1">IF(PV[[#This Row],[Business Date]]=Control!$C$6, PV[[#This Row],[Notional Value Local Cur]], -PV[[#This Row],[Notional Value Local Cur]])</f>
        <v>0</v>
      </c>
    </row>
    <row r="3517" spans="1:5" x14ac:dyDescent="0.25">
      <c r="A3517" s="36" t="b">
        <v>0</v>
      </c>
      <c r="B3517" s="56" t="b">
        <v>0</v>
      </c>
      <c r="C3517" s="56" t="b">
        <v>0</v>
      </c>
      <c r="D3517" s="56" t="b">
        <v>0</v>
      </c>
      <c r="E3517" s="56">
        <f ca="1">IF(PV[[#This Row],[Business Date]]=Control!$C$6, PV[[#This Row],[Notional Value Local Cur]], -PV[[#This Row],[Notional Value Local Cur]])</f>
        <v>0</v>
      </c>
    </row>
    <row r="3518" spans="1:5" x14ac:dyDescent="0.25">
      <c r="A3518" s="36" t="b">
        <v>0</v>
      </c>
      <c r="B3518" s="56" t="b">
        <v>0</v>
      </c>
      <c r="C3518" s="56" t="b">
        <v>0</v>
      </c>
      <c r="D3518" s="56" t="b">
        <v>0</v>
      </c>
      <c r="E3518" s="56">
        <f ca="1">IF(PV[[#This Row],[Business Date]]=Control!$C$6, PV[[#This Row],[Notional Value Local Cur]], -PV[[#This Row],[Notional Value Local Cur]])</f>
        <v>0</v>
      </c>
    </row>
    <row r="3519" spans="1:5" x14ac:dyDescent="0.25">
      <c r="A3519" s="36" t="b">
        <v>0</v>
      </c>
      <c r="B3519" s="56" t="b">
        <v>0</v>
      </c>
      <c r="C3519" s="56" t="b">
        <v>0</v>
      </c>
      <c r="D3519" s="56" t="b">
        <v>0</v>
      </c>
      <c r="E3519" s="56">
        <f ca="1">IF(PV[[#This Row],[Business Date]]=Control!$C$6, PV[[#This Row],[Notional Value Local Cur]], -PV[[#This Row],[Notional Value Local Cur]])</f>
        <v>0</v>
      </c>
    </row>
    <row r="3520" spans="1:5" x14ac:dyDescent="0.25">
      <c r="A3520" s="36" t="b">
        <v>0</v>
      </c>
      <c r="B3520" s="56" t="b">
        <v>0</v>
      </c>
      <c r="C3520" s="56" t="b">
        <v>0</v>
      </c>
      <c r="D3520" s="56" t="b">
        <v>0</v>
      </c>
      <c r="E3520" s="56">
        <f ca="1">IF(PV[[#This Row],[Business Date]]=Control!$C$6, PV[[#This Row],[Notional Value Local Cur]], -PV[[#This Row],[Notional Value Local Cur]])</f>
        <v>0</v>
      </c>
    </row>
    <row r="3521" spans="1:5" x14ac:dyDescent="0.25">
      <c r="A3521" s="36" t="b">
        <v>0</v>
      </c>
      <c r="B3521" s="56" t="b">
        <v>0</v>
      </c>
      <c r="C3521" s="56" t="b">
        <v>0</v>
      </c>
      <c r="D3521" s="56" t="b">
        <v>0</v>
      </c>
      <c r="E3521" s="56">
        <f ca="1">IF(PV[[#This Row],[Business Date]]=Control!$C$6, PV[[#This Row],[Notional Value Local Cur]], -PV[[#This Row],[Notional Value Local Cur]])</f>
        <v>0</v>
      </c>
    </row>
    <row r="3522" spans="1:5" x14ac:dyDescent="0.25">
      <c r="A3522" s="36" t="b">
        <v>0</v>
      </c>
      <c r="B3522" s="56" t="b">
        <v>0</v>
      </c>
      <c r="C3522" s="56" t="b">
        <v>0</v>
      </c>
      <c r="D3522" s="56" t="b">
        <v>0</v>
      </c>
      <c r="E3522" s="56">
        <f ca="1">IF(PV[[#This Row],[Business Date]]=Control!$C$6, PV[[#This Row],[Notional Value Local Cur]], -PV[[#This Row],[Notional Value Local Cur]])</f>
        <v>0</v>
      </c>
    </row>
    <row r="3523" spans="1:5" x14ac:dyDescent="0.25">
      <c r="A3523" s="36" t="b">
        <v>0</v>
      </c>
      <c r="B3523" s="56" t="b">
        <v>0</v>
      </c>
      <c r="C3523" s="56" t="b">
        <v>0</v>
      </c>
      <c r="D3523" s="56" t="b">
        <v>0</v>
      </c>
      <c r="E3523" s="56">
        <f ca="1">IF(PV[[#This Row],[Business Date]]=Control!$C$6, PV[[#This Row],[Notional Value Local Cur]], -PV[[#This Row],[Notional Value Local Cur]])</f>
        <v>0</v>
      </c>
    </row>
    <row r="3524" spans="1:5" x14ac:dyDescent="0.25">
      <c r="A3524" s="36" t="b">
        <v>0</v>
      </c>
      <c r="B3524" s="56" t="b">
        <v>0</v>
      </c>
      <c r="C3524" s="56" t="b">
        <v>0</v>
      </c>
      <c r="D3524" s="56" t="b">
        <v>0</v>
      </c>
      <c r="E3524" s="56">
        <f ca="1">IF(PV[[#This Row],[Business Date]]=Control!$C$6, PV[[#This Row],[Notional Value Local Cur]], -PV[[#This Row],[Notional Value Local Cur]])</f>
        <v>0</v>
      </c>
    </row>
    <row r="3525" spans="1:5" x14ac:dyDescent="0.25">
      <c r="A3525" s="36" t="b">
        <v>0</v>
      </c>
      <c r="B3525" s="56" t="b">
        <v>0</v>
      </c>
      <c r="C3525" s="56" t="b">
        <v>0</v>
      </c>
      <c r="D3525" s="56" t="b">
        <v>0</v>
      </c>
      <c r="E3525" s="56">
        <f ca="1">IF(PV[[#This Row],[Business Date]]=Control!$C$6, PV[[#This Row],[Notional Value Local Cur]], -PV[[#This Row],[Notional Value Local Cur]])</f>
        <v>0</v>
      </c>
    </row>
    <row r="3526" spans="1:5" x14ac:dyDescent="0.25">
      <c r="A3526" s="36" t="b">
        <v>0</v>
      </c>
      <c r="B3526" s="56" t="b">
        <v>0</v>
      </c>
      <c r="C3526" s="56" t="b">
        <v>0</v>
      </c>
      <c r="D3526" s="56" t="b">
        <v>0</v>
      </c>
      <c r="E3526" s="56">
        <f ca="1">IF(PV[[#This Row],[Business Date]]=Control!$C$6, PV[[#This Row],[Notional Value Local Cur]], -PV[[#This Row],[Notional Value Local Cur]])</f>
        <v>0</v>
      </c>
    </row>
    <row r="3527" spans="1:5" x14ac:dyDescent="0.25">
      <c r="A3527" s="36" t="b">
        <v>0</v>
      </c>
      <c r="B3527" s="56" t="b">
        <v>0</v>
      </c>
      <c r="C3527" s="56" t="b">
        <v>0</v>
      </c>
      <c r="D3527" s="56" t="b">
        <v>0</v>
      </c>
      <c r="E3527" s="56">
        <f ca="1">IF(PV[[#This Row],[Business Date]]=Control!$C$6, PV[[#This Row],[Notional Value Local Cur]], -PV[[#This Row],[Notional Value Local Cur]])</f>
        <v>0</v>
      </c>
    </row>
    <row r="3528" spans="1:5" x14ac:dyDescent="0.25">
      <c r="A3528" s="36" t="b">
        <v>0</v>
      </c>
      <c r="B3528" s="56" t="b">
        <v>0</v>
      </c>
      <c r="C3528" s="56" t="b">
        <v>0</v>
      </c>
      <c r="D3528" s="56" t="b">
        <v>0</v>
      </c>
      <c r="E3528" s="56">
        <f ca="1">IF(PV[[#This Row],[Business Date]]=Control!$C$6, PV[[#This Row],[Notional Value Local Cur]], -PV[[#This Row],[Notional Value Local Cur]])</f>
        <v>0</v>
      </c>
    </row>
    <row r="3529" spans="1:5" x14ac:dyDescent="0.25">
      <c r="A3529" s="36" t="b">
        <v>0</v>
      </c>
      <c r="B3529" s="56" t="b">
        <v>0</v>
      </c>
      <c r="C3529" s="56" t="b">
        <v>0</v>
      </c>
      <c r="D3529" s="56" t="b">
        <v>0</v>
      </c>
      <c r="E3529" s="56">
        <f ca="1">IF(PV[[#This Row],[Business Date]]=Control!$C$6, PV[[#This Row],[Notional Value Local Cur]], -PV[[#This Row],[Notional Value Local Cur]])</f>
        <v>0</v>
      </c>
    </row>
    <row r="3530" spans="1:5" x14ac:dyDescent="0.25">
      <c r="A3530" s="36" t="b">
        <v>0</v>
      </c>
      <c r="B3530" s="56" t="b">
        <v>0</v>
      </c>
      <c r="C3530" s="56" t="b">
        <v>0</v>
      </c>
      <c r="D3530" s="56" t="b">
        <v>0</v>
      </c>
      <c r="E3530" s="56">
        <f ca="1">IF(PV[[#This Row],[Business Date]]=Control!$C$6, PV[[#This Row],[Notional Value Local Cur]], -PV[[#This Row],[Notional Value Local Cur]])</f>
        <v>0</v>
      </c>
    </row>
    <row r="3531" spans="1:5" x14ac:dyDescent="0.25">
      <c r="A3531" s="36" t="b">
        <v>0</v>
      </c>
      <c r="B3531" s="56" t="b">
        <v>0</v>
      </c>
      <c r="C3531" s="56" t="b">
        <v>0</v>
      </c>
      <c r="D3531" s="56" t="b">
        <v>0</v>
      </c>
      <c r="E3531" s="56">
        <f ca="1">IF(PV[[#This Row],[Business Date]]=Control!$C$6, PV[[#This Row],[Notional Value Local Cur]], -PV[[#This Row],[Notional Value Local Cur]])</f>
        <v>0</v>
      </c>
    </row>
    <row r="3532" spans="1:5" x14ac:dyDescent="0.25">
      <c r="A3532" s="36" t="b">
        <v>0</v>
      </c>
      <c r="B3532" s="56" t="b">
        <v>0</v>
      </c>
      <c r="C3532" s="56" t="b">
        <v>0</v>
      </c>
      <c r="D3532" s="56" t="b">
        <v>0</v>
      </c>
      <c r="E3532" s="56">
        <f ca="1">IF(PV[[#This Row],[Business Date]]=Control!$C$6, PV[[#This Row],[Notional Value Local Cur]], -PV[[#This Row],[Notional Value Local Cur]])</f>
        <v>0</v>
      </c>
    </row>
    <row r="3533" spans="1:5" x14ac:dyDescent="0.25">
      <c r="A3533" s="36" t="b">
        <v>0</v>
      </c>
      <c r="B3533" s="56" t="b">
        <v>0</v>
      </c>
      <c r="C3533" s="56" t="b">
        <v>0</v>
      </c>
      <c r="D3533" s="56" t="b">
        <v>0</v>
      </c>
      <c r="E3533" s="56">
        <f ca="1">IF(PV[[#This Row],[Business Date]]=Control!$C$6, PV[[#This Row],[Notional Value Local Cur]], -PV[[#This Row],[Notional Value Local Cur]])</f>
        <v>0</v>
      </c>
    </row>
    <row r="3534" spans="1:5" x14ac:dyDescent="0.25">
      <c r="A3534" s="36" t="b">
        <v>0</v>
      </c>
      <c r="B3534" s="56" t="b">
        <v>0</v>
      </c>
      <c r="C3534" s="56" t="b">
        <v>0</v>
      </c>
      <c r="D3534" s="56" t="b">
        <v>0</v>
      </c>
      <c r="E3534" s="56">
        <f ca="1">IF(PV[[#This Row],[Business Date]]=Control!$C$6, PV[[#This Row],[Notional Value Local Cur]], -PV[[#This Row],[Notional Value Local Cur]])</f>
        <v>0</v>
      </c>
    </row>
    <row r="3535" spans="1:5" x14ac:dyDescent="0.25">
      <c r="A3535" s="36" t="b">
        <v>0</v>
      </c>
      <c r="B3535" s="56" t="b">
        <v>0</v>
      </c>
      <c r="C3535" s="56" t="b">
        <v>0</v>
      </c>
      <c r="D3535" s="56" t="b">
        <v>0</v>
      </c>
      <c r="E3535" s="56">
        <f ca="1">IF(PV[[#This Row],[Business Date]]=Control!$C$6, PV[[#This Row],[Notional Value Local Cur]], -PV[[#This Row],[Notional Value Local Cur]])</f>
        <v>0</v>
      </c>
    </row>
    <row r="3536" spans="1:5" x14ac:dyDescent="0.25">
      <c r="A3536" s="36" t="b">
        <v>0</v>
      </c>
      <c r="B3536" s="56" t="b">
        <v>0</v>
      </c>
      <c r="C3536" s="56" t="b">
        <v>0</v>
      </c>
      <c r="D3536" s="56" t="b">
        <v>0</v>
      </c>
      <c r="E3536" s="56">
        <f ca="1">IF(PV[[#This Row],[Business Date]]=Control!$C$6, PV[[#This Row],[Notional Value Local Cur]], -PV[[#This Row],[Notional Value Local Cur]])</f>
        <v>0</v>
      </c>
    </row>
    <row r="3537" spans="1:5" x14ac:dyDescent="0.25">
      <c r="A3537" s="36" t="b">
        <v>0</v>
      </c>
      <c r="B3537" s="56" t="b">
        <v>0</v>
      </c>
      <c r="C3537" s="56" t="b">
        <v>0</v>
      </c>
      <c r="D3537" s="56" t="b">
        <v>0</v>
      </c>
      <c r="E3537" s="56">
        <f ca="1">IF(PV[[#This Row],[Business Date]]=Control!$C$6, PV[[#This Row],[Notional Value Local Cur]], -PV[[#This Row],[Notional Value Local Cur]])</f>
        <v>0</v>
      </c>
    </row>
    <row r="3538" spans="1:5" x14ac:dyDescent="0.25">
      <c r="A3538" s="36" t="b">
        <v>0</v>
      </c>
      <c r="B3538" s="56" t="b">
        <v>0</v>
      </c>
      <c r="C3538" s="56" t="b">
        <v>0</v>
      </c>
      <c r="D3538" s="56" t="b">
        <v>0</v>
      </c>
      <c r="E3538" s="56">
        <f ca="1">IF(PV[[#This Row],[Business Date]]=Control!$C$6, PV[[#This Row],[Notional Value Local Cur]], -PV[[#This Row],[Notional Value Local Cur]])</f>
        <v>0</v>
      </c>
    </row>
    <row r="3539" spans="1:5" x14ac:dyDescent="0.25">
      <c r="A3539" s="36" t="b">
        <v>0</v>
      </c>
      <c r="B3539" s="56" t="b">
        <v>0</v>
      </c>
      <c r="C3539" s="56" t="b">
        <v>0</v>
      </c>
      <c r="D3539" s="56" t="b">
        <v>0</v>
      </c>
      <c r="E3539" s="56">
        <f ca="1">IF(PV[[#This Row],[Business Date]]=Control!$C$6, PV[[#This Row],[Notional Value Local Cur]], -PV[[#This Row],[Notional Value Local Cur]])</f>
        <v>0</v>
      </c>
    </row>
    <row r="3540" spans="1:5" x14ac:dyDescent="0.25">
      <c r="A3540" s="36" t="b">
        <v>0</v>
      </c>
      <c r="B3540" s="56" t="b">
        <v>0</v>
      </c>
      <c r="C3540" s="56" t="b">
        <v>0</v>
      </c>
      <c r="D3540" s="56" t="b">
        <v>0</v>
      </c>
      <c r="E3540" s="56">
        <f ca="1">IF(PV[[#This Row],[Business Date]]=Control!$C$6, PV[[#This Row],[Notional Value Local Cur]], -PV[[#This Row],[Notional Value Local Cur]])</f>
        <v>0</v>
      </c>
    </row>
    <row r="3541" spans="1:5" x14ac:dyDescent="0.25">
      <c r="A3541" s="36" t="b">
        <v>0</v>
      </c>
      <c r="B3541" s="56" t="b">
        <v>0</v>
      </c>
      <c r="C3541" s="56" t="b">
        <v>0</v>
      </c>
      <c r="D3541" s="56" t="b">
        <v>0</v>
      </c>
      <c r="E3541" s="56">
        <f ca="1">IF(PV[[#This Row],[Business Date]]=Control!$C$6, PV[[#This Row],[Notional Value Local Cur]], -PV[[#This Row],[Notional Value Local Cur]])</f>
        <v>0</v>
      </c>
    </row>
    <row r="3542" spans="1:5" x14ac:dyDescent="0.25">
      <c r="A3542" s="36" t="b">
        <v>0</v>
      </c>
      <c r="B3542" s="56" t="b">
        <v>0</v>
      </c>
      <c r="C3542" s="56" t="b">
        <v>0</v>
      </c>
      <c r="D3542" s="56" t="b">
        <v>0</v>
      </c>
      <c r="E3542" s="56">
        <f ca="1">IF(PV[[#This Row],[Business Date]]=Control!$C$6, PV[[#This Row],[Notional Value Local Cur]], -PV[[#This Row],[Notional Value Local Cur]])</f>
        <v>0</v>
      </c>
    </row>
    <row r="3543" spans="1:5" x14ac:dyDescent="0.25">
      <c r="A3543" s="36" t="b">
        <v>0</v>
      </c>
      <c r="B3543" s="56" t="b">
        <v>0</v>
      </c>
      <c r="C3543" s="56" t="b">
        <v>0</v>
      </c>
      <c r="D3543" s="56" t="b">
        <v>0</v>
      </c>
      <c r="E3543" s="56">
        <f ca="1">IF(PV[[#This Row],[Business Date]]=Control!$C$6, PV[[#This Row],[Notional Value Local Cur]], -PV[[#This Row],[Notional Value Local Cur]])</f>
        <v>0</v>
      </c>
    </row>
    <row r="3544" spans="1:5" x14ac:dyDescent="0.25">
      <c r="A3544" s="36" t="b">
        <v>0</v>
      </c>
      <c r="B3544" s="56" t="b">
        <v>0</v>
      </c>
      <c r="C3544" s="56" t="b">
        <v>0</v>
      </c>
      <c r="D3544" s="56" t="b">
        <v>0</v>
      </c>
      <c r="E3544" s="56">
        <f ca="1">IF(PV[[#This Row],[Business Date]]=Control!$C$6, PV[[#This Row],[Notional Value Local Cur]], -PV[[#This Row],[Notional Value Local Cur]])</f>
        <v>0</v>
      </c>
    </row>
    <row r="3545" spans="1:5" x14ac:dyDescent="0.25">
      <c r="A3545" s="36" t="b">
        <v>0</v>
      </c>
      <c r="B3545" s="56" t="b">
        <v>0</v>
      </c>
      <c r="C3545" s="56" t="b">
        <v>0</v>
      </c>
      <c r="D3545" s="56" t="b">
        <v>0</v>
      </c>
      <c r="E3545" s="56">
        <f ca="1">IF(PV[[#This Row],[Business Date]]=Control!$C$6, PV[[#This Row],[Notional Value Local Cur]], -PV[[#This Row],[Notional Value Local Cur]])</f>
        <v>0</v>
      </c>
    </row>
    <row r="3546" spans="1:5" x14ac:dyDescent="0.25">
      <c r="A3546" s="36" t="b">
        <v>0</v>
      </c>
      <c r="B3546" s="56" t="b">
        <v>0</v>
      </c>
      <c r="C3546" s="56" t="b">
        <v>0</v>
      </c>
      <c r="D3546" s="56" t="b">
        <v>0</v>
      </c>
      <c r="E3546" s="56">
        <f ca="1">IF(PV[[#This Row],[Business Date]]=Control!$C$6, PV[[#This Row],[Notional Value Local Cur]], -PV[[#This Row],[Notional Value Local Cur]])</f>
        <v>0</v>
      </c>
    </row>
    <row r="3547" spans="1:5" x14ac:dyDescent="0.25">
      <c r="A3547" s="36" t="b">
        <v>0</v>
      </c>
      <c r="B3547" s="56" t="b">
        <v>0</v>
      </c>
      <c r="C3547" s="56" t="b">
        <v>0</v>
      </c>
      <c r="D3547" s="56" t="b">
        <v>0</v>
      </c>
      <c r="E3547" s="56">
        <f ca="1">IF(PV[[#This Row],[Business Date]]=Control!$C$6, PV[[#This Row],[Notional Value Local Cur]], -PV[[#This Row],[Notional Value Local Cur]])</f>
        <v>0</v>
      </c>
    </row>
    <row r="3548" spans="1:5" x14ac:dyDescent="0.25">
      <c r="A3548" s="36" t="b">
        <v>0</v>
      </c>
      <c r="B3548" s="56" t="b">
        <v>0</v>
      </c>
      <c r="C3548" s="56" t="b">
        <v>0</v>
      </c>
      <c r="D3548" s="56" t="b">
        <v>0</v>
      </c>
      <c r="E3548" s="56">
        <f ca="1">IF(PV[[#This Row],[Business Date]]=Control!$C$6, PV[[#This Row],[Notional Value Local Cur]], -PV[[#This Row],[Notional Value Local Cur]])</f>
        <v>0</v>
      </c>
    </row>
    <row r="3549" spans="1:5" x14ac:dyDescent="0.25">
      <c r="A3549" s="36" t="b">
        <v>0</v>
      </c>
      <c r="B3549" s="56" t="b">
        <v>0</v>
      </c>
      <c r="C3549" s="56" t="b">
        <v>0</v>
      </c>
      <c r="D3549" s="56" t="b">
        <v>0</v>
      </c>
      <c r="E3549" s="56">
        <f ca="1">IF(PV[[#This Row],[Business Date]]=Control!$C$6, PV[[#This Row],[Notional Value Local Cur]], -PV[[#This Row],[Notional Value Local Cur]])</f>
        <v>0</v>
      </c>
    </row>
    <row r="3550" spans="1:5" x14ac:dyDescent="0.25">
      <c r="A3550" s="36" t="b">
        <v>0</v>
      </c>
      <c r="B3550" s="56" t="b">
        <v>0</v>
      </c>
      <c r="C3550" s="56" t="b">
        <v>0</v>
      </c>
      <c r="D3550" s="56" t="b">
        <v>0</v>
      </c>
      <c r="E3550" s="56">
        <f ca="1">IF(PV[[#This Row],[Business Date]]=Control!$C$6, PV[[#This Row],[Notional Value Local Cur]], -PV[[#This Row],[Notional Value Local Cur]])</f>
        <v>0</v>
      </c>
    </row>
    <row r="3551" spans="1:5" x14ac:dyDescent="0.25">
      <c r="A3551" s="36" t="b">
        <v>0</v>
      </c>
      <c r="B3551" s="56" t="b">
        <v>0</v>
      </c>
      <c r="C3551" s="56" t="b">
        <v>0</v>
      </c>
      <c r="D3551" s="56" t="b">
        <v>0</v>
      </c>
      <c r="E3551" s="56">
        <f ca="1">IF(PV[[#This Row],[Business Date]]=Control!$C$6, PV[[#This Row],[Notional Value Local Cur]], -PV[[#This Row],[Notional Value Local Cur]])</f>
        <v>0</v>
      </c>
    </row>
    <row r="3552" spans="1:5" x14ac:dyDescent="0.25">
      <c r="A3552" s="36" t="b">
        <v>0</v>
      </c>
      <c r="B3552" s="56" t="b">
        <v>0</v>
      </c>
      <c r="C3552" s="56" t="b">
        <v>0</v>
      </c>
      <c r="D3552" s="56" t="b">
        <v>0</v>
      </c>
      <c r="E3552" s="56">
        <f ca="1">IF(PV[[#This Row],[Business Date]]=Control!$C$6, PV[[#This Row],[Notional Value Local Cur]], -PV[[#This Row],[Notional Value Local Cur]])</f>
        <v>0</v>
      </c>
    </row>
    <row r="3553" spans="1:5" x14ac:dyDescent="0.25">
      <c r="A3553" s="36" t="b">
        <v>0</v>
      </c>
      <c r="B3553" s="56" t="b">
        <v>0</v>
      </c>
      <c r="C3553" s="56" t="b">
        <v>0</v>
      </c>
      <c r="D3553" s="56" t="b">
        <v>0</v>
      </c>
      <c r="E3553" s="56">
        <f ca="1">IF(PV[[#This Row],[Business Date]]=Control!$C$6, PV[[#This Row],[Notional Value Local Cur]], -PV[[#This Row],[Notional Value Local Cur]])</f>
        <v>0</v>
      </c>
    </row>
    <row r="3554" spans="1:5" x14ac:dyDescent="0.25">
      <c r="A3554" s="36" t="b">
        <v>0</v>
      </c>
      <c r="B3554" s="56" t="b">
        <v>0</v>
      </c>
      <c r="C3554" s="56" t="b">
        <v>0</v>
      </c>
      <c r="D3554" s="56" t="b">
        <v>0</v>
      </c>
      <c r="E3554" s="56">
        <f ca="1">IF(PV[[#This Row],[Business Date]]=Control!$C$6, PV[[#This Row],[Notional Value Local Cur]], -PV[[#This Row],[Notional Value Local Cur]])</f>
        <v>0</v>
      </c>
    </row>
    <row r="3555" spans="1:5" x14ac:dyDescent="0.25">
      <c r="A3555" s="36" t="b">
        <v>0</v>
      </c>
      <c r="B3555" s="56" t="b">
        <v>0</v>
      </c>
      <c r="C3555" s="56" t="b">
        <v>0</v>
      </c>
      <c r="D3555" s="56" t="b">
        <v>0</v>
      </c>
      <c r="E3555" s="56">
        <f ca="1">IF(PV[[#This Row],[Business Date]]=Control!$C$6, PV[[#This Row],[Notional Value Local Cur]], -PV[[#This Row],[Notional Value Local Cur]])</f>
        <v>0</v>
      </c>
    </row>
    <row r="3556" spans="1:5" x14ac:dyDescent="0.25">
      <c r="A3556" s="36" t="b">
        <v>0</v>
      </c>
      <c r="B3556" s="56" t="b">
        <v>0</v>
      </c>
      <c r="C3556" s="56" t="b">
        <v>0</v>
      </c>
      <c r="D3556" s="56" t="b">
        <v>0</v>
      </c>
      <c r="E3556" s="56">
        <f ca="1">IF(PV[[#This Row],[Business Date]]=Control!$C$6, PV[[#This Row],[Notional Value Local Cur]], -PV[[#This Row],[Notional Value Local Cur]])</f>
        <v>0</v>
      </c>
    </row>
    <row r="3557" spans="1:5" x14ac:dyDescent="0.25">
      <c r="A3557" s="36" t="b">
        <v>0</v>
      </c>
      <c r="B3557" s="56" t="b">
        <v>0</v>
      </c>
      <c r="C3557" s="56" t="b">
        <v>0</v>
      </c>
      <c r="D3557" s="56" t="b">
        <v>0</v>
      </c>
      <c r="E3557" s="56">
        <f ca="1">IF(PV[[#This Row],[Business Date]]=Control!$C$6, PV[[#This Row],[Notional Value Local Cur]], -PV[[#This Row],[Notional Value Local Cur]])</f>
        <v>0</v>
      </c>
    </row>
    <row r="3558" spans="1:5" x14ac:dyDescent="0.25">
      <c r="A3558" s="36" t="b">
        <v>0</v>
      </c>
      <c r="B3558" s="56" t="b">
        <v>0</v>
      </c>
      <c r="C3558" s="56" t="b">
        <v>0</v>
      </c>
      <c r="D3558" s="56" t="b">
        <v>0</v>
      </c>
      <c r="E3558" s="56">
        <f ca="1">IF(PV[[#This Row],[Business Date]]=Control!$C$6, PV[[#This Row],[Notional Value Local Cur]], -PV[[#This Row],[Notional Value Local Cur]])</f>
        <v>0</v>
      </c>
    </row>
    <row r="3559" spans="1:5" x14ac:dyDescent="0.25">
      <c r="A3559" s="36" t="b">
        <v>0</v>
      </c>
      <c r="B3559" s="56" t="b">
        <v>0</v>
      </c>
      <c r="C3559" s="56" t="b">
        <v>0</v>
      </c>
      <c r="D3559" s="56" t="b">
        <v>0</v>
      </c>
      <c r="E3559" s="56">
        <f ca="1">IF(PV[[#This Row],[Business Date]]=Control!$C$6, PV[[#This Row],[Notional Value Local Cur]], -PV[[#This Row],[Notional Value Local Cur]])</f>
        <v>0</v>
      </c>
    </row>
    <row r="3560" spans="1:5" x14ac:dyDescent="0.25">
      <c r="A3560" s="36" t="b">
        <v>0</v>
      </c>
      <c r="B3560" s="56" t="b">
        <v>0</v>
      </c>
      <c r="C3560" s="56" t="b">
        <v>0</v>
      </c>
      <c r="D3560" s="56" t="b">
        <v>0</v>
      </c>
      <c r="E3560" s="56">
        <f ca="1">IF(PV[[#This Row],[Business Date]]=Control!$C$6, PV[[#This Row],[Notional Value Local Cur]], -PV[[#This Row],[Notional Value Local Cur]])</f>
        <v>0</v>
      </c>
    </row>
    <row r="3561" spans="1:5" x14ac:dyDescent="0.25">
      <c r="A3561" s="36" t="b">
        <v>0</v>
      </c>
      <c r="B3561" s="56" t="b">
        <v>0</v>
      </c>
      <c r="C3561" s="56" t="b">
        <v>0</v>
      </c>
      <c r="D3561" s="56" t="b">
        <v>0</v>
      </c>
      <c r="E3561" s="56">
        <f ca="1">IF(PV[[#This Row],[Business Date]]=Control!$C$6, PV[[#This Row],[Notional Value Local Cur]], -PV[[#This Row],[Notional Value Local Cur]])</f>
        <v>0</v>
      </c>
    </row>
    <row r="3562" spans="1:5" x14ac:dyDescent="0.25">
      <c r="A3562" s="36" t="b">
        <v>0</v>
      </c>
      <c r="B3562" s="56" t="b">
        <v>0</v>
      </c>
      <c r="C3562" s="56" t="b">
        <v>0</v>
      </c>
      <c r="D3562" s="56" t="b">
        <v>0</v>
      </c>
      <c r="E3562" s="56">
        <f ca="1">IF(PV[[#This Row],[Business Date]]=Control!$C$6, PV[[#This Row],[Notional Value Local Cur]], -PV[[#This Row],[Notional Value Local Cur]])</f>
        <v>0</v>
      </c>
    </row>
    <row r="3563" spans="1:5" x14ac:dyDescent="0.25">
      <c r="A3563" s="36" t="b">
        <v>0</v>
      </c>
      <c r="B3563" s="56" t="b">
        <v>0</v>
      </c>
      <c r="C3563" s="56" t="b">
        <v>0</v>
      </c>
      <c r="D3563" s="56" t="b">
        <v>0</v>
      </c>
      <c r="E3563" s="56">
        <f ca="1">IF(PV[[#This Row],[Business Date]]=Control!$C$6, PV[[#This Row],[Notional Value Local Cur]], -PV[[#This Row],[Notional Value Local Cur]])</f>
        <v>0</v>
      </c>
    </row>
    <row r="3564" spans="1:5" x14ac:dyDescent="0.25">
      <c r="A3564" s="36" t="b">
        <v>0</v>
      </c>
      <c r="B3564" s="56" t="b">
        <v>0</v>
      </c>
      <c r="C3564" s="56" t="b">
        <v>0</v>
      </c>
      <c r="D3564" s="56" t="b">
        <v>0</v>
      </c>
      <c r="E3564" s="56">
        <f ca="1">IF(PV[[#This Row],[Business Date]]=Control!$C$6, PV[[#This Row],[Notional Value Local Cur]], -PV[[#This Row],[Notional Value Local Cur]])</f>
        <v>0</v>
      </c>
    </row>
    <row r="3565" spans="1:5" x14ac:dyDescent="0.25">
      <c r="A3565" s="36" t="b">
        <v>0</v>
      </c>
      <c r="B3565" s="56" t="b">
        <v>0</v>
      </c>
      <c r="C3565" s="56" t="b">
        <v>0</v>
      </c>
      <c r="D3565" s="56" t="b">
        <v>0</v>
      </c>
      <c r="E3565" s="56">
        <f ca="1">IF(PV[[#This Row],[Business Date]]=Control!$C$6, PV[[#This Row],[Notional Value Local Cur]], -PV[[#This Row],[Notional Value Local Cur]])</f>
        <v>0</v>
      </c>
    </row>
    <row r="3566" spans="1:5" x14ac:dyDescent="0.25">
      <c r="A3566" s="36" t="b">
        <v>0</v>
      </c>
      <c r="B3566" s="56" t="b">
        <v>0</v>
      </c>
      <c r="C3566" s="56" t="b">
        <v>0</v>
      </c>
      <c r="D3566" s="56" t="b">
        <v>0</v>
      </c>
      <c r="E3566" s="56">
        <f ca="1">IF(PV[[#This Row],[Business Date]]=Control!$C$6, PV[[#This Row],[Notional Value Local Cur]], -PV[[#This Row],[Notional Value Local Cur]])</f>
        <v>0</v>
      </c>
    </row>
    <row r="3567" spans="1:5" x14ac:dyDescent="0.25">
      <c r="A3567" s="36" t="b">
        <v>0</v>
      </c>
      <c r="B3567" s="56" t="b">
        <v>0</v>
      </c>
      <c r="C3567" s="56" t="b">
        <v>0</v>
      </c>
      <c r="D3567" s="56" t="b">
        <v>0</v>
      </c>
      <c r="E3567" s="56">
        <f ca="1">IF(PV[[#This Row],[Business Date]]=Control!$C$6, PV[[#This Row],[Notional Value Local Cur]], -PV[[#This Row],[Notional Value Local Cur]])</f>
        <v>0</v>
      </c>
    </row>
    <row r="3568" spans="1:5" x14ac:dyDescent="0.25">
      <c r="A3568" s="36" t="b">
        <v>0</v>
      </c>
      <c r="B3568" s="56" t="b">
        <v>0</v>
      </c>
      <c r="C3568" s="56" t="b">
        <v>0</v>
      </c>
      <c r="D3568" s="56" t="b">
        <v>0</v>
      </c>
      <c r="E3568" s="56">
        <f ca="1">IF(PV[[#This Row],[Business Date]]=Control!$C$6, PV[[#This Row],[Notional Value Local Cur]], -PV[[#This Row],[Notional Value Local Cur]])</f>
        <v>0</v>
      </c>
    </row>
    <row r="3569" spans="1:5" x14ac:dyDescent="0.25">
      <c r="A3569" s="36" t="b">
        <v>0</v>
      </c>
      <c r="B3569" s="56" t="b">
        <v>0</v>
      </c>
      <c r="C3569" s="56" t="b">
        <v>0</v>
      </c>
      <c r="D3569" s="56" t="b">
        <v>0</v>
      </c>
      <c r="E3569" s="56">
        <f ca="1">IF(PV[[#This Row],[Business Date]]=Control!$C$6, PV[[#This Row],[Notional Value Local Cur]], -PV[[#This Row],[Notional Value Local Cur]])</f>
        <v>0</v>
      </c>
    </row>
    <row r="3570" spans="1:5" x14ac:dyDescent="0.25">
      <c r="A3570" s="36" t="b">
        <v>0</v>
      </c>
      <c r="B3570" s="56" t="b">
        <v>0</v>
      </c>
      <c r="C3570" s="56" t="b">
        <v>0</v>
      </c>
      <c r="D3570" s="56" t="b">
        <v>0</v>
      </c>
      <c r="E3570" s="56">
        <f ca="1">IF(PV[[#This Row],[Business Date]]=Control!$C$6, PV[[#This Row],[Notional Value Local Cur]], -PV[[#This Row],[Notional Value Local Cur]])</f>
        <v>0</v>
      </c>
    </row>
    <row r="3571" spans="1:5" x14ac:dyDescent="0.25">
      <c r="A3571" s="36" t="b">
        <v>0</v>
      </c>
      <c r="B3571" s="56" t="b">
        <v>0</v>
      </c>
      <c r="C3571" s="56" t="b">
        <v>0</v>
      </c>
      <c r="D3571" s="56" t="b">
        <v>0</v>
      </c>
      <c r="E3571" s="56">
        <f ca="1">IF(PV[[#This Row],[Business Date]]=Control!$C$6, PV[[#This Row],[Notional Value Local Cur]], -PV[[#This Row],[Notional Value Local Cur]])</f>
        <v>0</v>
      </c>
    </row>
    <row r="3572" spans="1:5" x14ac:dyDescent="0.25">
      <c r="A3572" s="36" t="b">
        <v>0</v>
      </c>
      <c r="B3572" s="56" t="b">
        <v>0</v>
      </c>
      <c r="C3572" s="56" t="b">
        <v>0</v>
      </c>
      <c r="D3572" s="56" t="b">
        <v>0</v>
      </c>
      <c r="E3572" s="56">
        <f ca="1">IF(PV[[#This Row],[Business Date]]=Control!$C$6, PV[[#This Row],[Notional Value Local Cur]], -PV[[#This Row],[Notional Value Local Cur]])</f>
        <v>0</v>
      </c>
    </row>
    <row r="3573" spans="1:5" x14ac:dyDescent="0.25">
      <c r="A3573" s="36" t="b">
        <v>0</v>
      </c>
      <c r="B3573" s="56" t="b">
        <v>0</v>
      </c>
      <c r="C3573" s="56" t="b">
        <v>0</v>
      </c>
      <c r="D3573" s="56" t="b">
        <v>0</v>
      </c>
      <c r="E3573" s="56">
        <f ca="1">IF(PV[[#This Row],[Business Date]]=Control!$C$6, PV[[#This Row],[Notional Value Local Cur]], -PV[[#This Row],[Notional Value Local Cur]])</f>
        <v>0</v>
      </c>
    </row>
    <row r="3574" spans="1:5" x14ac:dyDescent="0.25">
      <c r="A3574" s="36" t="b">
        <v>0</v>
      </c>
      <c r="B3574" s="56" t="b">
        <v>0</v>
      </c>
      <c r="C3574" s="56" t="b">
        <v>0</v>
      </c>
      <c r="D3574" s="56" t="b">
        <v>0</v>
      </c>
      <c r="E3574" s="56">
        <f ca="1">IF(PV[[#This Row],[Business Date]]=Control!$C$6, PV[[#This Row],[Notional Value Local Cur]], -PV[[#This Row],[Notional Value Local Cur]])</f>
        <v>0</v>
      </c>
    </row>
    <row r="3575" spans="1:5" x14ac:dyDescent="0.25">
      <c r="A3575" s="36" t="b">
        <v>0</v>
      </c>
      <c r="B3575" s="56" t="b">
        <v>0</v>
      </c>
      <c r="C3575" s="56" t="b">
        <v>0</v>
      </c>
      <c r="D3575" s="56" t="b">
        <v>0</v>
      </c>
      <c r="E3575" s="56">
        <f ca="1">IF(PV[[#This Row],[Business Date]]=Control!$C$6, PV[[#This Row],[Notional Value Local Cur]], -PV[[#This Row],[Notional Value Local Cur]])</f>
        <v>0</v>
      </c>
    </row>
    <row r="3576" spans="1:5" x14ac:dyDescent="0.25">
      <c r="A3576" s="36" t="b">
        <v>0</v>
      </c>
      <c r="B3576" s="56" t="b">
        <v>0</v>
      </c>
      <c r="C3576" s="56" t="b">
        <v>0</v>
      </c>
      <c r="D3576" s="56" t="b">
        <v>0</v>
      </c>
      <c r="E3576" s="56">
        <f ca="1">IF(PV[[#This Row],[Business Date]]=Control!$C$6, PV[[#This Row],[Notional Value Local Cur]], -PV[[#This Row],[Notional Value Local Cur]])</f>
        <v>0</v>
      </c>
    </row>
    <row r="3577" spans="1:5" x14ac:dyDescent="0.25">
      <c r="A3577" s="36" t="b">
        <v>0</v>
      </c>
      <c r="B3577" s="56" t="b">
        <v>0</v>
      </c>
      <c r="C3577" s="56" t="b">
        <v>0</v>
      </c>
      <c r="D3577" s="56" t="b">
        <v>0</v>
      </c>
      <c r="E3577" s="56">
        <f ca="1">IF(PV[[#This Row],[Business Date]]=Control!$C$6, PV[[#This Row],[Notional Value Local Cur]], -PV[[#This Row],[Notional Value Local Cur]])</f>
        <v>0</v>
      </c>
    </row>
    <row r="3578" spans="1:5" x14ac:dyDescent="0.25">
      <c r="A3578" s="36" t="b">
        <v>0</v>
      </c>
      <c r="B3578" s="56" t="b">
        <v>0</v>
      </c>
      <c r="C3578" s="56" t="b">
        <v>0</v>
      </c>
      <c r="D3578" s="56" t="b">
        <v>0</v>
      </c>
      <c r="E3578" s="56">
        <f ca="1">IF(PV[[#This Row],[Business Date]]=Control!$C$6, PV[[#This Row],[Notional Value Local Cur]], -PV[[#This Row],[Notional Value Local Cur]])</f>
        <v>0</v>
      </c>
    </row>
    <row r="3579" spans="1:5" x14ac:dyDescent="0.25">
      <c r="A3579" s="36" t="b">
        <v>0</v>
      </c>
      <c r="B3579" s="56" t="b">
        <v>0</v>
      </c>
      <c r="C3579" s="56" t="b">
        <v>0</v>
      </c>
      <c r="D3579" s="56" t="b">
        <v>0</v>
      </c>
      <c r="E3579" s="56">
        <f ca="1">IF(PV[[#This Row],[Business Date]]=Control!$C$6, PV[[#This Row],[Notional Value Local Cur]], -PV[[#This Row],[Notional Value Local Cur]])</f>
        <v>0</v>
      </c>
    </row>
    <row r="3580" spans="1:5" x14ac:dyDescent="0.25">
      <c r="A3580" s="36" t="b">
        <v>0</v>
      </c>
      <c r="B3580" s="56" t="b">
        <v>0</v>
      </c>
      <c r="C3580" s="56" t="b">
        <v>0</v>
      </c>
      <c r="D3580" s="56" t="b">
        <v>0</v>
      </c>
      <c r="E3580" s="56">
        <f ca="1">IF(PV[[#This Row],[Business Date]]=Control!$C$6, PV[[#This Row],[Notional Value Local Cur]], -PV[[#This Row],[Notional Value Local Cur]])</f>
        <v>0</v>
      </c>
    </row>
    <row r="3581" spans="1:5" x14ac:dyDescent="0.25">
      <c r="A3581" s="36" t="b">
        <v>0</v>
      </c>
      <c r="B3581" s="56" t="b">
        <v>0</v>
      </c>
      <c r="C3581" s="56" t="b">
        <v>0</v>
      </c>
      <c r="D3581" s="56" t="b">
        <v>0</v>
      </c>
      <c r="E3581" s="56">
        <f ca="1">IF(PV[[#This Row],[Business Date]]=Control!$C$6, PV[[#This Row],[Notional Value Local Cur]], -PV[[#This Row],[Notional Value Local Cur]])</f>
        <v>0</v>
      </c>
    </row>
    <row r="3582" spans="1:5" x14ac:dyDescent="0.25">
      <c r="A3582" s="36" t="b">
        <v>0</v>
      </c>
      <c r="B3582" s="56" t="b">
        <v>0</v>
      </c>
      <c r="C3582" s="56" t="b">
        <v>0</v>
      </c>
      <c r="D3582" s="56" t="b">
        <v>0</v>
      </c>
      <c r="E3582" s="56">
        <f ca="1">IF(PV[[#This Row],[Business Date]]=Control!$C$6, PV[[#This Row],[Notional Value Local Cur]], -PV[[#This Row],[Notional Value Local Cur]])</f>
        <v>0</v>
      </c>
    </row>
    <row r="3583" spans="1:5" x14ac:dyDescent="0.25">
      <c r="A3583" s="36" t="b">
        <v>0</v>
      </c>
      <c r="B3583" s="56" t="b">
        <v>0</v>
      </c>
      <c r="C3583" s="56" t="b">
        <v>0</v>
      </c>
      <c r="D3583" s="56" t="b">
        <v>0</v>
      </c>
      <c r="E3583" s="56">
        <f ca="1">IF(PV[[#This Row],[Business Date]]=Control!$C$6, PV[[#This Row],[Notional Value Local Cur]], -PV[[#This Row],[Notional Value Local Cur]])</f>
        <v>0</v>
      </c>
    </row>
    <row r="3584" spans="1:5" x14ac:dyDescent="0.25">
      <c r="A3584" s="36" t="b">
        <v>0</v>
      </c>
      <c r="B3584" s="56" t="b">
        <v>0</v>
      </c>
      <c r="C3584" s="56" t="b">
        <v>0</v>
      </c>
      <c r="D3584" s="56" t="b">
        <v>0</v>
      </c>
      <c r="E3584" s="56">
        <f ca="1">IF(PV[[#This Row],[Business Date]]=Control!$C$6, PV[[#This Row],[Notional Value Local Cur]], -PV[[#This Row],[Notional Value Local Cur]])</f>
        <v>0</v>
      </c>
    </row>
    <row r="3585" spans="1:5" x14ac:dyDescent="0.25">
      <c r="A3585" s="36" t="b">
        <v>0</v>
      </c>
      <c r="B3585" s="56" t="b">
        <v>0</v>
      </c>
      <c r="C3585" s="56" t="b">
        <v>0</v>
      </c>
      <c r="D3585" s="56" t="b">
        <v>0</v>
      </c>
      <c r="E3585" s="56">
        <f ca="1">IF(PV[[#This Row],[Business Date]]=Control!$C$6, PV[[#This Row],[Notional Value Local Cur]], -PV[[#This Row],[Notional Value Local Cur]])</f>
        <v>0</v>
      </c>
    </row>
    <row r="3586" spans="1:5" x14ac:dyDescent="0.25">
      <c r="A3586" s="36" t="b">
        <v>0</v>
      </c>
      <c r="B3586" s="56" t="b">
        <v>0</v>
      </c>
      <c r="C3586" s="56" t="b">
        <v>0</v>
      </c>
      <c r="D3586" s="56" t="b">
        <v>0</v>
      </c>
      <c r="E3586" s="56">
        <f ca="1">IF(PV[[#This Row],[Business Date]]=Control!$C$6, PV[[#This Row],[Notional Value Local Cur]], -PV[[#This Row],[Notional Value Local Cur]])</f>
        <v>0</v>
      </c>
    </row>
    <row r="3587" spans="1:5" x14ac:dyDescent="0.25">
      <c r="A3587" s="36" t="b">
        <v>0</v>
      </c>
      <c r="B3587" s="56" t="b">
        <v>0</v>
      </c>
      <c r="C3587" s="56" t="b">
        <v>0</v>
      </c>
      <c r="D3587" s="56" t="b">
        <v>0</v>
      </c>
      <c r="E3587" s="56">
        <f ca="1">IF(PV[[#This Row],[Business Date]]=Control!$C$6, PV[[#This Row],[Notional Value Local Cur]], -PV[[#This Row],[Notional Value Local Cur]])</f>
        <v>0</v>
      </c>
    </row>
    <row r="3588" spans="1:5" x14ac:dyDescent="0.25">
      <c r="A3588" s="36" t="b">
        <v>0</v>
      </c>
      <c r="B3588" s="56" t="b">
        <v>0</v>
      </c>
      <c r="C3588" s="56" t="b">
        <v>0</v>
      </c>
      <c r="D3588" s="56" t="b">
        <v>0</v>
      </c>
      <c r="E3588" s="56">
        <f ca="1">IF(PV[[#This Row],[Business Date]]=Control!$C$6, PV[[#This Row],[Notional Value Local Cur]], -PV[[#This Row],[Notional Value Local Cur]])</f>
        <v>0</v>
      </c>
    </row>
    <row r="3589" spans="1:5" x14ac:dyDescent="0.25">
      <c r="A3589" s="36" t="b">
        <v>0</v>
      </c>
      <c r="B3589" s="56" t="b">
        <v>0</v>
      </c>
      <c r="C3589" s="56" t="b">
        <v>0</v>
      </c>
      <c r="D3589" s="56" t="b">
        <v>0</v>
      </c>
      <c r="E3589" s="56">
        <f ca="1">IF(PV[[#This Row],[Business Date]]=Control!$C$6, PV[[#This Row],[Notional Value Local Cur]], -PV[[#This Row],[Notional Value Local Cur]])</f>
        <v>0</v>
      </c>
    </row>
    <row r="3590" spans="1:5" x14ac:dyDescent="0.25">
      <c r="A3590" s="36" t="b">
        <v>0</v>
      </c>
      <c r="B3590" s="56" t="b">
        <v>0</v>
      </c>
      <c r="C3590" s="56" t="b">
        <v>0</v>
      </c>
      <c r="D3590" s="56" t="b">
        <v>0</v>
      </c>
      <c r="E3590" s="56">
        <f ca="1">IF(PV[[#This Row],[Business Date]]=Control!$C$6, PV[[#This Row],[Notional Value Local Cur]], -PV[[#This Row],[Notional Value Local Cur]])</f>
        <v>0</v>
      </c>
    </row>
    <row r="3591" spans="1:5" x14ac:dyDescent="0.25">
      <c r="A3591" s="36" t="b">
        <v>0</v>
      </c>
      <c r="B3591" s="56" t="b">
        <v>0</v>
      </c>
      <c r="C3591" s="56" t="b">
        <v>0</v>
      </c>
      <c r="D3591" s="56" t="b">
        <v>0</v>
      </c>
      <c r="E3591" s="56">
        <f ca="1">IF(PV[[#This Row],[Business Date]]=Control!$C$6, PV[[#This Row],[Notional Value Local Cur]], -PV[[#This Row],[Notional Value Local Cur]])</f>
        <v>0</v>
      </c>
    </row>
    <row r="3592" spans="1:5" x14ac:dyDescent="0.25">
      <c r="A3592" s="36" t="b">
        <v>0</v>
      </c>
      <c r="B3592" s="56" t="b">
        <v>0</v>
      </c>
      <c r="C3592" s="56" t="b">
        <v>0</v>
      </c>
      <c r="D3592" s="56" t="b">
        <v>0</v>
      </c>
      <c r="E3592" s="56">
        <f ca="1">IF(PV[[#This Row],[Business Date]]=Control!$C$6, PV[[#This Row],[Notional Value Local Cur]], -PV[[#This Row],[Notional Value Local Cur]])</f>
        <v>0</v>
      </c>
    </row>
    <row r="3593" spans="1:5" x14ac:dyDescent="0.25">
      <c r="A3593" s="36" t="b">
        <v>0</v>
      </c>
      <c r="B3593" s="56" t="b">
        <v>0</v>
      </c>
      <c r="C3593" s="56" t="b">
        <v>0</v>
      </c>
      <c r="D3593" s="56" t="b">
        <v>0</v>
      </c>
      <c r="E3593" s="56">
        <f ca="1">IF(PV[[#This Row],[Business Date]]=Control!$C$6, PV[[#This Row],[Notional Value Local Cur]], -PV[[#This Row],[Notional Value Local Cur]])</f>
        <v>0</v>
      </c>
    </row>
    <row r="3594" spans="1:5" x14ac:dyDescent="0.25">
      <c r="A3594" s="36" t="b">
        <v>0</v>
      </c>
      <c r="B3594" s="56" t="b">
        <v>0</v>
      </c>
      <c r="C3594" s="56" t="b">
        <v>0</v>
      </c>
      <c r="D3594" s="56" t="b">
        <v>0</v>
      </c>
      <c r="E3594" s="56">
        <f ca="1">IF(PV[[#This Row],[Business Date]]=Control!$C$6, PV[[#This Row],[Notional Value Local Cur]], -PV[[#This Row],[Notional Value Local Cur]])</f>
        <v>0</v>
      </c>
    </row>
    <row r="3595" spans="1:5" x14ac:dyDescent="0.25">
      <c r="A3595" s="36" t="b">
        <v>0</v>
      </c>
      <c r="B3595" s="56" t="b">
        <v>0</v>
      </c>
      <c r="C3595" s="56" t="b">
        <v>0</v>
      </c>
      <c r="D3595" s="56" t="b">
        <v>0</v>
      </c>
      <c r="E3595" s="56">
        <f ca="1">IF(PV[[#This Row],[Business Date]]=Control!$C$6, PV[[#This Row],[Notional Value Local Cur]], -PV[[#This Row],[Notional Value Local Cur]])</f>
        <v>0</v>
      </c>
    </row>
    <row r="3596" spans="1:5" x14ac:dyDescent="0.25">
      <c r="A3596" s="36" t="b">
        <v>0</v>
      </c>
      <c r="B3596" s="56" t="b">
        <v>0</v>
      </c>
      <c r="C3596" s="56" t="b">
        <v>0</v>
      </c>
      <c r="D3596" s="56" t="b">
        <v>0</v>
      </c>
      <c r="E3596" s="56">
        <f ca="1">IF(PV[[#This Row],[Business Date]]=Control!$C$6, PV[[#This Row],[Notional Value Local Cur]], -PV[[#This Row],[Notional Value Local Cur]])</f>
        <v>0</v>
      </c>
    </row>
    <row r="3597" spans="1:5" x14ac:dyDescent="0.25">
      <c r="A3597" s="36" t="b">
        <v>0</v>
      </c>
      <c r="B3597" s="56" t="b">
        <v>0</v>
      </c>
      <c r="C3597" s="56" t="b">
        <v>0</v>
      </c>
      <c r="D3597" s="56" t="b">
        <v>0</v>
      </c>
      <c r="E3597" s="56">
        <f ca="1">IF(PV[[#This Row],[Business Date]]=Control!$C$6, PV[[#This Row],[Notional Value Local Cur]], -PV[[#This Row],[Notional Value Local Cur]])</f>
        <v>0</v>
      </c>
    </row>
    <row r="3598" spans="1:5" x14ac:dyDescent="0.25">
      <c r="A3598" s="36" t="b">
        <v>0</v>
      </c>
      <c r="B3598" s="56" t="b">
        <v>0</v>
      </c>
      <c r="C3598" s="56" t="b">
        <v>0</v>
      </c>
      <c r="D3598" s="56" t="b">
        <v>0</v>
      </c>
      <c r="E3598" s="56">
        <f ca="1">IF(PV[[#This Row],[Business Date]]=Control!$C$6, PV[[#This Row],[Notional Value Local Cur]], -PV[[#This Row],[Notional Value Local Cur]])</f>
        <v>0</v>
      </c>
    </row>
    <row r="3599" spans="1:5" x14ac:dyDescent="0.25">
      <c r="A3599" s="36" t="b">
        <v>0</v>
      </c>
      <c r="B3599" s="56" t="b">
        <v>0</v>
      </c>
      <c r="C3599" s="56" t="b">
        <v>0</v>
      </c>
      <c r="D3599" s="56" t="b">
        <v>0</v>
      </c>
      <c r="E3599" s="56">
        <f ca="1">IF(PV[[#This Row],[Business Date]]=Control!$C$6, PV[[#This Row],[Notional Value Local Cur]], -PV[[#This Row],[Notional Value Local Cur]])</f>
        <v>0</v>
      </c>
    </row>
    <row r="3600" spans="1:5" x14ac:dyDescent="0.25">
      <c r="A3600" s="36" t="b">
        <v>0</v>
      </c>
      <c r="B3600" s="56" t="b">
        <v>0</v>
      </c>
      <c r="C3600" s="56" t="b">
        <v>0</v>
      </c>
      <c r="D3600" s="56" t="b">
        <v>0</v>
      </c>
      <c r="E3600" s="56">
        <f ca="1">IF(PV[[#This Row],[Business Date]]=Control!$C$6, PV[[#This Row],[Notional Value Local Cur]], -PV[[#This Row],[Notional Value Local Cur]])</f>
        <v>0</v>
      </c>
    </row>
    <row r="3601" spans="1:5" x14ac:dyDescent="0.25">
      <c r="A3601" s="36" t="b">
        <v>0</v>
      </c>
      <c r="B3601" s="56" t="b">
        <v>0</v>
      </c>
      <c r="C3601" s="56" t="b">
        <v>0</v>
      </c>
      <c r="D3601" s="56" t="b">
        <v>0</v>
      </c>
      <c r="E3601" s="56">
        <f ca="1">IF(PV[[#This Row],[Business Date]]=Control!$C$6, PV[[#This Row],[Notional Value Local Cur]], -PV[[#This Row],[Notional Value Local Cur]])</f>
        <v>0</v>
      </c>
    </row>
    <row r="3602" spans="1:5" x14ac:dyDescent="0.25">
      <c r="A3602" s="36" t="b">
        <v>0</v>
      </c>
      <c r="B3602" s="56" t="b">
        <v>0</v>
      </c>
      <c r="C3602" s="56" t="b">
        <v>0</v>
      </c>
      <c r="D3602" s="56" t="b">
        <v>0</v>
      </c>
      <c r="E3602" s="56">
        <f ca="1">IF(PV[[#This Row],[Business Date]]=Control!$C$6, PV[[#This Row],[Notional Value Local Cur]], -PV[[#This Row],[Notional Value Local Cur]])</f>
        <v>0</v>
      </c>
    </row>
    <row r="3603" spans="1:5" x14ac:dyDescent="0.25">
      <c r="A3603" s="36" t="b">
        <v>0</v>
      </c>
      <c r="B3603" s="56" t="b">
        <v>0</v>
      </c>
      <c r="C3603" s="56" t="b">
        <v>0</v>
      </c>
      <c r="D3603" s="56" t="b">
        <v>0</v>
      </c>
      <c r="E3603" s="56">
        <f ca="1">IF(PV[[#This Row],[Business Date]]=Control!$C$6, PV[[#This Row],[Notional Value Local Cur]], -PV[[#This Row],[Notional Value Local Cur]])</f>
        <v>0</v>
      </c>
    </row>
    <row r="3604" spans="1:5" x14ac:dyDescent="0.25">
      <c r="A3604" s="36" t="b">
        <v>0</v>
      </c>
      <c r="B3604" s="56" t="b">
        <v>0</v>
      </c>
      <c r="C3604" s="56" t="b">
        <v>0</v>
      </c>
      <c r="D3604" s="56" t="b">
        <v>0</v>
      </c>
      <c r="E3604" s="56">
        <f ca="1">IF(PV[[#This Row],[Business Date]]=Control!$C$6, PV[[#This Row],[Notional Value Local Cur]], -PV[[#This Row],[Notional Value Local Cur]])</f>
        <v>0</v>
      </c>
    </row>
    <row r="3605" spans="1:5" x14ac:dyDescent="0.25">
      <c r="A3605" s="36" t="b">
        <v>0</v>
      </c>
      <c r="B3605" s="56" t="b">
        <v>0</v>
      </c>
      <c r="C3605" s="56" t="b">
        <v>0</v>
      </c>
      <c r="D3605" s="56" t="b">
        <v>0</v>
      </c>
      <c r="E3605" s="56">
        <f ca="1">IF(PV[[#This Row],[Business Date]]=Control!$C$6, PV[[#This Row],[Notional Value Local Cur]], -PV[[#This Row],[Notional Value Local Cur]])</f>
        <v>0</v>
      </c>
    </row>
    <row r="3606" spans="1:5" x14ac:dyDescent="0.25">
      <c r="A3606" s="36" t="b">
        <v>0</v>
      </c>
      <c r="B3606" s="56" t="b">
        <v>0</v>
      </c>
      <c r="C3606" s="56" t="b">
        <v>0</v>
      </c>
      <c r="D3606" s="56" t="b">
        <v>0</v>
      </c>
      <c r="E3606" s="56">
        <f ca="1">IF(PV[[#This Row],[Business Date]]=Control!$C$6, PV[[#This Row],[Notional Value Local Cur]], -PV[[#This Row],[Notional Value Local Cur]])</f>
        <v>0</v>
      </c>
    </row>
    <row r="3607" spans="1:5" x14ac:dyDescent="0.25">
      <c r="A3607" s="36" t="b">
        <v>0</v>
      </c>
      <c r="B3607" s="56" t="b">
        <v>0</v>
      </c>
      <c r="C3607" s="56" t="b">
        <v>0</v>
      </c>
      <c r="D3607" s="56" t="b">
        <v>0</v>
      </c>
      <c r="E3607" s="56">
        <f ca="1">IF(PV[[#This Row],[Business Date]]=Control!$C$6, PV[[#This Row],[Notional Value Local Cur]], -PV[[#This Row],[Notional Value Local Cur]])</f>
        <v>0</v>
      </c>
    </row>
    <row r="3608" spans="1:5" x14ac:dyDescent="0.25">
      <c r="A3608" s="36" t="b">
        <v>0</v>
      </c>
      <c r="B3608" s="56" t="b">
        <v>0</v>
      </c>
      <c r="C3608" s="56" t="b">
        <v>0</v>
      </c>
      <c r="D3608" s="56" t="b">
        <v>0</v>
      </c>
      <c r="E3608" s="56">
        <f ca="1">IF(PV[[#This Row],[Business Date]]=Control!$C$6, PV[[#This Row],[Notional Value Local Cur]], -PV[[#This Row],[Notional Value Local Cur]])</f>
        <v>0</v>
      </c>
    </row>
    <row r="3609" spans="1:5" x14ac:dyDescent="0.25">
      <c r="A3609" s="36" t="b">
        <v>0</v>
      </c>
      <c r="B3609" s="56" t="b">
        <v>0</v>
      </c>
      <c r="C3609" s="56" t="b">
        <v>0</v>
      </c>
      <c r="D3609" s="56" t="b">
        <v>0</v>
      </c>
      <c r="E3609" s="56">
        <f ca="1">IF(PV[[#This Row],[Business Date]]=Control!$C$6, PV[[#This Row],[Notional Value Local Cur]], -PV[[#This Row],[Notional Value Local Cur]])</f>
        <v>0</v>
      </c>
    </row>
    <row r="3610" spans="1:5" x14ac:dyDescent="0.25">
      <c r="A3610" s="36" t="b">
        <v>0</v>
      </c>
      <c r="B3610" s="56" t="b">
        <v>0</v>
      </c>
      <c r="C3610" s="56" t="b">
        <v>0</v>
      </c>
      <c r="D3610" s="56" t="b">
        <v>0</v>
      </c>
      <c r="E3610" s="56">
        <f ca="1">IF(PV[[#This Row],[Business Date]]=Control!$C$6, PV[[#This Row],[Notional Value Local Cur]], -PV[[#This Row],[Notional Value Local Cur]])</f>
        <v>0</v>
      </c>
    </row>
    <row r="3611" spans="1:5" x14ac:dyDescent="0.25">
      <c r="A3611" s="36" t="b">
        <v>0</v>
      </c>
      <c r="B3611" s="56" t="b">
        <v>0</v>
      </c>
      <c r="C3611" s="56" t="b">
        <v>0</v>
      </c>
      <c r="D3611" s="56" t="b">
        <v>0</v>
      </c>
      <c r="E3611" s="56">
        <f ca="1">IF(PV[[#This Row],[Business Date]]=Control!$C$6, PV[[#This Row],[Notional Value Local Cur]], -PV[[#This Row],[Notional Value Local Cur]])</f>
        <v>0</v>
      </c>
    </row>
    <row r="3612" spans="1:5" x14ac:dyDescent="0.25">
      <c r="A3612" s="36" t="b">
        <v>0</v>
      </c>
      <c r="B3612" s="56" t="b">
        <v>0</v>
      </c>
      <c r="C3612" s="56" t="b">
        <v>0</v>
      </c>
      <c r="D3612" s="56" t="b">
        <v>0</v>
      </c>
      <c r="E3612" s="56">
        <f ca="1">IF(PV[[#This Row],[Business Date]]=Control!$C$6, PV[[#This Row],[Notional Value Local Cur]], -PV[[#This Row],[Notional Value Local Cur]])</f>
        <v>0</v>
      </c>
    </row>
    <row r="3613" spans="1:5" x14ac:dyDescent="0.25">
      <c r="A3613" s="36" t="b">
        <v>0</v>
      </c>
      <c r="B3613" s="56" t="b">
        <v>0</v>
      </c>
      <c r="C3613" s="56" t="b">
        <v>0</v>
      </c>
      <c r="D3613" s="56" t="b">
        <v>0</v>
      </c>
      <c r="E3613" s="56">
        <f ca="1">IF(PV[[#This Row],[Business Date]]=Control!$C$6, PV[[#This Row],[Notional Value Local Cur]], -PV[[#This Row],[Notional Value Local Cur]])</f>
        <v>0</v>
      </c>
    </row>
    <row r="3614" spans="1:5" x14ac:dyDescent="0.25">
      <c r="A3614" s="36" t="b">
        <v>0</v>
      </c>
      <c r="B3614" s="56" t="b">
        <v>0</v>
      </c>
      <c r="C3614" s="56" t="b">
        <v>0</v>
      </c>
      <c r="D3614" s="56" t="b">
        <v>0</v>
      </c>
      <c r="E3614" s="56">
        <f ca="1">IF(PV[[#This Row],[Business Date]]=Control!$C$6, PV[[#This Row],[Notional Value Local Cur]], -PV[[#This Row],[Notional Value Local Cur]])</f>
        <v>0</v>
      </c>
    </row>
    <row r="3615" spans="1:5" x14ac:dyDescent="0.25">
      <c r="A3615" s="36" t="b">
        <v>0</v>
      </c>
      <c r="B3615" s="56" t="b">
        <v>0</v>
      </c>
      <c r="C3615" s="56" t="b">
        <v>0</v>
      </c>
      <c r="D3615" s="56" t="b">
        <v>0</v>
      </c>
      <c r="E3615" s="56">
        <f ca="1">IF(PV[[#This Row],[Business Date]]=Control!$C$6, PV[[#This Row],[Notional Value Local Cur]], -PV[[#This Row],[Notional Value Local Cur]])</f>
        <v>0</v>
      </c>
    </row>
    <row r="3616" spans="1:5" x14ac:dyDescent="0.25">
      <c r="A3616" s="36" t="b">
        <v>0</v>
      </c>
      <c r="B3616" s="56" t="b">
        <v>0</v>
      </c>
      <c r="C3616" s="56" t="b">
        <v>0</v>
      </c>
      <c r="D3616" s="56" t="b">
        <v>0</v>
      </c>
      <c r="E3616" s="56">
        <f ca="1">IF(PV[[#This Row],[Business Date]]=Control!$C$6, PV[[#This Row],[Notional Value Local Cur]], -PV[[#This Row],[Notional Value Local Cur]])</f>
        <v>0</v>
      </c>
    </row>
    <row r="3617" spans="1:5" x14ac:dyDescent="0.25">
      <c r="A3617" s="36" t="b">
        <v>0</v>
      </c>
      <c r="B3617" s="56" t="b">
        <v>0</v>
      </c>
      <c r="C3617" s="56" t="b">
        <v>0</v>
      </c>
      <c r="D3617" s="56" t="b">
        <v>0</v>
      </c>
      <c r="E3617" s="56">
        <f ca="1">IF(PV[[#This Row],[Business Date]]=Control!$C$6, PV[[#This Row],[Notional Value Local Cur]], -PV[[#This Row],[Notional Value Local Cur]])</f>
        <v>0</v>
      </c>
    </row>
    <row r="3618" spans="1:5" x14ac:dyDescent="0.25">
      <c r="A3618" s="36" t="b">
        <v>0</v>
      </c>
      <c r="B3618" s="56" t="b">
        <v>0</v>
      </c>
      <c r="C3618" s="56" t="b">
        <v>0</v>
      </c>
      <c r="D3618" s="56" t="b">
        <v>0</v>
      </c>
      <c r="E3618" s="56">
        <f ca="1">IF(PV[[#This Row],[Business Date]]=Control!$C$6, PV[[#This Row],[Notional Value Local Cur]], -PV[[#This Row],[Notional Value Local Cur]])</f>
        <v>0</v>
      </c>
    </row>
    <row r="3619" spans="1:5" x14ac:dyDescent="0.25">
      <c r="A3619" s="36" t="b">
        <v>0</v>
      </c>
      <c r="B3619" s="56" t="b">
        <v>0</v>
      </c>
      <c r="C3619" s="56" t="b">
        <v>0</v>
      </c>
      <c r="D3619" s="56" t="b">
        <v>0</v>
      </c>
      <c r="E3619" s="56">
        <f ca="1">IF(PV[[#This Row],[Business Date]]=Control!$C$6, PV[[#This Row],[Notional Value Local Cur]], -PV[[#This Row],[Notional Value Local Cur]])</f>
        <v>0</v>
      </c>
    </row>
    <row r="3620" spans="1:5" x14ac:dyDescent="0.25">
      <c r="A3620" s="36" t="b">
        <v>0</v>
      </c>
      <c r="B3620" s="56" t="b">
        <v>0</v>
      </c>
      <c r="C3620" s="56" t="b">
        <v>0</v>
      </c>
      <c r="D3620" s="56" t="b">
        <v>0</v>
      </c>
      <c r="E3620" s="56">
        <f ca="1">IF(PV[[#This Row],[Business Date]]=Control!$C$6, PV[[#This Row],[Notional Value Local Cur]], -PV[[#This Row],[Notional Value Local Cur]])</f>
        <v>0</v>
      </c>
    </row>
    <row r="3621" spans="1:5" x14ac:dyDescent="0.25">
      <c r="A3621" s="36" t="b">
        <v>0</v>
      </c>
      <c r="B3621" s="56" t="b">
        <v>0</v>
      </c>
      <c r="C3621" s="56" t="b">
        <v>0</v>
      </c>
      <c r="D3621" s="56" t="b">
        <v>0</v>
      </c>
      <c r="E3621" s="56">
        <f ca="1">IF(PV[[#This Row],[Business Date]]=Control!$C$6, PV[[#This Row],[Notional Value Local Cur]], -PV[[#This Row],[Notional Value Local Cur]])</f>
        <v>0</v>
      </c>
    </row>
    <row r="3622" spans="1:5" x14ac:dyDescent="0.25">
      <c r="A3622" s="36" t="b">
        <v>0</v>
      </c>
      <c r="B3622" s="56" t="b">
        <v>0</v>
      </c>
      <c r="C3622" s="56" t="b">
        <v>0</v>
      </c>
      <c r="D3622" s="56" t="b">
        <v>0</v>
      </c>
      <c r="E3622" s="56">
        <f ca="1">IF(PV[[#This Row],[Business Date]]=Control!$C$6, PV[[#This Row],[Notional Value Local Cur]], -PV[[#This Row],[Notional Value Local Cur]])</f>
        <v>0</v>
      </c>
    </row>
    <row r="3623" spans="1:5" x14ac:dyDescent="0.25">
      <c r="A3623" s="36" t="b">
        <v>0</v>
      </c>
      <c r="B3623" s="56" t="b">
        <v>0</v>
      </c>
      <c r="C3623" s="56" t="b">
        <v>0</v>
      </c>
      <c r="D3623" s="56" t="b">
        <v>0</v>
      </c>
      <c r="E3623" s="56">
        <f ca="1">IF(PV[[#This Row],[Business Date]]=Control!$C$6, PV[[#This Row],[Notional Value Local Cur]], -PV[[#This Row],[Notional Value Local Cur]])</f>
        <v>0</v>
      </c>
    </row>
    <row r="3624" spans="1:5" x14ac:dyDescent="0.25">
      <c r="A3624" s="36" t="b">
        <v>0</v>
      </c>
      <c r="B3624" s="56" t="b">
        <v>0</v>
      </c>
      <c r="C3624" s="56" t="b">
        <v>0</v>
      </c>
      <c r="D3624" s="56" t="b">
        <v>0</v>
      </c>
      <c r="E3624" s="56">
        <f ca="1">IF(PV[[#This Row],[Business Date]]=Control!$C$6, PV[[#This Row],[Notional Value Local Cur]], -PV[[#This Row],[Notional Value Local Cur]])</f>
        <v>0</v>
      </c>
    </row>
    <row r="3625" spans="1:5" x14ac:dyDescent="0.25">
      <c r="A3625" s="36" t="b">
        <v>0</v>
      </c>
      <c r="B3625" s="56" t="b">
        <v>0</v>
      </c>
      <c r="C3625" s="56" t="b">
        <v>0</v>
      </c>
      <c r="D3625" s="56" t="b">
        <v>0</v>
      </c>
      <c r="E3625" s="56">
        <f ca="1">IF(PV[[#This Row],[Business Date]]=Control!$C$6, PV[[#This Row],[Notional Value Local Cur]], -PV[[#This Row],[Notional Value Local Cur]])</f>
        <v>0</v>
      </c>
    </row>
    <row r="3626" spans="1:5" x14ac:dyDescent="0.25">
      <c r="A3626" s="36" t="b">
        <v>0</v>
      </c>
      <c r="B3626" s="56" t="b">
        <v>0</v>
      </c>
      <c r="C3626" s="56" t="b">
        <v>0</v>
      </c>
      <c r="D3626" s="56" t="b">
        <v>0</v>
      </c>
      <c r="E3626" s="56">
        <f ca="1">IF(PV[[#This Row],[Business Date]]=Control!$C$6, PV[[#This Row],[Notional Value Local Cur]], -PV[[#This Row],[Notional Value Local Cur]])</f>
        <v>0</v>
      </c>
    </row>
    <row r="3627" spans="1:5" x14ac:dyDescent="0.25">
      <c r="A3627" s="36" t="b">
        <v>0</v>
      </c>
      <c r="B3627" s="56" t="b">
        <v>0</v>
      </c>
      <c r="C3627" s="56" t="b">
        <v>0</v>
      </c>
      <c r="D3627" s="56" t="b">
        <v>0</v>
      </c>
      <c r="E3627" s="56">
        <f ca="1">IF(PV[[#This Row],[Business Date]]=Control!$C$6, PV[[#This Row],[Notional Value Local Cur]], -PV[[#This Row],[Notional Value Local Cur]])</f>
        <v>0</v>
      </c>
    </row>
    <row r="3628" spans="1:5" x14ac:dyDescent="0.25">
      <c r="A3628" s="36" t="b">
        <v>0</v>
      </c>
      <c r="B3628" s="56" t="b">
        <v>0</v>
      </c>
      <c r="C3628" s="56" t="b">
        <v>0</v>
      </c>
      <c r="D3628" s="56" t="b">
        <v>0</v>
      </c>
      <c r="E3628" s="56">
        <f ca="1">IF(PV[[#This Row],[Business Date]]=Control!$C$6, PV[[#This Row],[Notional Value Local Cur]], -PV[[#This Row],[Notional Value Local Cur]])</f>
        <v>0</v>
      </c>
    </row>
    <row r="3629" spans="1:5" x14ac:dyDescent="0.25">
      <c r="A3629" s="36" t="b">
        <v>0</v>
      </c>
      <c r="B3629" s="56" t="b">
        <v>0</v>
      </c>
      <c r="C3629" s="56" t="b">
        <v>0</v>
      </c>
      <c r="D3629" s="56" t="b">
        <v>0</v>
      </c>
      <c r="E3629" s="56">
        <f ca="1">IF(PV[[#This Row],[Business Date]]=Control!$C$6, PV[[#This Row],[Notional Value Local Cur]], -PV[[#This Row],[Notional Value Local Cur]])</f>
        <v>0</v>
      </c>
    </row>
    <row r="3630" spans="1:5" x14ac:dyDescent="0.25">
      <c r="A3630" s="36" t="b">
        <v>0</v>
      </c>
      <c r="B3630" s="56" t="b">
        <v>0</v>
      </c>
      <c r="C3630" s="56" t="b">
        <v>0</v>
      </c>
      <c r="D3630" s="56" t="b">
        <v>0</v>
      </c>
      <c r="E3630" s="56">
        <f ca="1">IF(PV[[#This Row],[Business Date]]=Control!$C$6, PV[[#This Row],[Notional Value Local Cur]], -PV[[#This Row],[Notional Value Local Cur]])</f>
        <v>0</v>
      </c>
    </row>
    <row r="3631" spans="1:5" x14ac:dyDescent="0.25">
      <c r="A3631" s="36" t="b">
        <v>0</v>
      </c>
      <c r="B3631" s="56" t="b">
        <v>0</v>
      </c>
      <c r="C3631" s="56" t="b">
        <v>0</v>
      </c>
      <c r="D3631" s="56" t="b">
        <v>0</v>
      </c>
      <c r="E3631" s="56">
        <f ca="1">IF(PV[[#This Row],[Business Date]]=Control!$C$6, PV[[#This Row],[Notional Value Local Cur]], -PV[[#This Row],[Notional Value Local Cur]])</f>
        <v>0</v>
      </c>
    </row>
    <row r="3632" spans="1:5" x14ac:dyDescent="0.25">
      <c r="A3632" s="36" t="b">
        <v>0</v>
      </c>
      <c r="B3632" s="56" t="b">
        <v>0</v>
      </c>
      <c r="C3632" s="56" t="b">
        <v>0</v>
      </c>
      <c r="D3632" s="56" t="b">
        <v>0</v>
      </c>
      <c r="E3632" s="56">
        <f ca="1">IF(PV[[#This Row],[Business Date]]=Control!$C$6, PV[[#This Row],[Notional Value Local Cur]], -PV[[#This Row],[Notional Value Local Cur]])</f>
        <v>0</v>
      </c>
    </row>
    <row r="3633" spans="1:5" x14ac:dyDescent="0.25">
      <c r="A3633" s="36" t="b">
        <v>0</v>
      </c>
      <c r="B3633" s="56" t="b">
        <v>0</v>
      </c>
      <c r="C3633" s="56" t="b">
        <v>0</v>
      </c>
      <c r="D3633" s="56" t="b">
        <v>0</v>
      </c>
      <c r="E3633" s="56">
        <f ca="1">IF(PV[[#This Row],[Business Date]]=Control!$C$6, PV[[#This Row],[Notional Value Local Cur]], -PV[[#This Row],[Notional Value Local Cur]])</f>
        <v>0</v>
      </c>
    </row>
    <row r="3634" spans="1:5" x14ac:dyDescent="0.25">
      <c r="A3634" s="36" t="b">
        <v>0</v>
      </c>
      <c r="B3634" s="56" t="b">
        <v>0</v>
      </c>
      <c r="C3634" s="56" t="b">
        <v>0</v>
      </c>
      <c r="D3634" s="56" t="b">
        <v>0</v>
      </c>
      <c r="E3634" s="56">
        <f ca="1">IF(PV[[#This Row],[Business Date]]=Control!$C$6, PV[[#This Row],[Notional Value Local Cur]], -PV[[#This Row],[Notional Value Local Cur]])</f>
        <v>0</v>
      </c>
    </row>
    <row r="3635" spans="1:5" x14ac:dyDescent="0.25">
      <c r="A3635" s="36" t="b">
        <v>0</v>
      </c>
      <c r="B3635" s="56" t="b">
        <v>0</v>
      </c>
      <c r="C3635" s="56" t="b">
        <v>0</v>
      </c>
      <c r="D3635" s="56" t="b">
        <v>0</v>
      </c>
      <c r="E3635" s="56">
        <f ca="1">IF(PV[[#This Row],[Business Date]]=Control!$C$6, PV[[#This Row],[Notional Value Local Cur]], -PV[[#This Row],[Notional Value Local Cur]])</f>
        <v>0</v>
      </c>
    </row>
    <row r="3636" spans="1:5" x14ac:dyDescent="0.25">
      <c r="A3636" s="36" t="b">
        <v>0</v>
      </c>
      <c r="B3636" s="56" t="b">
        <v>0</v>
      </c>
      <c r="C3636" s="56" t="b">
        <v>0</v>
      </c>
      <c r="D3636" s="56" t="b">
        <v>0</v>
      </c>
      <c r="E3636" s="56">
        <f ca="1">IF(PV[[#This Row],[Business Date]]=Control!$C$6, PV[[#This Row],[Notional Value Local Cur]], -PV[[#This Row],[Notional Value Local Cur]])</f>
        <v>0</v>
      </c>
    </row>
    <row r="3637" spans="1:5" x14ac:dyDescent="0.25">
      <c r="A3637" s="36" t="b">
        <v>0</v>
      </c>
      <c r="B3637" s="56" t="b">
        <v>0</v>
      </c>
      <c r="C3637" s="56" t="b">
        <v>0</v>
      </c>
      <c r="D3637" s="56" t="b">
        <v>0</v>
      </c>
      <c r="E3637" s="56">
        <f ca="1">IF(PV[[#This Row],[Business Date]]=Control!$C$6, PV[[#This Row],[Notional Value Local Cur]], -PV[[#This Row],[Notional Value Local Cur]])</f>
        <v>0</v>
      </c>
    </row>
    <row r="3638" spans="1:5" x14ac:dyDescent="0.25">
      <c r="A3638" s="36" t="b">
        <v>0</v>
      </c>
      <c r="B3638" s="56" t="b">
        <v>0</v>
      </c>
      <c r="C3638" s="56" t="b">
        <v>0</v>
      </c>
      <c r="D3638" s="56" t="b">
        <v>0</v>
      </c>
      <c r="E3638" s="56">
        <f ca="1">IF(PV[[#This Row],[Business Date]]=Control!$C$6, PV[[#This Row],[Notional Value Local Cur]], -PV[[#This Row],[Notional Value Local Cur]])</f>
        <v>0</v>
      </c>
    </row>
    <row r="3639" spans="1:5" x14ac:dyDescent="0.25">
      <c r="A3639" s="36" t="b">
        <v>0</v>
      </c>
      <c r="B3639" s="56" t="b">
        <v>0</v>
      </c>
      <c r="C3639" s="56" t="b">
        <v>0</v>
      </c>
      <c r="D3639" s="56" t="b">
        <v>0</v>
      </c>
      <c r="E3639" s="56">
        <f ca="1">IF(PV[[#This Row],[Business Date]]=Control!$C$6, PV[[#This Row],[Notional Value Local Cur]], -PV[[#This Row],[Notional Value Local Cur]])</f>
        <v>0</v>
      </c>
    </row>
    <row r="3640" spans="1:5" x14ac:dyDescent="0.25">
      <c r="A3640" s="36" t="b">
        <v>0</v>
      </c>
      <c r="B3640" s="56" t="b">
        <v>0</v>
      </c>
      <c r="C3640" s="56" t="b">
        <v>0</v>
      </c>
      <c r="D3640" s="56" t="b">
        <v>0</v>
      </c>
      <c r="E3640" s="56">
        <f ca="1">IF(PV[[#This Row],[Business Date]]=Control!$C$6, PV[[#This Row],[Notional Value Local Cur]], -PV[[#This Row],[Notional Value Local Cur]])</f>
        <v>0</v>
      </c>
    </row>
    <row r="3641" spans="1:5" x14ac:dyDescent="0.25">
      <c r="A3641" s="36" t="b">
        <v>0</v>
      </c>
      <c r="B3641" s="56" t="b">
        <v>0</v>
      </c>
      <c r="C3641" s="56" t="b">
        <v>0</v>
      </c>
      <c r="D3641" s="56" t="b">
        <v>0</v>
      </c>
      <c r="E3641" s="56">
        <f ca="1">IF(PV[[#This Row],[Business Date]]=Control!$C$6, PV[[#This Row],[Notional Value Local Cur]], -PV[[#This Row],[Notional Value Local Cur]])</f>
        <v>0</v>
      </c>
    </row>
    <row r="3642" spans="1:5" x14ac:dyDescent="0.25">
      <c r="A3642" s="36" t="b">
        <v>0</v>
      </c>
      <c r="B3642" s="56" t="b">
        <v>0</v>
      </c>
      <c r="C3642" s="56" t="b">
        <v>0</v>
      </c>
      <c r="D3642" s="56" t="b">
        <v>0</v>
      </c>
      <c r="E3642" s="56">
        <f ca="1">IF(PV[[#This Row],[Business Date]]=Control!$C$6, PV[[#This Row],[Notional Value Local Cur]], -PV[[#This Row],[Notional Value Local Cur]])</f>
        <v>0</v>
      </c>
    </row>
    <row r="3643" spans="1:5" x14ac:dyDescent="0.25">
      <c r="A3643" s="36" t="b">
        <v>0</v>
      </c>
      <c r="B3643" s="56" t="b">
        <v>0</v>
      </c>
      <c r="C3643" s="56" t="b">
        <v>0</v>
      </c>
      <c r="D3643" s="56" t="b">
        <v>0</v>
      </c>
      <c r="E3643" s="56">
        <f ca="1">IF(PV[[#This Row],[Business Date]]=Control!$C$6, PV[[#This Row],[Notional Value Local Cur]], -PV[[#This Row],[Notional Value Local Cur]])</f>
        <v>0</v>
      </c>
    </row>
    <row r="3644" spans="1:5" x14ac:dyDescent="0.25">
      <c r="A3644" s="36" t="b">
        <v>0</v>
      </c>
      <c r="B3644" s="56" t="b">
        <v>0</v>
      </c>
      <c r="C3644" s="56" t="b">
        <v>0</v>
      </c>
      <c r="D3644" s="56" t="b">
        <v>0</v>
      </c>
      <c r="E3644" s="56">
        <f ca="1">IF(PV[[#This Row],[Business Date]]=Control!$C$6, PV[[#This Row],[Notional Value Local Cur]], -PV[[#This Row],[Notional Value Local Cur]])</f>
        <v>0</v>
      </c>
    </row>
    <row r="3645" spans="1:5" x14ac:dyDescent="0.25">
      <c r="A3645" s="36" t="b">
        <v>0</v>
      </c>
      <c r="B3645" s="56" t="b">
        <v>0</v>
      </c>
      <c r="C3645" s="56" t="b">
        <v>0</v>
      </c>
      <c r="D3645" s="56" t="b">
        <v>0</v>
      </c>
      <c r="E3645" s="56">
        <f ca="1">IF(PV[[#This Row],[Business Date]]=Control!$C$6, PV[[#This Row],[Notional Value Local Cur]], -PV[[#This Row],[Notional Value Local Cur]])</f>
        <v>0</v>
      </c>
    </row>
    <row r="3646" spans="1:5" x14ac:dyDescent="0.25">
      <c r="A3646" s="36" t="b">
        <v>0</v>
      </c>
      <c r="B3646" s="56" t="b">
        <v>0</v>
      </c>
      <c r="C3646" s="56" t="b">
        <v>0</v>
      </c>
      <c r="D3646" s="56" t="b">
        <v>0</v>
      </c>
      <c r="E3646" s="56">
        <f ca="1">IF(PV[[#This Row],[Business Date]]=Control!$C$6, PV[[#This Row],[Notional Value Local Cur]], -PV[[#This Row],[Notional Value Local Cur]])</f>
        <v>0</v>
      </c>
    </row>
    <row r="3647" spans="1:5" x14ac:dyDescent="0.25">
      <c r="A3647" s="36" t="b">
        <v>0</v>
      </c>
      <c r="B3647" s="56" t="b">
        <v>0</v>
      </c>
      <c r="C3647" s="56" t="b">
        <v>0</v>
      </c>
      <c r="D3647" s="56" t="b">
        <v>0</v>
      </c>
      <c r="E3647" s="56">
        <f ca="1">IF(PV[[#This Row],[Business Date]]=Control!$C$6, PV[[#This Row],[Notional Value Local Cur]], -PV[[#This Row],[Notional Value Local Cur]])</f>
        <v>0</v>
      </c>
    </row>
    <row r="3648" spans="1:5" x14ac:dyDescent="0.25">
      <c r="A3648" s="36" t="b">
        <v>0</v>
      </c>
      <c r="B3648" s="56" t="b">
        <v>0</v>
      </c>
      <c r="C3648" s="56" t="b">
        <v>0</v>
      </c>
      <c r="D3648" s="56" t="b">
        <v>0</v>
      </c>
      <c r="E3648" s="56">
        <f ca="1">IF(PV[[#This Row],[Business Date]]=Control!$C$6, PV[[#This Row],[Notional Value Local Cur]], -PV[[#This Row],[Notional Value Local Cur]])</f>
        <v>0</v>
      </c>
    </row>
    <row r="3649" spans="1:5" x14ac:dyDescent="0.25">
      <c r="A3649" s="36" t="b">
        <v>0</v>
      </c>
      <c r="B3649" s="56" t="b">
        <v>0</v>
      </c>
      <c r="C3649" s="56" t="b">
        <v>0</v>
      </c>
      <c r="D3649" s="56" t="b">
        <v>0</v>
      </c>
      <c r="E3649" s="56">
        <f ca="1">IF(PV[[#This Row],[Business Date]]=Control!$C$6, PV[[#This Row],[Notional Value Local Cur]], -PV[[#This Row],[Notional Value Local Cur]])</f>
        <v>0</v>
      </c>
    </row>
    <row r="3650" spans="1:5" x14ac:dyDescent="0.25">
      <c r="A3650" s="36" t="b">
        <v>0</v>
      </c>
      <c r="B3650" s="56" t="b">
        <v>0</v>
      </c>
      <c r="C3650" s="56" t="b">
        <v>0</v>
      </c>
      <c r="D3650" s="56" t="b">
        <v>0</v>
      </c>
      <c r="E3650" s="56">
        <f ca="1">IF(PV[[#This Row],[Business Date]]=Control!$C$6, PV[[#This Row],[Notional Value Local Cur]], -PV[[#This Row],[Notional Value Local Cur]])</f>
        <v>0</v>
      </c>
    </row>
    <row r="3651" spans="1:5" x14ac:dyDescent="0.25">
      <c r="A3651" s="36" t="b">
        <v>0</v>
      </c>
      <c r="B3651" s="56" t="b">
        <v>0</v>
      </c>
      <c r="C3651" s="56" t="b">
        <v>0</v>
      </c>
      <c r="D3651" s="56" t="b">
        <v>0</v>
      </c>
      <c r="E3651" s="56">
        <f ca="1">IF(PV[[#This Row],[Business Date]]=Control!$C$6, PV[[#This Row],[Notional Value Local Cur]], -PV[[#This Row],[Notional Value Local Cur]])</f>
        <v>0</v>
      </c>
    </row>
    <row r="3652" spans="1:5" x14ac:dyDescent="0.25">
      <c r="A3652" s="36" t="b">
        <v>0</v>
      </c>
      <c r="B3652" s="56" t="b">
        <v>0</v>
      </c>
      <c r="C3652" s="56" t="b">
        <v>0</v>
      </c>
      <c r="D3652" s="56" t="b">
        <v>0</v>
      </c>
      <c r="E3652" s="56">
        <f ca="1">IF(PV[[#This Row],[Business Date]]=Control!$C$6, PV[[#This Row],[Notional Value Local Cur]], -PV[[#This Row],[Notional Value Local Cur]])</f>
        <v>0</v>
      </c>
    </row>
    <row r="3653" spans="1:5" x14ac:dyDescent="0.25">
      <c r="A3653" s="36" t="b">
        <v>0</v>
      </c>
      <c r="B3653" s="56" t="b">
        <v>0</v>
      </c>
      <c r="C3653" s="56" t="b">
        <v>0</v>
      </c>
      <c r="D3653" s="56" t="b">
        <v>0</v>
      </c>
      <c r="E3653" s="56">
        <f ca="1">IF(PV[[#This Row],[Business Date]]=Control!$C$6, PV[[#This Row],[Notional Value Local Cur]], -PV[[#This Row],[Notional Value Local Cur]])</f>
        <v>0</v>
      </c>
    </row>
    <row r="3654" spans="1:5" x14ac:dyDescent="0.25">
      <c r="A3654" s="36" t="b">
        <v>0</v>
      </c>
      <c r="B3654" s="56" t="b">
        <v>0</v>
      </c>
      <c r="C3654" s="56" t="b">
        <v>0</v>
      </c>
      <c r="D3654" s="56" t="b">
        <v>0</v>
      </c>
      <c r="E3654" s="56">
        <f ca="1">IF(PV[[#This Row],[Business Date]]=Control!$C$6, PV[[#This Row],[Notional Value Local Cur]], -PV[[#This Row],[Notional Value Local Cur]])</f>
        <v>0</v>
      </c>
    </row>
    <row r="3655" spans="1:5" x14ac:dyDescent="0.25">
      <c r="A3655" s="36" t="b">
        <v>0</v>
      </c>
      <c r="B3655" s="56" t="b">
        <v>0</v>
      </c>
      <c r="C3655" s="56" t="b">
        <v>0</v>
      </c>
      <c r="D3655" s="56" t="b">
        <v>0</v>
      </c>
      <c r="E3655" s="56">
        <f ca="1">IF(PV[[#This Row],[Business Date]]=Control!$C$6, PV[[#This Row],[Notional Value Local Cur]], -PV[[#This Row],[Notional Value Local Cur]])</f>
        <v>0</v>
      </c>
    </row>
    <row r="3656" spans="1:5" x14ac:dyDescent="0.25">
      <c r="A3656" s="36" t="b">
        <v>0</v>
      </c>
      <c r="B3656" s="56" t="b">
        <v>0</v>
      </c>
      <c r="C3656" s="56" t="b">
        <v>0</v>
      </c>
      <c r="D3656" s="56" t="b">
        <v>0</v>
      </c>
      <c r="E3656" s="56">
        <f ca="1">IF(PV[[#This Row],[Business Date]]=Control!$C$6, PV[[#This Row],[Notional Value Local Cur]], -PV[[#This Row],[Notional Value Local Cur]])</f>
        <v>0</v>
      </c>
    </row>
    <row r="3657" spans="1:5" x14ac:dyDescent="0.25">
      <c r="A3657" s="36" t="b">
        <v>0</v>
      </c>
      <c r="B3657" s="56" t="b">
        <v>0</v>
      </c>
      <c r="C3657" s="56" t="b">
        <v>0</v>
      </c>
      <c r="D3657" s="56" t="b">
        <v>0</v>
      </c>
      <c r="E3657" s="56">
        <f ca="1">IF(PV[[#This Row],[Business Date]]=Control!$C$6, PV[[#This Row],[Notional Value Local Cur]], -PV[[#This Row],[Notional Value Local Cur]])</f>
        <v>0</v>
      </c>
    </row>
    <row r="3658" spans="1:5" x14ac:dyDescent="0.25">
      <c r="A3658" s="36" t="b">
        <v>0</v>
      </c>
      <c r="B3658" s="56" t="b">
        <v>0</v>
      </c>
      <c r="C3658" s="56" t="b">
        <v>0</v>
      </c>
      <c r="D3658" s="56" t="b">
        <v>0</v>
      </c>
      <c r="E3658" s="56">
        <f ca="1">IF(PV[[#This Row],[Business Date]]=Control!$C$6, PV[[#This Row],[Notional Value Local Cur]], -PV[[#This Row],[Notional Value Local Cur]])</f>
        <v>0</v>
      </c>
    </row>
    <row r="3659" spans="1:5" x14ac:dyDescent="0.25">
      <c r="A3659" s="36" t="b">
        <v>0</v>
      </c>
      <c r="B3659" s="56" t="b">
        <v>0</v>
      </c>
      <c r="C3659" s="56" t="b">
        <v>0</v>
      </c>
      <c r="D3659" s="56" t="b">
        <v>0</v>
      </c>
      <c r="E3659" s="56">
        <f ca="1">IF(PV[[#This Row],[Business Date]]=Control!$C$6, PV[[#This Row],[Notional Value Local Cur]], -PV[[#This Row],[Notional Value Local Cur]])</f>
        <v>0</v>
      </c>
    </row>
    <row r="3660" spans="1:5" x14ac:dyDescent="0.25">
      <c r="A3660" s="36" t="b">
        <v>0</v>
      </c>
      <c r="B3660" s="56" t="b">
        <v>0</v>
      </c>
      <c r="C3660" s="56" t="b">
        <v>0</v>
      </c>
      <c r="D3660" s="56" t="b">
        <v>0</v>
      </c>
      <c r="E3660" s="56">
        <f ca="1">IF(PV[[#This Row],[Business Date]]=Control!$C$6, PV[[#This Row],[Notional Value Local Cur]], -PV[[#This Row],[Notional Value Local Cur]])</f>
        <v>0</v>
      </c>
    </row>
    <row r="3661" spans="1:5" x14ac:dyDescent="0.25">
      <c r="A3661" s="36" t="b">
        <v>0</v>
      </c>
      <c r="B3661" s="56" t="b">
        <v>0</v>
      </c>
      <c r="C3661" s="56" t="b">
        <v>0</v>
      </c>
      <c r="D3661" s="56" t="b">
        <v>0</v>
      </c>
      <c r="E3661" s="56">
        <f ca="1">IF(PV[[#This Row],[Business Date]]=Control!$C$6, PV[[#This Row],[Notional Value Local Cur]], -PV[[#This Row],[Notional Value Local Cur]])</f>
        <v>0</v>
      </c>
    </row>
    <row r="3662" spans="1:5" x14ac:dyDescent="0.25">
      <c r="A3662" s="36" t="b">
        <v>0</v>
      </c>
      <c r="B3662" s="56" t="b">
        <v>0</v>
      </c>
      <c r="C3662" s="56" t="b">
        <v>0</v>
      </c>
      <c r="D3662" s="56" t="b">
        <v>0</v>
      </c>
      <c r="E3662" s="56">
        <f ca="1">IF(PV[[#This Row],[Business Date]]=Control!$C$6, PV[[#This Row],[Notional Value Local Cur]], -PV[[#This Row],[Notional Value Local Cur]])</f>
        <v>0</v>
      </c>
    </row>
    <row r="3663" spans="1:5" x14ac:dyDescent="0.25">
      <c r="A3663" s="36" t="b">
        <v>0</v>
      </c>
      <c r="B3663" s="56" t="b">
        <v>0</v>
      </c>
      <c r="C3663" s="56" t="b">
        <v>0</v>
      </c>
      <c r="D3663" s="56" t="b">
        <v>0</v>
      </c>
      <c r="E3663" s="56">
        <f ca="1">IF(PV[[#This Row],[Business Date]]=Control!$C$6, PV[[#This Row],[Notional Value Local Cur]], -PV[[#This Row],[Notional Value Local Cur]])</f>
        <v>0</v>
      </c>
    </row>
    <row r="3664" spans="1:5" x14ac:dyDescent="0.25">
      <c r="A3664" s="36" t="b">
        <v>0</v>
      </c>
      <c r="B3664" s="56" t="b">
        <v>0</v>
      </c>
      <c r="C3664" s="56" t="b">
        <v>0</v>
      </c>
      <c r="D3664" s="56" t="b">
        <v>0</v>
      </c>
      <c r="E3664" s="56">
        <f ca="1">IF(PV[[#This Row],[Business Date]]=Control!$C$6, PV[[#This Row],[Notional Value Local Cur]], -PV[[#This Row],[Notional Value Local Cur]])</f>
        <v>0</v>
      </c>
    </row>
    <row r="3665" spans="1:5" x14ac:dyDescent="0.25">
      <c r="A3665" s="36" t="b">
        <v>0</v>
      </c>
      <c r="B3665" s="56" t="b">
        <v>0</v>
      </c>
      <c r="C3665" s="56" t="b">
        <v>0</v>
      </c>
      <c r="D3665" s="56" t="b">
        <v>0</v>
      </c>
      <c r="E3665" s="56">
        <f ca="1">IF(PV[[#This Row],[Business Date]]=Control!$C$6, PV[[#This Row],[Notional Value Local Cur]], -PV[[#This Row],[Notional Value Local Cur]])</f>
        <v>0</v>
      </c>
    </row>
    <row r="3666" spans="1:5" x14ac:dyDescent="0.25">
      <c r="A3666" s="36" t="b">
        <v>0</v>
      </c>
      <c r="B3666" s="56" t="b">
        <v>0</v>
      </c>
      <c r="C3666" s="56" t="b">
        <v>0</v>
      </c>
      <c r="D3666" s="56" t="b">
        <v>0</v>
      </c>
      <c r="E3666" s="56">
        <f ca="1">IF(PV[[#This Row],[Business Date]]=Control!$C$6, PV[[#This Row],[Notional Value Local Cur]], -PV[[#This Row],[Notional Value Local Cur]])</f>
        <v>0</v>
      </c>
    </row>
    <row r="3667" spans="1:5" x14ac:dyDescent="0.25">
      <c r="A3667" s="36" t="b">
        <v>0</v>
      </c>
      <c r="B3667" s="56" t="b">
        <v>0</v>
      </c>
      <c r="C3667" s="56" t="b">
        <v>0</v>
      </c>
      <c r="D3667" s="56" t="b">
        <v>0</v>
      </c>
      <c r="E3667" s="56">
        <f ca="1">IF(PV[[#This Row],[Business Date]]=Control!$C$6, PV[[#This Row],[Notional Value Local Cur]], -PV[[#This Row],[Notional Value Local Cur]])</f>
        <v>0</v>
      </c>
    </row>
    <row r="3668" spans="1:5" x14ac:dyDescent="0.25">
      <c r="A3668" s="36" t="b">
        <v>0</v>
      </c>
      <c r="B3668" s="56" t="b">
        <v>0</v>
      </c>
      <c r="C3668" s="56" t="b">
        <v>0</v>
      </c>
      <c r="D3668" s="56" t="b">
        <v>0</v>
      </c>
      <c r="E3668" s="56">
        <f ca="1">IF(PV[[#This Row],[Business Date]]=Control!$C$6, PV[[#This Row],[Notional Value Local Cur]], -PV[[#This Row],[Notional Value Local Cur]])</f>
        <v>0</v>
      </c>
    </row>
    <row r="3669" spans="1:5" x14ac:dyDescent="0.25">
      <c r="A3669" s="36" t="b">
        <v>0</v>
      </c>
      <c r="B3669" s="56" t="b">
        <v>0</v>
      </c>
      <c r="C3669" s="56" t="b">
        <v>0</v>
      </c>
      <c r="D3669" s="56" t="b">
        <v>0</v>
      </c>
      <c r="E3669" s="56">
        <f ca="1">IF(PV[[#This Row],[Business Date]]=Control!$C$6, PV[[#This Row],[Notional Value Local Cur]], -PV[[#This Row],[Notional Value Local Cur]])</f>
        <v>0</v>
      </c>
    </row>
    <row r="3670" spans="1:5" x14ac:dyDescent="0.25">
      <c r="A3670" s="36" t="b">
        <v>0</v>
      </c>
      <c r="B3670" s="56" t="b">
        <v>0</v>
      </c>
      <c r="C3670" s="56" t="b">
        <v>0</v>
      </c>
      <c r="D3670" s="56" t="b">
        <v>0</v>
      </c>
      <c r="E3670" s="56">
        <f ca="1">IF(PV[[#This Row],[Business Date]]=Control!$C$6, PV[[#This Row],[Notional Value Local Cur]], -PV[[#This Row],[Notional Value Local Cur]])</f>
        <v>0</v>
      </c>
    </row>
    <row r="3671" spans="1:5" x14ac:dyDescent="0.25">
      <c r="A3671" s="36" t="b">
        <v>0</v>
      </c>
      <c r="B3671" s="56" t="b">
        <v>0</v>
      </c>
      <c r="C3671" s="56" t="b">
        <v>0</v>
      </c>
      <c r="D3671" s="56" t="b">
        <v>0</v>
      </c>
      <c r="E3671" s="56">
        <f ca="1">IF(PV[[#This Row],[Business Date]]=Control!$C$6, PV[[#This Row],[Notional Value Local Cur]], -PV[[#This Row],[Notional Value Local Cur]])</f>
        <v>0</v>
      </c>
    </row>
    <row r="3672" spans="1:5" x14ac:dyDescent="0.25">
      <c r="A3672" s="36" t="b">
        <v>0</v>
      </c>
      <c r="B3672" s="56" t="b">
        <v>0</v>
      </c>
      <c r="C3672" s="56" t="b">
        <v>0</v>
      </c>
      <c r="D3672" s="56" t="b">
        <v>0</v>
      </c>
      <c r="E3672" s="56">
        <f ca="1">IF(PV[[#This Row],[Business Date]]=Control!$C$6, PV[[#This Row],[Notional Value Local Cur]], -PV[[#This Row],[Notional Value Local Cur]])</f>
        <v>0</v>
      </c>
    </row>
    <row r="3673" spans="1:5" x14ac:dyDescent="0.25">
      <c r="A3673" s="36" t="b">
        <v>0</v>
      </c>
      <c r="B3673" s="56" t="b">
        <v>0</v>
      </c>
      <c r="C3673" s="56" t="b">
        <v>0</v>
      </c>
      <c r="D3673" s="56" t="b">
        <v>0</v>
      </c>
      <c r="E3673" s="56">
        <f ca="1">IF(PV[[#This Row],[Business Date]]=Control!$C$6, PV[[#This Row],[Notional Value Local Cur]], -PV[[#This Row],[Notional Value Local Cur]])</f>
        <v>0</v>
      </c>
    </row>
    <row r="3674" spans="1:5" x14ac:dyDescent="0.25">
      <c r="A3674" s="36" t="b">
        <v>0</v>
      </c>
      <c r="B3674" s="56" t="b">
        <v>0</v>
      </c>
      <c r="C3674" s="56" t="b">
        <v>0</v>
      </c>
      <c r="D3674" s="56" t="b">
        <v>0</v>
      </c>
      <c r="E3674" s="56">
        <f ca="1">IF(PV[[#This Row],[Business Date]]=Control!$C$6, PV[[#This Row],[Notional Value Local Cur]], -PV[[#This Row],[Notional Value Local Cur]])</f>
        <v>0</v>
      </c>
    </row>
    <row r="3675" spans="1:5" x14ac:dyDescent="0.25">
      <c r="A3675" s="36" t="b">
        <v>0</v>
      </c>
      <c r="B3675" s="56" t="b">
        <v>0</v>
      </c>
      <c r="C3675" s="56" t="b">
        <v>0</v>
      </c>
      <c r="D3675" s="56" t="b">
        <v>0</v>
      </c>
      <c r="E3675" s="56">
        <f ca="1">IF(PV[[#This Row],[Business Date]]=Control!$C$6, PV[[#This Row],[Notional Value Local Cur]], -PV[[#This Row],[Notional Value Local Cur]])</f>
        <v>0</v>
      </c>
    </row>
    <row r="3676" spans="1:5" x14ac:dyDescent="0.25">
      <c r="A3676" s="36" t="b">
        <v>0</v>
      </c>
      <c r="B3676" s="56" t="b">
        <v>0</v>
      </c>
      <c r="C3676" s="56" t="b">
        <v>0</v>
      </c>
      <c r="D3676" s="56" t="b">
        <v>0</v>
      </c>
      <c r="E3676" s="56">
        <f ca="1">IF(PV[[#This Row],[Business Date]]=Control!$C$6, PV[[#This Row],[Notional Value Local Cur]], -PV[[#This Row],[Notional Value Local Cur]])</f>
        <v>0</v>
      </c>
    </row>
    <row r="3677" spans="1:5" x14ac:dyDescent="0.25">
      <c r="A3677" s="36" t="b">
        <v>0</v>
      </c>
      <c r="B3677" s="56" t="b">
        <v>0</v>
      </c>
      <c r="C3677" s="56" t="b">
        <v>0</v>
      </c>
      <c r="D3677" s="56" t="b">
        <v>0</v>
      </c>
      <c r="E3677" s="56">
        <f ca="1">IF(PV[[#This Row],[Business Date]]=Control!$C$6, PV[[#This Row],[Notional Value Local Cur]], -PV[[#This Row],[Notional Value Local Cur]])</f>
        <v>0</v>
      </c>
    </row>
    <row r="3678" spans="1:5" x14ac:dyDescent="0.25">
      <c r="A3678" s="36" t="b">
        <v>0</v>
      </c>
      <c r="B3678" s="56" t="b">
        <v>0</v>
      </c>
      <c r="C3678" s="56" t="b">
        <v>0</v>
      </c>
      <c r="D3678" s="56" t="b">
        <v>0</v>
      </c>
      <c r="E3678" s="56">
        <f ca="1">IF(PV[[#This Row],[Business Date]]=Control!$C$6, PV[[#This Row],[Notional Value Local Cur]], -PV[[#This Row],[Notional Value Local Cur]])</f>
        <v>0</v>
      </c>
    </row>
    <row r="3679" spans="1:5" x14ac:dyDescent="0.25">
      <c r="A3679" s="36" t="b">
        <v>0</v>
      </c>
      <c r="B3679" s="56" t="b">
        <v>0</v>
      </c>
      <c r="C3679" s="56" t="b">
        <v>0</v>
      </c>
      <c r="D3679" s="56" t="b">
        <v>0</v>
      </c>
      <c r="E3679" s="56">
        <f ca="1">IF(PV[[#This Row],[Business Date]]=Control!$C$6, PV[[#This Row],[Notional Value Local Cur]], -PV[[#This Row],[Notional Value Local Cur]])</f>
        <v>0</v>
      </c>
    </row>
    <row r="3680" spans="1:5" x14ac:dyDescent="0.25">
      <c r="A3680" s="36" t="b">
        <v>0</v>
      </c>
      <c r="B3680" s="56" t="b">
        <v>0</v>
      </c>
      <c r="C3680" s="56" t="b">
        <v>0</v>
      </c>
      <c r="D3680" s="56" t="b">
        <v>0</v>
      </c>
      <c r="E3680" s="56">
        <f ca="1">IF(PV[[#This Row],[Business Date]]=Control!$C$6, PV[[#This Row],[Notional Value Local Cur]], -PV[[#This Row],[Notional Value Local Cur]])</f>
        <v>0</v>
      </c>
    </row>
    <row r="3681" spans="1:5" x14ac:dyDescent="0.25">
      <c r="A3681" s="36" t="b">
        <v>0</v>
      </c>
      <c r="B3681" s="56" t="b">
        <v>0</v>
      </c>
      <c r="C3681" s="56" t="b">
        <v>0</v>
      </c>
      <c r="D3681" s="56" t="b">
        <v>0</v>
      </c>
      <c r="E3681" s="56">
        <f ca="1">IF(PV[[#This Row],[Business Date]]=Control!$C$6, PV[[#This Row],[Notional Value Local Cur]], -PV[[#This Row],[Notional Value Local Cur]])</f>
        <v>0</v>
      </c>
    </row>
    <row r="3682" spans="1:5" x14ac:dyDescent="0.25">
      <c r="A3682" s="36" t="b">
        <v>0</v>
      </c>
      <c r="B3682" s="56" t="b">
        <v>0</v>
      </c>
      <c r="C3682" s="56" t="b">
        <v>0</v>
      </c>
      <c r="D3682" s="56" t="b">
        <v>0</v>
      </c>
      <c r="E3682" s="56">
        <f ca="1">IF(PV[[#This Row],[Business Date]]=Control!$C$6, PV[[#This Row],[Notional Value Local Cur]], -PV[[#This Row],[Notional Value Local Cur]])</f>
        <v>0</v>
      </c>
    </row>
    <row r="3683" spans="1:5" x14ac:dyDescent="0.25">
      <c r="A3683" s="36" t="b">
        <v>0</v>
      </c>
      <c r="B3683" s="56" t="b">
        <v>0</v>
      </c>
      <c r="C3683" s="56" t="b">
        <v>0</v>
      </c>
      <c r="D3683" s="56" t="b">
        <v>0</v>
      </c>
      <c r="E3683" s="56">
        <f ca="1">IF(PV[[#This Row],[Business Date]]=Control!$C$6, PV[[#This Row],[Notional Value Local Cur]], -PV[[#This Row],[Notional Value Local Cur]])</f>
        <v>0</v>
      </c>
    </row>
    <row r="3684" spans="1:5" x14ac:dyDescent="0.25">
      <c r="A3684" s="36" t="b">
        <v>0</v>
      </c>
      <c r="B3684" s="56" t="b">
        <v>0</v>
      </c>
      <c r="C3684" s="56" t="b">
        <v>0</v>
      </c>
      <c r="D3684" s="56" t="b">
        <v>0</v>
      </c>
      <c r="E3684" s="56">
        <f ca="1">IF(PV[[#This Row],[Business Date]]=Control!$C$6, PV[[#This Row],[Notional Value Local Cur]], -PV[[#This Row],[Notional Value Local Cur]])</f>
        <v>0</v>
      </c>
    </row>
    <row r="3685" spans="1:5" x14ac:dyDescent="0.25">
      <c r="A3685" s="36" t="b">
        <v>0</v>
      </c>
      <c r="B3685" s="56" t="b">
        <v>0</v>
      </c>
      <c r="C3685" s="56" t="b">
        <v>0</v>
      </c>
      <c r="D3685" s="56" t="b">
        <v>0</v>
      </c>
      <c r="E3685" s="56">
        <f ca="1">IF(PV[[#This Row],[Business Date]]=Control!$C$6, PV[[#This Row],[Notional Value Local Cur]], -PV[[#This Row],[Notional Value Local Cur]])</f>
        <v>0</v>
      </c>
    </row>
    <row r="3686" spans="1:5" x14ac:dyDescent="0.25">
      <c r="A3686" s="36" t="b">
        <v>0</v>
      </c>
      <c r="B3686" s="56" t="b">
        <v>0</v>
      </c>
      <c r="C3686" s="56" t="b">
        <v>0</v>
      </c>
      <c r="D3686" s="56" t="b">
        <v>0</v>
      </c>
      <c r="E3686" s="56">
        <f ca="1">IF(PV[[#This Row],[Business Date]]=Control!$C$6, PV[[#This Row],[Notional Value Local Cur]], -PV[[#This Row],[Notional Value Local Cur]])</f>
        <v>0</v>
      </c>
    </row>
    <row r="3687" spans="1:5" x14ac:dyDescent="0.25">
      <c r="A3687" s="36" t="b">
        <v>0</v>
      </c>
      <c r="B3687" s="56" t="b">
        <v>0</v>
      </c>
      <c r="C3687" s="56" t="b">
        <v>0</v>
      </c>
      <c r="D3687" s="56" t="b">
        <v>0</v>
      </c>
      <c r="E3687" s="56">
        <f ca="1">IF(PV[[#This Row],[Business Date]]=Control!$C$6, PV[[#This Row],[Notional Value Local Cur]], -PV[[#This Row],[Notional Value Local Cur]])</f>
        <v>0</v>
      </c>
    </row>
    <row r="3688" spans="1:5" x14ac:dyDescent="0.25">
      <c r="A3688" s="36" t="b">
        <v>0</v>
      </c>
      <c r="B3688" s="56" t="b">
        <v>0</v>
      </c>
      <c r="C3688" s="56" t="b">
        <v>0</v>
      </c>
      <c r="D3688" s="56" t="b">
        <v>0</v>
      </c>
      <c r="E3688" s="56">
        <f ca="1">IF(PV[[#This Row],[Business Date]]=Control!$C$6, PV[[#This Row],[Notional Value Local Cur]], -PV[[#This Row],[Notional Value Local Cur]])</f>
        <v>0</v>
      </c>
    </row>
    <row r="3689" spans="1:5" x14ac:dyDescent="0.25">
      <c r="A3689" s="36" t="b">
        <v>0</v>
      </c>
      <c r="B3689" s="56" t="b">
        <v>0</v>
      </c>
      <c r="C3689" s="56" t="b">
        <v>0</v>
      </c>
      <c r="D3689" s="56" t="b">
        <v>0</v>
      </c>
      <c r="E3689" s="56">
        <f ca="1">IF(PV[[#This Row],[Business Date]]=Control!$C$6, PV[[#This Row],[Notional Value Local Cur]], -PV[[#This Row],[Notional Value Local Cur]])</f>
        <v>0</v>
      </c>
    </row>
    <row r="3690" spans="1:5" x14ac:dyDescent="0.25">
      <c r="A3690" s="36" t="b">
        <v>0</v>
      </c>
      <c r="B3690" s="56" t="b">
        <v>0</v>
      </c>
      <c r="C3690" s="56" t="b">
        <v>0</v>
      </c>
      <c r="D3690" s="56" t="b">
        <v>0</v>
      </c>
      <c r="E3690" s="56">
        <f ca="1">IF(PV[[#This Row],[Business Date]]=Control!$C$6, PV[[#This Row],[Notional Value Local Cur]], -PV[[#This Row],[Notional Value Local Cur]])</f>
        <v>0</v>
      </c>
    </row>
    <row r="3691" spans="1:5" x14ac:dyDescent="0.25">
      <c r="A3691" s="36" t="b">
        <v>0</v>
      </c>
      <c r="B3691" s="56" t="b">
        <v>0</v>
      </c>
      <c r="C3691" s="56" t="b">
        <v>0</v>
      </c>
      <c r="D3691" s="56" t="b">
        <v>0</v>
      </c>
      <c r="E3691" s="56">
        <f ca="1">IF(PV[[#This Row],[Business Date]]=Control!$C$6, PV[[#This Row],[Notional Value Local Cur]], -PV[[#This Row],[Notional Value Local Cur]])</f>
        <v>0</v>
      </c>
    </row>
    <row r="3692" spans="1:5" x14ac:dyDescent="0.25">
      <c r="A3692" s="36" t="b">
        <v>0</v>
      </c>
      <c r="B3692" s="56" t="b">
        <v>0</v>
      </c>
      <c r="C3692" s="56" t="b">
        <v>0</v>
      </c>
      <c r="D3692" s="56" t="b">
        <v>0</v>
      </c>
      <c r="E3692" s="56">
        <f ca="1">IF(PV[[#This Row],[Business Date]]=Control!$C$6, PV[[#This Row],[Notional Value Local Cur]], -PV[[#This Row],[Notional Value Local Cur]])</f>
        <v>0</v>
      </c>
    </row>
    <row r="3693" spans="1:5" x14ac:dyDescent="0.25">
      <c r="A3693" s="36" t="b">
        <v>0</v>
      </c>
      <c r="B3693" s="56" t="b">
        <v>0</v>
      </c>
      <c r="C3693" s="56" t="b">
        <v>0</v>
      </c>
      <c r="D3693" s="56" t="b">
        <v>0</v>
      </c>
      <c r="E3693" s="56">
        <f ca="1">IF(PV[[#This Row],[Business Date]]=Control!$C$6, PV[[#This Row],[Notional Value Local Cur]], -PV[[#This Row],[Notional Value Local Cur]])</f>
        <v>0</v>
      </c>
    </row>
    <row r="3694" spans="1:5" x14ac:dyDescent="0.25">
      <c r="A3694" s="36" t="b">
        <v>0</v>
      </c>
      <c r="B3694" s="56" t="b">
        <v>0</v>
      </c>
      <c r="C3694" s="56" t="b">
        <v>0</v>
      </c>
      <c r="D3694" s="56" t="b">
        <v>0</v>
      </c>
      <c r="E3694" s="56">
        <f ca="1">IF(PV[[#This Row],[Business Date]]=Control!$C$6, PV[[#This Row],[Notional Value Local Cur]], -PV[[#This Row],[Notional Value Local Cur]])</f>
        <v>0</v>
      </c>
    </row>
    <row r="3695" spans="1:5" x14ac:dyDescent="0.25">
      <c r="A3695" s="36" t="b">
        <v>0</v>
      </c>
      <c r="B3695" s="56" t="b">
        <v>0</v>
      </c>
      <c r="C3695" s="56" t="b">
        <v>0</v>
      </c>
      <c r="D3695" s="56" t="b">
        <v>0</v>
      </c>
      <c r="E3695" s="56">
        <f ca="1">IF(PV[[#This Row],[Business Date]]=Control!$C$6, PV[[#This Row],[Notional Value Local Cur]], -PV[[#This Row],[Notional Value Local Cur]])</f>
        <v>0</v>
      </c>
    </row>
    <row r="3696" spans="1:5" x14ac:dyDescent="0.25">
      <c r="A3696" s="36" t="b">
        <v>0</v>
      </c>
      <c r="B3696" s="56" t="b">
        <v>0</v>
      </c>
      <c r="C3696" s="56" t="b">
        <v>0</v>
      </c>
      <c r="D3696" s="56" t="b">
        <v>0</v>
      </c>
      <c r="E3696" s="56">
        <f ca="1">IF(PV[[#This Row],[Business Date]]=Control!$C$6, PV[[#This Row],[Notional Value Local Cur]], -PV[[#This Row],[Notional Value Local Cur]])</f>
        <v>0</v>
      </c>
    </row>
    <row r="3697" spans="1:5" x14ac:dyDescent="0.25">
      <c r="A3697" s="36" t="b">
        <v>0</v>
      </c>
      <c r="B3697" s="56" t="b">
        <v>0</v>
      </c>
      <c r="C3697" s="56" t="b">
        <v>0</v>
      </c>
      <c r="D3697" s="56" t="b">
        <v>0</v>
      </c>
      <c r="E3697" s="56">
        <f ca="1">IF(PV[[#This Row],[Business Date]]=Control!$C$6, PV[[#This Row],[Notional Value Local Cur]], -PV[[#This Row],[Notional Value Local Cur]])</f>
        <v>0</v>
      </c>
    </row>
    <row r="3698" spans="1:5" x14ac:dyDescent="0.25">
      <c r="A3698" s="36" t="b">
        <v>0</v>
      </c>
      <c r="B3698" s="56" t="b">
        <v>0</v>
      </c>
      <c r="C3698" s="56" t="b">
        <v>0</v>
      </c>
      <c r="D3698" s="56" t="b">
        <v>0</v>
      </c>
      <c r="E3698" s="56">
        <f ca="1">IF(PV[[#This Row],[Business Date]]=Control!$C$6, PV[[#This Row],[Notional Value Local Cur]], -PV[[#This Row],[Notional Value Local Cur]])</f>
        <v>0</v>
      </c>
    </row>
    <row r="3699" spans="1:5" x14ac:dyDescent="0.25">
      <c r="A3699" s="36" t="b">
        <v>0</v>
      </c>
      <c r="B3699" s="56" t="b">
        <v>0</v>
      </c>
      <c r="C3699" s="56" t="b">
        <v>0</v>
      </c>
      <c r="D3699" s="56" t="b">
        <v>0</v>
      </c>
      <c r="E3699" s="56">
        <f ca="1">IF(PV[[#This Row],[Business Date]]=Control!$C$6, PV[[#This Row],[Notional Value Local Cur]], -PV[[#This Row],[Notional Value Local Cur]])</f>
        <v>0</v>
      </c>
    </row>
    <row r="3700" spans="1:5" x14ac:dyDescent="0.25">
      <c r="A3700" s="36" t="b">
        <v>0</v>
      </c>
      <c r="B3700" s="56" t="b">
        <v>0</v>
      </c>
      <c r="C3700" s="56" t="b">
        <v>0</v>
      </c>
      <c r="D3700" s="56" t="b">
        <v>0</v>
      </c>
      <c r="E3700" s="56">
        <f ca="1">IF(PV[[#This Row],[Business Date]]=Control!$C$6, PV[[#This Row],[Notional Value Local Cur]], -PV[[#This Row],[Notional Value Local Cur]])</f>
        <v>0</v>
      </c>
    </row>
    <row r="3701" spans="1:5" x14ac:dyDescent="0.25">
      <c r="A3701" s="36" t="b">
        <v>0</v>
      </c>
      <c r="B3701" s="56" t="b">
        <v>0</v>
      </c>
      <c r="C3701" s="56" t="b">
        <v>0</v>
      </c>
      <c r="D3701" s="56" t="b">
        <v>0</v>
      </c>
      <c r="E3701" s="56">
        <f ca="1">IF(PV[[#This Row],[Business Date]]=Control!$C$6, PV[[#This Row],[Notional Value Local Cur]], -PV[[#This Row],[Notional Value Local Cur]])</f>
        <v>0</v>
      </c>
    </row>
    <row r="3702" spans="1:5" x14ac:dyDescent="0.25">
      <c r="A3702" s="36" t="b">
        <v>0</v>
      </c>
      <c r="B3702" s="56" t="b">
        <v>0</v>
      </c>
      <c r="C3702" s="56" t="b">
        <v>0</v>
      </c>
      <c r="D3702" s="56" t="b">
        <v>0</v>
      </c>
      <c r="E3702" s="56">
        <f ca="1">IF(PV[[#This Row],[Business Date]]=Control!$C$6, PV[[#This Row],[Notional Value Local Cur]], -PV[[#This Row],[Notional Value Local Cur]])</f>
        <v>0</v>
      </c>
    </row>
    <row r="3703" spans="1:5" x14ac:dyDescent="0.25">
      <c r="A3703" s="36" t="b">
        <v>0</v>
      </c>
      <c r="B3703" s="56" t="b">
        <v>0</v>
      </c>
      <c r="C3703" s="56" t="b">
        <v>0</v>
      </c>
      <c r="D3703" s="56" t="b">
        <v>0</v>
      </c>
      <c r="E3703" s="56">
        <f ca="1">IF(PV[[#This Row],[Business Date]]=Control!$C$6, PV[[#This Row],[Notional Value Local Cur]], -PV[[#This Row],[Notional Value Local Cur]])</f>
        <v>0</v>
      </c>
    </row>
    <row r="3704" spans="1:5" x14ac:dyDescent="0.25">
      <c r="A3704" s="36" t="b">
        <v>0</v>
      </c>
      <c r="B3704" s="56" t="b">
        <v>0</v>
      </c>
      <c r="C3704" s="56" t="b">
        <v>0</v>
      </c>
      <c r="D3704" s="56" t="b">
        <v>0</v>
      </c>
      <c r="E3704" s="56">
        <f ca="1">IF(PV[[#This Row],[Business Date]]=Control!$C$6, PV[[#This Row],[Notional Value Local Cur]], -PV[[#This Row],[Notional Value Local Cur]])</f>
        <v>0</v>
      </c>
    </row>
    <row r="3705" spans="1:5" x14ac:dyDescent="0.25">
      <c r="A3705" s="36" t="b">
        <v>0</v>
      </c>
      <c r="B3705" s="56" t="b">
        <v>0</v>
      </c>
      <c r="C3705" s="56" t="b">
        <v>0</v>
      </c>
      <c r="D3705" s="56" t="b">
        <v>0</v>
      </c>
      <c r="E3705" s="56">
        <f ca="1">IF(PV[[#This Row],[Business Date]]=Control!$C$6, PV[[#This Row],[Notional Value Local Cur]], -PV[[#This Row],[Notional Value Local Cur]])</f>
        <v>0</v>
      </c>
    </row>
    <row r="3706" spans="1:5" x14ac:dyDescent="0.25">
      <c r="A3706" s="36" t="b">
        <v>0</v>
      </c>
      <c r="B3706" s="56" t="b">
        <v>0</v>
      </c>
      <c r="C3706" s="56" t="b">
        <v>0</v>
      </c>
      <c r="D3706" s="56" t="b">
        <v>0</v>
      </c>
      <c r="E3706" s="56">
        <f ca="1">IF(PV[[#This Row],[Business Date]]=Control!$C$6, PV[[#This Row],[Notional Value Local Cur]], -PV[[#This Row],[Notional Value Local Cur]])</f>
        <v>0</v>
      </c>
    </row>
    <row r="3707" spans="1:5" x14ac:dyDescent="0.25">
      <c r="A3707" s="36" t="b">
        <v>0</v>
      </c>
      <c r="B3707" s="56" t="b">
        <v>0</v>
      </c>
      <c r="C3707" s="56" t="b">
        <v>0</v>
      </c>
      <c r="D3707" s="56" t="b">
        <v>0</v>
      </c>
      <c r="E3707" s="56">
        <f ca="1">IF(PV[[#This Row],[Business Date]]=Control!$C$6, PV[[#This Row],[Notional Value Local Cur]], -PV[[#This Row],[Notional Value Local Cur]])</f>
        <v>0</v>
      </c>
    </row>
    <row r="3708" spans="1:5" x14ac:dyDescent="0.25">
      <c r="A3708" s="36" t="b">
        <v>0</v>
      </c>
      <c r="B3708" s="56" t="b">
        <v>0</v>
      </c>
      <c r="C3708" s="56" t="b">
        <v>0</v>
      </c>
      <c r="D3708" s="56" t="b">
        <v>0</v>
      </c>
      <c r="E3708" s="56">
        <f ca="1">IF(PV[[#This Row],[Business Date]]=Control!$C$6, PV[[#This Row],[Notional Value Local Cur]], -PV[[#This Row],[Notional Value Local Cur]])</f>
        <v>0</v>
      </c>
    </row>
    <row r="3709" spans="1:5" x14ac:dyDescent="0.25">
      <c r="A3709" s="36" t="b">
        <v>0</v>
      </c>
      <c r="B3709" s="56" t="b">
        <v>0</v>
      </c>
      <c r="C3709" s="56" t="b">
        <v>0</v>
      </c>
      <c r="D3709" s="56" t="b">
        <v>0</v>
      </c>
      <c r="E3709" s="56">
        <f ca="1">IF(PV[[#This Row],[Business Date]]=Control!$C$6, PV[[#This Row],[Notional Value Local Cur]], -PV[[#This Row],[Notional Value Local Cur]])</f>
        <v>0</v>
      </c>
    </row>
    <row r="3710" spans="1:5" x14ac:dyDescent="0.25">
      <c r="A3710" s="36" t="b">
        <v>0</v>
      </c>
      <c r="B3710" s="56" t="b">
        <v>0</v>
      </c>
      <c r="C3710" s="56" t="b">
        <v>0</v>
      </c>
      <c r="D3710" s="56" t="b">
        <v>0</v>
      </c>
      <c r="E3710" s="56">
        <f ca="1">IF(PV[[#This Row],[Business Date]]=Control!$C$6, PV[[#This Row],[Notional Value Local Cur]], -PV[[#This Row],[Notional Value Local Cur]])</f>
        <v>0</v>
      </c>
    </row>
    <row r="3711" spans="1:5" x14ac:dyDescent="0.25">
      <c r="A3711" s="36" t="b">
        <v>0</v>
      </c>
      <c r="B3711" s="56" t="b">
        <v>0</v>
      </c>
      <c r="C3711" s="56" t="b">
        <v>0</v>
      </c>
      <c r="D3711" s="56" t="b">
        <v>0</v>
      </c>
      <c r="E3711" s="56">
        <f ca="1">IF(PV[[#This Row],[Business Date]]=Control!$C$6, PV[[#This Row],[Notional Value Local Cur]], -PV[[#This Row],[Notional Value Local Cur]])</f>
        <v>0</v>
      </c>
    </row>
    <row r="3712" spans="1:5" x14ac:dyDescent="0.25">
      <c r="A3712" s="36" t="b">
        <v>0</v>
      </c>
      <c r="B3712" s="56" t="b">
        <v>0</v>
      </c>
      <c r="C3712" s="56" t="b">
        <v>0</v>
      </c>
      <c r="D3712" s="56" t="b">
        <v>0</v>
      </c>
      <c r="E3712" s="56">
        <f ca="1">IF(PV[[#This Row],[Business Date]]=Control!$C$6, PV[[#This Row],[Notional Value Local Cur]], -PV[[#This Row],[Notional Value Local Cur]])</f>
        <v>0</v>
      </c>
    </row>
    <row r="3713" spans="1:5" x14ac:dyDescent="0.25">
      <c r="A3713" s="36" t="b">
        <v>0</v>
      </c>
      <c r="B3713" s="56" t="b">
        <v>0</v>
      </c>
      <c r="C3713" s="56" t="b">
        <v>0</v>
      </c>
      <c r="D3713" s="56" t="b">
        <v>0</v>
      </c>
      <c r="E3713" s="56">
        <f ca="1">IF(PV[[#This Row],[Business Date]]=Control!$C$6, PV[[#This Row],[Notional Value Local Cur]], -PV[[#This Row],[Notional Value Local Cur]])</f>
        <v>0</v>
      </c>
    </row>
    <row r="3714" spans="1:5" x14ac:dyDescent="0.25">
      <c r="A3714" s="36" t="b">
        <v>0</v>
      </c>
      <c r="B3714" s="56" t="b">
        <v>0</v>
      </c>
      <c r="C3714" s="56" t="b">
        <v>0</v>
      </c>
      <c r="D3714" s="56" t="b">
        <v>0</v>
      </c>
      <c r="E3714" s="56">
        <f ca="1">IF(PV[[#This Row],[Business Date]]=Control!$C$6, PV[[#This Row],[Notional Value Local Cur]], -PV[[#This Row],[Notional Value Local Cur]])</f>
        <v>0</v>
      </c>
    </row>
    <row r="3715" spans="1:5" x14ac:dyDescent="0.25">
      <c r="A3715" s="36" t="b">
        <v>0</v>
      </c>
      <c r="B3715" s="56" t="b">
        <v>0</v>
      </c>
      <c r="C3715" s="56" t="b">
        <v>0</v>
      </c>
      <c r="D3715" s="56" t="b">
        <v>0</v>
      </c>
      <c r="E3715" s="56">
        <f ca="1">IF(PV[[#This Row],[Business Date]]=Control!$C$6, PV[[#This Row],[Notional Value Local Cur]], -PV[[#This Row],[Notional Value Local Cur]])</f>
        <v>0</v>
      </c>
    </row>
    <row r="3716" spans="1:5" x14ac:dyDescent="0.25">
      <c r="A3716" s="36" t="b">
        <v>0</v>
      </c>
      <c r="B3716" s="56" t="b">
        <v>0</v>
      </c>
      <c r="C3716" s="56" t="b">
        <v>0</v>
      </c>
      <c r="D3716" s="56" t="b">
        <v>0</v>
      </c>
      <c r="E3716" s="56">
        <f ca="1">IF(PV[[#This Row],[Business Date]]=Control!$C$6, PV[[#This Row],[Notional Value Local Cur]], -PV[[#This Row],[Notional Value Local Cur]])</f>
        <v>0</v>
      </c>
    </row>
    <row r="3717" spans="1:5" x14ac:dyDescent="0.25">
      <c r="A3717" s="36" t="b">
        <v>0</v>
      </c>
      <c r="B3717" s="56" t="b">
        <v>0</v>
      </c>
      <c r="C3717" s="56" t="b">
        <v>0</v>
      </c>
      <c r="D3717" s="56" t="b">
        <v>0</v>
      </c>
      <c r="E3717" s="56">
        <f ca="1">IF(PV[[#This Row],[Business Date]]=Control!$C$6, PV[[#This Row],[Notional Value Local Cur]], -PV[[#This Row],[Notional Value Local Cur]])</f>
        <v>0</v>
      </c>
    </row>
    <row r="3718" spans="1:5" x14ac:dyDescent="0.25">
      <c r="A3718" s="36" t="b">
        <v>0</v>
      </c>
      <c r="B3718" s="56" t="b">
        <v>0</v>
      </c>
      <c r="C3718" s="56" t="b">
        <v>0</v>
      </c>
      <c r="D3718" s="56" t="b">
        <v>0</v>
      </c>
      <c r="E3718" s="56">
        <f ca="1">IF(PV[[#This Row],[Business Date]]=Control!$C$6, PV[[#This Row],[Notional Value Local Cur]], -PV[[#This Row],[Notional Value Local Cur]])</f>
        <v>0</v>
      </c>
    </row>
    <row r="3719" spans="1:5" x14ac:dyDescent="0.25">
      <c r="A3719" s="36" t="b">
        <v>0</v>
      </c>
      <c r="B3719" s="56" t="b">
        <v>0</v>
      </c>
      <c r="C3719" s="56" t="b">
        <v>0</v>
      </c>
      <c r="D3719" s="56" t="b">
        <v>0</v>
      </c>
      <c r="E3719" s="56">
        <f ca="1">IF(PV[[#This Row],[Business Date]]=Control!$C$6, PV[[#This Row],[Notional Value Local Cur]], -PV[[#This Row],[Notional Value Local Cur]])</f>
        <v>0</v>
      </c>
    </row>
    <row r="3720" spans="1:5" x14ac:dyDescent="0.25">
      <c r="A3720" s="36" t="b">
        <v>0</v>
      </c>
      <c r="B3720" s="56" t="b">
        <v>0</v>
      </c>
      <c r="C3720" s="56" t="b">
        <v>0</v>
      </c>
      <c r="D3720" s="56" t="b">
        <v>0</v>
      </c>
      <c r="E3720" s="56">
        <f ca="1">IF(PV[[#This Row],[Business Date]]=Control!$C$6, PV[[#This Row],[Notional Value Local Cur]], -PV[[#This Row],[Notional Value Local Cur]])</f>
        <v>0</v>
      </c>
    </row>
    <row r="3721" spans="1:5" x14ac:dyDescent="0.25">
      <c r="A3721" s="36" t="b">
        <v>0</v>
      </c>
      <c r="B3721" s="56" t="b">
        <v>0</v>
      </c>
      <c r="C3721" s="56" t="b">
        <v>0</v>
      </c>
      <c r="D3721" s="56" t="b">
        <v>0</v>
      </c>
      <c r="E3721" s="56">
        <f ca="1">IF(PV[[#This Row],[Business Date]]=Control!$C$6, PV[[#This Row],[Notional Value Local Cur]], -PV[[#This Row],[Notional Value Local Cur]])</f>
        <v>0</v>
      </c>
    </row>
    <row r="3722" spans="1:5" x14ac:dyDescent="0.25">
      <c r="A3722" s="36" t="b">
        <v>0</v>
      </c>
      <c r="B3722" s="56" t="b">
        <v>0</v>
      </c>
      <c r="C3722" s="56" t="b">
        <v>0</v>
      </c>
      <c r="D3722" s="56" t="b">
        <v>0</v>
      </c>
      <c r="E3722" s="56">
        <f ca="1">IF(PV[[#This Row],[Business Date]]=Control!$C$6, PV[[#This Row],[Notional Value Local Cur]], -PV[[#This Row],[Notional Value Local Cur]])</f>
        <v>0</v>
      </c>
    </row>
    <row r="3723" spans="1:5" x14ac:dyDescent="0.25">
      <c r="A3723" s="36" t="b">
        <v>0</v>
      </c>
      <c r="B3723" s="56" t="b">
        <v>0</v>
      </c>
      <c r="C3723" s="56" t="b">
        <v>0</v>
      </c>
      <c r="D3723" s="56" t="b">
        <v>0</v>
      </c>
      <c r="E3723" s="56">
        <f ca="1">IF(PV[[#This Row],[Business Date]]=Control!$C$6, PV[[#This Row],[Notional Value Local Cur]], -PV[[#This Row],[Notional Value Local Cur]])</f>
        <v>0</v>
      </c>
    </row>
    <row r="3724" spans="1:5" x14ac:dyDescent="0.25">
      <c r="A3724" s="36" t="b">
        <v>0</v>
      </c>
      <c r="B3724" s="56" t="b">
        <v>0</v>
      </c>
      <c r="C3724" s="56" t="b">
        <v>0</v>
      </c>
      <c r="D3724" s="56" t="b">
        <v>0</v>
      </c>
      <c r="E3724" s="56">
        <f ca="1">IF(PV[[#This Row],[Business Date]]=Control!$C$6, PV[[#This Row],[Notional Value Local Cur]], -PV[[#This Row],[Notional Value Local Cur]])</f>
        <v>0</v>
      </c>
    </row>
    <row r="3725" spans="1:5" x14ac:dyDescent="0.25">
      <c r="A3725" s="36" t="b">
        <v>0</v>
      </c>
      <c r="B3725" s="56" t="b">
        <v>0</v>
      </c>
      <c r="C3725" s="56" t="b">
        <v>0</v>
      </c>
      <c r="D3725" s="56" t="b">
        <v>0</v>
      </c>
      <c r="E3725" s="56">
        <f ca="1">IF(PV[[#This Row],[Business Date]]=Control!$C$6, PV[[#This Row],[Notional Value Local Cur]], -PV[[#This Row],[Notional Value Local Cur]])</f>
        <v>0</v>
      </c>
    </row>
    <row r="3726" spans="1:5" x14ac:dyDescent="0.25">
      <c r="A3726" s="36" t="b">
        <v>0</v>
      </c>
      <c r="B3726" s="56" t="b">
        <v>0</v>
      </c>
      <c r="C3726" s="56" t="b">
        <v>0</v>
      </c>
      <c r="D3726" s="56" t="b">
        <v>0</v>
      </c>
      <c r="E3726" s="56">
        <f ca="1">IF(PV[[#This Row],[Business Date]]=Control!$C$6, PV[[#This Row],[Notional Value Local Cur]], -PV[[#This Row],[Notional Value Local Cur]])</f>
        <v>0</v>
      </c>
    </row>
    <row r="3727" spans="1:5" x14ac:dyDescent="0.25">
      <c r="A3727" s="36" t="b">
        <v>0</v>
      </c>
      <c r="B3727" s="56" t="b">
        <v>0</v>
      </c>
      <c r="C3727" s="56" t="b">
        <v>0</v>
      </c>
      <c r="D3727" s="56" t="b">
        <v>0</v>
      </c>
      <c r="E3727" s="56">
        <f ca="1">IF(PV[[#This Row],[Business Date]]=Control!$C$6, PV[[#This Row],[Notional Value Local Cur]], -PV[[#This Row],[Notional Value Local Cur]])</f>
        <v>0</v>
      </c>
    </row>
    <row r="3728" spans="1:5" x14ac:dyDescent="0.25">
      <c r="A3728" s="36" t="b">
        <v>0</v>
      </c>
      <c r="B3728" s="56" t="b">
        <v>0</v>
      </c>
      <c r="C3728" s="56" t="b">
        <v>0</v>
      </c>
      <c r="D3728" s="56" t="b">
        <v>0</v>
      </c>
      <c r="E3728" s="56">
        <f ca="1">IF(PV[[#This Row],[Business Date]]=Control!$C$6, PV[[#This Row],[Notional Value Local Cur]], -PV[[#This Row],[Notional Value Local Cur]])</f>
        <v>0</v>
      </c>
    </row>
    <row r="3729" spans="1:5" x14ac:dyDescent="0.25">
      <c r="A3729" s="36" t="b">
        <v>0</v>
      </c>
      <c r="B3729" s="56" t="b">
        <v>0</v>
      </c>
      <c r="C3729" s="56" t="b">
        <v>0</v>
      </c>
      <c r="D3729" s="56" t="b">
        <v>0</v>
      </c>
      <c r="E3729" s="56">
        <f ca="1">IF(PV[[#This Row],[Business Date]]=Control!$C$6, PV[[#This Row],[Notional Value Local Cur]], -PV[[#This Row],[Notional Value Local Cur]])</f>
        <v>0</v>
      </c>
    </row>
    <row r="3730" spans="1:5" x14ac:dyDescent="0.25">
      <c r="A3730" s="36" t="b">
        <v>0</v>
      </c>
      <c r="B3730" s="56" t="b">
        <v>0</v>
      </c>
      <c r="C3730" s="56" t="b">
        <v>0</v>
      </c>
      <c r="D3730" s="56" t="b">
        <v>0</v>
      </c>
      <c r="E3730" s="56">
        <f ca="1">IF(PV[[#This Row],[Business Date]]=Control!$C$6, PV[[#This Row],[Notional Value Local Cur]], -PV[[#This Row],[Notional Value Local Cur]])</f>
        <v>0</v>
      </c>
    </row>
    <row r="3731" spans="1:5" x14ac:dyDescent="0.25">
      <c r="A3731" s="36" t="b">
        <v>0</v>
      </c>
      <c r="B3731" s="56" t="b">
        <v>0</v>
      </c>
      <c r="C3731" s="56" t="b">
        <v>0</v>
      </c>
      <c r="D3731" s="56" t="b">
        <v>0</v>
      </c>
      <c r="E3731" s="56">
        <f ca="1">IF(PV[[#This Row],[Business Date]]=Control!$C$6, PV[[#This Row],[Notional Value Local Cur]], -PV[[#This Row],[Notional Value Local Cur]])</f>
        <v>0</v>
      </c>
    </row>
    <row r="3732" spans="1:5" x14ac:dyDescent="0.25">
      <c r="A3732" s="36" t="b">
        <v>0</v>
      </c>
      <c r="B3732" s="56" t="b">
        <v>0</v>
      </c>
      <c r="C3732" s="56" t="b">
        <v>0</v>
      </c>
      <c r="D3732" s="56" t="b">
        <v>0</v>
      </c>
      <c r="E3732" s="56">
        <f ca="1">IF(PV[[#This Row],[Business Date]]=Control!$C$6, PV[[#This Row],[Notional Value Local Cur]], -PV[[#This Row],[Notional Value Local Cur]])</f>
        <v>0</v>
      </c>
    </row>
    <row r="3733" spans="1:5" x14ac:dyDescent="0.25">
      <c r="A3733" s="36" t="b">
        <v>0</v>
      </c>
      <c r="B3733" s="56" t="b">
        <v>0</v>
      </c>
      <c r="C3733" s="56" t="b">
        <v>0</v>
      </c>
      <c r="D3733" s="56" t="b">
        <v>0</v>
      </c>
      <c r="E3733" s="56">
        <f ca="1">IF(PV[[#This Row],[Business Date]]=Control!$C$6, PV[[#This Row],[Notional Value Local Cur]], -PV[[#This Row],[Notional Value Local Cur]])</f>
        <v>0</v>
      </c>
    </row>
    <row r="3734" spans="1:5" x14ac:dyDescent="0.25">
      <c r="A3734" s="36" t="b">
        <v>0</v>
      </c>
      <c r="B3734" s="56" t="b">
        <v>0</v>
      </c>
      <c r="C3734" s="56" t="b">
        <v>0</v>
      </c>
      <c r="D3734" s="56" t="b">
        <v>0</v>
      </c>
      <c r="E3734" s="56">
        <f ca="1">IF(PV[[#This Row],[Business Date]]=Control!$C$6, PV[[#This Row],[Notional Value Local Cur]], -PV[[#This Row],[Notional Value Local Cur]])</f>
        <v>0</v>
      </c>
    </row>
    <row r="3735" spans="1:5" x14ac:dyDescent="0.25">
      <c r="A3735" s="36" t="b">
        <v>0</v>
      </c>
      <c r="B3735" s="56" t="b">
        <v>0</v>
      </c>
      <c r="C3735" s="56" t="b">
        <v>0</v>
      </c>
      <c r="D3735" s="56" t="b">
        <v>0</v>
      </c>
      <c r="E3735" s="56">
        <f ca="1">IF(PV[[#This Row],[Business Date]]=Control!$C$6, PV[[#This Row],[Notional Value Local Cur]], -PV[[#This Row],[Notional Value Local Cur]])</f>
        <v>0</v>
      </c>
    </row>
    <row r="3736" spans="1:5" x14ac:dyDescent="0.25">
      <c r="A3736" s="36" t="b">
        <v>0</v>
      </c>
      <c r="B3736" s="56" t="b">
        <v>0</v>
      </c>
      <c r="C3736" s="56" t="b">
        <v>0</v>
      </c>
      <c r="D3736" s="56" t="b">
        <v>0</v>
      </c>
      <c r="E3736" s="56">
        <f ca="1">IF(PV[[#This Row],[Business Date]]=Control!$C$6, PV[[#This Row],[Notional Value Local Cur]], -PV[[#This Row],[Notional Value Local Cur]])</f>
        <v>0</v>
      </c>
    </row>
    <row r="3737" spans="1:5" x14ac:dyDescent="0.25">
      <c r="A3737" s="36" t="b">
        <v>0</v>
      </c>
      <c r="B3737" s="56" t="b">
        <v>0</v>
      </c>
      <c r="C3737" s="56" t="b">
        <v>0</v>
      </c>
      <c r="D3737" s="56" t="b">
        <v>0</v>
      </c>
      <c r="E3737" s="56">
        <f ca="1">IF(PV[[#This Row],[Business Date]]=Control!$C$6, PV[[#This Row],[Notional Value Local Cur]], -PV[[#This Row],[Notional Value Local Cur]])</f>
        <v>0</v>
      </c>
    </row>
    <row r="3738" spans="1:5" x14ac:dyDescent="0.25">
      <c r="A3738" s="36" t="b">
        <v>0</v>
      </c>
      <c r="B3738" s="56" t="b">
        <v>0</v>
      </c>
      <c r="C3738" s="56" t="b">
        <v>0</v>
      </c>
      <c r="D3738" s="56" t="b">
        <v>0</v>
      </c>
      <c r="E3738" s="56">
        <f ca="1">IF(PV[[#This Row],[Business Date]]=Control!$C$6, PV[[#This Row],[Notional Value Local Cur]], -PV[[#This Row],[Notional Value Local Cur]])</f>
        <v>0</v>
      </c>
    </row>
    <row r="3739" spans="1:5" x14ac:dyDescent="0.25">
      <c r="A3739" s="36" t="b">
        <v>0</v>
      </c>
      <c r="B3739" s="56" t="b">
        <v>0</v>
      </c>
      <c r="C3739" s="56" t="b">
        <v>0</v>
      </c>
      <c r="D3739" s="56" t="b">
        <v>0</v>
      </c>
      <c r="E3739" s="56">
        <f ca="1">IF(PV[[#This Row],[Business Date]]=Control!$C$6, PV[[#This Row],[Notional Value Local Cur]], -PV[[#This Row],[Notional Value Local Cur]])</f>
        <v>0</v>
      </c>
    </row>
    <row r="3740" spans="1:5" x14ac:dyDescent="0.25">
      <c r="A3740" s="36" t="b">
        <v>0</v>
      </c>
      <c r="B3740" s="56" t="b">
        <v>0</v>
      </c>
      <c r="C3740" s="56" t="b">
        <v>0</v>
      </c>
      <c r="D3740" s="56" t="b">
        <v>0</v>
      </c>
      <c r="E3740" s="56">
        <f ca="1">IF(PV[[#This Row],[Business Date]]=Control!$C$6, PV[[#This Row],[Notional Value Local Cur]], -PV[[#This Row],[Notional Value Local Cur]])</f>
        <v>0</v>
      </c>
    </row>
    <row r="3741" spans="1:5" x14ac:dyDescent="0.25">
      <c r="A3741" s="36" t="b">
        <v>0</v>
      </c>
      <c r="B3741" s="56" t="b">
        <v>0</v>
      </c>
      <c r="C3741" s="56" t="b">
        <v>0</v>
      </c>
      <c r="D3741" s="56" t="b">
        <v>0</v>
      </c>
      <c r="E3741" s="56">
        <f ca="1">IF(PV[[#This Row],[Business Date]]=Control!$C$6, PV[[#This Row],[Notional Value Local Cur]], -PV[[#This Row],[Notional Value Local Cur]])</f>
        <v>0</v>
      </c>
    </row>
    <row r="3742" spans="1:5" x14ac:dyDescent="0.25">
      <c r="A3742" s="36" t="b">
        <v>0</v>
      </c>
      <c r="B3742" s="56" t="b">
        <v>0</v>
      </c>
      <c r="C3742" s="56" t="b">
        <v>0</v>
      </c>
      <c r="D3742" s="56" t="b">
        <v>0</v>
      </c>
      <c r="E3742" s="56">
        <f ca="1">IF(PV[[#This Row],[Business Date]]=Control!$C$6, PV[[#This Row],[Notional Value Local Cur]], -PV[[#This Row],[Notional Value Local Cur]])</f>
        <v>0</v>
      </c>
    </row>
    <row r="3743" spans="1:5" x14ac:dyDescent="0.25">
      <c r="A3743" s="36" t="b">
        <v>0</v>
      </c>
      <c r="B3743" s="56" t="b">
        <v>0</v>
      </c>
      <c r="C3743" s="56" t="b">
        <v>0</v>
      </c>
      <c r="D3743" s="56" t="b">
        <v>0</v>
      </c>
      <c r="E3743" s="56">
        <f ca="1">IF(PV[[#This Row],[Business Date]]=Control!$C$6, PV[[#This Row],[Notional Value Local Cur]], -PV[[#This Row],[Notional Value Local Cur]])</f>
        <v>0</v>
      </c>
    </row>
    <row r="3744" spans="1:5" x14ac:dyDescent="0.25">
      <c r="A3744" s="36" t="b">
        <v>0</v>
      </c>
      <c r="B3744" s="56" t="b">
        <v>0</v>
      </c>
      <c r="C3744" s="56" t="b">
        <v>0</v>
      </c>
      <c r="D3744" s="56" t="b">
        <v>0</v>
      </c>
      <c r="E3744" s="56">
        <f ca="1">IF(PV[[#This Row],[Business Date]]=Control!$C$6, PV[[#This Row],[Notional Value Local Cur]], -PV[[#This Row],[Notional Value Local Cur]])</f>
        <v>0</v>
      </c>
    </row>
    <row r="3745" spans="1:5" x14ac:dyDescent="0.25">
      <c r="A3745" s="36" t="b">
        <v>0</v>
      </c>
      <c r="B3745" s="56" t="b">
        <v>0</v>
      </c>
      <c r="C3745" s="56" t="b">
        <v>0</v>
      </c>
      <c r="D3745" s="56" t="b">
        <v>0</v>
      </c>
      <c r="E3745" s="56">
        <f ca="1">IF(PV[[#This Row],[Business Date]]=Control!$C$6, PV[[#This Row],[Notional Value Local Cur]], -PV[[#This Row],[Notional Value Local Cur]])</f>
        <v>0</v>
      </c>
    </row>
    <row r="3746" spans="1:5" x14ac:dyDescent="0.25">
      <c r="A3746" s="36" t="b">
        <v>0</v>
      </c>
      <c r="B3746" s="56" t="b">
        <v>0</v>
      </c>
      <c r="C3746" s="56" t="b">
        <v>0</v>
      </c>
      <c r="D3746" s="56" t="b">
        <v>0</v>
      </c>
      <c r="E3746" s="56">
        <f ca="1">IF(PV[[#This Row],[Business Date]]=Control!$C$6, PV[[#This Row],[Notional Value Local Cur]], -PV[[#This Row],[Notional Value Local Cur]])</f>
        <v>0</v>
      </c>
    </row>
    <row r="3747" spans="1:5" x14ac:dyDescent="0.25">
      <c r="A3747" s="36" t="b">
        <v>0</v>
      </c>
      <c r="B3747" s="56" t="b">
        <v>0</v>
      </c>
      <c r="C3747" s="56" t="b">
        <v>0</v>
      </c>
      <c r="D3747" s="56" t="b">
        <v>0</v>
      </c>
      <c r="E3747" s="56">
        <f ca="1">IF(PV[[#This Row],[Business Date]]=Control!$C$6, PV[[#This Row],[Notional Value Local Cur]], -PV[[#This Row],[Notional Value Local Cur]])</f>
        <v>0</v>
      </c>
    </row>
    <row r="3748" spans="1:5" x14ac:dyDescent="0.25">
      <c r="A3748" s="36" t="b">
        <v>0</v>
      </c>
      <c r="B3748" s="56" t="b">
        <v>0</v>
      </c>
      <c r="C3748" s="56" t="b">
        <v>0</v>
      </c>
      <c r="D3748" s="56" t="b">
        <v>0</v>
      </c>
      <c r="E3748" s="56">
        <f ca="1">IF(PV[[#This Row],[Business Date]]=Control!$C$6, PV[[#This Row],[Notional Value Local Cur]], -PV[[#This Row],[Notional Value Local Cur]])</f>
        <v>0</v>
      </c>
    </row>
    <row r="3749" spans="1:5" x14ac:dyDescent="0.25">
      <c r="A3749" s="36" t="b">
        <v>0</v>
      </c>
      <c r="B3749" s="56" t="b">
        <v>0</v>
      </c>
      <c r="C3749" s="56" t="b">
        <v>0</v>
      </c>
      <c r="D3749" s="56" t="b">
        <v>0</v>
      </c>
      <c r="E3749" s="56">
        <f ca="1">IF(PV[[#This Row],[Business Date]]=Control!$C$6, PV[[#This Row],[Notional Value Local Cur]], -PV[[#This Row],[Notional Value Local Cur]])</f>
        <v>0</v>
      </c>
    </row>
    <row r="3750" spans="1:5" x14ac:dyDescent="0.25">
      <c r="A3750" s="36" t="b">
        <v>0</v>
      </c>
      <c r="B3750" s="56" t="b">
        <v>0</v>
      </c>
      <c r="C3750" s="56" t="b">
        <v>0</v>
      </c>
      <c r="D3750" s="56" t="b">
        <v>0</v>
      </c>
      <c r="E3750" s="56">
        <f ca="1">IF(PV[[#This Row],[Business Date]]=Control!$C$6, PV[[#This Row],[Notional Value Local Cur]], -PV[[#This Row],[Notional Value Local Cur]])</f>
        <v>0</v>
      </c>
    </row>
    <row r="3751" spans="1:5" x14ac:dyDescent="0.25">
      <c r="A3751" s="36" t="b">
        <v>0</v>
      </c>
      <c r="B3751" s="56" t="b">
        <v>0</v>
      </c>
      <c r="C3751" s="56" t="b">
        <v>0</v>
      </c>
      <c r="D3751" s="56" t="b">
        <v>0</v>
      </c>
      <c r="E3751" s="56">
        <f ca="1">IF(PV[[#This Row],[Business Date]]=Control!$C$6, PV[[#This Row],[Notional Value Local Cur]], -PV[[#This Row],[Notional Value Local Cur]])</f>
        <v>0</v>
      </c>
    </row>
    <row r="3752" spans="1:5" x14ac:dyDescent="0.25">
      <c r="A3752" s="36" t="b">
        <v>0</v>
      </c>
      <c r="B3752" s="56" t="b">
        <v>0</v>
      </c>
      <c r="C3752" s="56" t="b">
        <v>0</v>
      </c>
      <c r="D3752" s="56" t="b">
        <v>0</v>
      </c>
      <c r="E3752" s="56">
        <f ca="1">IF(PV[[#This Row],[Business Date]]=Control!$C$6, PV[[#This Row],[Notional Value Local Cur]], -PV[[#This Row],[Notional Value Local Cur]])</f>
        <v>0</v>
      </c>
    </row>
    <row r="3753" spans="1:5" x14ac:dyDescent="0.25">
      <c r="A3753" s="36" t="b">
        <v>0</v>
      </c>
      <c r="B3753" s="56" t="b">
        <v>0</v>
      </c>
      <c r="C3753" s="56" t="b">
        <v>0</v>
      </c>
      <c r="D3753" s="56" t="b">
        <v>0</v>
      </c>
      <c r="E3753" s="56">
        <f ca="1">IF(PV[[#This Row],[Business Date]]=Control!$C$6, PV[[#This Row],[Notional Value Local Cur]], -PV[[#This Row],[Notional Value Local Cur]])</f>
        <v>0</v>
      </c>
    </row>
    <row r="3754" spans="1:5" x14ac:dyDescent="0.25">
      <c r="A3754" s="36" t="b">
        <v>0</v>
      </c>
      <c r="B3754" s="56" t="b">
        <v>0</v>
      </c>
      <c r="C3754" s="56" t="b">
        <v>0</v>
      </c>
      <c r="D3754" s="56" t="b">
        <v>0</v>
      </c>
      <c r="E3754" s="56">
        <f ca="1">IF(PV[[#This Row],[Business Date]]=Control!$C$6, PV[[#This Row],[Notional Value Local Cur]], -PV[[#This Row],[Notional Value Local Cur]])</f>
        <v>0</v>
      </c>
    </row>
    <row r="3755" spans="1:5" x14ac:dyDescent="0.25">
      <c r="A3755" s="36" t="b">
        <v>0</v>
      </c>
      <c r="B3755" s="56" t="b">
        <v>0</v>
      </c>
      <c r="C3755" s="56" t="b">
        <v>0</v>
      </c>
      <c r="D3755" s="56" t="b">
        <v>0</v>
      </c>
      <c r="E3755" s="56">
        <f ca="1">IF(PV[[#This Row],[Business Date]]=Control!$C$6, PV[[#This Row],[Notional Value Local Cur]], -PV[[#This Row],[Notional Value Local Cur]])</f>
        <v>0</v>
      </c>
    </row>
    <row r="3756" spans="1:5" x14ac:dyDescent="0.25">
      <c r="A3756" s="36" t="b">
        <v>0</v>
      </c>
      <c r="B3756" s="56" t="b">
        <v>0</v>
      </c>
      <c r="C3756" s="56" t="b">
        <v>0</v>
      </c>
      <c r="D3756" s="56" t="b">
        <v>0</v>
      </c>
      <c r="E3756" s="56">
        <f ca="1">IF(PV[[#This Row],[Business Date]]=Control!$C$6, PV[[#This Row],[Notional Value Local Cur]], -PV[[#This Row],[Notional Value Local Cur]])</f>
        <v>0</v>
      </c>
    </row>
    <row r="3757" spans="1:5" x14ac:dyDescent="0.25">
      <c r="A3757" s="36" t="b">
        <v>0</v>
      </c>
      <c r="B3757" s="56" t="b">
        <v>0</v>
      </c>
      <c r="C3757" s="56" t="b">
        <v>0</v>
      </c>
      <c r="D3757" s="56" t="b">
        <v>0</v>
      </c>
      <c r="E3757" s="56">
        <f ca="1">IF(PV[[#This Row],[Business Date]]=Control!$C$6, PV[[#This Row],[Notional Value Local Cur]], -PV[[#This Row],[Notional Value Local Cur]])</f>
        <v>0</v>
      </c>
    </row>
    <row r="3758" spans="1:5" x14ac:dyDescent="0.25">
      <c r="A3758" s="36" t="b">
        <v>0</v>
      </c>
      <c r="B3758" s="56" t="b">
        <v>0</v>
      </c>
      <c r="C3758" s="56" t="b">
        <v>0</v>
      </c>
      <c r="D3758" s="56" t="b">
        <v>0</v>
      </c>
      <c r="E3758" s="56">
        <f ca="1">IF(PV[[#This Row],[Business Date]]=Control!$C$6, PV[[#This Row],[Notional Value Local Cur]], -PV[[#This Row],[Notional Value Local Cur]])</f>
        <v>0</v>
      </c>
    </row>
    <row r="3759" spans="1:5" x14ac:dyDescent="0.25">
      <c r="A3759" s="36" t="b">
        <v>0</v>
      </c>
      <c r="B3759" s="56" t="b">
        <v>0</v>
      </c>
      <c r="C3759" s="56" t="b">
        <v>0</v>
      </c>
      <c r="D3759" s="56" t="b">
        <v>0</v>
      </c>
      <c r="E3759" s="56">
        <f ca="1">IF(PV[[#This Row],[Business Date]]=Control!$C$6, PV[[#This Row],[Notional Value Local Cur]], -PV[[#This Row],[Notional Value Local Cur]])</f>
        <v>0</v>
      </c>
    </row>
    <row r="3760" spans="1:5" x14ac:dyDescent="0.25">
      <c r="A3760" s="36" t="b">
        <v>0</v>
      </c>
      <c r="B3760" s="56" t="b">
        <v>0</v>
      </c>
      <c r="C3760" s="56" t="b">
        <v>0</v>
      </c>
      <c r="D3760" s="56" t="b">
        <v>0</v>
      </c>
      <c r="E3760" s="56">
        <f ca="1">IF(PV[[#This Row],[Business Date]]=Control!$C$6, PV[[#This Row],[Notional Value Local Cur]], -PV[[#This Row],[Notional Value Local Cur]])</f>
        <v>0</v>
      </c>
    </row>
    <row r="3761" spans="1:5" x14ac:dyDescent="0.25">
      <c r="A3761" s="36" t="b">
        <v>0</v>
      </c>
      <c r="B3761" s="56" t="b">
        <v>0</v>
      </c>
      <c r="C3761" s="56" t="b">
        <v>0</v>
      </c>
      <c r="D3761" s="56" t="b">
        <v>0</v>
      </c>
      <c r="E3761" s="56">
        <f ca="1">IF(PV[[#This Row],[Business Date]]=Control!$C$6, PV[[#This Row],[Notional Value Local Cur]], -PV[[#This Row],[Notional Value Local Cur]])</f>
        <v>0</v>
      </c>
    </row>
    <row r="3762" spans="1:5" x14ac:dyDescent="0.25">
      <c r="A3762" s="36" t="b">
        <v>0</v>
      </c>
      <c r="B3762" s="56" t="b">
        <v>0</v>
      </c>
      <c r="C3762" s="56" t="b">
        <v>0</v>
      </c>
      <c r="D3762" s="56" t="b">
        <v>0</v>
      </c>
      <c r="E3762" s="56">
        <f ca="1">IF(PV[[#This Row],[Business Date]]=Control!$C$6, PV[[#This Row],[Notional Value Local Cur]], -PV[[#This Row],[Notional Value Local Cur]])</f>
        <v>0</v>
      </c>
    </row>
    <row r="3763" spans="1:5" x14ac:dyDescent="0.25">
      <c r="A3763" s="36" t="b">
        <v>0</v>
      </c>
      <c r="B3763" s="56" t="b">
        <v>0</v>
      </c>
      <c r="C3763" s="56" t="b">
        <v>0</v>
      </c>
      <c r="D3763" s="56" t="b">
        <v>0</v>
      </c>
      <c r="E3763" s="56">
        <f ca="1">IF(PV[[#This Row],[Business Date]]=Control!$C$6, PV[[#This Row],[Notional Value Local Cur]], -PV[[#This Row],[Notional Value Local Cur]])</f>
        <v>0</v>
      </c>
    </row>
    <row r="3764" spans="1:5" x14ac:dyDescent="0.25">
      <c r="A3764" s="36" t="b">
        <v>0</v>
      </c>
      <c r="B3764" s="56" t="b">
        <v>0</v>
      </c>
      <c r="C3764" s="56" t="b">
        <v>0</v>
      </c>
      <c r="D3764" s="56" t="b">
        <v>0</v>
      </c>
      <c r="E3764" s="56">
        <f ca="1">IF(PV[[#This Row],[Business Date]]=Control!$C$6, PV[[#This Row],[Notional Value Local Cur]], -PV[[#This Row],[Notional Value Local Cur]])</f>
        <v>0</v>
      </c>
    </row>
    <row r="3765" spans="1:5" x14ac:dyDescent="0.25">
      <c r="A3765" s="36" t="b">
        <v>0</v>
      </c>
      <c r="B3765" s="56" t="b">
        <v>0</v>
      </c>
      <c r="C3765" s="56" t="b">
        <v>0</v>
      </c>
      <c r="D3765" s="56" t="b">
        <v>0</v>
      </c>
      <c r="E3765" s="56">
        <f ca="1">IF(PV[[#This Row],[Business Date]]=Control!$C$6, PV[[#This Row],[Notional Value Local Cur]], -PV[[#This Row],[Notional Value Local Cur]])</f>
        <v>0</v>
      </c>
    </row>
    <row r="3766" spans="1:5" x14ac:dyDescent="0.25">
      <c r="A3766" s="36" t="b">
        <v>0</v>
      </c>
      <c r="B3766" s="56" t="b">
        <v>0</v>
      </c>
      <c r="C3766" s="56" t="b">
        <v>0</v>
      </c>
      <c r="D3766" s="56" t="b">
        <v>0</v>
      </c>
      <c r="E3766" s="56">
        <f ca="1">IF(PV[[#This Row],[Business Date]]=Control!$C$6, PV[[#This Row],[Notional Value Local Cur]], -PV[[#This Row],[Notional Value Local Cur]])</f>
        <v>0</v>
      </c>
    </row>
    <row r="3767" spans="1:5" x14ac:dyDescent="0.25">
      <c r="A3767" s="36" t="b">
        <v>0</v>
      </c>
      <c r="B3767" s="56" t="b">
        <v>0</v>
      </c>
      <c r="C3767" s="56" t="b">
        <v>0</v>
      </c>
      <c r="D3767" s="56" t="b">
        <v>0</v>
      </c>
      <c r="E3767" s="56">
        <f ca="1">IF(PV[[#This Row],[Business Date]]=Control!$C$6, PV[[#This Row],[Notional Value Local Cur]], -PV[[#This Row],[Notional Value Local Cur]])</f>
        <v>0</v>
      </c>
    </row>
    <row r="3768" spans="1:5" x14ac:dyDescent="0.25">
      <c r="A3768" s="36" t="b">
        <v>0</v>
      </c>
      <c r="B3768" s="56" t="b">
        <v>0</v>
      </c>
      <c r="C3768" s="56" t="b">
        <v>0</v>
      </c>
      <c r="D3768" s="56" t="b">
        <v>0</v>
      </c>
      <c r="E3768" s="56">
        <f ca="1">IF(PV[[#This Row],[Business Date]]=Control!$C$6, PV[[#This Row],[Notional Value Local Cur]], -PV[[#This Row],[Notional Value Local Cur]])</f>
        <v>0</v>
      </c>
    </row>
    <row r="3769" spans="1:5" x14ac:dyDescent="0.25">
      <c r="A3769" s="36" t="b">
        <v>0</v>
      </c>
      <c r="B3769" s="56" t="b">
        <v>0</v>
      </c>
      <c r="C3769" s="56" t="b">
        <v>0</v>
      </c>
      <c r="D3769" s="56" t="b">
        <v>0</v>
      </c>
      <c r="E3769" s="56">
        <f ca="1">IF(PV[[#This Row],[Business Date]]=Control!$C$6, PV[[#This Row],[Notional Value Local Cur]], -PV[[#This Row],[Notional Value Local Cur]])</f>
        <v>0</v>
      </c>
    </row>
    <row r="3770" spans="1:5" x14ac:dyDescent="0.25">
      <c r="A3770" s="36" t="b">
        <v>0</v>
      </c>
      <c r="B3770" s="56" t="b">
        <v>0</v>
      </c>
      <c r="C3770" s="56" t="b">
        <v>0</v>
      </c>
      <c r="D3770" s="56" t="b">
        <v>0</v>
      </c>
      <c r="E3770" s="56">
        <f ca="1">IF(PV[[#This Row],[Business Date]]=Control!$C$6, PV[[#This Row],[Notional Value Local Cur]], -PV[[#This Row],[Notional Value Local Cur]])</f>
        <v>0</v>
      </c>
    </row>
    <row r="3771" spans="1:5" x14ac:dyDescent="0.25">
      <c r="A3771" s="36" t="b">
        <v>0</v>
      </c>
      <c r="B3771" s="56" t="b">
        <v>0</v>
      </c>
      <c r="C3771" s="56" t="b">
        <v>0</v>
      </c>
      <c r="D3771" s="56" t="b">
        <v>0</v>
      </c>
      <c r="E3771" s="56">
        <f ca="1">IF(PV[[#This Row],[Business Date]]=Control!$C$6, PV[[#This Row],[Notional Value Local Cur]], -PV[[#This Row],[Notional Value Local Cur]])</f>
        <v>0</v>
      </c>
    </row>
    <row r="3772" spans="1:5" x14ac:dyDescent="0.25">
      <c r="A3772" s="36" t="b">
        <v>0</v>
      </c>
      <c r="B3772" s="56" t="b">
        <v>0</v>
      </c>
      <c r="C3772" s="56" t="b">
        <v>0</v>
      </c>
      <c r="D3772" s="56" t="b">
        <v>0</v>
      </c>
      <c r="E3772" s="56">
        <f ca="1">IF(PV[[#This Row],[Business Date]]=Control!$C$6, PV[[#This Row],[Notional Value Local Cur]], -PV[[#This Row],[Notional Value Local Cur]])</f>
        <v>0</v>
      </c>
    </row>
    <row r="3773" spans="1:5" x14ac:dyDescent="0.25">
      <c r="A3773" s="36" t="b">
        <v>0</v>
      </c>
      <c r="B3773" s="56" t="b">
        <v>0</v>
      </c>
      <c r="C3773" s="56" t="b">
        <v>0</v>
      </c>
      <c r="D3773" s="56" t="b">
        <v>0</v>
      </c>
      <c r="E3773" s="56">
        <f ca="1">IF(PV[[#This Row],[Business Date]]=Control!$C$6, PV[[#This Row],[Notional Value Local Cur]], -PV[[#This Row],[Notional Value Local Cur]])</f>
        <v>0</v>
      </c>
    </row>
    <row r="3774" spans="1:5" x14ac:dyDescent="0.25">
      <c r="A3774" s="36" t="b">
        <v>0</v>
      </c>
      <c r="B3774" s="56" t="b">
        <v>0</v>
      </c>
      <c r="C3774" s="56" t="b">
        <v>0</v>
      </c>
      <c r="D3774" s="56" t="b">
        <v>0</v>
      </c>
      <c r="E3774" s="56">
        <f ca="1">IF(PV[[#This Row],[Business Date]]=Control!$C$6, PV[[#This Row],[Notional Value Local Cur]], -PV[[#This Row],[Notional Value Local Cur]])</f>
        <v>0</v>
      </c>
    </row>
    <row r="3775" spans="1:5" x14ac:dyDescent="0.25">
      <c r="A3775" s="36" t="b">
        <v>0</v>
      </c>
      <c r="B3775" s="56" t="b">
        <v>0</v>
      </c>
      <c r="C3775" s="56" t="b">
        <v>0</v>
      </c>
      <c r="D3775" s="56" t="b">
        <v>0</v>
      </c>
      <c r="E3775" s="56">
        <f ca="1">IF(PV[[#This Row],[Business Date]]=Control!$C$6, PV[[#This Row],[Notional Value Local Cur]], -PV[[#This Row],[Notional Value Local Cur]])</f>
        <v>0</v>
      </c>
    </row>
    <row r="3776" spans="1:5" x14ac:dyDescent="0.25">
      <c r="A3776" s="36" t="b">
        <v>0</v>
      </c>
      <c r="B3776" s="56" t="b">
        <v>0</v>
      </c>
      <c r="C3776" s="56" t="b">
        <v>0</v>
      </c>
      <c r="D3776" s="56" t="b">
        <v>0</v>
      </c>
      <c r="E3776" s="56">
        <f ca="1">IF(PV[[#This Row],[Business Date]]=Control!$C$6, PV[[#This Row],[Notional Value Local Cur]], -PV[[#This Row],[Notional Value Local Cur]])</f>
        <v>0</v>
      </c>
    </row>
    <row r="3777" spans="1:5" x14ac:dyDescent="0.25">
      <c r="A3777" s="36" t="b">
        <v>0</v>
      </c>
      <c r="B3777" s="56" t="b">
        <v>0</v>
      </c>
      <c r="C3777" s="56" t="b">
        <v>0</v>
      </c>
      <c r="D3777" s="56" t="b">
        <v>0</v>
      </c>
      <c r="E3777" s="56">
        <f ca="1">IF(PV[[#This Row],[Business Date]]=Control!$C$6, PV[[#This Row],[Notional Value Local Cur]], -PV[[#This Row],[Notional Value Local Cur]])</f>
        <v>0</v>
      </c>
    </row>
    <row r="3778" spans="1:5" x14ac:dyDescent="0.25">
      <c r="A3778" s="36" t="b">
        <v>0</v>
      </c>
      <c r="B3778" s="56" t="b">
        <v>0</v>
      </c>
      <c r="C3778" s="56" t="b">
        <v>0</v>
      </c>
      <c r="D3778" s="56" t="b">
        <v>0</v>
      </c>
      <c r="E3778" s="56">
        <f ca="1">IF(PV[[#This Row],[Business Date]]=Control!$C$6, PV[[#This Row],[Notional Value Local Cur]], -PV[[#This Row],[Notional Value Local Cur]])</f>
        <v>0</v>
      </c>
    </row>
    <row r="3779" spans="1:5" x14ac:dyDescent="0.25">
      <c r="A3779" s="36" t="b">
        <v>0</v>
      </c>
      <c r="B3779" s="56" t="b">
        <v>0</v>
      </c>
      <c r="C3779" s="56" t="b">
        <v>0</v>
      </c>
      <c r="D3779" s="56" t="b">
        <v>0</v>
      </c>
      <c r="E3779" s="56">
        <f ca="1">IF(PV[[#This Row],[Business Date]]=Control!$C$6, PV[[#This Row],[Notional Value Local Cur]], -PV[[#This Row],[Notional Value Local Cur]])</f>
        <v>0</v>
      </c>
    </row>
    <row r="3780" spans="1:5" x14ac:dyDescent="0.25">
      <c r="A3780" s="36" t="b">
        <v>0</v>
      </c>
      <c r="B3780" s="56" t="b">
        <v>0</v>
      </c>
      <c r="C3780" s="56" t="b">
        <v>0</v>
      </c>
      <c r="D3780" s="56" t="b">
        <v>0</v>
      </c>
      <c r="E3780" s="56">
        <f ca="1">IF(PV[[#This Row],[Business Date]]=Control!$C$6, PV[[#This Row],[Notional Value Local Cur]], -PV[[#This Row],[Notional Value Local Cur]])</f>
        <v>0</v>
      </c>
    </row>
    <row r="3781" spans="1:5" x14ac:dyDescent="0.25">
      <c r="A3781" s="36" t="b">
        <v>0</v>
      </c>
      <c r="B3781" s="56" t="b">
        <v>0</v>
      </c>
      <c r="C3781" s="56" t="b">
        <v>0</v>
      </c>
      <c r="D3781" s="56" t="b">
        <v>0</v>
      </c>
      <c r="E3781" s="56">
        <f ca="1">IF(PV[[#This Row],[Business Date]]=Control!$C$6, PV[[#This Row],[Notional Value Local Cur]], -PV[[#This Row],[Notional Value Local Cur]])</f>
        <v>0</v>
      </c>
    </row>
    <row r="3782" spans="1:5" x14ac:dyDescent="0.25">
      <c r="A3782" s="36" t="b">
        <v>0</v>
      </c>
      <c r="B3782" s="56" t="b">
        <v>0</v>
      </c>
      <c r="C3782" s="56" t="b">
        <v>0</v>
      </c>
      <c r="D3782" s="56" t="b">
        <v>0</v>
      </c>
      <c r="E3782" s="56">
        <f ca="1">IF(PV[[#This Row],[Business Date]]=Control!$C$6, PV[[#This Row],[Notional Value Local Cur]], -PV[[#This Row],[Notional Value Local Cur]])</f>
        <v>0</v>
      </c>
    </row>
    <row r="3783" spans="1:5" x14ac:dyDescent="0.25">
      <c r="A3783" s="36" t="b">
        <v>0</v>
      </c>
      <c r="B3783" s="56" t="b">
        <v>0</v>
      </c>
      <c r="C3783" s="56" t="b">
        <v>0</v>
      </c>
      <c r="D3783" s="56" t="b">
        <v>0</v>
      </c>
      <c r="E3783" s="56">
        <f ca="1">IF(PV[[#This Row],[Business Date]]=Control!$C$6, PV[[#This Row],[Notional Value Local Cur]], -PV[[#This Row],[Notional Value Local Cur]])</f>
        <v>0</v>
      </c>
    </row>
    <row r="3784" spans="1:5" x14ac:dyDescent="0.25">
      <c r="A3784" s="36" t="b">
        <v>0</v>
      </c>
      <c r="B3784" s="56" t="b">
        <v>0</v>
      </c>
      <c r="C3784" s="56" t="b">
        <v>0</v>
      </c>
      <c r="D3784" s="56" t="b">
        <v>0</v>
      </c>
      <c r="E3784" s="56">
        <f ca="1">IF(PV[[#This Row],[Business Date]]=Control!$C$6, PV[[#This Row],[Notional Value Local Cur]], -PV[[#This Row],[Notional Value Local Cur]])</f>
        <v>0</v>
      </c>
    </row>
    <row r="3785" spans="1:5" x14ac:dyDescent="0.25">
      <c r="A3785" s="36" t="b">
        <v>0</v>
      </c>
      <c r="B3785" s="56" t="b">
        <v>0</v>
      </c>
      <c r="C3785" s="56" t="b">
        <v>0</v>
      </c>
      <c r="D3785" s="56" t="b">
        <v>0</v>
      </c>
      <c r="E3785" s="56">
        <f ca="1">IF(PV[[#This Row],[Business Date]]=Control!$C$6, PV[[#This Row],[Notional Value Local Cur]], -PV[[#This Row],[Notional Value Local Cur]])</f>
        <v>0</v>
      </c>
    </row>
    <row r="3786" spans="1:5" x14ac:dyDescent="0.25">
      <c r="A3786" s="36" t="b">
        <v>0</v>
      </c>
      <c r="B3786" s="56" t="b">
        <v>0</v>
      </c>
      <c r="C3786" s="56" t="b">
        <v>0</v>
      </c>
      <c r="D3786" s="56" t="b">
        <v>0</v>
      </c>
      <c r="E3786" s="56">
        <f ca="1">IF(PV[[#This Row],[Business Date]]=Control!$C$6, PV[[#This Row],[Notional Value Local Cur]], -PV[[#This Row],[Notional Value Local Cur]])</f>
        <v>0</v>
      </c>
    </row>
    <row r="3787" spans="1:5" x14ac:dyDescent="0.25">
      <c r="A3787" s="36" t="b">
        <v>0</v>
      </c>
      <c r="B3787" s="56" t="b">
        <v>0</v>
      </c>
      <c r="C3787" s="56" t="b">
        <v>0</v>
      </c>
      <c r="D3787" s="56" t="b">
        <v>0</v>
      </c>
      <c r="E3787" s="56">
        <f ca="1">IF(PV[[#This Row],[Business Date]]=Control!$C$6, PV[[#This Row],[Notional Value Local Cur]], -PV[[#This Row],[Notional Value Local Cur]])</f>
        <v>0</v>
      </c>
    </row>
    <row r="3788" spans="1:5" x14ac:dyDescent="0.25">
      <c r="A3788" s="36" t="b">
        <v>0</v>
      </c>
      <c r="B3788" s="56" t="b">
        <v>0</v>
      </c>
      <c r="C3788" s="56" t="b">
        <v>0</v>
      </c>
      <c r="D3788" s="56" t="b">
        <v>0</v>
      </c>
      <c r="E3788" s="56">
        <f ca="1">IF(PV[[#This Row],[Business Date]]=Control!$C$6, PV[[#This Row],[Notional Value Local Cur]], -PV[[#This Row],[Notional Value Local Cur]])</f>
        <v>0</v>
      </c>
    </row>
    <row r="3789" spans="1:5" x14ac:dyDescent="0.25">
      <c r="A3789" s="36" t="b">
        <v>0</v>
      </c>
      <c r="B3789" s="56" t="b">
        <v>0</v>
      </c>
      <c r="C3789" s="56" t="b">
        <v>0</v>
      </c>
      <c r="D3789" s="56" t="b">
        <v>0</v>
      </c>
      <c r="E3789" s="56">
        <f ca="1">IF(PV[[#This Row],[Business Date]]=Control!$C$6, PV[[#This Row],[Notional Value Local Cur]], -PV[[#This Row],[Notional Value Local Cur]])</f>
        <v>0</v>
      </c>
    </row>
    <row r="3790" spans="1:5" x14ac:dyDescent="0.25">
      <c r="A3790" s="36" t="b">
        <v>0</v>
      </c>
      <c r="B3790" s="56" t="b">
        <v>0</v>
      </c>
      <c r="C3790" s="56" t="b">
        <v>0</v>
      </c>
      <c r="D3790" s="56" t="b">
        <v>0</v>
      </c>
      <c r="E3790" s="56">
        <f ca="1">IF(PV[[#This Row],[Business Date]]=Control!$C$6, PV[[#This Row],[Notional Value Local Cur]], -PV[[#This Row],[Notional Value Local Cur]])</f>
        <v>0</v>
      </c>
    </row>
    <row r="3791" spans="1:5" x14ac:dyDescent="0.25">
      <c r="A3791" s="36" t="b">
        <v>0</v>
      </c>
      <c r="B3791" s="56" t="b">
        <v>0</v>
      </c>
      <c r="C3791" s="56" t="b">
        <v>0</v>
      </c>
      <c r="D3791" s="56" t="b">
        <v>0</v>
      </c>
      <c r="E3791" s="56">
        <f ca="1">IF(PV[[#This Row],[Business Date]]=Control!$C$6, PV[[#This Row],[Notional Value Local Cur]], -PV[[#This Row],[Notional Value Local Cur]])</f>
        <v>0</v>
      </c>
    </row>
    <row r="3792" spans="1:5" x14ac:dyDescent="0.25">
      <c r="A3792" s="36" t="b">
        <v>0</v>
      </c>
      <c r="B3792" s="56" t="b">
        <v>0</v>
      </c>
      <c r="C3792" s="56" t="b">
        <v>0</v>
      </c>
      <c r="D3792" s="56" t="b">
        <v>0</v>
      </c>
      <c r="E3792" s="56">
        <f ca="1">IF(PV[[#This Row],[Business Date]]=Control!$C$6, PV[[#This Row],[Notional Value Local Cur]], -PV[[#This Row],[Notional Value Local Cur]])</f>
        <v>0</v>
      </c>
    </row>
    <row r="3793" spans="1:5" x14ac:dyDescent="0.25">
      <c r="A3793" s="36" t="b">
        <v>0</v>
      </c>
      <c r="B3793" s="56" t="b">
        <v>0</v>
      </c>
      <c r="C3793" s="56" t="b">
        <v>0</v>
      </c>
      <c r="D3793" s="56" t="b">
        <v>0</v>
      </c>
      <c r="E3793" s="56">
        <f ca="1">IF(PV[[#This Row],[Business Date]]=Control!$C$6, PV[[#This Row],[Notional Value Local Cur]], -PV[[#This Row],[Notional Value Local Cur]])</f>
        <v>0</v>
      </c>
    </row>
    <row r="3794" spans="1:5" x14ac:dyDescent="0.25">
      <c r="A3794" s="36" t="b">
        <v>0</v>
      </c>
      <c r="B3794" s="56" t="b">
        <v>0</v>
      </c>
      <c r="C3794" s="56" t="b">
        <v>0</v>
      </c>
      <c r="D3794" s="56" t="b">
        <v>0</v>
      </c>
      <c r="E3794" s="56">
        <f ca="1">IF(PV[[#This Row],[Business Date]]=Control!$C$6, PV[[#This Row],[Notional Value Local Cur]], -PV[[#This Row],[Notional Value Local Cur]])</f>
        <v>0</v>
      </c>
    </row>
    <row r="3795" spans="1:5" x14ac:dyDescent="0.25">
      <c r="A3795" s="36" t="b">
        <v>0</v>
      </c>
      <c r="B3795" s="56" t="b">
        <v>0</v>
      </c>
      <c r="C3795" s="56" t="b">
        <v>0</v>
      </c>
      <c r="D3795" s="56" t="b">
        <v>0</v>
      </c>
      <c r="E3795" s="56">
        <f ca="1">IF(PV[[#This Row],[Business Date]]=Control!$C$6, PV[[#This Row],[Notional Value Local Cur]], -PV[[#This Row],[Notional Value Local Cur]])</f>
        <v>0</v>
      </c>
    </row>
    <row r="3796" spans="1:5" x14ac:dyDescent="0.25">
      <c r="A3796" s="36" t="b">
        <v>0</v>
      </c>
      <c r="B3796" s="56" t="b">
        <v>0</v>
      </c>
      <c r="C3796" s="56" t="b">
        <v>0</v>
      </c>
      <c r="D3796" s="56" t="b">
        <v>0</v>
      </c>
      <c r="E3796" s="56">
        <f ca="1">IF(PV[[#This Row],[Business Date]]=Control!$C$6, PV[[#This Row],[Notional Value Local Cur]], -PV[[#This Row],[Notional Value Local Cur]])</f>
        <v>0</v>
      </c>
    </row>
    <row r="3797" spans="1:5" x14ac:dyDescent="0.25">
      <c r="A3797" s="36" t="b">
        <v>0</v>
      </c>
      <c r="B3797" s="56" t="b">
        <v>0</v>
      </c>
      <c r="C3797" s="56" t="b">
        <v>0</v>
      </c>
      <c r="D3797" s="56" t="b">
        <v>0</v>
      </c>
      <c r="E3797" s="56">
        <f ca="1">IF(PV[[#This Row],[Business Date]]=Control!$C$6, PV[[#This Row],[Notional Value Local Cur]], -PV[[#This Row],[Notional Value Local Cur]])</f>
        <v>0</v>
      </c>
    </row>
    <row r="3798" spans="1:5" x14ac:dyDescent="0.25">
      <c r="A3798" s="36" t="b">
        <v>0</v>
      </c>
      <c r="B3798" s="56" t="b">
        <v>0</v>
      </c>
      <c r="C3798" s="56" t="b">
        <v>0</v>
      </c>
      <c r="D3798" s="56" t="b">
        <v>0</v>
      </c>
      <c r="E3798" s="56">
        <f ca="1">IF(PV[[#This Row],[Business Date]]=Control!$C$6, PV[[#This Row],[Notional Value Local Cur]], -PV[[#This Row],[Notional Value Local Cur]])</f>
        <v>0</v>
      </c>
    </row>
    <row r="3799" spans="1:5" x14ac:dyDescent="0.25">
      <c r="A3799" s="36" t="b">
        <v>0</v>
      </c>
      <c r="B3799" s="56" t="b">
        <v>0</v>
      </c>
      <c r="C3799" s="56" t="b">
        <v>0</v>
      </c>
      <c r="D3799" s="56" t="b">
        <v>0</v>
      </c>
      <c r="E3799" s="56">
        <f ca="1">IF(PV[[#This Row],[Business Date]]=Control!$C$6, PV[[#This Row],[Notional Value Local Cur]], -PV[[#This Row],[Notional Value Local Cur]])</f>
        <v>0</v>
      </c>
    </row>
    <row r="3800" spans="1:5" x14ac:dyDescent="0.25">
      <c r="A3800" s="36" t="b">
        <v>0</v>
      </c>
      <c r="B3800" s="56" t="b">
        <v>0</v>
      </c>
      <c r="C3800" s="56" t="b">
        <v>0</v>
      </c>
      <c r="D3800" s="56" t="b">
        <v>0</v>
      </c>
      <c r="E3800" s="56">
        <f ca="1">IF(PV[[#This Row],[Business Date]]=Control!$C$6, PV[[#This Row],[Notional Value Local Cur]], -PV[[#This Row],[Notional Value Local Cur]])</f>
        <v>0</v>
      </c>
    </row>
    <row r="3801" spans="1:5" x14ac:dyDescent="0.25">
      <c r="A3801" s="36" t="b">
        <v>0</v>
      </c>
      <c r="B3801" s="56" t="b">
        <v>0</v>
      </c>
      <c r="C3801" s="56" t="b">
        <v>0</v>
      </c>
      <c r="D3801" s="56" t="b">
        <v>0</v>
      </c>
      <c r="E3801" s="56">
        <f ca="1">IF(PV[[#This Row],[Business Date]]=Control!$C$6, PV[[#This Row],[Notional Value Local Cur]], -PV[[#This Row],[Notional Value Local Cur]])</f>
        <v>0</v>
      </c>
    </row>
    <row r="3802" spans="1:5" x14ac:dyDescent="0.25">
      <c r="A3802" s="36" t="b">
        <v>0</v>
      </c>
      <c r="B3802" s="56" t="b">
        <v>0</v>
      </c>
      <c r="C3802" s="56" t="b">
        <v>0</v>
      </c>
      <c r="D3802" s="56" t="b">
        <v>0</v>
      </c>
      <c r="E3802" s="56">
        <f ca="1">IF(PV[[#This Row],[Business Date]]=Control!$C$6, PV[[#This Row],[Notional Value Local Cur]], -PV[[#This Row],[Notional Value Local Cur]])</f>
        <v>0</v>
      </c>
    </row>
    <row r="3803" spans="1:5" x14ac:dyDescent="0.25">
      <c r="A3803" s="36" t="b">
        <v>0</v>
      </c>
      <c r="B3803" s="56" t="b">
        <v>0</v>
      </c>
      <c r="C3803" s="56" t="b">
        <v>0</v>
      </c>
      <c r="D3803" s="56" t="b">
        <v>0</v>
      </c>
      <c r="E3803" s="56">
        <f ca="1">IF(PV[[#This Row],[Business Date]]=Control!$C$6, PV[[#This Row],[Notional Value Local Cur]], -PV[[#This Row],[Notional Value Local Cur]])</f>
        <v>0</v>
      </c>
    </row>
    <row r="3804" spans="1:5" x14ac:dyDescent="0.25">
      <c r="A3804" s="36" t="b">
        <v>0</v>
      </c>
      <c r="B3804" s="56" t="b">
        <v>0</v>
      </c>
      <c r="C3804" s="56" t="b">
        <v>0</v>
      </c>
      <c r="D3804" s="56" t="b">
        <v>0</v>
      </c>
      <c r="E3804" s="56">
        <f ca="1">IF(PV[[#This Row],[Business Date]]=Control!$C$6, PV[[#This Row],[Notional Value Local Cur]], -PV[[#This Row],[Notional Value Local Cur]])</f>
        <v>0</v>
      </c>
    </row>
    <row r="3805" spans="1:5" x14ac:dyDescent="0.25">
      <c r="A3805" s="36" t="b">
        <v>0</v>
      </c>
      <c r="B3805" s="56" t="b">
        <v>0</v>
      </c>
      <c r="C3805" s="56" t="b">
        <v>0</v>
      </c>
      <c r="D3805" s="56" t="b">
        <v>0</v>
      </c>
      <c r="E3805" s="56">
        <f ca="1">IF(PV[[#This Row],[Business Date]]=Control!$C$6, PV[[#This Row],[Notional Value Local Cur]], -PV[[#This Row],[Notional Value Local Cur]])</f>
        <v>0</v>
      </c>
    </row>
    <row r="3806" spans="1:5" x14ac:dyDescent="0.25">
      <c r="A3806" s="36" t="b">
        <v>0</v>
      </c>
      <c r="B3806" s="56" t="b">
        <v>0</v>
      </c>
      <c r="C3806" s="56" t="b">
        <v>0</v>
      </c>
      <c r="D3806" s="56" t="b">
        <v>0</v>
      </c>
      <c r="E3806" s="56">
        <f ca="1">IF(PV[[#This Row],[Business Date]]=Control!$C$6, PV[[#This Row],[Notional Value Local Cur]], -PV[[#This Row],[Notional Value Local Cur]])</f>
        <v>0</v>
      </c>
    </row>
    <row r="3807" spans="1:5" x14ac:dyDescent="0.25">
      <c r="A3807" s="36" t="b">
        <v>0</v>
      </c>
      <c r="B3807" s="56" t="b">
        <v>0</v>
      </c>
      <c r="C3807" s="56" t="b">
        <v>0</v>
      </c>
      <c r="D3807" s="56" t="b">
        <v>0</v>
      </c>
      <c r="E3807" s="56">
        <f ca="1">IF(PV[[#This Row],[Business Date]]=Control!$C$6, PV[[#This Row],[Notional Value Local Cur]], -PV[[#This Row],[Notional Value Local Cur]])</f>
        <v>0</v>
      </c>
    </row>
    <row r="3808" spans="1:5" x14ac:dyDescent="0.25">
      <c r="A3808" s="36" t="b">
        <v>0</v>
      </c>
      <c r="B3808" s="56" t="b">
        <v>0</v>
      </c>
      <c r="C3808" s="56" t="b">
        <v>0</v>
      </c>
      <c r="D3808" s="56" t="b">
        <v>0</v>
      </c>
      <c r="E3808" s="56">
        <f ca="1">IF(PV[[#This Row],[Business Date]]=Control!$C$6, PV[[#This Row],[Notional Value Local Cur]], -PV[[#This Row],[Notional Value Local Cur]])</f>
        <v>0</v>
      </c>
    </row>
    <row r="3809" spans="1:5" x14ac:dyDescent="0.25">
      <c r="A3809" s="36" t="b">
        <v>0</v>
      </c>
      <c r="B3809" s="56" t="b">
        <v>0</v>
      </c>
      <c r="C3809" s="56" t="b">
        <v>0</v>
      </c>
      <c r="D3809" s="56" t="b">
        <v>0</v>
      </c>
      <c r="E3809" s="56">
        <f ca="1">IF(PV[[#This Row],[Business Date]]=Control!$C$6, PV[[#This Row],[Notional Value Local Cur]], -PV[[#This Row],[Notional Value Local Cur]])</f>
        <v>0</v>
      </c>
    </row>
    <row r="3810" spans="1:5" x14ac:dyDescent="0.25">
      <c r="A3810" s="36" t="b">
        <v>0</v>
      </c>
      <c r="B3810" s="56" t="b">
        <v>0</v>
      </c>
      <c r="C3810" s="56" t="b">
        <v>0</v>
      </c>
      <c r="D3810" s="56" t="b">
        <v>0</v>
      </c>
      <c r="E3810" s="56">
        <f ca="1">IF(PV[[#This Row],[Business Date]]=Control!$C$6, PV[[#This Row],[Notional Value Local Cur]], -PV[[#This Row],[Notional Value Local Cur]])</f>
        <v>0</v>
      </c>
    </row>
    <row r="3811" spans="1:5" x14ac:dyDescent="0.25">
      <c r="A3811" s="36" t="b">
        <v>0</v>
      </c>
      <c r="B3811" s="56" t="b">
        <v>0</v>
      </c>
      <c r="C3811" s="56" t="b">
        <v>0</v>
      </c>
      <c r="D3811" s="56" t="b">
        <v>0</v>
      </c>
      <c r="E3811" s="56">
        <f ca="1">IF(PV[[#This Row],[Business Date]]=Control!$C$6, PV[[#This Row],[Notional Value Local Cur]], -PV[[#This Row],[Notional Value Local Cur]])</f>
        <v>0</v>
      </c>
    </row>
    <row r="3812" spans="1:5" x14ac:dyDescent="0.25">
      <c r="A3812" s="36" t="b">
        <v>0</v>
      </c>
      <c r="B3812" s="56" t="b">
        <v>0</v>
      </c>
      <c r="C3812" s="56" t="b">
        <v>0</v>
      </c>
      <c r="D3812" s="56" t="b">
        <v>0</v>
      </c>
      <c r="E3812" s="56">
        <f ca="1">IF(PV[[#This Row],[Business Date]]=Control!$C$6, PV[[#This Row],[Notional Value Local Cur]], -PV[[#This Row],[Notional Value Local Cur]])</f>
        <v>0</v>
      </c>
    </row>
    <row r="3813" spans="1:5" x14ac:dyDescent="0.25">
      <c r="A3813" s="36" t="b">
        <v>0</v>
      </c>
      <c r="B3813" s="56" t="b">
        <v>0</v>
      </c>
      <c r="C3813" s="56" t="b">
        <v>0</v>
      </c>
      <c r="D3813" s="56" t="b">
        <v>0</v>
      </c>
      <c r="E3813" s="56">
        <f ca="1">IF(PV[[#This Row],[Business Date]]=Control!$C$6, PV[[#This Row],[Notional Value Local Cur]], -PV[[#This Row],[Notional Value Local Cur]])</f>
        <v>0</v>
      </c>
    </row>
    <row r="3814" spans="1:5" x14ac:dyDescent="0.25">
      <c r="A3814" s="36" t="b">
        <v>0</v>
      </c>
      <c r="B3814" s="56" t="b">
        <v>0</v>
      </c>
      <c r="C3814" s="56" t="b">
        <v>0</v>
      </c>
      <c r="D3814" s="56" t="b">
        <v>0</v>
      </c>
      <c r="E3814" s="56">
        <f ca="1">IF(PV[[#This Row],[Business Date]]=Control!$C$6, PV[[#This Row],[Notional Value Local Cur]], -PV[[#This Row],[Notional Value Local Cur]])</f>
        <v>0</v>
      </c>
    </row>
    <row r="3815" spans="1:5" x14ac:dyDescent="0.25">
      <c r="A3815" s="36" t="b">
        <v>0</v>
      </c>
      <c r="B3815" s="56" t="b">
        <v>0</v>
      </c>
      <c r="C3815" s="56" t="b">
        <v>0</v>
      </c>
      <c r="D3815" s="56" t="b">
        <v>0</v>
      </c>
      <c r="E3815" s="56">
        <f ca="1">IF(PV[[#This Row],[Business Date]]=Control!$C$6, PV[[#This Row],[Notional Value Local Cur]], -PV[[#This Row],[Notional Value Local Cur]])</f>
        <v>0</v>
      </c>
    </row>
    <row r="3816" spans="1:5" x14ac:dyDescent="0.25">
      <c r="A3816" s="36" t="b">
        <v>0</v>
      </c>
      <c r="B3816" s="56" t="b">
        <v>0</v>
      </c>
      <c r="C3816" s="56" t="b">
        <v>0</v>
      </c>
      <c r="D3816" s="56" t="b">
        <v>0</v>
      </c>
      <c r="E3816" s="56">
        <f ca="1">IF(PV[[#This Row],[Business Date]]=Control!$C$6, PV[[#This Row],[Notional Value Local Cur]], -PV[[#This Row],[Notional Value Local Cur]])</f>
        <v>0</v>
      </c>
    </row>
    <row r="3817" spans="1:5" x14ac:dyDescent="0.25">
      <c r="A3817" s="36" t="b">
        <v>0</v>
      </c>
      <c r="B3817" s="56" t="b">
        <v>0</v>
      </c>
      <c r="C3817" s="56" t="b">
        <v>0</v>
      </c>
      <c r="D3817" s="56" t="b">
        <v>0</v>
      </c>
      <c r="E3817" s="56">
        <f ca="1">IF(PV[[#This Row],[Business Date]]=Control!$C$6, PV[[#This Row],[Notional Value Local Cur]], -PV[[#This Row],[Notional Value Local Cur]])</f>
        <v>0</v>
      </c>
    </row>
    <row r="3818" spans="1:5" x14ac:dyDescent="0.25">
      <c r="A3818" s="36" t="b">
        <v>0</v>
      </c>
      <c r="B3818" s="56" t="b">
        <v>0</v>
      </c>
      <c r="C3818" s="56" t="b">
        <v>0</v>
      </c>
      <c r="D3818" s="56" t="b">
        <v>0</v>
      </c>
      <c r="E3818" s="56">
        <f ca="1">IF(PV[[#This Row],[Business Date]]=Control!$C$6, PV[[#This Row],[Notional Value Local Cur]], -PV[[#This Row],[Notional Value Local Cur]])</f>
        <v>0</v>
      </c>
    </row>
    <row r="3819" spans="1:5" x14ac:dyDescent="0.25">
      <c r="A3819" s="36" t="b">
        <v>0</v>
      </c>
      <c r="B3819" s="56" t="b">
        <v>0</v>
      </c>
      <c r="C3819" s="56" t="b">
        <v>0</v>
      </c>
      <c r="D3819" s="56" t="b">
        <v>0</v>
      </c>
      <c r="E3819" s="56">
        <f ca="1">IF(PV[[#This Row],[Business Date]]=Control!$C$6, PV[[#This Row],[Notional Value Local Cur]], -PV[[#This Row],[Notional Value Local Cur]])</f>
        <v>0</v>
      </c>
    </row>
    <row r="3820" spans="1:5" x14ac:dyDescent="0.25">
      <c r="A3820" s="36" t="b">
        <v>0</v>
      </c>
      <c r="B3820" s="56" t="b">
        <v>0</v>
      </c>
      <c r="C3820" s="56" t="b">
        <v>0</v>
      </c>
      <c r="D3820" s="56" t="b">
        <v>0</v>
      </c>
      <c r="E3820" s="56">
        <f ca="1">IF(PV[[#This Row],[Business Date]]=Control!$C$6, PV[[#This Row],[Notional Value Local Cur]], -PV[[#This Row],[Notional Value Local Cur]])</f>
        <v>0</v>
      </c>
    </row>
    <row r="3821" spans="1:5" x14ac:dyDescent="0.25">
      <c r="A3821" s="36" t="b">
        <v>0</v>
      </c>
      <c r="B3821" s="56" t="b">
        <v>0</v>
      </c>
      <c r="C3821" s="56" t="b">
        <v>0</v>
      </c>
      <c r="D3821" s="56" t="b">
        <v>0</v>
      </c>
      <c r="E3821" s="56">
        <f ca="1">IF(PV[[#This Row],[Business Date]]=Control!$C$6, PV[[#This Row],[Notional Value Local Cur]], -PV[[#This Row],[Notional Value Local Cur]])</f>
        <v>0</v>
      </c>
    </row>
    <row r="3822" spans="1:5" x14ac:dyDescent="0.25">
      <c r="A3822" s="36" t="b">
        <v>0</v>
      </c>
      <c r="B3822" s="56" t="b">
        <v>0</v>
      </c>
      <c r="C3822" s="56" t="b">
        <v>0</v>
      </c>
      <c r="D3822" s="56" t="b">
        <v>0</v>
      </c>
      <c r="E3822" s="56">
        <f ca="1">IF(PV[[#This Row],[Business Date]]=Control!$C$6, PV[[#This Row],[Notional Value Local Cur]], -PV[[#This Row],[Notional Value Local Cur]])</f>
        <v>0</v>
      </c>
    </row>
    <row r="3823" spans="1:5" x14ac:dyDescent="0.25">
      <c r="A3823" s="36" t="b">
        <v>0</v>
      </c>
      <c r="B3823" s="56" t="b">
        <v>0</v>
      </c>
      <c r="C3823" s="56" t="b">
        <v>0</v>
      </c>
      <c r="D3823" s="56" t="b">
        <v>0</v>
      </c>
      <c r="E3823" s="56">
        <f ca="1">IF(PV[[#This Row],[Business Date]]=Control!$C$6, PV[[#This Row],[Notional Value Local Cur]], -PV[[#This Row],[Notional Value Local Cur]])</f>
        <v>0</v>
      </c>
    </row>
    <row r="3824" spans="1:5" x14ac:dyDescent="0.25">
      <c r="A3824" s="36" t="b">
        <v>0</v>
      </c>
      <c r="B3824" s="56" t="b">
        <v>0</v>
      </c>
      <c r="C3824" s="56" t="b">
        <v>0</v>
      </c>
      <c r="D3824" s="56" t="b">
        <v>0</v>
      </c>
      <c r="E3824" s="56">
        <f ca="1">IF(PV[[#This Row],[Business Date]]=Control!$C$6, PV[[#This Row],[Notional Value Local Cur]], -PV[[#This Row],[Notional Value Local Cur]])</f>
        <v>0</v>
      </c>
    </row>
    <row r="3825" spans="1:5" x14ac:dyDescent="0.25">
      <c r="A3825" s="36" t="b">
        <v>0</v>
      </c>
      <c r="B3825" s="56" t="b">
        <v>0</v>
      </c>
      <c r="C3825" s="56" t="b">
        <v>0</v>
      </c>
      <c r="D3825" s="56" t="b">
        <v>0</v>
      </c>
      <c r="E3825" s="56">
        <f ca="1">IF(PV[[#This Row],[Business Date]]=Control!$C$6, PV[[#This Row],[Notional Value Local Cur]], -PV[[#This Row],[Notional Value Local Cur]])</f>
        <v>0</v>
      </c>
    </row>
    <row r="3826" spans="1:5" x14ac:dyDescent="0.25">
      <c r="A3826" s="36" t="b">
        <v>0</v>
      </c>
      <c r="B3826" s="56" t="b">
        <v>0</v>
      </c>
      <c r="C3826" s="56" t="b">
        <v>0</v>
      </c>
      <c r="D3826" s="56" t="b">
        <v>0</v>
      </c>
      <c r="E3826" s="56">
        <f ca="1">IF(PV[[#This Row],[Business Date]]=Control!$C$6, PV[[#This Row],[Notional Value Local Cur]], -PV[[#This Row],[Notional Value Local Cur]])</f>
        <v>0</v>
      </c>
    </row>
    <row r="3827" spans="1:5" x14ac:dyDescent="0.25">
      <c r="A3827" s="36" t="b">
        <v>0</v>
      </c>
      <c r="B3827" s="56" t="b">
        <v>0</v>
      </c>
      <c r="C3827" s="56" t="b">
        <v>0</v>
      </c>
      <c r="D3827" s="56" t="b">
        <v>0</v>
      </c>
      <c r="E3827" s="56">
        <f ca="1">IF(PV[[#This Row],[Business Date]]=Control!$C$6, PV[[#This Row],[Notional Value Local Cur]], -PV[[#This Row],[Notional Value Local Cur]])</f>
        <v>0</v>
      </c>
    </row>
    <row r="3828" spans="1:5" x14ac:dyDescent="0.25">
      <c r="A3828" s="36" t="b">
        <v>0</v>
      </c>
      <c r="B3828" s="56" t="b">
        <v>0</v>
      </c>
      <c r="C3828" s="56" t="b">
        <v>0</v>
      </c>
      <c r="D3828" s="56" t="b">
        <v>0</v>
      </c>
      <c r="E3828" s="56">
        <f ca="1">IF(PV[[#This Row],[Business Date]]=Control!$C$6, PV[[#This Row],[Notional Value Local Cur]], -PV[[#This Row],[Notional Value Local Cur]])</f>
        <v>0</v>
      </c>
    </row>
    <row r="3829" spans="1:5" x14ac:dyDescent="0.25">
      <c r="A3829" s="36" t="b">
        <v>0</v>
      </c>
      <c r="B3829" s="56" t="b">
        <v>0</v>
      </c>
      <c r="C3829" s="56" t="b">
        <v>0</v>
      </c>
      <c r="D3829" s="56" t="b">
        <v>0</v>
      </c>
      <c r="E3829" s="56">
        <f ca="1">IF(PV[[#This Row],[Business Date]]=Control!$C$6, PV[[#This Row],[Notional Value Local Cur]], -PV[[#This Row],[Notional Value Local Cur]])</f>
        <v>0</v>
      </c>
    </row>
    <row r="3830" spans="1:5" x14ac:dyDescent="0.25">
      <c r="A3830" s="36" t="b">
        <v>0</v>
      </c>
      <c r="B3830" s="56" t="b">
        <v>0</v>
      </c>
      <c r="C3830" s="56" t="b">
        <v>0</v>
      </c>
      <c r="D3830" s="56" t="b">
        <v>0</v>
      </c>
      <c r="E3830" s="56">
        <f ca="1">IF(PV[[#This Row],[Business Date]]=Control!$C$6, PV[[#This Row],[Notional Value Local Cur]], -PV[[#This Row],[Notional Value Local Cur]])</f>
        <v>0</v>
      </c>
    </row>
    <row r="3831" spans="1:5" x14ac:dyDescent="0.25">
      <c r="A3831" s="36" t="b">
        <v>0</v>
      </c>
      <c r="B3831" s="56" t="b">
        <v>0</v>
      </c>
      <c r="C3831" s="56" t="b">
        <v>0</v>
      </c>
      <c r="D3831" s="56" t="b">
        <v>0</v>
      </c>
      <c r="E3831" s="56">
        <f ca="1">IF(PV[[#This Row],[Business Date]]=Control!$C$6, PV[[#This Row],[Notional Value Local Cur]], -PV[[#This Row],[Notional Value Local Cur]])</f>
        <v>0</v>
      </c>
    </row>
    <row r="3832" spans="1:5" x14ac:dyDescent="0.25">
      <c r="A3832" s="36" t="b">
        <v>0</v>
      </c>
      <c r="B3832" s="56" t="b">
        <v>0</v>
      </c>
      <c r="C3832" s="56" t="b">
        <v>0</v>
      </c>
      <c r="D3832" s="56" t="b">
        <v>0</v>
      </c>
      <c r="E3832" s="56">
        <f ca="1">IF(PV[[#This Row],[Business Date]]=Control!$C$6, PV[[#This Row],[Notional Value Local Cur]], -PV[[#This Row],[Notional Value Local Cur]])</f>
        <v>0</v>
      </c>
    </row>
    <row r="3833" spans="1:5" x14ac:dyDescent="0.25">
      <c r="A3833" s="36" t="b">
        <v>0</v>
      </c>
      <c r="B3833" s="56" t="b">
        <v>0</v>
      </c>
      <c r="C3833" s="56" t="b">
        <v>0</v>
      </c>
      <c r="D3833" s="56" t="b">
        <v>0</v>
      </c>
      <c r="E3833" s="56">
        <f ca="1">IF(PV[[#This Row],[Business Date]]=Control!$C$6, PV[[#This Row],[Notional Value Local Cur]], -PV[[#This Row],[Notional Value Local Cur]])</f>
        <v>0</v>
      </c>
    </row>
    <row r="3834" spans="1:5" x14ac:dyDescent="0.25">
      <c r="A3834" s="36" t="b">
        <v>0</v>
      </c>
      <c r="B3834" s="56" t="b">
        <v>0</v>
      </c>
      <c r="C3834" s="56" t="b">
        <v>0</v>
      </c>
      <c r="D3834" s="56" t="b">
        <v>0</v>
      </c>
      <c r="E3834" s="56">
        <f ca="1">IF(PV[[#This Row],[Business Date]]=Control!$C$6, PV[[#This Row],[Notional Value Local Cur]], -PV[[#This Row],[Notional Value Local Cur]])</f>
        <v>0</v>
      </c>
    </row>
    <row r="3835" spans="1:5" x14ac:dyDescent="0.25">
      <c r="A3835" s="36" t="b">
        <v>0</v>
      </c>
      <c r="B3835" s="56" t="b">
        <v>0</v>
      </c>
      <c r="C3835" s="56" t="b">
        <v>0</v>
      </c>
      <c r="D3835" s="56" t="b">
        <v>0</v>
      </c>
      <c r="E3835" s="56">
        <f ca="1">IF(PV[[#This Row],[Business Date]]=Control!$C$6, PV[[#This Row],[Notional Value Local Cur]], -PV[[#This Row],[Notional Value Local Cur]])</f>
        <v>0</v>
      </c>
    </row>
    <row r="3836" spans="1:5" x14ac:dyDescent="0.25">
      <c r="A3836" s="36" t="b">
        <v>0</v>
      </c>
      <c r="B3836" s="56" t="b">
        <v>0</v>
      </c>
      <c r="C3836" s="56" t="b">
        <v>0</v>
      </c>
      <c r="D3836" s="56" t="b">
        <v>0</v>
      </c>
      <c r="E3836" s="56">
        <f ca="1">IF(PV[[#This Row],[Business Date]]=Control!$C$6, PV[[#This Row],[Notional Value Local Cur]], -PV[[#This Row],[Notional Value Local Cur]])</f>
        <v>0</v>
      </c>
    </row>
    <row r="3837" spans="1:5" x14ac:dyDescent="0.25">
      <c r="A3837" s="36" t="b">
        <v>0</v>
      </c>
      <c r="B3837" s="56" t="b">
        <v>0</v>
      </c>
      <c r="C3837" s="56" t="b">
        <v>0</v>
      </c>
      <c r="D3837" s="56" t="b">
        <v>0</v>
      </c>
      <c r="E3837" s="56">
        <f ca="1">IF(PV[[#This Row],[Business Date]]=Control!$C$6, PV[[#This Row],[Notional Value Local Cur]], -PV[[#This Row],[Notional Value Local Cur]])</f>
        <v>0</v>
      </c>
    </row>
    <row r="3838" spans="1:5" x14ac:dyDescent="0.25">
      <c r="A3838" s="36" t="b">
        <v>0</v>
      </c>
      <c r="B3838" s="56" t="b">
        <v>0</v>
      </c>
      <c r="C3838" s="56" t="b">
        <v>0</v>
      </c>
      <c r="D3838" s="56" t="b">
        <v>0</v>
      </c>
      <c r="E3838" s="56">
        <f ca="1">IF(PV[[#This Row],[Business Date]]=Control!$C$6, PV[[#This Row],[Notional Value Local Cur]], -PV[[#This Row],[Notional Value Local Cur]])</f>
        <v>0</v>
      </c>
    </row>
    <row r="3839" spans="1:5" x14ac:dyDescent="0.25">
      <c r="A3839" s="36" t="b">
        <v>0</v>
      </c>
      <c r="B3839" s="56" t="b">
        <v>0</v>
      </c>
      <c r="C3839" s="56" t="b">
        <v>0</v>
      </c>
      <c r="D3839" s="56" t="b">
        <v>0</v>
      </c>
      <c r="E3839" s="56">
        <f ca="1">IF(PV[[#This Row],[Business Date]]=Control!$C$6, PV[[#This Row],[Notional Value Local Cur]], -PV[[#This Row],[Notional Value Local Cur]])</f>
        <v>0</v>
      </c>
    </row>
    <row r="3840" spans="1:5" x14ac:dyDescent="0.25">
      <c r="A3840" s="36" t="b">
        <v>0</v>
      </c>
      <c r="B3840" s="56" t="b">
        <v>0</v>
      </c>
      <c r="C3840" s="56" t="b">
        <v>0</v>
      </c>
      <c r="D3840" s="56" t="b">
        <v>0</v>
      </c>
      <c r="E3840" s="56">
        <f ca="1">IF(PV[[#This Row],[Business Date]]=Control!$C$6, PV[[#This Row],[Notional Value Local Cur]], -PV[[#This Row],[Notional Value Local Cur]])</f>
        <v>0</v>
      </c>
    </row>
    <row r="3841" spans="1:5" x14ac:dyDescent="0.25">
      <c r="A3841" s="36" t="b">
        <v>0</v>
      </c>
      <c r="B3841" s="56" t="b">
        <v>0</v>
      </c>
      <c r="C3841" s="56" t="b">
        <v>0</v>
      </c>
      <c r="D3841" s="56" t="b">
        <v>0</v>
      </c>
      <c r="E3841" s="56">
        <f ca="1">IF(PV[[#This Row],[Business Date]]=Control!$C$6, PV[[#This Row],[Notional Value Local Cur]], -PV[[#This Row],[Notional Value Local Cur]])</f>
        <v>0</v>
      </c>
    </row>
    <row r="3842" spans="1:5" x14ac:dyDescent="0.25">
      <c r="A3842" s="36" t="b">
        <v>0</v>
      </c>
      <c r="B3842" s="56" t="b">
        <v>0</v>
      </c>
      <c r="C3842" s="56" t="b">
        <v>0</v>
      </c>
      <c r="D3842" s="56" t="b">
        <v>0</v>
      </c>
      <c r="E3842" s="56">
        <f ca="1">IF(PV[[#This Row],[Business Date]]=Control!$C$6, PV[[#This Row],[Notional Value Local Cur]], -PV[[#This Row],[Notional Value Local Cur]])</f>
        <v>0</v>
      </c>
    </row>
    <row r="3843" spans="1:5" x14ac:dyDescent="0.25">
      <c r="A3843" s="36" t="b">
        <v>0</v>
      </c>
      <c r="B3843" s="56" t="b">
        <v>0</v>
      </c>
      <c r="C3843" s="56" t="b">
        <v>0</v>
      </c>
      <c r="D3843" s="56" t="b">
        <v>0</v>
      </c>
      <c r="E3843" s="56">
        <f ca="1">IF(PV[[#This Row],[Business Date]]=Control!$C$6, PV[[#This Row],[Notional Value Local Cur]], -PV[[#This Row],[Notional Value Local Cur]])</f>
        <v>0</v>
      </c>
    </row>
    <row r="3844" spans="1:5" x14ac:dyDescent="0.25">
      <c r="A3844" s="36" t="b">
        <v>0</v>
      </c>
      <c r="B3844" s="56" t="b">
        <v>0</v>
      </c>
      <c r="C3844" s="56" t="b">
        <v>0</v>
      </c>
      <c r="D3844" s="56" t="b">
        <v>0</v>
      </c>
      <c r="E3844" s="56">
        <f ca="1">IF(PV[[#This Row],[Business Date]]=Control!$C$6, PV[[#This Row],[Notional Value Local Cur]], -PV[[#This Row],[Notional Value Local Cur]])</f>
        <v>0</v>
      </c>
    </row>
    <row r="3845" spans="1:5" x14ac:dyDescent="0.25">
      <c r="A3845" s="36" t="b">
        <v>0</v>
      </c>
      <c r="B3845" s="56" t="b">
        <v>0</v>
      </c>
      <c r="C3845" s="56" t="b">
        <v>0</v>
      </c>
      <c r="D3845" s="56" t="b">
        <v>0</v>
      </c>
      <c r="E3845" s="56">
        <f ca="1">IF(PV[[#This Row],[Business Date]]=Control!$C$6, PV[[#This Row],[Notional Value Local Cur]], -PV[[#This Row],[Notional Value Local Cur]])</f>
        <v>0</v>
      </c>
    </row>
    <row r="3846" spans="1:5" x14ac:dyDescent="0.25">
      <c r="A3846" s="36" t="b">
        <v>0</v>
      </c>
      <c r="B3846" s="56" t="b">
        <v>0</v>
      </c>
      <c r="C3846" s="56" t="b">
        <v>0</v>
      </c>
      <c r="D3846" s="56" t="b">
        <v>0</v>
      </c>
      <c r="E3846" s="56">
        <f ca="1">IF(PV[[#This Row],[Business Date]]=Control!$C$6, PV[[#This Row],[Notional Value Local Cur]], -PV[[#This Row],[Notional Value Local Cur]])</f>
        <v>0</v>
      </c>
    </row>
    <row r="3847" spans="1:5" x14ac:dyDescent="0.25">
      <c r="A3847" s="36" t="b">
        <v>0</v>
      </c>
      <c r="B3847" s="56" t="b">
        <v>0</v>
      </c>
      <c r="C3847" s="56" t="b">
        <v>0</v>
      </c>
      <c r="D3847" s="56" t="b">
        <v>0</v>
      </c>
      <c r="E3847" s="56">
        <f ca="1">IF(PV[[#This Row],[Business Date]]=Control!$C$6, PV[[#This Row],[Notional Value Local Cur]], -PV[[#This Row],[Notional Value Local Cur]])</f>
        <v>0</v>
      </c>
    </row>
    <row r="3848" spans="1:5" x14ac:dyDescent="0.25">
      <c r="A3848" s="36" t="b">
        <v>0</v>
      </c>
      <c r="B3848" s="56" t="b">
        <v>0</v>
      </c>
      <c r="C3848" s="56" t="b">
        <v>0</v>
      </c>
      <c r="D3848" s="56" t="b">
        <v>0</v>
      </c>
      <c r="E3848" s="56">
        <f ca="1">IF(PV[[#This Row],[Business Date]]=Control!$C$6, PV[[#This Row],[Notional Value Local Cur]], -PV[[#This Row],[Notional Value Local Cur]])</f>
        <v>0</v>
      </c>
    </row>
    <row r="3849" spans="1:5" x14ac:dyDescent="0.25">
      <c r="A3849" s="36" t="b">
        <v>0</v>
      </c>
      <c r="B3849" s="56" t="b">
        <v>0</v>
      </c>
      <c r="C3849" s="56" t="b">
        <v>0</v>
      </c>
      <c r="D3849" s="56" t="b">
        <v>0</v>
      </c>
      <c r="E3849" s="56">
        <f ca="1">IF(PV[[#This Row],[Business Date]]=Control!$C$6, PV[[#This Row],[Notional Value Local Cur]], -PV[[#This Row],[Notional Value Local Cur]])</f>
        <v>0</v>
      </c>
    </row>
    <row r="3850" spans="1:5" x14ac:dyDescent="0.25">
      <c r="A3850" s="36" t="b">
        <v>0</v>
      </c>
      <c r="B3850" s="56" t="b">
        <v>0</v>
      </c>
      <c r="C3850" s="56" t="b">
        <v>0</v>
      </c>
      <c r="D3850" s="56" t="b">
        <v>0</v>
      </c>
      <c r="E3850" s="56">
        <f ca="1">IF(PV[[#This Row],[Business Date]]=Control!$C$6, PV[[#This Row],[Notional Value Local Cur]], -PV[[#This Row],[Notional Value Local Cur]])</f>
        <v>0</v>
      </c>
    </row>
    <row r="3851" spans="1:5" x14ac:dyDescent="0.25">
      <c r="A3851" s="36" t="b">
        <v>0</v>
      </c>
      <c r="B3851" s="56" t="b">
        <v>0</v>
      </c>
      <c r="C3851" s="56" t="b">
        <v>0</v>
      </c>
      <c r="D3851" s="56" t="b">
        <v>0</v>
      </c>
      <c r="E3851" s="56">
        <f ca="1">IF(PV[[#This Row],[Business Date]]=Control!$C$6, PV[[#This Row],[Notional Value Local Cur]], -PV[[#This Row],[Notional Value Local Cur]])</f>
        <v>0</v>
      </c>
    </row>
    <row r="3852" spans="1:5" x14ac:dyDescent="0.25">
      <c r="A3852" s="36" t="b">
        <v>0</v>
      </c>
      <c r="B3852" s="56" t="b">
        <v>0</v>
      </c>
      <c r="C3852" s="56" t="b">
        <v>0</v>
      </c>
      <c r="D3852" s="56" t="b">
        <v>0</v>
      </c>
      <c r="E3852" s="56">
        <f ca="1">IF(PV[[#This Row],[Business Date]]=Control!$C$6, PV[[#This Row],[Notional Value Local Cur]], -PV[[#This Row],[Notional Value Local Cur]])</f>
        <v>0</v>
      </c>
    </row>
    <row r="3853" spans="1:5" x14ac:dyDescent="0.25">
      <c r="A3853" s="36" t="b">
        <v>0</v>
      </c>
      <c r="B3853" s="56" t="b">
        <v>0</v>
      </c>
      <c r="C3853" s="56" t="b">
        <v>0</v>
      </c>
      <c r="D3853" s="56" t="b">
        <v>0</v>
      </c>
      <c r="E3853" s="56">
        <f ca="1">IF(PV[[#This Row],[Business Date]]=Control!$C$6, PV[[#This Row],[Notional Value Local Cur]], -PV[[#This Row],[Notional Value Local Cur]])</f>
        <v>0</v>
      </c>
    </row>
    <row r="3854" spans="1:5" x14ac:dyDescent="0.25">
      <c r="A3854" s="36" t="b">
        <v>0</v>
      </c>
      <c r="B3854" s="56" t="b">
        <v>0</v>
      </c>
      <c r="C3854" s="56" t="b">
        <v>0</v>
      </c>
      <c r="D3854" s="56" t="b">
        <v>0</v>
      </c>
      <c r="E3854" s="56">
        <f ca="1">IF(PV[[#This Row],[Business Date]]=Control!$C$6, PV[[#This Row],[Notional Value Local Cur]], -PV[[#This Row],[Notional Value Local Cur]])</f>
        <v>0</v>
      </c>
    </row>
    <row r="3855" spans="1:5" x14ac:dyDescent="0.25">
      <c r="A3855" s="36" t="b">
        <v>0</v>
      </c>
      <c r="B3855" s="56" t="b">
        <v>0</v>
      </c>
      <c r="C3855" s="56" t="b">
        <v>0</v>
      </c>
      <c r="D3855" s="56" t="b">
        <v>0</v>
      </c>
      <c r="E3855" s="56">
        <f ca="1">IF(PV[[#This Row],[Business Date]]=Control!$C$6, PV[[#This Row],[Notional Value Local Cur]], -PV[[#This Row],[Notional Value Local Cur]])</f>
        <v>0</v>
      </c>
    </row>
    <row r="3856" spans="1:5" x14ac:dyDescent="0.25">
      <c r="A3856" s="36" t="b">
        <v>0</v>
      </c>
      <c r="B3856" s="56" t="b">
        <v>0</v>
      </c>
      <c r="C3856" s="56" t="b">
        <v>0</v>
      </c>
      <c r="D3856" s="56" t="b">
        <v>0</v>
      </c>
      <c r="E3856" s="56">
        <f ca="1">IF(PV[[#This Row],[Business Date]]=Control!$C$6, PV[[#This Row],[Notional Value Local Cur]], -PV[[#This Row],[Notional Value Local Cur]])</f>
        <v>0</v>
      </c>
    </row>
    <row r="3857" spans="1:5" x14ac:dyDescent="0.25">
      <c r="A3857" s="36" t="b">
        <v>0</v>
      </c>
      <c r="B3857" s="56" t="b">
        <v>0</v>
      </c>
      <c r="C3857" s="56" t="b">
        <v>0</v>
      </c>
      <c r="D3857" s="56" t="b">
        <v>0</v>
      </c>
      <c r="E3857" s="56">
        <f ca="1">IF(PV[[#This Row],[Business Date]]=Control!$C$6, PV[[#This Row],[Notional Value Local Cur]], -PV[[#This Row],[Notional Value Local Cur]])</f>
        <v>0</v>
      </c>
    </row>
    <row r="3858" spans="1:5" x14ac:dyDescent="0.25">
      <c r="A3858" s="36" t="b">
        <v>0</v>
      </c>
      <c r="B3858" s="56" t="b">
        <v>0</v>
      </c>
      <c r="C3858" s="56" t="b">
        <v>0</v>
      </c>
      <c r="D3858" s="56" t="b">
        <v>0</v>
      </c>
      <c r="E3858" s="56">
        <f ca="1">IF(PV[[#This Row],[Business Date]]=Control!$C$6, PV[[#This Row],[Notional Value Local Cur]], -PV[[#This Row],[Notional Value Local Cur]])</f>
        <v>0</v>
      </c>
    </row>
    <row r="3859" spans="1:5" x14ac:dyDescent="0.25">
      <c r="A3859" s="36" t="b">
        <v>0</v>
      </c>
      <c r="B3859" s="56" t="b">
        <v>0</v>
      </c>
      <c r="C3859" s="56" t="b">
        <v>0</v>
      </c>
      <c r="D3859" s="56" t="b">
        <v>0</v>
      </c>
      <c r="E3859" s="56">
        <f ca="1">IF(PV[[#This Row],[Business Date]]=Control!$C$6, PV[[#This Row],[Notional Value Local Cur]], -PV[[#This Row],[Notional Value Local Cur]])</f>
        <v>0</v>
      </c>
    </row>
    <row r="3860" spans="1:5" x14ac:dyDescent="0.25">
      <c r="A3860" s="36" t="b">
        <v>0</v>
      </c>
      <c r="B3860" s="56" t="b">
        <v>0</v>
      </c>
      <c r="C3860" s="56" t="b">
        <v>0</v>
      </c>
      <c r="D3860" s="56" t="b">
        <v>0</v>
      </c>
      <c r="E3860" s="56">
        <f ca="1">IF(PV[[#This Row],[Business Date]]=Control!$C$6, PV[[#This Row],[Notional Value Local Cur]], -PV[[#This Row],[Notional Value Local Cur]])</f>
        <v>0</v>
      </c>
    </row>
    <row r="3861" spans="1:5" x14ac:dyDescent="0.25">
      <c r="A3861" s="36" t="b">
        <v>0</v>
      </c>
      <c r="B3861" s="56" t="b">
        <v>0</v>
      </c>
      <c r="C3861" s="56" t="b">
        <v>0</v>
      </c>
      <c r="D3861" s="56" t="b">
        <v>0</v>
      </c>
      <c r="E3861" s="56">
        <f ca="1">IF(PV[[#This Row],[Business Date]]=Control!$C$6, PV[[#This Row],[Notional Value Local Cur]], -PV[[#This Row],[Notional Value Local Cur]])</f>
        <v>0</v>
      </c>
    </row>
    <row r="3862" spans="1:5" x14ac:dyDescent="0.25">
      <c r="A3862" s="36" t="b">
        <v>0</v>
      </c>
      <c r="B3862" s="56" t="b">
        <v>0</v>
      </c>
      <c r="C3862" s="56" t="b">
        <v>0</v>
      </c>
      <c r="D3862" s="56" t="b">
        <v>0</v>
      </c>
      <c r="E3862" s="56">
        <f ca="1">IF(PV[[#This Row],[Business Date]]=Control!$C$6, PV[[#This Row],[Notional Value Local Cur]], -PV[[#This Row],[Notional Value Local Cur]])</f>
        <v>0</v>
      </c>
    </row>
    <row r="3863" spans="1:5" x14ac:dyDescent="0.25">
      <c r="A3863" s="36" t="b">
        <v>0</v>
      </c>
      <c r="B3863" s="56" t="b">
        <v>0</v>
      </c>
      <c r="C3863" s="56" t="b">
        <v>0</v>
      </c>
      <c r="D3863" s="56" t="b">
        <v>0</v>
      </c>
      <c r="E3863" s="56">
        <f ca="1">IF(PV[[#This Row],[Business Date]]=Control!$C$6, PV[[#This Row],[Notional Value Local Cur]], -PV[[#This Row],[Notional Value Local Cur]])</f>
        <v>0</v>
      </c>
    </row>
    <row r="3864" spans="1:5" x14ac:dyDescent="0.25">
      <c r="A3864" s="36" t="b">
        <v>0</v>
      </c>
      <c r="B3864" s="56" t="b">
        <v>0</v>
      </c>
      <c r="C3864" s="56" t="b">
        <v>0</v>
      </c>
      <c r="D3864" s="56" t="b">
        <v>0</v>
      </c>
      <c r="E3864" s="56">
        <f ca="1">IF(PV[[#This Row],[Business Date]]=Control!$C$6, PV[[#This Row],[Notional Value Local Cur]], -PV[[#This Row],[Notional Value Local Cur]])</f>
        <v>0</v>
      </c>
    </row>
    <row r="3865" spans="1:5" x14ac:dyDescent="0.25">
      <c r="A3865" s="36" t="b">
        <v>0</v>
      </c>
      <c r="B3865" s="56" t="b">
        <v>0</v>
      </c>
      <c r="C3865" s="56" t="b">
        <v>0</v>
      </c>
      <c r="D3865" s="56" t="b">
        <v>0</v>
      </c>
      <c r="E3865" s="56">
        <f ca="1">IF(PV[[#This Row],[Business Date]]=Control!$C$6, PV[[#This Row],[Notional Value Local Cur]], -PV[[#This Row],[Notional Value Local Cur]])</f>
        <v>0</v>
      </c>
    </row>
    <row r="3866" spans="1:5" x14ac:dyDescent="0.25">
      <c r="A3866" s="36" t="b">
        <v>0</v>
      </c>
      <c r="B3866" s="56" t="b">
        <v>0</v>
      </c>
      <c r="C3866" s="56" t="b">
        <v>0</v>
      </c>
      <c r="D3866" s="56" t="b">
        <v>0</v>
      </c>
      <c r="E3866" s="56">
        <f ca="1">IF(PV[[#This Row],[Business Date]]=Control!$C$6, PV[[#This Row],[Notional Value Local Cur]], -PV[[#This Row],[Notional Value Local Cur]])</f>
        <v>0</v>
      </c>
    </row>
    <row r="3867" spans="1:5" x14ac:dyDescent="0.25">
      <c r="A3867" s="36" t="b">
        <v>0</v>
      </c>
      <c r="B3867" s="56" t="b">
        <v>0</v>
      </c>
      <c r="C3867" s="56" t="b">
        <v>0</v>
      </c>
      <c r="D3867" s="56" t="b">
        <v>0</v>
      </c>
      <c r="E3867" s="56">
        <f ca="1">IF(PV[[#This Row],[Business Date]]=Control!$C$6, PV[[#This Row],[Notional Value Local Cur]], -PV[[#This Row],[Notional Value Local Cur]])</f>
        <v>0</v>
      </c>
    </row>
    <row r="3868" spans="1:5" x14ac:dyDescent="0.25">
      <c r="A3868" s="36" t="b">
        <v>0</v>
      </c>
      <c r="B3868" s="56" t="b">
        <v>0</v>
      </c>
      <c r="C3868" s="56" t="b">
        <v>0</v>
      </c>
      <c r="D3868" s="56" t="b">
        <v>0</v>
      </c>
      <c r="E3868" s="56">
        <f ca="1">IF(PV[[#This Row],[Business Date]]=Control!$C$6, PV[[#This Row],[Notional Value Local Cur]], -PV[[#This Row],[Notional Value Local Cur]])</f>
        <v>0</v>
      </c>
    </row>
    <row r="3869" spans="1:5" x14ac:dyDescent="0.25">
      <c r="A3869" s="36" t="b">
        <v>0</v>
      </c>
      <c r="B3869" s="56" t="b">
        <v>0</v>
      </c>
      <c r="C3869" s="56" t="b">
        <v>0</v>
      </c>
      <c r="D3869" s="56" t="b">
        <v>0</v>
      </c>
      <c r="E3869" s="56">
        <f ca="1">IF(PV[[#This Row],[Business Date]]=Control!$C$6, PV[[#This Row],[Notional Value Local Cur]], -PV[[#This Row],[Notional Value Local Cur]])</f>
        <v>0</v>
      </c>
    </row>
    <row r="3870" spans="1:5" x14ac:dyDescent="0.25">
      <c r="A3870" s="36" t="b">
        <v>0</v>
      </c>
      <c r="B3870" s="56" t="b">
        <v>0</v>
      </c>
      <c r="C3870" s="56" t="b">
        <v>0</v>
      </c>
      <c r="D3870" s="56" t="b">
        <v>0</v>
      </c>
      <c r="E3870" s="56">
        <f ca="1">IF(PV[[#This Row],[Business Date]]=Control!$C$6, PV[[#This Row],[Notional Value Local Cur]], -PV[[#This Row],[Notional Value Local Cur]])</f>
        <v>0</v>
      </c>
    </row>
    <row r="3871" spans="1:5" x14ac:dyDescent="0.25">
      <c r="A3871" s="36" t="b">
        <v>0</v>
      </c>
      <c r="B3871" s="56" t="b">
        <v>0</v>
      </c>
      <c r="C3871" s="56" t="b">
        <v>0</v>
      </c>
      <c r="D3871" s="56" t="b">
        <v>0</v>
      </c>
      <c r="E3871" s="56">
        <f ca="1">IF(PV[[#This Row],[Business Date]]=Control!$C$6, PV[[#This Row],[Notional Value Local Cur]], -PV[[#This Row],[Notional Value Local Cur]])</f>
        <v>0</v>
      </c>
    </row>
    <row r="3872" spans="1:5" x14ac:dyDescent="0.25">
      <c r="A3872" s="36" t="b">
        <v>0</v>
      </c>
      <c r="B3872" s="56" t="b">
        <v>0</v>
      </c>
      <c r="C3872" s="56" t="b">
        <v>0</v>
      </c>
      <c r="D3872" s="56" t="b">
        <v>0</v>
      </c>
      <c r="E3872" s="56">
        <f ca="1">IF(PV[[#This Row],[Business Date]]=Control!$C$6, PV[[#This Row],[Notional Value Local Cur]], -PV[[#This Row],[Notional Value Local Cur]])</f>
        <v>0</v>
      </c>
    </row>
    <row r="3873" spans="1:5" x14ac:dyDescent="0.25">
      <c r="A3873" s="36" t="b">
        <v>0</v>
      </c>
      <c r="B3873" s="56" t="b">
        <v>0</v>
      </c>
      <c r="C3873" s="56" t="b">
        <v>0</v>
      </c>
      <c r="D3873" s="56" t="b">
        <v>0</v>
      </c>
      <c r="E3873" s="56">
        <f ca="1">IF(PV[[#This Row],[Business Date]]=Control!$C$6, PV[[#This Row],[Notional Value Local Cur]], -PV[[#This Row],[Notional Value Local Cur]])</f>
        <v>0</v>
      </c>
    </row>
    <row r="3874" spans="1:5" x14ac:dyDescent="0.25">
      <c r="A3874" s="36" t="b">
        <v>0</v>
      </c>
      <c r="B3874" s="56" t="b">
        <v>0</v>
      </c>
      <c r="C3874" s="56" t="b">
        <v>0</v>
      </c>
      <c r="D3874" s="56" t="b">
        <v>0</v>
      </c>
      <c r="E3874" s="56">
        <f ca="1">IF(PV[[#This Row],[Business Date]]=Control!$C$6, PV[[#This Row],[Notional Value Local Cur]], -PV[[#This Row],[Notional Value Local Cur]])</f>
        <v>0</v>
      </c>
    </row>
    <row r="3875" spans="1:5" x14ac:dyDescent="0.25">
      <c r="A3875" s="36" t="b">
        <v>0</v>
      </c>
      <c r="B3875" s="56" t="b">
        <v>0</v>
      </c>
      <c r="C3875" s="56" t="b">
        <v>0</v>
      </c>
      <c r="D3875" s="56" t="b">
        <v>0</v>
      </c>
      <c r="E3875" s="56">
        <f ca="1">IF(PV[[#This Row],[Business Date]]=Control!$C$6, PV[[#This Row],[Notional Value Local Cur]], -PV[[#This Row],[Notional Value Local Cur]])</f>
        <v>0</v>
      </c>
    </row>
    <row r="3876" spans="1:5" x14ac:dyDescent="0.25">
      <c r="A3876" s="36" t="b">
        <v>0</v>
      </c>
      <c r="B3876" s="56" t="b">
        <v>0</v>
      </c>
      <c r="C3876" s="56" t="b">
        <v>0</v>
      </c>
      <c r="D3876" s="56" t="b">
        <v>0</v>
      </c>
      <c r="E3876" s="56">
        <f ca="1">IF(PV[[#This Row],[Business Date]]=Control!$C$6, PV[[#This Row],[Notional Value Local Cur]], -PV[[#This Row],[Notional Value Local Cur]])</f>
        <v>0</v>
      </c>
    </row>
    <row r="3877" spans="1:5" x14ac:dyDescent="0.25">
      <c r="A3877" s="36" t="b">
        <v>0</v>
      </c>
      <c r="B3877" s="56" t="b">
        <v>0</v>
      </c>
      <c r="C3877" s="56" t="b">
        <v>0</v>
      </c>
      <c r="D3877" s="56" t="b">
        <v>0</v>
      </c>
      <c r="E3877" s="56">
        <f ca="1">IF(PV[[#This Row],[Business Date]]=Control!$C$6, PV[[#This Row],[Notional Value Local Cur]], -PV[[#This Row],[Notional Value Local Cur]])</f>
        <v>0</v>
      </c>
    </row>
    <row r="3878" spans="1:5" x14ac:dyDescent="0.25">
      <c r="A3878" s="36" t="b">
        <v>0</v>
      </c>
      <c r="B3878" s="56" t="b">
        <v>0</v>
      </c>
      <c r="C3878" s="56" t="b">
        <v>0</v>
      </c>
      <c r="D3878" s="56" t="b">
        <v>0</v>
      </c>
      <c r="E3878" s="56">
        <f ca="1">IF(PV[[#This Row],[Business Date]]=Control!$C$6, PV[[#This Row],[Notional Value Local Cur]], -PV[[#This Row],[Notional Value Local Cur]])</f>
        <v>0</v>
      </c>
    </row>
    <row r="3879" spans="1:5" x14ac:dyDescent="0.25">
      <c r="A3879" s="36" t="b">
        <v>0</v>
      </c>
      <c r="B3879" s="56" t="b">
        <v>0</v>
      </c>
      <c r="C3879" s="56" t="b">
        <v>0</v>
      </c>
      <c r="D3879" s="56" t="b">
        <v>0</v>
      </c>
      <c r="E3879" s="56">
        <f ca="1">IF(PV[[#This Row],[Business Date]]=Control!$C$6, PV[[#This Row],[Notional Value Local Cur]], -PV[[#This Row],[Notional Value Local Cur]])</f>
        <v>0</v>
      </c>
    </row>
    <row r="3880" spans="1:5" x14ac:dyDescent="0.25">
      <c r="A3880" s="36" t="b">
        <v>0</v>
      </c>
      <c r="B3880" s="56" t="b">
        <v>0</v>
      </c>
      <c r="C3880" s="56" t="b">
        <v>0</v>
      </c>
      <c r="D3880" s="56" t="b">
        <v>0</v>
      </c>
      <c r="E3880" s="56">
        <f ca="1">IF(PV[[#This Row],[Business Date]]=Control!$C$6, PV[[#This Row],[Notional Value Local Cur]], -PV[[#This Row],[Notional Value Local Cur]])</f>
        <v>0</v>
      </c>
    </row>
    <row r="3881" spans="1:5" x14ac:dyDescent="0.25">
      <c r="A3881" s="36" t="b">
        <v>0</v>
      </c>
      <c r="B3881" s="56" t="b">
        <v>0</v>
      </c>
      <c r="C3881" s="56" t="b">
        <v>0</v>
      </c>
      <c r="D3881" s="56" t="b">
        <v>0</v>
      </c>
      <c r="E3881" s="56">
        <f ca="1">IF(PV[[#This Row],[Business Date]]=Control!$C$6, PV[[#This Row],[Notional Value Local Cur]], -PV[[#This Row],[Notional Value Local Cur]])</f>
        <v>0</v>
      </c>
    </row>
    <row r="3882" spans="1:5" x14ac:dyDescent="0.25">
      <c r="A3882" s="36" t="b">
        <v>0</v>
      </c>
      <c r="B3882" s="56" t="b">
        <v>0</v>
      </c>
      <c r="C3882" s="56" t="b">
        <v>0</v>
      </c>
      <c r="D3882" s="56" t="b">
        <v>0</v>
      </c>
      <c r="E3882" s="56">
        <f ca="1">IF(PV[[#This Row],[Business Date]]=Control!$C$6, PV[[#This Row],[Notional Value Local Cur]], -PV[[#This Row],[Notional Value Local Cur]])</f>
        <v>0</v>
      </c>
    </row>
    <row r="3883" spans="1:5" x14ac:dyDescent="0.25">
      <c r="A3883" s="36" t="b">
        <v>0</v>
      </c>
      <c r="B3883" s="56" t="b">
        <v>0</v>
      </c>
      <c r="C3883" s="56" t="b">
        <v>0</v>
      </c>
      <c r="D3883" s="56" t="b">
        <v>0</v>
      </c>
      <c r="E3883" s="56">
        <f ca="1">IF(PV[[#This Row],[Business Date]]=Control!$C$6, PV[[#This Row],[Notional Value Local Cur]], -PV[[#This Row],[Notional Value Local Cur]])</f>
        <v>0</v>
      </c>
    </row>
    <row r="3884" spans="1:5" x14ac:dyDescent="0.25">
      <c r="A3884" s="36" t="b">
        <v>0</v>
      </c>
      <c r="B3884" s="56" t="b">
        <v>0</v>
      </c>
      <c r="C3884" s="56" t="b">
        <v>0</v>
      </c>
      <c r="D3884" s="56" t="b">
        <v>0</v>
      </c>
      <c r="E3884" s="56">
        <f ca="1">IF(PV[[#This Row],[Business Date]]=Control!$C$6, PV[[#This Row],[Notional Value Local Cur]], -PV[[#This Row],[Notional Value Local Cur]])</f>
        <v>0</v>
      </c>
    </row>
    <row r="3885" spans="1:5" x14ac:dyDescent="0.25">
      <c r="A3885" s="36" t="b">
        <v>0</v>
      </c>
      <c r="B3885" s="56" t="b">
        <v>0</v>
      </c>
      <c r="C3885" s="56" t="b">
        <v>0</v>
      </c>
      <c r="D3885" s="56" t="b">
        <v>0</v>
      </c>
      <c r="E3885" s="56">
        <f ca="1">IF(PV[[#This Row],[Business Date]]=Control!$C$6, PV[[#This Row],[Notional Value Local Cur]], -PV[[#This Row],[Notional Value Local Cur]])</f>
        <v>0</v>
      </c>
    </row>
    <row r="3886" spans="1:5" x14ac:dyDescent="0.25">
      <c r="A3886" s="36" t="b">
        <v>0</v>
      </c>
      <c r="B3886" s="56" t="b">
        <v>0</v>
      </c>
      <c r="C3886" s="56" t="b">
        <v>0</v>
      </c>
      <c r="D3886" s="56" t="b">
        <v>0</v>
      </c>
      <c r="E3886" s="56">
        <f ca="1">IF(PV[[#This Row],[Business Date]]=Control!$C$6, PV[[#This Row],[Notional Value Local Cur]], -PV[[#This Row],[Notional Value Local Cur]])</f>
        <v>0</v>
      </c>
    </row>
    <row r="3887" spans="1:5" x14ac:dyDescent="0.25">
      <c r="A3887" s="36" t="b">
        <v>0</v>
      </c>
      <c r="B3887" s="56" t="b">
        <v>0</v>
      </c>
      <c r="C3887" s="56" t="b">
        <v>0</v>
      </c>
      <c r="D3887" s="56" t="b">
        <v>0</v>
      </c>
      <c r="E3887" s="56">
        <f ca="1">IF(PV[[#This Row],[Business Date]]=Control!$C$6, PV[[#This Row],[Notional Value Local Cur]], -PV[[#This Row],[Notional Value Local Cur]])</f>
        <v>0</v>
      </c>
    </row>
    <row r="3888" spans="1:5" x14ac:dyDescent="0.25">
      <c r="A3888" s="36" t="b">
        <v>0</v>
      </c>
      <c r="B3888" s="56" t="b">
        <v>0</v>
      </c>
      <c r="C3888" s="56" t="b">
        <v>0</v>
      </c>
      <c r="D3888" s="56" t="b">
        <v>0</v>
      </c>
      <c r="E3888" s="56">
        <f ca="1">IF(PV[[#This Row],[Business Date]]=Control!$C$6, PV[[#This Row],[Notional Value Local Cur]], -PV[[#This Row],[Notional Value Local Cur]])</f>
        <v>0</v>
      </c>
    </row>
    <row r="3889" spans="1:5" x14ac:dyDescent="0.25">
      <c r="A3889" s="36" t="b">
        <v>0</v>
      </c>
      <c r="B3889" s="56" t="b">
        <v>0</v>
      </c>
      <c r="C3889" s="56" t="b">
        <v>0</v>
      </c>
      <c r="D3889" s="56" t="b">
        <v>0</v>
      </c>
      <c r="E3889" s="56">
        <f ca="1">IF(PV[[#This Row],[Business Date]]=Control!$C$6, PV[[#This Row],[Notional Value Local Cur]], -PV[[#This Row],[Notional Value Local Cur]])</f>
        <v>0</v>
      </c>
    </row>
    <row r="3890" spans="1:5" x14ac:dyDescent="0.25">
      <c r="A3890" s="36" t="b">
        <v>0</v>
      </c>
      <c r="B3890" s="56" t="b">
        <v>0</v>
      </c>
      <c r="C3890" s="56" t="b">
        <v>0</v>
      </c>
      <c r="D3890" s="56" t="b">
        <v>0</v>
      </c>
      <c r="E3890" s="56">
        <f ca="1">IF(PV[[#This Row],[Business Date]]=Control!$C$6, PV[[#This Row],[Notional Value Local Cur]], -PV[[#This Row],[Notional Value Local Cur]])</f>
        <v>0</v>
      </c>
    </row>
    <row r="3891" spans="1:5" x14ac:dyDescent="0.25">
      <c r="A3891" s="36" t="b">
        <v>0</v>
      </c>
      <c r="B3891" s="56" t="b">
        <v>0</v>
      </c>
      <c r="C3891" s="56" t="b">
        <v>0</v>
      </c>
      <c r="D3891" s="56" t="b">
        <v>0</v>
      </c>
      <c r="E3891" s="56">
        <f ca="1">IF(PV[[#This Row],[Business Date]]=Control!$C$6, PV[[#This Row],[Notional Value Local Cur]], -PV[[#This Row],[Notional Value Local Cur]])</f>
        <v>0</v>
      </c>
    </row>
    <row r="3892" spans="1:5" x14ac:dyDescent="0.25">
      <c r="A3892" s="36" t="b">
        <v>0</v>
      </c>
      <c r="B3892" s="56" t="b">
        <v>0</v>
      </c>
      <c r="C3892" s="56" t="b">
        <v>0</v>
      </c>
      <c r="D3892" s="56" t="b">
        <v>0</v>
      </c>
      <c r="E3892" s="56">
        <f ca="1">IF(PV[[#This Row],[Business Date]]=Control!$C$6, PV[[#This Row],[Notional Value Local Cur]], -PV[[#This Row],[Notional Value Local Cur]])</f>
        <v>0</v>
      </c>
    </row>
    <row r="3893" spans="1:5" x14ac:dyDescent="0.25">
      <c r="A3893" s="36" t="b">
        <v>0</v>
      </c>
      <c r="B3893" s="56" t="b">
        <v>0</v>
      </c>
      <c r="C3893" s="56" t="b">
        <v>0</v>
      </c>
      <c r="D3893" s="56" t="b">
        <v>0</v>
      </c>
      <c r="E3893" s="56">
        <f ca="1">IF(PV[[#This Row],[Business Date]]=Control!$C$6, PV[[#This Row],[Notional Value Local Cur]], -PV[[#This Row],[Notional Value Local Cur]])</f>
        <v>0</v>
      </c>
    </row>
    <row r="3894" spans="1:5" x14ac:dyDescent="0.25">
      <c r="A3894" s="36" t="b">
        <v>0</v>
      </c>
      <c r="B3894" s="56" t="b">
        <v>0</v>
      </c>
      <c r="C3894" s="56" t="b">
        <v>0</v>
      </c>
      <c r="D3894" s="56" t="b">
        <v>0</v>
      </c>
      <c r="E3894" s="56">
        <f ca="1">IF(PV[[#This Row],[Business Date]]=Control!$C$6, PV[[#This Row],[Notional Value Local Cur]], -PV[[#This Row],[Notional Value Local Cur]])</f>
        <v>0</v>
      </c>
    </row>
    <row r="3895" spans="1:5" x14ac:dyDescent="0.25">
      <c r="A3895" s="36" t="b">
        <v>0</v>
      </c>
      <c r="B3895" s="56" t="b">
        <v>0</v>
      </c>
      <c r="C3895" s="56" t="b">
        <v>0</v>
      </c>
      <c r="D3895" s="56" t="b">
        <v>0</v>
      </c>
      <c r="E3895" s="56">
        <f ca="1">IF(PV[[#This Row],[Business Date]]=Control!$C$6, PV[[#This Row],[Notional Value Local Cur]], -PV[[#This Row],[Notional Value Local Cur]])</f>
        <v>0</v>
      </c>
    </row>
    <row r="3896" spans="1:5" x14ac:dyDescent="0.25">
      <c r="A3896" s="36" t="b">
        <v>0</v>
      </c>
      <c r="B3896" s="56" t="b">
        <v>0</v>
      </c>
      <c r="C3896" s="56" t="b">
        <v>0</v>
      </c>
      <c r="D3896" s="56" t="b">
        <v>0</v>
      </c>
      <c r="E3896" s="56">
        <f ca="1">IF(PV[[#This Row],[Business Date]]=Control!$C$6, PV[[#This Row],[Notional Value Local Cur]], -PV[[#This Row],[Notional Value Local Cur]])</f>
        <v>0</v>
      </c>
    </row>
    <row r="3897" spans="1:5" x14ac:dyDescent="0.25">
      <c r="A3897" s="36" t="b">
        <v>0</v>
      </c>
      <c r="B3897" s="56" t="b">
        <v>0</v>
      </c>
      <c r="C3897" s="56" t="b">
        <v>0</v>
      </c>
      <c r="D3897" s="56" t="b">
        <v>0</v>
      </c>
      <c r="E3897" s="56">
        <f ca="1">IF(PV[[#This Row],[Business Date]]=Control!$C$6, PV[[#This Row],[Notional Value Local Cur]], -PV[[#This Row],[Notional Value Local Cur]])</f>
        <v>0</v>
      </c>
    </row>
    <row r="3898" spans="1:5" x14ac:dyDescent="0.25">
      <c r="A3898" s="36" t="b">
        <v>0</v>
      </c>
      <c r="B3898" s="56" t="b">
        <v>0</v>
      </c>
      <c r="C3898" s="56" t="b">
        <v>0</v>
      </c>
      <c r="D3898" s="56" t="b">
        <v>0</v>
      </c>
      <c r="E3898" s="56">
        <f ca="1">IF(PV[[#This Row],[Business Date]]=Control!$C$6, PV[[#This Row],[Notional Value Local Cur]], -PV[[#This Row],[Notional Value Local Cur]])</f>
        <v>0</v>
      </c>
    </row>
    <row r="3899" spans="1:5" x14ac:dyDescent="0.25">
      <c r="A3899" s="36" t="b">
        <v>0</v>
      </c>
      <c r="B3899" s="56" t="b">
        <v>0</v>
      </c>
      <c r="C3899" s="56" t="b">
        <v>0</v>
      </c>
      <c r="D3899" s="56" t="b">
        <v>0</v>
      </c>
      <c r="E3899" s="56">
        <f ca="1">IF(PV[[#This Row],[Business Date]]=Control!$C$6, PV[[#This Row],[Notional Value Local Cur]], -PV[[#This Row],[Notional Value Local Cur]])</f>
        <v>0</v>
      </c>
    </row>
    <row r="3900" spans="1:5" x14ac:dyDescent="0.25">
      <c r="A3900" s="36" t="b">
        <v>0</v>
      </c>
      <c r="B3900" s="56" t="b">
        <v>0</v>
      </c>
      <c r="C3900" s="56" t="b">
        <v>0</v>
      </c>
      <c r="D3900" s="56" t="b">
        <v>0</v>
      </c>
      <c r="E3900" s="56">
        <f ca="1">IF(PV[[#This Row],[Business Date]]=Control!$C$6, PV[[#This Row],[Notional Value Local Cur]], -PV[[#This Row],[Notional Value Local Cur]])</f>
        <v>0</v>
      </c>
    </row>
    <row r="3901" spans="1:5" x14ac:dyDescent="0.25">
      <c r="A3901" s="36" t="b">
        <v>0</v>
      </c>
      <c r="B3901" s="56" t="b">
        <v>0</v>
      </c>
      <c r="C3901" s="56" t="b">
        <v>0</v>
      </c>
      <c r="D3901" s="56" t="b">
        <v>0</v>
      </c>
      <c r="E3901" s="56">
        <f ca="1">IF(PV[[#This Row],[Business Date]]=Control!$C$6, PV[[#This Row],[Notional Value Local Cur]], -PV[[#This Row],[Notional Value Local Cur]])</f>
        <v>0</v>
      </c>
    </row>
    <row r="3902" spans="1:5" x14ac:dyDescent="0.25">
      <c r="A3902" s="36" t="b">
        <v>0</v>
      </c>
      <c r="B3902" s="56" t="b">
        <v>0</v>
      </c>
      <c r="C3902" s="56" t="b">
        <v>0</v>
      </c>
      <c r="D3902" s="56" t="b">
        <v>0</v>
      </c>
      <c r="E3902" s="56">
        <f ca="1">IF(PV[[#This Row],[Business Date]]=Control!$C$6, PV[[#This Row],[Notional Value Local Cur]], -PV[[#This Row],[Notional Value Local Cur]])</f>
        <v>0</v>
      </c>
    </row>
    <row r="3903" spans="1:5" x14ac:dyDescent="0.25">
      <c r="A3903" s="36" t="b">
        <v>0</v>
      </c>
      <c r="B3903" s="56" t="b">
        <v>0</v>
      </c>
      <c r="C3903" s="56" t="b">
        <v>0</v>
      </c>
      <c r="D3903" s="56" t="b">
        <v>0</v>
      </c>
      <c r="E3903" s="56">
        <f ca="1">IF(PV[[#This Row],[Business Date]]=Control!$C$6, PV[[#This Row],[Notional Value Local Cur]], -PV[[#This Row],[Notional Value Local Cur]])</f>
        <v>0</v>
      </c>
    </row>
    <row r="3904" spans="1:5" x14ac:dyDescent="0.25">
      <c r="A3904" s="36" t="b">
        <v>0</v>
      </c>
      <c r="B3904" s="56" t="b">
        <v>0</v>
      </c>
      <c r="C3904" s="56" t="b">
        <v>0</v>
      </c>
      <c r="D3904" s="56" t="b">
        <v>0</v>
      </c>
      <c r="E3904" s="56">
        <f ca="1">IF(PV[[#This Row],[Business Date]]=Control!$C$6, PV[[#This Row],[Notional Value Local Cur]], -PV[[#This Row],[Notional Value Local Cur]])</f>
        <v>0</v>
      </c>
    </row>
    <row r="3905" spans="1:5" x14ac:dyDescent="0.25">
      <c r="A3905" s="36" t="b">
        <v>0</v>
      </c>
      <c r="B3905" s="56" t="b">
        <v>0</v>
      </c>
      <c r="C3905" s="56" t="b">
        <v>0</v>
      </c>
      <c r="D3905" s="56" t="b">
        <v>0</v>
      </c>
      <c r="E3905" s="56">
        <f ca="1">IF(PV[[#This Row],[Business Date]]=Control!$C$6, PV[[#This Row],[Notional Value Local Cur]], -PV[[#This Row],[Notional Value Local Cur]])</f>
        <v>0</v>
      </c>
    </row>
    <row r="3906" spans="1:5" x14ac:dyDescent="0.25">
      <c r="A3906" s="36" t="b">
        <v>0</v>
      </c>
      <c r="B3906" s="56" t="b">
        <v>0</v>
      </c>
      <c r="C3906" s="56" t="b">
        <v>0</v>
      </c>
      <c r="D3906" s="56" t="b">
        <v>0</v>
      </c>
      <c r="E3906" s="56">
        <f ca="1">IF(PV[[#This Row],[Business Date]]=Control!$C$6, PV[[#This Row],[Notional Value Local Cur]], -PV[[#This Row],[Notional Value Local Cur]])</f>
        <v>0</v>
      </c>
    </row>
    <row r="3907" spans="1:5" x14ac:dyDescent="0.25">
      <c r="A3907" s="36" t="b">
        <v>0</v>
      </c>
      <c r="B3907" s="56" t="b">
        <v>0</v>
      </c>
      <c r="C3907" s="56" t="b">
        <v>0</v>
      </c>
      <c r="D3907" s="56" t="b">
        <v>0</v>
      </c>
      <c r="E3907" s="56">
        <f ca="1">IF(PV[[#This Row],[Business Date]]=Control!$C$6, PV[[#This Row],[Notional Value Local Cur]], -PV[[#This Row],[Notional Value Local Cur]])</f>
        <v>0</v>
      </c>
    </row>
    <row r="3908" spans="1:5" x14ac:dyDescent="0.25">
      <c r="A3908" s="36" t="b">
        <v>0</v>
      </c>
      <c r="B3908" s="56" t="b">
        <v>0</v>
      </c>
      <c r="C3908" s="56" t="b">
        <v>0</v>
      </c>
      <c r="D3908" s="56" t="b">
        <v>0</v>
      </c>
      <c r="E3908" s="56">
        <f ca="1">IF(PV[[#This Row],[Business Date]]=Control!$C$6, PV[[#This Row],[Notional Value Local Cur]], -PV[[#This Row],[Notional Value Local Cur]])</f>
        <v>0</v>
      </c>
    </row>
    <row r="3909" spans="1:5" x14ac:dyDescent="0.25">
      <c r="A3909" s="36" t="b">
        <v>0</v>
      </c>
      <c r="B3909" s="56" t="b">
        <v>0</v>
      </c>
      <c r="C3909" s="56" t="b">
        <v>0</v>
      </c>
      <c r="D3909" s="56" t="b">
        <v>0</v>
      </c>
      <c r="E3909" s="56">
        <f ca="1">IF(PV[[#This Row],[Business Date]]=Control!$C$6, PV[[#This Row],[Notional Value Local Cur]], -PV[[#This Row],[Notional Value Local Cur]])</f>
        <v>0</v>
      </c>
    </row>
    <row r="3910" spans="1:5" x14ac:dyDescent="0.25">
      <c r="A3910" s="36" t="b">
        <v>0</v>
      </c>
      <c r="B3910" s="56" t="b">
        <v>0</v>
      </c>
      <c r="C3910" s="56" t="b">
        <v>0</v>
      </c>
      <c r="D3910" s="56" t="b">
        <v>0</v>
      </c>
      <c r="E3910" s="56">
        <f ca="1">IF(PV[[#This Row],[Business Date]]=Control!$C$6, PV[[#This Row],[Notional Value Local Cur]], -PV[[#This Row],[Notional Value Local Cur]])</f>
        <v>0</v>
      </c>
    </row>
    <row r="3911" spans="1:5" x14ac:dyDescent="0.25">
      <c r="A3911" s="36" t="b">
        <v>0</v>
      </c>
      <c r="B3911" s="56" t="b">
        <v>0</v>
      </c>
      <c r="C3911" s="56" t="b">
        <v>0</v>
      </c>
      <c r="D3911" s="56" t="b">
        <v>0</v>
      </c>
      <c r="E3911" s="56">
        <f ca="1">IF(PV[[#This Row],[Business Date]]=Control!$C$6, PV[[#This Row],[Notional Value Local Cur]], -PV[[#This Row],[Notional Value Local Cur]])</f>
        <v>0</v>
      </c>
    </row>
    <row r="3912" spans="1:5" x14ac:dyDescent="0.25">
      <c r="A3912" s="36" t="b">
        <v>0</v>
      </c>
      <c r="B3912" s="56" t="b">
        <v>0</v>
      </c>
      <c r="C3912" s="56" t="b">
        <v>0</v>
      </c>
      <c r="D3912" s="56" t="b">
        <v>0</v>
      </c>
      <c r="E3912" s="56">
        <f ca="1">IF(PV[[#This Row],[Business Date]]=Control!$C$6, PV[[#This Row],[Notional Value Local Cur]], -PV[[#This Row],[Notional Value Local Cur]])</f>
        <v>0</v>
      </c>
    </row>
    <row r="3913" spans="1:5" x14ac:dyDescent="0.25">
      <c r="A3913" s="36" t="b">
        <v>0</v>
      </c>
      <c r="B3913" s="56" t="b">
        <v>0</v>
      </c>
      <c r="C3913" s="56" t="b">
        <v>0</v>
      </c>
      <c r="D3913" s="56" t="b">
        <v>0</v>
      </c>
      <c r="E3913" s="56">
        <f ca="1">IF(PV[[#This Row],[Business Date]]=Control!$C$6, PV[[#This Row],[Notional Value Local Cur]], -PV[[#This Row],[Notional Value Local Cur]])</f>
        <v>0</v>
      </c>
    </row>
    <row r="3914" spans="1:5" x14ac:dyDescent="0.25">
      <c r="A3914" s="36" t="b">
        <v>0</v>
      </c>
      <c r="B3914" s="56" t="b">
        <v>0</v>
      </c>
      <c r="C3914" s="56" t="b">
        <v>0</v>
      </c>
      <c r="D3914" s="56" t="b">
        <v>0</v>
      </c>
      <c r="E3914" s="56">
        <f ca="1">IF(PV[[#This Row],[Business Date]]=Control!$C$6, PV[[#This Row],[Notional Value Local Cur]], -PV[[#This Row],[Notional Value Local Cur]])</f>
        <v>0</v>
      </c>
    </row>
    <row r="3915" spans="1:5" x14ac:dyDescent="0.25">
      <c r="A3915" s="36" t="b">
        <v>0</v>
      </c>
      <c r="B3915" s="56" t="b">
        <v>0</v>
      </c>
      <c r="C3915" s="56" t="b">
        <v>0</v>
      </c>
      <c r="D3915" s="56" t="b">
        <v>0</v>
      </c>
      <c r="E3915" s="56">
        <f ca="1">IF(PV[[#This Row],[Business Date]]=Control!$C$6, PV[[#This Row],[Notional Value Local Cur]], -PV[[#This Row],[Notional Value Local Cur]])</f>
        <v>0</v>
      </c>
    </row>
    <row r="3916" spans="1:5" x14ac:dyDescent="0.25">
      <c r="A3916" s="36" t="b">
        <v>0</v>
      </c>
      <c r="B3916" s="56" t="b">
        <v>0</v>
      </c>
      <c r="C3916" s="56" t="b">
        <v>0</v>
      </c>
      <c r="D3916" s="56" t="b">
        <v>0</v>
      </c>
      <c r="E3916" s="56">
        <f ca="1">IF(PV[[#This Row],[Business Date]]=Control!$C$6, PV[[#This Row],[Notional Value Local Cur]], -PV[[#This Row],[Notional Value Local Cur]])</f>
        <v>0</v>
      </c>
    </row>
    <row r="3917" spans="1:5" x14ac:dyDescent="0.25">
      <c r="A3917" s="36" t="b">
        <v>0</v>
      </c>
      <c r="B3917" s="56" t="b">
        <v>0</v>
      </c>
      <c r="C3917" s="56" t="b">
        <v>0</v>
      </c>
      <c r="D3917" s="56" t="b">
        <v>0</v>
      </c>
      <c r="E3917" s="56">
        <f ca="1">IF(PV[[#This Row],[Business Date]]=Control!$C$6, PV[[#This Row],[Notional Value Local Cur]], -PV[[#This Row],[Notional Value Local Cur]])</f>
        <v>0</v>
      </c>
    </row>
    <row r="3918" spans="1:5" x14ac:dyDescent="0.25">
      <c r="A3918" s="36" t="b">
        <v>0</v>
      </c>
      <c r="B3918" s="56" t="b">
        <v>0</v>
      </c>
      <c r="C3918" s="56" t="b">
        <v>0</v>
      </c>
      <c r="D3918" s="56" t="b">
        <v>0</v>
      </c>
      <c r="E3918" s="56">
        <f ca="1">IF(PV[[#This Row],[Business Date]]=Control!$C$6, PV[[#This Row],[Notional Value Local Cur]], -PV[[#This Row],[Notional Value Local Cur]])</f>
        <v>0</v>
      </c>
    </row>
    <row r="3919" spans="1:5" x14ac:dyDescent="0.25">
      <c r="A3919" s="36" t="b">
        <v>0</v>
      </c>
      <c r="B3919" s="56" t="b">
        <v>0</v>
      </c>
      <c r="C3919" s="56" t="b">
        <v>0</v>
      </c>
      <c r="D3919" s="56" t="b">
        <v>0</v>
      </c>
      <c r="E3919" s="56">
        <f ca="1">IF(PV[[#This Row],[Business Date]]=Control!$C$6, PV[[#This Row],[Notional Value Local Cur]], -PV[[#This Row],[Notional Value Local Cur]])</f>
        <v>0</v>
      </c>
    </row>
    <row r="3920" spans="1:5" x14ac:dyDescent="0.25">
      <c r="A3920" s="36" t="b">
        <v>0</v>
      </c>
      <c r="B3920" s="56" t="b">
        <v>0</v>
      </c>
      <c r="C3920" s="56" t="b">
        <v>0</v>
      </c>
      <c r="D3920" s="56" t="b">
        <v>0</v>
      </c>
      <c r="E3920" s="56">
        <f ca="1">IF(PV[[#This Row],[Business Date]]=Control!$C$6, PV[[#This Row],[Notional Value Local Cur]], -PV[[#This Row],[Notional Value Local Cur]])</f>
        <v>0</v>
      </c>
    </row>
    <row r="3921" spans="1:5" x14ac:dyDescent="0.25">
      <c r="A3921" s="36" t="b">
        <v>0</v>
      </c>
      <c r="B3921" s="56" t="b">
        <v>0</v>
      </c>
      <c r="C3921" s="56" t="b">
        <v>0</v>
      </c>
      <c r="D3921" s="56" t="b">
        <v>0</v>
      </c>
      <c r="E3921" s="56">
        <f ca="1">IF(PV[[#This Row],[Business Date]]=Control!$C$6, PV[[#This Row],[Notional Value Local Cur]], -PV[[#This Row],[Notional Value Local Cur]])</f>
        <v>0</v>
      </c>
    </row>
    <row r="3922" spans="1:5" x14ac:dyDescent="0.25">
      <c r="A3922" s="36" t="b">
        <v>0</v>
      </c>
      <c r="B3922" s="56" t="b">
        <v>0</v>
      </c>
      <c r="C3922" s="56" t="b">
        <v>0</v>
      </c>
      <c r="D3922" s="56" t="b">
        <v>0</v>
      </c>
      <c r="E3922" s="56">
        <f ca="1">IF(PV[[#This Row],[Business Date]]=Control!$C$6, PV[[#This Row],[Notional Value Local Cur]], -PV[[#This Row],[Notional Value Local Cur]])</f>
        <v>0</v>
      </c>
    </row>
    <row r="3923" spans="1:5" x14ac:dyDescent="0.25">
      <c r="A3923" s="36" t="b">
        <v>0</v>
      </c>
      <c r="B3923" s="56" t="b">
        <v>0</v>
      </c>
      <c r="C3923" s="56" t="b">
        <v>0</v>
      </c>
      <c r="D3923" s="56" t="b">
        <v>0</v>
      </c>
      <c r="E3923" s="56">
        <f ca="1">IF(PV[[#This Row],[Business Date]]=Control!$C$6, PV[[#This Row],[Notional Value Local Cur]], -PV[[#This Row],[Notional Value Local Cur]])</f>
        <v>0</v>
      </c>
    </row>
    <row r="3924" spans="1:5" x14ac:dyDescent="0.25">
      <c r="A3924" s="36" t="b">
        <v>0</v>
      </c>
      <c r="B3924" s="56" t="b">
        <v>0</v>
      </c>
      <c r="C3924" s="56" t="b">
        <v>0</v>
      </c>
      <c r="D3924" s="56" t="b">
        <v>0</v>
      </c>
      <c r="E3924" s="56">
        <f ca="1">IF(PV[[#This Row],[Business Date]]=Control!$C$6, PV[[#This Row],[Notional Value Local Cur]], -PV[[#This Row],[Notional Value Local Cur]])</f>
        <v>0</v>
      </c>
    </row>
    <row r="3925" spans="1:5" x14ac:dyDescent="0.25">
      <c r="A3925" s="36" t="b">
        <v>0</v>
      </c>
      <c r="B3925" s="56" t="b">
        <v>0</v>
      </c>
      <c r="C3925" s="56" t="b">
        <v>0</v>
      </c>
      <c r="D3925" s="56" t="b">
        <v>0</v>
      </c>
      <c r="E3925" s="56">
        <f ca="1">IF(PV[[#This Row],[Business Date]]=Control!$C$6, PV[[#This Row],[Notional Value Local Cur]], -PV[[#This Row],[Notional Value Local Cur]])</f>
        <v>0</v>
      </c>
    </row>
    <row r="3926" spans="1:5" x14ac:dyDescent="0.25">
      <c r="A3926" s="36" t="b">
        <v>0</v>
      </c>
      <c r="B3926" s="56" t="b">
        <v>0</v>
      </c>
      <c r="C3926" s="56" t="b">
        <v>0</v>
      </c>
      <c r="D3926" s="56" t="b">
        <v>0</v>
      </c>
      <c r="E3926" s="56">
        <f ca="1">IF(PV[[#This Row],[Business Date]]=Control!$C$6, PV[[#This Row],[Notional Value Local Cur]], -PV[[#This Row],[Notional Value Local Cur]])</f>
        <v>0</v>
      </c>
    </row>
    <row r="3927" spans="1:5" x14ac:dyDescent="0.25">
      <c r="A3927" s="36" t="b">
        <v>0</v>
      </c>
      <c r="B3927" s="56" t="b">
        <v>0</v>
      </c>
      <c r="C3927" s="56" t="b">
        <v>0</v>
      </c>
      <c r="D3927" s="56" t="b">
        <v>0</v>
      </c>
      <c r="E3927" s="56">
        <f ca="1">IF(PV[[#This Row],[Business Date]]=Control!$C$6, PV[[#This Row],[Notional Value Local Cur]], -PV[[#This Row],[Notional Value Local Cur]])</f>
        <v>0</v>
      </c>
    </row>
    <row r="3928" spans="1:5" x14ac:dyDescent="0.25">
      <c r="A3928" s="36" t="b">
        <v>0</v>
      </c>
      <c r="B3928" s="56" t="b">
        <v>0</v>
      </c>
      <c r="C3928" s="56" t="b">
        <v>0</v>
      </c>
      <c r="D3928" s="56" t="b">
        <v>0</v>
      </c>
      <c r="E3928" s="56">
        <f ca="1">IF(PV[[#This Row],[Business Date]]=Control!$C$6, PV[[#This Row],[Notional Value Local Cur]], -PV[[#This Row],[Notional Value Local Cur]])</f>
        <v>0</v>
      </c>
    </row>
    <row r="3929" spans="1:5" x14ac:dyDescent="0.25">
      <c r="A3929" s="36" t="b">
        <v>0</v>
      </c>
      <c r="B3929" s="56" t="b">
        <v>0</v>
      </c>
      <c r="C3929" s="56" t="b">
        <v>0</v>
      </c>
      <c r="D3929" s="56" t="b">
        <v>0</v>
      </c>
      <c r="E3929" s="56">
        <f ca="1">IF(PV[[#This Row],[Business Date]]=Control!$C$6, PV[[#This Row],[Notional Value Local Cur]], -PV[[#This Row],[Notional Value Local Cur]])</f>
        <v>0</v>
      </c>
    </row>
    <row r="3930" spans="1:5" x14ac:dyDescent="0.25">
      <c r="A3930" s="36" t="b">
        <v>0</v>
      </c>
      <c r="B3930" s="56" t="b">
        <v>0</v>
      </c>
      <c r="C3930" s="56" t="b">
        <v>0</v>
      </c>
      <c r="D3930" s="56" t="b">
        <v>0</v>
      </c>
      <c r="E3930" s="56">
        <f ca="1">IF(PV[[#This Row],[Business Date]]=Control!$C$6, PV[[#This Row],[Notional Value Local Cur]], -PV[[#This Row],[Notional Value Local Cur]])</f>
        <v>0</v>
      </c>
    </row>
    <row r="3931" spans="1:5" x14ac:dyDescent="0.25">
      <c r="A3931" s="36" t="b">
        <v>0</v>
      </c>
      <c r="B3931" s="56" t="b">
        <v>0</v>
      </c>
      <c r="C3931" s="56" t="b">
        <v>0</v>
      </c>
      <c r="D3931" s="56" t="b">
        <v>0</v>
      </c>
      <c r="E3931" s="56">
        <f ca="1">IF(PV[[#This Row],[Business Date]]=Control!$C$6, PV[[#This Row],[Notional Value Local Cur]], -PV[[#This Row],[Notional Value Local Cur]])</f>
        <v>0</v>
      </c>
    </row>
    <row r="3932" spans="1:5" x14ac:dyDescent="0.25">
      <c r="A3932" s="36" t="b">
        <v>0</v>
      </c>
      <c r="B3932" s="56" t="b">
        <v>0</v>
      </c>
      <c r="C3932" s="56" t="b">
        <v>0</v>
      </c>
      <c r="D3932" s="56" t="b">
        <v>0</v>
      </c>
      <c r="E3932" s="56">
        <f ca="1">IF(PV[[#This Row],[Business Date]]=Control!$C$6, PV[[#This Row],[Notional Value Local Cur]], -PV[[#This Row],[Notional Value Local Cur]])</f>
        <v>0</v>
      </c>
    </row>
    <row r="3933" spans="1:5" x14ac:dyDescent="0.25">
      <c r="A3933" s="36" t="b">
        <v>0</v>
      </c>
      <c r="B3933" s="56" t="b">
        <v>0</v>
      </c>
      <c r="C3933" s="56" t="b">
        <v>0</v>
      </c>
      <c r="D3933" s="56" t="b">
        <v>0</v>
      </c>
      <c r="E3933" s="56">
        <f ca="1">IF(PV[[#This Row],[Business Date]]=Control!$C$6, PV[[#This Row],[Notional Value Local Cur]], -PV[[#This Row],[Notional Value Local Cur]])</f>
        <v>0</v>
      </c>
    </row>
    <row r="3934" spans="1:5" x14ac:dyDescent="0.25">
      <c r="A3934" s="36" t="b">
        <v>0</v>
      </c>
      <c r="B3934" s="56" t="b">
        <v>0</v>
      </c>
      <c r="C3934" s="56" t="b">
        <v>0</v>
      </c>
      <c r="D3934" s="56" t="b">
        <v>0</v>
      </c>
      <c r="E3934" s="56">
        <f ca="1">IF(PV[[#This Row],[Business Date]]=Control!$C$6, PV[[#This Row],[Notional Value Local Cur]], -PV[[#This Row],[Notional Value Local Cur]])</f>
        <v>0</v>
      </c>
    </row>
    <row r="3935" spans="1:5" x14ac:dyDescent="0.25">
      <c r="A3935" s="36" t="b">
        <v>0</v>
      </c>
      <c r="B3935" s="56" t="b">
        <v>0</v>
      </c>
      <c r="C3935" s="56" t="b">
        <v>0</v>
      </c>
      <c r="D3935" s="56" t="b">
        <v>0</v>
      </c>
      <c r="E3935" s="56">
        <f ca="1">IF(PV[[#This Row],[Business Date]]=Control!$C$6, PV[[#This Row],[Notional Value Local Cur]], -PV[[#This Row],[Notional Value Local Cur]])</f>
        <v>0</v>
      </c>
    </row>
    <row r="3936" spans="1:5" x14ac:dyDescent="0.25">
      <c r="A3936" s="36" t="b">
        <v>0</v>
      </c>
      <c r="B3936" s="56" t="b">
        <v>0</v>
      </c>
      <c r="C3936" s="56" t="b">
        <v>0</v>
      </c>
      <c r="D3936" s="56" t="b">
        <v>0</v>
      </c>
      <c r="E3936" s="56">
        <f ca="1">IF(PV[[#This Row],[Business Date]]=Control!$C$6, PV[[#This Row],[Notional Value Local Cur]], -PV[[#This Row],[Notional Value Local Cur]])</f>
        <v>0</v>
      </c>
    </row>
    <row r="3937" spans="1:5" x14ac:dyDescent="0.25">
      <c r="A3937" s="36" t="b">
        <v>0</v>
      </c>
      <c r="B3937" s="56" t="b">
        <v>0</v>
      </c>
      <c r="C3937" s="56" t="b">
        <v>0</v>
      </c>
      <c r="D3937" s="56" t="b">
        <v>0</v>
      </c>
      <c r="E3937" s="56">
        <f ca="1">IF(PV[[#This Row],[Business Date]]=Control!$C$6, PV[[#This Row],[Notional Value Local Cur]], -PV[[#This Row],[Notional Value Local Cur]])</f>
        <v>0</v>
      </c>
    </row>
    <row r="3938" spans="1:5" x14ac:dyDescent="0.25">
      <c r="A3938" s="36" t="b">
        <v>0</v>
      </c>
      <c r="B3938" s="56" t="b">
        <v>0</v>
      </c>
      <c r="C3938" s="56" t="b">
        <v>0</v>
      </c>
      <c r="D3938" s="56" t="b">
        <v>0</v>
      </c>
      <c r="E3938" s="56">
        <f ca="1">IF(PV[[#This Row],[Business Date]]=Control!$C$6, PV[[#This Row],[Notional Value Local Cur]], -PV[[#This Row],[Notional Value Local Cur]])</f>
        <v>0</v>
      </c>
    </row>
    <row r="3939" spans="1:5" x14ac:dyDescent="0.25">
      <c r="A3939" s="36" t="b">
        <v>0</v>
      </c>
      <c r="B3939" s="56" t="b">
        <v>0</v>
      </c>
      <c r="C3939" s="56" t="b">
        <v>0</v>
      </c>
      <c r="D3939" s="56" t="b">
        <v>0</v>
      </c>
      <c r="E3939" s="56">
        <f ca="1">IF(PV[[#This Row],[Business Date]]=Control!$C$6, PV[[#This Row],[Notional Value Local Cur]], -PV[[#This Row],[Notional Value Local Cur]])</f>
        <v>0</v>
      </c>
    </row>
    <row r="3940" spans="1:5" x14ac:dyDescent="0.25">
      <c r="A3940" s="36" t="b">
        <v>0</v>
      </c>
      <c r="B3940" s="56" t="b">
        <v>0</v>
      </c>
      <c r="C3940" s="56" t="b">
        <v>0</v>
      </c>
      <c r="D3940" s="56" t="b">
        <v>0</v>
      </c>
      <c r="E3940" s="56">
        <f ca="1">IF(PV[[#This Row],[Business Date]]=Control!$C$6, PV[[#This Row],[Notional Value Local Cur]], -PV[[#This Row],[Notional Value Local Cur]])</f>
        <v>0</v>
      </c>
    </row>
    <row r="3941" spans="1:5" x14ac:dyDescent="0.25">
      <c r="A3941" s="36" t="b">
        <v>0</v>
      </c>
      <c r="B3941" s="56" t="b">
        <v>0</v>
      </c>
      <c r="C3941" s="56" t="b">
        <v>0</v>
      </c>
      <c r="D3941" s="56" t="b">
        <v>0</v>
      </c>
      <c r="E3941" s="56">
        <f ca="1">IF(PV[[#This Row],[Business Date]]=Control!$C$6, PV[[#This Row],[Notional Value Local Cur]], -PV[[#This Row],[Notional Value Local Cur]])</f>
        <v>0</v>
      </c>
    </row>
    <row r="3942" spans="1:5" x14ac:dyDescent="0.25">
      <c r="A3942" s="36" t="b">
        <v>0</v>
      </c>
      <c r="B3942" s="56" t="b">
        <v>0</v>
      </c>
      <c r="C3942" s="56" t="b">
        <v>0</v>
      </c>
      <c r="D3942" s="56" t="b">
        <v>0</v>
      </c>
      <c r="E3942" s="56">
        <f ca="1">IF(PV[[#This Row],[Business Date]]=Control!$C$6, PV[[#This Row],[Notional Value Local Cur]], -PV[[#This Row],[Notional Value Local Cur]])</f>
        <v>0</v>
      </c>
    </row>
    <row r="3943" spans="1:5" x14ac:dyDescent="0.25">
      <c r="A3943" s="36" t="b">
        <v>0</v>
      </c>
      <c r="B3943" s="56" t="b">
        <v>0</v>
      </c>
      <c r="C3943" s="56" t="b">
        <v>0</v>
      </c>
      <c r="D3943" s="56" t="b">
        <v>0</v>
      </c>
      <c r="E3943" s="56">
        <f ca="1">IF(PV[[#This Row],[Business Date]]=Control!$C$6, PV[[#This Row],[Notional Value Local Cur]], -PV[[#This Row],[Notional Value Local Cur]])</f>
        <v>0</v>
      </c>
    </row>
    <row r="3944" spans="1:5" x14ac:dyDescent="0.25">
      <c r="A3944" s="36" t="b">
        <v>0</v>
      </c>
      <c r="B3944" s="56" t="b">
        <v>0</v>
      </c>
      <c r="C3944" s="56" t="b">
        <v>0</v>
      </c>
      <c r="D3944" s="56" t="b">
        <v>0</v>
      </c>
      <c r="E3944" s="56">
        <f ca="1">IF(PV[[#This Row],[Business Date]]=Control!$C$6, PV[[#This Row],[Notional Value Local Cur]], -PV[[#This Row],[Notional Value Local Cur]])</f>
        <v>0</v>
      </c>
    </row>
    <row r="3945" spans="1:5" x14ac:dyDescent="0.25">
      <c r="A3945" s="36" t="b">
        <v>0</v>
      </c>
      <c r="B3945" s="56" t="b">
        <v>0</v>
      </c>
      <c r="C3945" s="56" t="b">
        <v>0</v>
      </c>
      <c r="D3945" s="56" t="b">
        <v>0</v>
      </c>
      <c r="E3945" s="56">
        <f ca="1">IF(PV[[#This Row],[Business Date]]=Control!$C$6, PV[[#This Row],[Notional Value Local Cur]], -PV[[#This Row],[Notional Value Local Cur]])</f>
        <v>0</v>
      </c>
    </row>
    <row r="3946" spans="1:5" x14ac:dyDescent="0.25">
      <c r="A3946" s="36" t="b">
        <v>0</v>
      </c>
      <c r="B3946" s="56" t="b">
        <v>0</v>
      </c>
      <c r="C3946" s="56" t="b">
        <v>0</v>
      </c>
      <c r="D3946" s="56" t="b">
        <v>0</v>
      </c>
      <c r="E3946" s="56">
        <f ca="1">IF(PV[[#This Row],[Business Date]]=Control!$C$6, PV[[#This Row],[Notional Value Local Cur]], -PV[[#This Row],[Notional Value Local Cur]])</f>
        <v>0</v>
      </c>
    </row>
    <row r="3947" spans="1:5" x14ac:dyDescent="0.25">
      <c r="A3947" s="36" t="b">
        <v>0</v>
      </c>
      <c r="B3947" s="56" t="b">
        <v>0</v>
      </c>
      <c r="C3947" s="56" t="b">
        <v>0</v>
      </c>
      <c r="D3947" s="56" t="b">
        <v>0</v>
      </c>
      <c r="E3947" s="56">
        <f ca="1">IF(PV[[#This Row],[Business Date]]=Control!$C$6, PV[[#This Row],[Notional Value Local Cur]], -PV[[#This Row],[Notional Value Local Cur]])</f>
        <v>0</v>
      </c>
    </row>
    <row r="3948" spans="1:5" x14ac:dyDescent="0.25">
      <c r="A3948" s="36" t="b">
        <v>0</v>
      </c>
      <c r="B3948" s="56" t="b">
        <v>0</v>
      </c>
      <c r="C3948" s="56" t="b">
        <v>0</v>
      </c>
      <c r="D3948" s="56" t="b">
        <v>0</v>
      </c>
      <c r="E3948" s="56">
        <f ca="1">IF(PV[[#This Row],[Business Date]]=Control!$C$6, PV[[#This Row],[Notional Value Local Cur]], -PV[[#This Row],[Notional Value Local Cur]])</f>
        <v>0</v>
      </c>
    </row>
    <row r="3949" spans="1:5" x14ac:dyDescent="0.25">
      <c r="A3949" s="36" t="b">
        <v>0</v>
      </c>
      <c r="B3949" s="56" t="b">
        <v>0</v>
      </c>
      <c r="C3949" s="56" t="b">
        <v>0</v>
      </c>
      <c r="D3949" s="56" t="b">
        <v>0</v>
      </c>
      <c r="E3949" s="56">
        <f ca="1">IF(PV[[#This Row],[Business Date]]=Control!$C$6, PV[[#This Row],[Notional Value Local Cur]], -PV[[#This Row],[Notional Value Local Cur]])</f>
        <v>0</v>
      </c>
    </row>
    <row r="3950" spans="1:5" x14ac:dyDescent="0.25">
      <c r="A3950" s="36" t="b">
        <v>0</v>
      </c>
      <c r="B3950" s="56" t="b">
        <v>0</v>
      </c>
      <c r="C3950" s="56" t="b">
        <v>0</v>
      </c>
      <c r="D3950" s="56" t="b">
        <v>0</v>
      </c>
      <c r="E3950" s="56">
        <f ca="1">IF(PV[[#This Row],[Business Date]]=Control!$C$6, PV[[#This Row],[Notional Value Local Cur]], -PV[[#This Row],[Notional Value Local Cur]])</f>
        <v>0</v>
      </c>
    </row>
    <row r="3951" spans="1:5" x14ac:dyDescent="0.25">
      <c r="A3951" s="36" t="b">
        <v>0</v>
      </c>
      <c r="B3951" s="56" t="b">
        <v>0</v>
      </c>
      <c r="C3951" s="56" t="b">
        <v>0</v>
      </c>
      <c r="D3951" s="56" t="b">
        <v>0</v>
      </c>
      <c r="E3951" s="56">
        <f ca="1">IF(PV[[#This Row],[Business Date]]=Control!$C$6, PV[[#This Row],[Notional Value Local Cur]], -PV[[#This Row],[Notional Value Local Cur]])</f>
        <v>0</v>
      </c>
    </row>
    <row r="3952" spans="1:5" x14ac:dyDescent="0.25">
      <c r="A3952" s="36" t="b">
        <v>0</v>
      </c>
      <c r="B3952" s="56" t="b">
        <v>0</v>
      </c>
      <c r="C3952" s="56" t="b">
        <v>0</v>
      </c>
      <c r="D3952" s="56" t="b">
        <v>0</v>
      </c>
      <c r="E3952" s="56">
        <f ca="1">IF(PV[[#This Row],[Business Date]]=Control!$C$6, PV[[#This Row],[Notional Value Local Cur]], -PV[[#This Row],[Notional Value Local Cur]])</f>
        <v>0</v>
      </c>
    </row>
    <row r="3953" spans="1:5" x14ac:dyDescent="0.25">
      <c r="A3953" s="36" t="b">
        <v>0</v>
      </c>
      <c r="B3953" s="56" t="b">
        <v>0</v>
      </c>
      <c r="C3953" s="56" t="b">
        <v>0</v>
      </c>
      <c r="D3953" s="56" t="b">
        <v>0</v>
      </c>
      <c r="E3953" s="56">
        <f ca="1">IF(PV[[#This Row],[Business Date]]=Control!$C$6, PV[[#This Row],[Notional Value Local Cur]], -PV[[#This Row],[Notional Value Local Cur]])</f>
        <v>0</v>
      </c>
    </row>
    <row r="3954" spans="1:5" x14ac:dyDescent="0.25">
      <c r="A3954" s="36" t="b">
        <v>0</v>
      </c>
      <c r="B3954" s="56" t="b">
        <v>0</v>
      </c>
      <c r="C3954" s="56" t="b">
        <v>0</v>
      </c>
      <c r="D3954" s="56" t="b">
        <v>0</v>
      </c>
      <c r="E3954" s="56">
        <f ca="1">IF(PV[[#This Row],[Business Date]]=Control!$C$6, PV[[#This Row],[Notional Value Local Cur]], -PV[[#This Row],[Notional Value Local Cur]])</f>
        <v>0</v>
      </c>
    </row>
    <row r="3955" spans="1:5" x14ac:dyDescent="0.25">
      <c r="A3955" s="36" t="b">
        <v>0</v>
      </c>
      <c r="B3955" s="56" t="b">
        <v>0</v>
      </c>
      <c r="C3955" s="56" t="b">
        <v>0</v>
      </c>
      <c r="D3955" s="56" t="b">
        <v>0</v>
      </c>
      <c r="E3955" s="56">
        <f ca="1">IF(PV[[#This Row],[Business Date]]=Control!$C$6, PV[[#This Row],[Notional Value Local Cur]], -PV[[#This Row],[Notional Value Local Cur]])</f>
        <v>0</v>
      </c>
    </row>
    <row r="3956" spans="1:5" x14ac:dyDescent="0.25">
      <c r="A3956" s="36" t="b">
        <v>0</v>
      </c>
      <c r="B3956" s="56" t="b">
        <v>0</v>
      </c>
      <c r="C3956" s="56" t="b">
        <v>0</v>
      </c>
      <c r="D3956" s="56" t="b">
        <v>0</v>
      </c>
      <c r="E3956" s="56">
        <f ca="1">IF(PV[[#This Row],[Business Date]]=Control!$C$6, PV[[#This Row],[Notional Value Local Cur]], -PV[[#This Row],[Notional Value Local Cur]])</f>
        <v>0</v>
      </c>
    </row>
    <row r="3957" spans="1:5" x14ac:dyDescent="0.25">
      <c r="A3957" s="36" t="b">
        <v>0</v>
      </c>
      <c r="B3957" s="56" t="b">
        <v>0</v>
      </c>
      <c r="C3957" s="56" t="b">
        <v>0</v>
      </c>
      <c r="D3957" s="56" t="b">
        <v>0</v>
      </c>
      <c r="E3957" s="56">
        <f ca="1">IF(PV[[#This Row],[Business Date]]=Control!$C$6, PV[[#This Row],[Notional Value Local Cur]], -PV[[#This Row],[Notional Value Local Cur]])</f>
        <v>0</v>
      </c>
    </row>
    <row r="3958" spans="1:5" x14ac:dyDescent="0.25">
      <c r="A3958" s="36" t="b">
        <v>0</v>
      </c>
      <c r="B3958" s="56" t="b">
        <v>0</v>
      </c>
      <c r="C3958" s="56" t="b">
        <v>0</v>
      </c>
      <c r="D3958" s="56" t="b">
        <v>0</v>
      </c>
      <c r="E3958" s="56">
        <f ca="1">IF(PV[[#This Row],[Business Date]]=Control!$C$6, PV[[#This Row],[Notional Value Local Cur]], -PV[[#This Row],[Notional Value Local Cur]])</f>
        <v>0</v>
      </c>
    </row>
    <row r="3959" spans="1:5" x14ac:dyDescent="0.25">
      <c r="A3959" s="36" t="b">
        <v>0</v>
      </c>
      <c r="B3959" s="56" t="b">
        <v>0</v>
      </c>
      <c r="C3959" s="56" t="b">
        <v>0</v>
      </c>
      <c r="D3959" s="56" t="b">
        <v>0</v>
      </c>
      <c r="E3959" s="56">
        <f ca="1">IF(PV[[#This Row],[Business Date]]=Control!$C$6, PV[[#This Row],[Notional Value Local Cur]], -PV[[#This Row],[Notional Value Local Cur]])</f>
        <v>0</v>
      </c>
    </row>
    <row r="3960" spans="1:5" x14ac:dyDescent="0.25">
      <c r="A3960" s="36" t="b">
        <v>0</v>
      </c>
      <c r="B3960" s="56" t="b">
        <v>0</v>
      </c>
      <c r="C3960" s="56" t="b">
        <v>0</v>
      </c>
      <c r="D3960" s="56" t="b">
        <v>0</v>
      </c>
      <c r="E3960" s="56">
        <f ca="1">IF(PV[[#This Row],[Business Date]]=Control!$C$6, PV[[#This Row],[Notional Value Local Cur]], -PV[[#This Row],[Notional Value Local Cur]])</f>
        <v>0</v>
      </c>
    </row>
    <row r="3961" spans="1:5" x14ac:dyDescent="0.25">
      <c r="A3961" s="36" t="b">
        <v>0</v>
      </c>
      <c r="B3961" s="56" t="b">
        <v>0</v>
      </c>
      <c r="C3961" s="56" t="b">
        <v>0</v>
      </c>
      <c r="D3961" s="56" t="b">
        <v>0</v>
      </c>
      <c r="E3961" s="56">
        <f ca="1">IF(PV[[#This Row],[Business Date]]=Control!$C$6, PV[[#This Row],[Notional Value Local Cur]], -PV[[#This Row],[Notional Value Local Cur]])</f>
        <v>0</v>
      </c>
    </row>
    <row r="3962" spans="1:5" x14ac:dyDescent="0.25">
      <c r="A3962" s="36" t="b">
        <v>0</v>
      </c>
      <c r="B3962" s="56" t="b">
        <v>0</v>
      </c>
      <c r="C3962" s="56" t="b">
        <v>0</v>
      </c>
      <c r="D3962" s="56" t="b">
        <v>0</v>
      </c>
      <c r="E3962" s="56">
        <f ca="1">IF(PV[[#This Row],[Business Date]]=Control!$C$6, PV[[#This Row],[Notional Value Local Cur]], -PV[[#This Row],[Notional Value Local Cur]])</f>
        <v>0</v>
      </c>
    </row>
    <row r="3963" spans="1:5" x14ac:dyDescent="0.25">
      <c r="A3963" s="36" t="b">
        <v>0</v>
      </c>
      <c r="B3963" s="56" t="b">
        <v>0</v>
      </c>
      <c r="C3963" s="56" t="b">
        <v>0</v>
      </c>
      <c r="D3963" s="56" t="b">
        <v>0</v>
      </c>
      <c r="E3963" s="56">
        <f ca="1">IF(PV[[#This Row],[Business Date]]=Control!$C$6, PV[[#This Row],[Notional Value Local Cur]], -PV[[#This Row],[Notional Value Local Cur]])</f>
        <v>0</v>
      </c>
    </row>
    <row r="3964" spans="1:5" x14ac:dyDescent="0.25">
      <c r="A3964" s="36" t="b">
        <v>0</v>
      </c>
      <c r="B3964" s="56" t="b">
        <v>0</v>
      </c>
      <c r="C3964" s="56" t="b">
        <v>0</v>
      </c>
      <c r="D3964" s="56" t="b">
        <v>0</v>
      </c>
      <c r="E3964" s="56">
        <f ca="1">IF(PV[[#This Row],[Business Date]]=Control!$C$6, PV[[#This Row],[Notional Value Local Cur]], -PV[[#This Row],[Notional Value Local Cur]])</f>
        <v>0</v>
      </c>
    </row>
    <row r="3965" spans="1:5" x14ac:dyDescent="0.25">
      <c r="A3965" s="36" t="b">
        <v>0</v>
      </c>
      <c r="B3965" s="56" t="b">
        <v>0</v>
      </c>
      <c r="C3965" s="56" t="b">
        <v>0</v>
      </c>
      <c r="D3965" s="56" t="b">
        <v>0</v>
      </c>
      <c r="E3965" s="56">
        <f ca="1">IF(PV[[#This Row],[Business Date]]=Control!$C$6, PV[[#This Row],[Notional Value Local Cur]], -PV[[#This Row],[Notional Value Local Cur]])</f>
        <v>0</v>
      </c>
    </row>
    <row r="3966" spans="1:5" x14ac:dyDescent="0.25">
      <c r="A3966" s="36" t="b">
        <v>0</v>
      </c>
      <c r="B3966" s="56" t="b">
        <v>0</v>
      </c>
      <c r="C3966" s="56" t="b">
        <v>0</v>
      </c>
      <c r="D3966" s="56" t="b">
        <v>0</v>
      </c>
      <c r="E3966" s="56">
        <f ca="1">IF(PV[[#This Row],[Business Date]]=Control!$C$6, PV[[#This Row],[Notional Value Local Cur]], -PV[[#This Row],[Notional Value Local Cur]])</f>
        <v>0</v>
      </c>
    </row>
    <row r="3967" spans="1:5" x14ac:dyDescent="0.25">
      <c r="A3967" s="36" t="b">
        <v>0</v>
      </c>
      <c r="B3967" s="56" t="b">
        <v>0</v>
      </c>
      <c r="C3967" s="56" t="b">
        <v>0</v>
      </c>
      <c r="D3967" s="56" t="b">
        <v>0</v>
      </c>
      <c r="E3967" s="56">
        <f ca="1">IF(PV[[#This Row],[Business Date]]=Control!$C$6, PV[[#This Row],[Notional Value Local Cur]], -PV[[#This Row],[Notional Value Local Cur]])</f>
        <v>0</v>
      </c>
    </row>
    <row r="3968" spans="1:5" x14ac:dyDescent="0.25">
      <c r="A3968" s="36" t="b">
        <v>0</v>
      </c>
      <c r="B3968" s="56" t="b">
        <v>0</v>
      </c>
      <c r="C3968" s="56" t="b">
        <v>0</v>
      </c>
      <c r="D3968" s="56" t="b">
        <v>0</v>
      </c>
      <c r="E3968" s="56">
        <f ca="1">IF(PV[[#This Row],[Business Date]]=Control!$C$6, PV[[#This Row],[Notional Value Local Cur]], -PV[[#This Row],[Notional Value Local Cur]])</f>
        <v>0</v>
      </c>
    </row>
    <row r="3969" spans="1:5" x14ac:dyDescent="0.25">
      <c r="A3969" s="36" t="b">
        <v>0</v>
      </c>
      <c r="B3969" s="56" t="b">
        <v>0</v>
      </c>
      <c r="C3969" s="56" t="b">
        <v>0</v>
      </c>
      <c r="D3969" s="56" t="b">
        <v>0</v>
      </c>
      <c r="E3969" s="56">
        <f ca="1">IF(PV[[#This Row],[Business Date]]=Control!$C$6, PV[[#This Row],[Notional Value Local Cur]], -PV[[#This Row],[Notional Value Local Cur]])</f>
        <v>0</v>
      </c>
    </row>
    <row r="3970" spans="1:5" x14ac:dyDescent="0.25">
      <c r="A3970" s="36" t="b">
        <v>0</v>
      </c>
      <c r="B3970" s="56" t="b">
        <v>0</v>
      </c>
      <c r="C3970" s="56" t="b">
        <v>0</v>
      </c>
      <c r="D3970" s="56" t="b">
        <v>0</v>
      </c>
      <c r="E3970" s="56">
        <f ca="1">IF(PV[[#This Row],[Business Date]]=Control!$C$6, PV[[#This Row],[Notional Value Local Cur]], -PV[[#This Row],[Notional Value Local Cur]])</f>
        <v>0</v>
      </c>
    </row>
    <row r="3971" spans="1:5" x14ac:dyDescent="0.25">
      <c r="A3971" s="36" t="b">
        <v>0</v>
      </c>
      <c r="B3971" s="56" t="b">
        <v>0</v>
      </c>
      <c r="C3971" s="56" t="b">
        <v>0</v>
      </c>
      <c r="D3971" s="56" t="b">
        <v>0</v>
      </c>
      <c r="E3971" s="56">
        <f ca="1">IF(PV[[#This Row],[Business Date]]=Control!$C$6, PV[[#This Row],[Notional Value Local Cur]], -PV[[#This Row],[Notional Value Local Cur]])</f>
        <v>0</v>
      </c>
    </row>
    <row r="3972" spans="1:5" x14ac:dyDescent="0.25">
      <c r="A3972" s="36" t="b">
        <v>0</v>
      </c>
      <c r="B3972" s="56" t="b">
        <v>0</v>
      </c>
      <c r="C3972" s="56" t="b">
        <v>0</v>
      </c>
      <c r="D3972" s="56" t="b">
        <v>0</v>
      </c>
      <c r="E3972" s="56">
        <f ca="1">IF(PV[[#This Row],[Business Date]]=Control!$C$6, PV[[#This Row],[Notional Value Local Cur]], -PV[[#This Row],[Notional Value Local Cur]])</f>
        <v>0</v>
      </c>
    </row>
    <row r="3973" spans="1:5" x14ac:dyDescent="0.25">
      <c r="A3973" s="36" t="b">
        <v>0</v>
      </c>
      <c r="B3973" s="56" t="b">
        <v>0</v>
      </c>
      <c r="C3973" s="56" t="b">
        <v>0</v>
      </c>
      <c r="D3973" s="56" t="b">
        <v>0</v>
      </c>
      <c r="E3973" s="56">
        <f ca="1">IF(PV[[#This Row],[Business Date]]=Control!$C$6, PV[[#This Row],[Notional Value Local Cur]], -PV[[#This Row],[Notional Value Local Cur]])</f>
        <v>0</v>
      </c>
    </row>
    <row r="3974" spans="1:5" x14ac:dyDescent="0.25">
      <c r="A3974" s="36" t="b">
        <v>0</v>
      </c>
      <c r="B3974" s="56" t="b">
        <v>0</v>
      </c>
      <c r="C3974" s="56" t="b">
        <v>0</v>
      </c>
      <c r="D3974" s="56" t="b">
        <v>0</v>
      </c>
      <c r="E3974" s="56">
        <f ca="1">IF(PV[[#This Row],[Business Date]]=Control!$C$6, PV[[#This Row],[Notional Value Local Cur]], -PV[[#This Row],[Notional Value Local Cur]])</f>
        <v>0</v>
      </c>
    </row>
    <row r="3975" spans="1:5" x14ac:dyDescent="0.25">
      <c r="A3975" s="36" t="b">
        <v>0</v>
      </c>
      <c r="B3975" s="56" t="b">
        <v>0</v>
      </c>
      <c r="C3975" s="56" t="b">
        <v>0</v>
      </c>
      <c r="D3975" s="56" t="b">
        <v>0</v>
      </c>
      <c r="E3975" s="56">
        <f ca="1">IF(PV[[#This Row],[Business Date]]=Control!$C$6, PV[[#This Row],[Notional Value Local Cur]], -PV[[#This Row],[Notional Value Local Cur]])</f>
        <v>0</v>
      </c>
    </row>
    <row r="3976" spans="1:5" x14ac:dyDescent="0.25">
      <c r="A3976" s="36" t="b">
        <v>0</v>
      </c>
      <c r="B3976" s="56" t="b">
        <v>0</v>
      </c>
      <c r="C3976" s="56" t="b">
        <v>0</v>
      </c>
      <c r="D3976" s="56" t="b">
        <v>0</v>
      </c>
      <c r="E3976" s="56">
        <f ca="1">IF(PV[[#This Row],[Business Date]]=Control!$C$6, PV[[#This Row],[Notional Value Local Cur]], -PV[[#This Row],[Notional Value Local Cur]])</f>
        <v>0</v>
      </c>
    </row>
    <row r="3977" spans="1:5" x14ac:dyDescent="0.25">
      <c r="A3977" s="36" t="b">
        <v>0</v>
      </c>
      <c r="B3977" s="56" t="b">
        <v>0</v>
      </c>
      <c r="C3977" s="56" t="b">
        <v>0</v>
      </c>
      <c r="D3977" s="56" t="b">
        <v>0</v>
      </c>
      <c r="E3977" s="56">
        <f ca="1">IF(PV[[#This Row],[Business Date]]=Control!$C$6, PV[[#This Row],[Notional Value Local Cur]], -PV[[#This Row],[Notional Value Local Cur]])</f>
        <v>0</v>
      </c>
    </row>
    <row r="3978" spans="1:5" x14ac:dyDescent="0.25">
      <c r="A3978" s="36" t="b">
        <v>0</v>
      </c>
      <c r="B3978" s="56" t="b">
        <v>0</v>
      </c>
      <c r="C3978" s="56" t="b">
        <v>0</v>
      </c>
      <c r="D3978" s="56" t="b">
        <v>0</v>
      </c>
      <c r="E3978" s="56">
        <f ca="1">IF(PV[[#This Row],[Business Date]]=Control!$C$6, PV[[#This Row],[Notional Value Local Cur]], -PV[[#This Row],[Notional Value Local Cur]])</f>
        <v>0</v>
      </c>
    </row>
    <row r="3979" spans="1:5" x14ac:dyDescent="0.25">
      <c r="A3979" s="36" t="b">
        <v>0</v>
      </c>
      <c r="B3979" s="56" t="b">
        <v>0</v>
      </c>
      <c r="C3979" s="56" t="b">
        <v>0</v>
      </c>
      <c r="D3979" s="56" t="b">
        <v>0</v>
      </c>
      <c r="E3979" s="56">
        <f ca="1">IF(PV[[#This Row],[Business Date]]=Control!$C$6, PV[[#This Row],[Notional Value Local Cur]], -PV[[#This Row],[Notional Value Local Cur]])</f>
        <v>0</v>
      </c>
    </row>
    <row r="3980" spans="1:5" x14ac:dyDescent="0.25">
      <c r="A3980" s="36" t="b">
        <v>0</v>
      </c>
      <c r="B3980" s="56" t="b">
        <v>0</v>
      </c>
      <c r="C3980" s="56" t="b">
        <v>0</v>
      </c>
      <c r="D3980" s="56" t="b">
        <v>0</v>
      </c>
      <c r="E3980" s="56">
        <f ca="1">IF(PV[[#This Row],[Business Date]]=Control!$C$6, PV[[#This Row],[Notional Value Local Cur]], -PV[[#This Row],[Notional Value Local Cur]])</f>
        <v>0</v>
      </c>
    </row>
    <row r="3981" spans="1:5" x14ac:dyDescent="0.25">
      <c r="A3981" s="36" t="b">
        <v>0</v>
      </c>
      <c r="B3981" s="56" t="b">
        <v>0</v>
      </c>
      <c r="C3981" s="56" t="b">
        <v>0</v>
      </c>
      <c r="D3981" s="56" t="b">
        <v>0</v>
      </c>
      <c r="E3981" s="56">
        <f ca="1">IF(PV[[#This Row],[Business Date]]=Control!$C$6, PV[[#This Row],[Notional Value Local Cur]], -PV[[#This Row],[Notional Value Local Cur]])</f>
        <v>0</v>
      </c>
    </row>
    <row r="3982" spans="1:5" x14ac:dyDescent="0.25">
      <c r="A3982" s="36" t="b">
        <v>0</v>
      </c>
      <c r="B3982" s="56" t="b">
        <v>0</v>
      </c>
      <c r="C3982" s="56" t="b">
        <v>0</v>
      </c>
      <c r="D3982" s="56" t="b">
        <v>0</v>
      </c>
      <c r="E3982" s="56">
        <f ca="1">IF(PV[[#This Row],[Business Date]]=Control!$C$6, PV[[#This Row],[Notional Value Local Cur]], -PV[[#This Row],[Notional Value Local Cur]])</f>
        <v>0</v>
      </c>
    </row>
    <row r="3983" spans="1:5" x14ac:dyDescent="0.25">
      <c r="A3983" s="36" t="b">
        <v>0</v>
      </c>
      <c r="B3983" s="56" t="b">
        <v>0</v>
      </c>
      <c r="C3983" s="56" t="b">
        <v>0</v>
      </c>
      <c r="D3983" s="56" t="b">
        <v>0</v>
      </c>
      <c r="E3983" s="56">
        <f ca="1">IF(PV[[#This Row],[Business Date]]=Control!$C$6, PV[[#This Row],[Notional Value Local Cur]], -PV[[#This Row],[Notional Value Local Cur]])</f>
        <v>0</v>
      </c>
    </row>
    <row r="3984" spans="1:5" x14ac:dyDescent="0.25">
      <c r="A3984" s="36" t="b">
        <v>0</v>
      </c>
      <c r="B3984" s="56" t="b">
        <v>0</v>
      </c>
      <c r="C3984" s="56" t="b">
        <v>0</v>
      </c>
      <c r="D3984" s="56" t="b">
        <v>0</v>
      </c>
      <c r="E3984" s="56">
        <f ca="1">IF(PV[[#This Row],[Business Date]]=Control!$C$6, PV[[#This Row],[Notional Value Local Cur]], -PV[[#This Row],[Notional Value Local Cur]])</f>
        <v>0</v>
      </c>
    </row>
    <row r="3985" spans="1:5" x14ac:dyDescent="0.25">
      <c r="A3985" s="36" t="b">
        <v>0</v>
      </c>
      <c r="B3985" s="56" t="b">
        <v>0</v>
      </c>
      <c r="C3985" s="56" t="b">
        <v>0</v>
      </c>
      <c r="D3985" s="56" t="b">
        <v>0</v>
      </c>
      <c r="E3985" s="56">
        <f ca="1">IF(PV[[#This Row],[Business Date]]=Control!$C$6, PV[[#This Row],[Notional Value Local Cur]], -PV[[#This Row],[Notional Value Local Cur]])</f>
        <v>0</v>
      </c>
    </row>
    <row r="3986" spans="1:5" x14ac:dyDescent="0.25">
      <c r="A3986" s="36" t="b">
        <v>0</v>
      </c>
      <c r="B3986" s="56" t="b">
        <v>0</v>
      </c>
      <c r="C3986" s="56" t="b">
        <v>0</v>
      </c>
      <c r="D3986" s="56" t="b">
        <v>0</v>
      </c>
      <c r="E3986" s="56">
        <f ca="1">IF(PV[[#This Row],[Business Date]]=Control!$C$6, PV[[#This Row],[Notional Value Local Cur]], -PV[[#This Row],[Notional Value Local Cur]])</f>
        <v>0</v>
      </c>
    </row>
    <row r="3987" spans="1:5" x14ac:dyDescent="0.25">
      <c r="A3987" s="36" t="b">
        <v>0</v>
      </c>
      <c r="B3987" s="56" t="b">
        <v>0</v>
      </c>
      <c r="C3987" s="56" t="b">
        <v>0</v>
      </c>
      <c r="D3987" s="56" t="b">
        <v>0</v>
      </c>
      <c r="E3987" s="56">
        <f ca="1">IF(PV[[#This Row],[Business Date]]=Control!$C$6, PV[[#This Row],[Notional Value Local Cur]], -PV[[#This Row],[Notional Value Local Cur]])</f>
        <v>0</v>
      </c>
    </row>
    <row r="3988" spans="1:5" x14ac:dyDescent="0.25">
      <c r="A3988" s="36" t="b">
        <v>0</v>
      </c>
      <c r="B3988" s="56" t="b">
        <v>0</v>
      </c>
      <c r="C3988" s="56" t="b">
        <v>0</v>
      </c>
      <c r="D3988" s="56" t="b">
        <v>0</v>
      </c>
      <c r="E3988" s="56">
        <f ca="1">IF(PV[[#This Row],[Business Date]]=Control!$C$6, PV[[#This Row],[Notional Value Local Cur]], -PV[[#This Row],[Notional Value Local Cur]])</f>
        <v>0</v>
      </c>
    </row>
    <row r="3989" spans="1:5" x14ac:dyDescent="0.25">
      <c r="A3989" s="36" t="b">
        <v>0</v>
      </c>
      <c r="B3989" s="56" t="b">
        <v>0</v>
      </c>
      <c r="C3989" s="56" t="b">
        <v>0</v>
      </c>
      <c r="D3989" s="56" t="b">
        <v>0</v>
      </c>
      <c r="E3989" s="56">
        <f ca="1">IF(PV[[#This Row],[Business Date]]=Control!$C$6, PV[[#This Row],[Notional Value Local Cur]], -PV[[#This Row],[Notional Value Local Cur]])</f>
        <v>0</v>
      </c>
    </row>
    <row r="3990" spans="1:5" x14ac:dyDescent="0.25">
      <c r="A3990" s="36" t="b">
        <v>0</v>
      </c>
      <c r="B3990" s="56" t="b">
        <v>0</v>
      </c>
      <c r="C3990" s="56" t="b">
        <v>0</v>
      </c>
      <c r="D3990" s="56" t="b">
        <v>0</v>
      </c>
      <c r="E3990" s="56">
        <f ca="1">IF(PV[[#This Row],[Business Date]]=Control!$C$6, PV[[#This Row],[Notional Value Local Cur]], -PV[[#This Row],[Notional Value Local Cur]])</f>
        <v>0</v>
      </c>
    </row>
    <row r="3991" spans="1:5" x14ac:dyDescent="0.25">
      <c r="A3991" s="36" t="b">
        <v>0</v>
      </c>
      <c r="B3991" s="56" t="b">
        <v>0</v>
      </c>
      <c r="C3991" s="56" t="b">
        <v>0</v>
      </c>
      <c r="D3991" s="56" t="b">
        <v>0</v>
      </c>
      <c r="E3991" s="56">
        <f ca="1">IF(PV[[#This Row],[Business Date]]=Control!$C$6, PV[[#This Row],[Notional Value Local Cur]], -PV[[#This Row],[Notional Value Local Cur]])</f>
        <v>0</v>
      </c>
    </row>
    <row r="3992" spans="1:5" x14ac:dyDescent="0.25">
      <c r="A3992" s="36" t="b">
        <v>0</v>
      </c>
      <c r="B3992" s="56" t="b">
        <v>0</v>
      </c>
      <c r="C3992" s="56" t="b">
        <v>0</v>
      </c>
      <c r="D3992" s="56" t="b">
        <v>0</v>
      </c>
      <c r="E3992" s="56">
        <f ca="1">IF(PV[[#This Row],[Business Date]]=Control!$C$6, PV[[#This Row],[Notional Value Local Cur]], -PV[[#This Row],[Notional Value Local Cur]])</f>
        <v>0</v>
      </c>
    </row>
    <row r="3993" spans="1:5" x14ac:dyDescent="0.25">
      <c r="A3993" s="36" t="b">
        <v>0</v>
      </c>
      <c r="B3993" s="56" t="b">
        <v>0</v>
      </c>
      <c r="C3993" s="56" t="b">
        <v>0</v>
      </c>
      <c r="D3993" s="56" t="b">
        <v>0</v>
      </c>
      <c r="E3993" s="56">
        <f ca="1">IF(PV[[#This Row],[Business Date]]=Control!$C$6, PV[[#This Row],[Notional Value Local Cur]], -PV[[#This Row],[Notional Value Local Cur]])</f>
        <v>0</v>
      </c>
    </row>
    <row r="3994" spans="1:5" x14ac:dyDescent="0.25">
      <c r="A3994" s="36" t="b">
        <v>0</v>
      </c>
      <c r="B3994" s="56" t="b">
        <v>0</v>
      </c>
      <c r="C3994" s="56" t="b">
        <v>0</v>
      </c>
      <c r="D3994" s="56" t="b">
        <v>0</v>
      </c>
      <c r="E3994" s="56">
        <f ca="1">IF(PV[[#This Row],[Business Date]]=Control!$C$6, PV[[#This Row],[Notional Value Local Cur]], -PV[[#This Row],[Notional Value Local Cur]])</f>
        <v>0</v>
      </c>
    </row>
    <row r="3995" spans="1:5" x14ac:dyDescent="0.25">
      <c r="A3995" s="36" t="b">
        <v>0</v>
      </c>
      <c r="B3995" s="56" t="b">
        <v>0</v>
      </c>
      <c r="C3995" s="56" t="b">
        <v>0</v>
      </c>
      <c r="D3995" s="56" t="b">
        <v>0</v>
      </c>
      <c r="E3995" s="56">
        <f ca="1">IF(PV[[#This Row],[Business Date]]=Control!$C$6, PV[[#This Row],[Notional Value Local Cur]], -PV[[#This Row],[Notional Value Local Cur]])</f>
        <v>0</v>
      </c>
    </row>
    <row r="3996" spans="1:5" x14ac:dyDescent="0.25">
      <c r="A3996" s="36" t="b">
        <v>0</v>
      </c>
      <c r="B3996" s="56" t="b">
        <v>0</v>
      </c>
      <c r="C3996" s="56" t="b">
        <v>0</v>
      </c>
      <c r="D3996" s="56" t="b">
        <v>0</v>
      </c>
      <c r="E3996" s="56">
        <f ca="1">IF(PV[[#This Row],[Business Date]]=Control!$C$6, PV[[#This Row],[Notional Value Local Cur]], -PV[[#This Row],[Notional Value Local Cur]])</f>
        <v>0</v>
      </c>
    </row>
    <row r="3997" spans="1:5" x14ac:dyDescent="0.25">
      <c r="A3997" s="36" t="b">
        <v>0</v>
      </c>
      <c r="B3997" s="56" t="b">
        <v>0</v>
      </c>
      <c r="C3997" s="56" t="b">
        <v>0</v>
      </c>
      <c r="D3997" s="56" t="b">
        <v>0</v>
      </c>
      <c r="E3997" s="56">
        <f ca="1">IF(PV[[#This Row],[Business Date]]=Control!$C$6, PV[[#This Row],[Notional Value Local Cur]], -PV[[#This Row],[Notional Value Local Cur]])</f>
        <v>0</v>
      </c>
    </row>
    <row r="3998" spans="1:5" x14ac:dyDescent="0.25">
      <c r="A3998" s="36" t="b">
        <v>0</v>
      </c>
      <c r="B3998" s="56" t="b">
        <v>0</v>
      </c>
      <c r="C3998" s="56" t="b">
        <v>0</v>
      </c>
      <c r="D3998" s="56" t="b">
        <v>0</v>
      </c>
      <c r="E3998" s="56">
        <f ca="1">IF(PV[[#This Row],[Business Date]]=Control!$C$6, PV[[#This Row],[Notional Value Local Cur]], -PV[[#This Row],[Notional Value Local Cur]])</f>
        <v>0</v>
      </c>
    </row>
    <row r="3999" spans="1:5" x14ac:dyDescent="0.25">
      <c r="A3999" s="36" t="b">
        <v>0</v>
      </c>
      <c r="B3999" s="56" t="b">
        <v>0</v>
      </c>
      <c r="C3999" s="56" t="b">
        <v>0</v>
      </c>
      <c r="D3999" s="56" t="b">
        <v>0</v>
      </c>
      <c r="E3999" s="56">
        <f ca="1">IF(PV[[#This Row],[Business Date]]=Control!$C$6, PV[[#This Row],[Notional Value Local Cur]], -PV[[#This Row],[Notional Value Local Cur]])</f>
        <v>0</v>
      </c>
    </row>
    <row r="4000" spans="1:5" x14ac:dyDescent="0.25">
      <c r="A4000" s="36" t="b">
        <v>0</v>
      </c>
      <c r="B4000" s="56" t="b">
        <v>0</v>
      </c>
      <c r="C4000" s="56" t="b">
        <v>0</v>
      </c>
      <c r="D4000" s="56" t="b">
        <v>0</v>
      </c>
      <c r="E4000" s="56">
        <f ca="1">IF(PV[[#This Row],[Business Date]]=Control!$C$6, PV[[#This Row],[Notional Value Local Cur]], -PV[[#This Row],[Notional Value Local Cur]])</f>
        <v>0</v>
      </c>
    </row>
    <row r="4001" spans="1:5" x14ac:dyDescent="0.25">
      <c r="A4001" s="36" t="b">
        <v>0</v>
      </c>
      <c r="B4001" s="56" t="b">
        <v>0</v>
      </c>
      <c r="C4001" s="56" t="b">
        <v>0</v>
      </c>
      <c r="D4001" s="56" t="b">
        <v>0</v>
      </c>
      <c r="E4001" s="56">
        <f ca="1">IF(PV[[#This Row],[Business Date]]=Control!$C$6, PV[[#This Row],[Notional Value Local Cur]], -PV[[#This Row],[Notional Value Local Cur]])</f>
        <v>0</v>
      </c>
    </row>
    <row r="4002" spans="1:5" x14ac:dyDescent="0.25">
      <c r="A4002" s="36" t="b">
        <v>0</v>
      </c>
      <c r="B4002" s="56" t="b">
        <v>0</v>
      </c>
      <c r="C4002" s="56" t="b">
        <v>0</v>
      </c>
      <c r="D4002" s="56" t="b">
        <v>0</v>
      </c>
      <c r="E4002" s="56">
        <f ca="1">IF(PV[[#This Row],[Business Date]]=Control!$C$6, PV[[#This Row],[Notional Value Local Cur]], -PV[[#This Row],[Notional Value Local Cur]])</f>
        <v>0</v>
      </c>
    </row>
    <row r="4003" spans="1:5" x14ac:dyDescent="0.25">
      <c r="A4003" s="36" t="b">
        <v>0</v>
      </c>
      <c r="B4003" s="56" t="b">
        <v>0</v>
      </c>
      <c r="C4003" s="56" t="b">
        <v>0</v>
      </c>
      <c r="D4003" s="56" t="b">
        <v>0</v>
      </c>
      <c r="E4003" s="56">
        <f ca="1">IF(PV[[#This Row],[Business Date]]=Control!$C$6, PV[[#This Row],[Notional Value Local Cur]], -PV[[#This Row],[Notional Value Local Cur]])</f>
        <v>0</v>
      </c>
    </row>
    <row r="4004" spans="1:5" x14ac:dyDescent="0.25">
      <c r="A4004" s="36" t="b">
        <v>0</v>
      </c>
      <c r="B4004" s="56" t="b">
        <v>0</v>
      </c>
      <c r="C4004" s="56" t="b">
        <v>0</v>
      </c>
      <c r="D4004" s="56" t="b">
        <v>0</v>
      </c>
      <c r="E4004" s="56">
        <f ca="1">IF(PV[[#This Row],[Business Date]]=Control!$C$6, PV[[#This Row],[Notional Value Local Cur]], -PV[[#This Row],[Notional Value Local Cur]])</f>
        <v>0</v>
      </c>
    </row>
    <row r="4005" spans="1:5" x14ac:dyDescent="0.25">
      <c r="A4005" s="36" t="b">
        <v>0</v>
      </c>
      <c r="B4005" s="56" t="b">
        <v>0</v>
      </c>
      <c r="C4005" s="56" t="b">
        <v>0</v>
      </c>
      <c r="D4005" s="56" t="b">
        <v>0</v>
      </c>
      <c r="E4005" s="56">
        <f ca="1">IF(PV[[#This Row],[Business Date]]=Control!$C$6, PV[[#This Row],[Notional Value Local Cur]], -PV[[#This Row],[Notional Value Local Cur]])</f>
        <v>0</v>
      </c>
    </row>
    <row r="4006" spans="1:5" x14ac:dyDescent="0.25">
      <c r="A4006" s="36" t="b">
        <v>0</v>
      </c>
      <c r="B4006" s="56" t="b">
        <v>0</v>
      </c>
      <c r="C4006" s="56" t="b">
        <v>0</v>
      </c>
      <c r="D4006" s="56" t="b">
        <v>0</v>
      </c>
      <c r="E4006" s="56">
        <f ca="1">IF(PV[[#This Row],[Business Date]]=Control!$C$6, PV[[#This Row],[Notional Value Local Cur]], -PV[[#This Row],[Notional Value Local Cur]])</f>
        <v>0</v>
      </c>
    </row>
    <row r="4007" spans="1:5" x14ac:dyDescent="0.25">
      <c r="A4007" s="36" t="b">
        <v>0</v>
      </c>
      <c r="B4007" s="56" t="b">
        <v>0</v>
      </c>
      <c r="C4007" s="56" t="b">
        <v>0</v>
      </c>
      <c r="D4007" s="56" t="b">
        <v>0</v>
      </c>
      <c r="E4007" s="56">
        <f ca="1">IF(PV[[#This Row],[Business Date]]=Control!$C$6, PV[[#This Row],[Notional Value Local Cur]], -PV[[#This Row],[Notional Value Local Cur]])</f>
        <v>0</v>
      </c>
    </row>
    <row r="4008" spans="1:5" x14ac:dyDescent="0.25">
      <c r="A4008" s="36" t="b">
        <v>0</v>
      </c>
      <c r="B4008" s="56" t="b">
        <v>0</v>
      </c>
      <c r="C4008" s="56" t="b">
        <v>0</v>
      </c>
      <c r="D4008" s="56" t="b">
        <v>0</v>
      </c>
      <c r="E4008" s="56">
        <f ca="1">IF(PV[[#This Row],[Business Date]]=Control!$C$6, PV[[#This Row],[Notional Value Local Cur]], -PV[[#This Row],[Notional Value Local Cur]])</f>
        <v>0</v>
      </c>
    </row>
    <row r="4009" spans="1:5" x14ac:dyDescent="0.25">
      <c r="A4009" s="36" t="b">
        <v>0</v>
      </c>
      <c r="B4009" s="56" t="b">
        <v>0</v>
      </c>
      <c r="C4009" s="56" t="b">
        <v>0</v>
      </c>
      <c r="D4009" s="56" t="b">
        <v>0</v>
      </c>
      <c r="E4009" s="56">
        <f ca="1">IF(PV[[#This Row],[Business Date]]=Control!$C$6, PV[[#This Row],[Notional Value Local Cur]], -PV[[#This Row],[Notional Value Local Cur]])</f>
        <v>0</v>
      </c>
    </row>
    <row r="4010" spans="1:5" x14ac:dyDescent="0.25">
      <c r="A4010" s="36" t="b">
        <v>0</v>
      </c>
      <c r="B4010" s="56" t="b">
        <v>0</v>
      </c>
      <c r="C4010" s="56" t="b">
        <v>0</v>
      </c>
      <c r="D4010" s="56" t="b">
        <v>0</v>
      </c>
      <c r="E4010" s="56">
        <f ca="1">IF(PV[[#This Row],[Business Date]]=Control!$C$6, PV[[#This Row],[Notional Value Local Cur]], -PV[[#This Row],[Notional Value Local Cur]])</f>
        <v>0</v>
      </c>
    </row>
    <row r="4011" spans="1:5" x14ac:dyDescent="0.25">
      <c r="A4011" s="36" t="b">
        <v>0</v>
      </c>
      <c r="B4011" s="56" t="b">
        <v>0</v>
      </c>
      <c r="C4011" s="56" t="b">
        <v>0</v>
      </c>
      <c r="D4011" s="56" t="b">
        <v>0</v>
      </c>
      <c r="E4011" s="56">
        <f ca="1">IF(PV[[#This Row],[Business Date]]=Control!$C$6, PV[[#This Row],[Notional Value Local Cur]], -PV[[#This Row],[Notional Value Local Cur]])</f>
        <v>0</v>
      </c>
    </row>
    <row r="4012" spans="1:5" x14ac:dyDescent="0.25">
      <c r="A4012" s="36" t="b">
        <v>0</v>
      </c>
      <c r="B4012" s="56" t="b">
        <v>0</v>
      </c>
      <c r="C4012" s="56" t="b">
        <v>0</v>
      </c>
      <c r="D4012" s="56" t="b">
        <v>0</v>
      </c>
      <c r="E4012" s="56">
        <f ca="1">IF(PV[[#This Row],[Business Date]]=Control!$C$6, PV[[#This Row],[Notional Value Local Cur]], -PV[[#This Row],[Notional Value Local Cur]])</f>
        <v>0</v>
      </c>
    </row>
    <row r="4013" spans="1:5" x14ac:dyDescent="0.25">
      <c r="A4013" s="36" t="b">
        <v>0</v>
      </c>
      <c r="B4013" s="56" t="b">
        <v>0</v>
      </c>
      <c r="C4013" s="56" t="b">
        <v>0</v>
      </c>
      <c r="D4013" s="56" t="b">
        <v>0</v>
      </c>
      <c r="E4013" s="56">
        <f ca="1">IF(PV[[#This Row],[Business Date]]=Control!$C$6, PV[[#This Row],[Notional Value Local Cur]], -PV[[#This Row],[Notional Value Local Cur]])</f>
        <v>0</v>
      </c>
    </row>
    <row r="4014" spans="1:5" x14ac:dyDescent="0.25">
      <c r="A4014" s="36" t="b">
        <v>0</v>
      </c>
      <c r="B4014" s="56" t="b">
        <v>0</v>
      </c>
      <c r="C4014" s="56" t="b">
        <v>0</v>
      </c>
      <c r="D4014" s="56" t="b">
        <v>0</v>
      </c>
      <c r="E4014" s="56">
        <f ca="1">IF(PV[[#This Row],[Business Date]]=Control!$C$6, PV[[#This Row],[Notional Value Local Cur]], -PV[[#This Row],[Notional Value Local Cur]])</f>
        <v>0</v>
      </c>
    </row>
    <row r="4015" spans="1:5" x14ac:dyDescent="0.25">
      <c r="A4015" s="36" t="b">
        <v>0</v>
      </c>
      <c r="B4015" s="56" t="b">
        <v>0</v>
      </c>
      <c r="C4015" s="56" t="b">
        <v>0</v>
      </c>
      <c r="D4015" s="56" t="b">
        <v>0</v>
      </c>
      <c r="E4015" s="56">
        <f ca="1">IF(PV[[#This Row],[Business Date]]=Control!$C$6, PV[[#This Row],[Notional Value Local Cur]], -PV[[#This Row],[Notional Value Local Cur]])</f>
        <v>0</v>
      </c>
    </row>
    <row r="4016" spans="1:5" x14ac:dyDescent="0.25">
      <c r="A4016" s="36" t="b">
        <v>0</v>
      </c>
      <c r="B4016" s="56" t="b">
        <v>0</v>
      </c>
      <c r="C4016" s="56" t="b">
        <v>0</v>
      </c>
      <c r="D4016" s="56" t="b">
        <v>0</v>
      </c>
      <c r="E4016" s="56">
        <f ca="1">IF(PV[[#This Row],[Business Date]]=Control!$C$6, PV[[#This Row],[Notional Value Local Cur]], -PV[[#This Row],[Notional Value Local Cur]])</f>
        <v>0</v>
      </c>
    </row>
    <row r="4017" spans="1:5" x14ac:dyDescent="0.25">
      <c r="A4017" s="36" t="b">
        <v>0</v>
      </c>
      <c r="B4017" s="56" t="b">
        <v>0</v>
      </c>
      <c r="C4017" s="56" t="b">
        <v>0</v>
      </c>
      <c r="D4017" s="56" t="b">
        <v>0</v>
      </c>
      <c r="E4017" s="56">
        <f ca="1">IF(PV[[#This Row],[Business Date]]=Control!$C$6, PV[[#This Row],[Notional Value Local Cur]], -PV[[#This Row],[Notional Value Local Cur]])</f>
        <v>0</v>
      </c>
    </row>
    <row r="4018" spans="1:5" x14ac:dyDescent="0.25">
      <c r="A4018" s="36" t="b">
        <v>0</v>
      </c>
      <c r="B4018" s="56" t="b">
        <v>0</v>
      </c>
      <c r="C4018" s="56" t="b">
        <v>0</v>
      </c>
      <c r="D4018" s="56" t="b">
        <v>0</v>
      </c>
      <c r="E4018" s="56">
        <f ca="1">IF(PV[[#This Row],[Business Date]]=Control!$C$6, PV[[#This Row],[Notional Value Local Cur]], -PV[[#This Row],[Notional Value Local Cur]])</f>
        <v>0</v>
      </c>
    </row>
    <row r="4019" spans="1:5" x14ac:dyDescent="0.25">
      <c r="A4019" s="36" t="b">
        <v>0</v>
      </c>
      <c r="B4019" s="56" t="b">
        <v>0</v>
      </c>
      <c r="C4019" s="56" t="b">
        <v>0</v>
      </c>
      <c r="D4019" s="56" t="b">
        <v>0</v>
      </c>
      <c r="E4019" s="56">
        <f ca="1">IF(PV[[#This Row],[Business Date]]=Control!$C$6, PV[[#This Row],[Notional Value Local Cur]], -PV[[#This Row],[Notional Value Local Cur]])</f>
        <v>0</v>
      </c>
    </row>
    <row r="4020" spans="1:5" x14ac:dyDescent="0.25">
      <c r="A4020" s="36" t="b">
        <v>0</v>
      </c>
      <c r="B4020" s="56" t="b">
        <v>0</v>
      </c>
      <c r="C4020" s="56" t="b">
        <v>0</v>
      </c>
      <c r="D4020" s="56" t="b">
        <v>0</v>
      </c>
      <c r="E4020" s="56">
        <f ca="1">IF(PV[[#This Row],[Business Date]]=Control!$C$6, PV[[#This Row],[Notional Value Local Cur]], -PV[[#This Row],[Notional Value Local Cur]])</f>
        <v>0</v>
      </c>
    </row>
    <row r="4021" spans="1:5" x14ac:dyDescent="0.25">
      <c r="A4021" s="36" t="b">
        <v>0</v>
      </c>
      <c r="B4021" s="56" t="b">
        <v>0</v>
      </c>
      <c r="C4021" s="56" t="b">
        <v>0</v>
      </c>
      <c r="D4021" s="56" t="b">
        <v>0</v>
      </c>
      <c r="E4021" s="56">
        <f ca="1">IF(PV[[#This Row],[Business Date]]=Control!$C$6, PV[[#This Row],[Notional Value Local Cur]], -PV[[#This Row],[Notional Value Local Cur]])</f>
        <v>0</v>
      </c>
    </row>
    <row r="4022" spans="1:5" x14ac:dyDescent="0.25">
      <c r="A4022" s="36" t="b">
        <v>0</v>
      </c>
      <c r="B4022" s="56" t="b">
        <v>0</v>
      </c>
      <c r="C4022" s="56" t="b">
        <v>0</v>
      </c>
      <c r="D4022" s="56" t="b">
        <v>0</v>
      </c>
      <c r="E4022" s="56">
        <f ca="1">IF(PV[[#This Row],[Business Date]]=Control!$C$6, PV[[#This Row],[Notional Value Local Cur]], -PV[[#This Row],[Notional Value Local Cur]])</f>
        <v>0</v>
      </c>
    </row>
    <row r="4023" spans="1:5" x14ac:dyDescent="0.25">
      <c r="A4023" s="36" t="b">
        <v>0</v>
      </c>
      <c r="B4023" s="56" t="b">
        <v>0</v>
      </c>
      <c r="C4023" s="56" t="b">
        <v>0</v>
      </c>
      <c r="D4023" s="56" t="b">
        <v>0</v>
      </c>
      <c r="E4023" s="56">
        <f ca="1">IF(PV[[#This Row],[Business Date]]=Control!$C$6, PV[[#This Row],[Notional Value Local Cur]], -PV[[#This Row],[Notional Value Local Cur]])</f>
        <v>0</v>
      </c>
    </row>
    <row r="4024" spans="1:5" x14ac:dyDescent="0.25">
      <c r="A4024" s="36" t="b">
        <v>0</v>
      </c>
      <c r="B4024" s="56" t="b">
        <v>0</v>
      </c>
      <c r="C4024" s="56" t="b">
        <v>0</v>
      </c>
      <c r="D4024" s="56" t="b">
        <v>0</v>
      </c>
      <c r="E4024" s="56">
        <f ca="1">IF(PV[[#This Row],[Business Date]]=Control!$C$6, PV[[#This Row],[Notional Value Local Cur]], -PV[[#This Row],[Notional Value Local Cur]])</f>
        <v>0</v>
      </c>
    </row>
    <row r="4025" spans="1:5" x14ac:dyDescent="0.25">
      <c r="A4025" s="36" t="b">
        <v>0</v>
      </c>
      <c r="B4025" s="56" t="b">
        <v>0</v>
      </c>
      <c r="C4025" s="56" t="b">
        <v>0</v>
      </c>
      <c r="D4025" s="56" t="b">
        <v>0</v>
      </c>
      <c r="E4025" s="56">
        <f ca="1">IF(PV[[#This Row],[Business Date]]=Control!$C$6, PV[[#This Row],[Notional Value Local Cur]], -PV[[#This Row],[Notional Value Local Cur]])</f>
        <v>0</v>
      </c>
    </row>
    <row r="4026" spans="1:5" x14ac:dyDescent="0.25">
      <c r="A4026" s="36" t="b">
        <v>0</v>
      </c>
      <c r="B4026" s="56" t="b">
        <v>0</v>
      </c>
      <c r="C4026" s="56" t="b">
        <v>0</v>
      </c>
      <c r="D4026" s="56" t="b">
        <v>0</v>
      </c>
      <c r="E4026" s="56">
        <f ca="1">IF(PV[[#This Row],[Business Date]]=Control!$C$6, PV[[#This Row],[Notional Value Local Cur]], -PV[[#This Row],[Notional Value Local Cur]])</f>
        <v>0</v>
      </c>
    </row>
    <row r="4027" spans="1:5" x14ac:dyDescent="0.25">
      <c r="A4027" s="36" t="b">
        <v>0</v>
      </c>
      <c r="B4027" s="56" t="b">
        <v>0</v>
      </c>
      <c r="C4027" s="56" t="b">
        <v>0</v>
      </c>
      <c r="D4027" s="56" t="b">
        <v>0</v>
      </c>
      <c r="E4027" s="56">
        <f ca="1">IF(PV[[#This Row],[Business Date]]=Control!$C$6, PV[[#This Row],[Notional Value Local Cur]], -PV[[#This Row],[Notional Value Local Cur]])</f>
        <v>0</v>
      </c>
    </row>
    <row r="4028" spans="1:5" x14ac:dyDescent="0.25">
      <c r="A4028" s="36" t="b">
        <v>0</v>
      </c>
      <c r="B4028" s="56" t="b">
        <v>0</v>
      </c>
      <c r="C4028" s="56" t="b">
        <v>0</v>
      </c>
      <c r="D4028" s="56" t="b">
        <v>0</v>
      </c>
      <c r="E4028" s="56">
        <f ca="1">IF(PV[[#This Row],[Business Date]]=Control!$C$6, PV[[#This Row],[Notional Value Local Cur]], -PV[[#This Row],[Notional Value Local Cur]])</f>
        <v>0</v>
      </c>
    </row>
    <row r="4029" spans="1:5" x14ac:dyDescent="0.25">
      <c r="A4029" s="36" t="b">
        <v>0</v>
      </c>
      <c r="B4029" s="56" t="b">
        <v>0</v>
      </c>
      <c r="C4029" s="56" t="b">
        <v>0</v>
      </c>
      <c r="D4029" s="56" t="b">
        <v>0</v>
      </c>
      <c r="E4029" s="56">
        <f ca="1">IF(PV[[#This Row],[Business Date]]=Control!$C$6, PV[[#This Row],[Notional Value Local Cur]], -PV[[#This Row],[Notional Value Local Cur]])</f>
        <v>0</v>
      </c>
    </row>
    <row r="4030" spans="1:5" x14ac:dyDescent="0.25">
      <c r="A4030" s="36" t="b">
        <v>0</v>
      </c>
      <c r="B4030" s="56" t="b">
        <v>0</v>
      </c>
      <c r="C4030" s="56" t="b">
        <v>0</v>
      </c>
      <c r="D4030" s="56" t="b">
        <v>0</v>
      </c>
      <c r="E4030" s="56">
        <f ca="1">IF(PV[[#This Row],[Business Date]]=Control!$C$6, PV[[#This Row],[Notional Value Local Cur]], -PV[[#This Row],[Notional Value Local Cur]])</f>
        <v>0</v>
      </c>
    </row>
    <row r="4031" spans="1:5" x14ac:dyDescent="0.25">
      <c r="A4031" s="36" t="b">
        <v>0</v>
      </c>
      <c r="B4031" s="56" t="b">
        <v>0</v>
      </c>
      <c r="C4031" s="56" t="b">
        <v>0</v>
      </c>
      <c r="D4031" s="56" t="b">
        <v>0</v>
      </c>
      <c r="E4031" s="56">
        <f ca="1">IF(PV[[#This Row],[Business Date]]=Control!$C$6, PV[[#This Row],[Notional Value Local Cur]], -PV[[#This Row],[Notional Value Local Cur]])</f>
        <v>0</v>
      </c>
    </row>
    <row r="4032" spans="1:5" x14ac:dyDescent="0.25">
      <c r="A4032" s="36" t="b">
        <v>0</v>
      </c>
      <c r="B4032" s="56" t="b">
        <v>0</v>
      </c>
      <c r="C4032" s="56" t="b">
        <v>0</v>
      </c>
      <c r="D4032" s="56" t="b">
        <v>0</v>
      </c>
      <c r="E4032" s="56">
        <f ca="1">IF(PV[[#This Row],[Business Date]]=Control!$C$6, PV[[#This Row],[Notional Value Local Cur]], -PV[[#This Row],[Notional Value Local Cur]])</f>
        <v>0</v>
      </c>
    </row>
    <row r="4033" spans="1:5" x14ac:dyDescent="0.25">
      <c r="A4033" s="36" t="b">
        <v>0</v>
      </c>
      <c r="B4033" s="56" t="b">
        <v>0</v>
      </c>
      <c r="C4033" s="56" t="b">
        <v>0</v>
      </c>
      <c r="D4033" s="56" t="b">
        <v>0</v>
      </c>
      <c r="E4033" s="56">
        <f ca="1">IF(PV[[#This Row],[Business Date]]=Control!$C$6, PV[[#This Row],[Notional Value Local Cur]], -PV[[#This Row],[Notional Value Local Cur]])</f>
        <v>0</v>
      </c>
    </row>
    <row r="4034" spans="1:5" x14ac:dyDescent="0.25">
      <c r="A4034" s="36" t="b">
        <v>0</v>
      </c>
      <c r="B4034" s="56" t="b">
        <v>0</v>
      </c>
      <c r="C4034" s="56" t="b">
        <v>0</v>
      </c>
      <c r="D4034" s="56" t="b">
        <v>0</v>
      </c>
      <c r="E4034" s="56">
        <f ca="1">IF(PV[[#This Row],[Business Date]]=Control!$C$6, PV[[#This Row],[Notional Value Local Cur]], -PV[[#This Row],[Notional Value Local Cur]])</f>
        <v>0</v>
      </c>
    </row>
    <row r="4035" spans="1:5" x14ac:dyDescent="0.25">
      <c r="A4035" s="36" t="b">
        <v>0</v>
      </c>
      <c r="B4035" s="56" t="b">
        <v>0</v>
      </c>
      <c r="C4035" s="56" t="b">
        <v>0</v>
      </c>
      <c r="D4035" s="56" t="b">
        <v>0</v>
      </c>
      <c r="E4035" s="56">
        <f ca="1">IF(PV[[#This Row],[Business Date]]=Control!$C$6, PV[[#This Row],[Notional Value Local Cur]], -PV[[#This Row],[Notional Value Local Cur]])</f>
        <v>0</v>
      </c>
    </row>
    <row r="4036" spans="1:5" x14ac:dyDescent="0.25">
      <c r="A4036" s="36" t="b">
        <v>0</v>
      </c>
      <c r="B4036" s="56" t="b">
        <v>0</v>
      </c>
      <c r="C4036" s="56" t="b">
        <v>0</v>
      </c>
      <c r="D4036" s="56" t="b">
        <v>0</v>
      </c>
      <c r="E4036" s="56">
        <f ca="1">IF(PV[[#This Row],[Business Date]]=Control!$C$6, PV[[#This Row],[Notional Value Local Cur]], -PV[[#This Row],[Notional Value Local Cur]])</f>
        <v>0</v>
      </c>
    </row>
    <row r="4037" spans="1:5" x14ac:dyDescent="0.25">
      <c r="A4037" s="36" t="b">
        <v>0</v>
      </c>
      <c r="B4037" s="56" t="b">
        <v>0</v>
      </c>
      <c r="C4037" s="56" t="b">
        <v>0</v>
      </c>
      <c r="D4037" s="56" t="b">
        <v>0</v>
      </c>
      <c r="E4037" s="56">
        <f ca="1">IF(PV[[#This Row],[Business Date]]=Control!$C$6, PV[[#This Row],[Notional Value Local Cur]], -PV[[#This Row],[Notional Value Local Cur]])</f>
        <v>0</v>
      </c>
    </row>
    <row r="4038" spans="1:5" x14ac:dyDescent="0.25">
      <c r="A4038" s="36" t="b">
        <v>0</v>
      </c>
      <c r="B4038" s="56" t="b">
        <v>0</v>
      </c>
      <c r="C4038" s="56" t="b">
        <v>0</v>
      </c>
      <c r="D4038" s="56" t="b">
        <v>0</v>
      </c>
      <c r="E4038" s="56">
        <f ca="1">IF(PV[[#This Row],[Business Date]]=Control!$C$6, PV[[#This Row],[Notional Value Local Cur]], -PV[[#This Row],[Notional Value Local Cur]])</f>
        <v>0</v>
      </c>
    </row>
    <row r="4039" spans="1:5" x14ac:dyDescent="0.25">
      <c r="A4039" s="36" t="b">
        <v>0</v>
      </c>
      <c r="B4039" s="56" t="b">
        <v>0</v>
      </c>
      <c r="C4039" s="56" t="b">
        <v>0</v>
      </c>
      <c r="D4039" s="56" t="b">
        <v>0</v>
      </c>
      <c r="E4039" s="56">
        <f ca="1">IF(PV[[#This Row],[Business Date]]=Control!$C$6, PV[[#This Row],[Notional Value Local Cur]], -PV[[#This Row],[Notional Value Local Cur]])</f>
        <v>0</v>
      </c>
    </row>
    <row r="4040" spans="1:5" x14ac:dyDescent="0.25">
      <c r="A4040" s="36" t="b">
        <v>0</v>
      </c>
      <c r="B4040" s="56" t="b">
        <v>0</v>
      </c>
      <c r="C4040" s="56" t="b">
        <v>0</v>
      </c>
      <c r="D4040" s="56" t="b">
        <v>0</v>
      </c>
      <c r="E4040" s="56">
        <f ca="1">IF(PV[[#This Row],[Business Date]]=Control!$C$6, PV[[#This Row],[Notional Value Local Cur]], -PV[[#This Row],[Notional Value Local Cur]])</f>
        <v>0</v>
      </c>
    </row>
    <row r="4041" spans="1:5" x14ac:dyDescent="0.25">
      <c r="A4041" s="36" t="b">
        <v>0</v>
      </c>
      <c r="B4041" s="56" t="b">
        <v>0</v>
      </c>
      <c r="C4041" s="56" t="b">
        <v>0</v>
      </c>
      <c r="D4041" s="56" t="b">
        <v>0</v>
      </c>
      <c r="E4041" s="56">
        <f ca="1">IF(PV[[#This Row],[Business Date]]=Control!$C$6, PV[[#This Row],[Notional Value Local Cur]], -PV[[#This Row],[Notional Value Local Cur]])</f>
        <v>0</v>
      </c>
    </row>
    <row r="4042" spans="1:5" x14ac:dyDescent="0.25">
      <c r="A4042" s="36" t="b">
        <v>0</v>
      </c>
      <c r="B4042" s="56" t="b">
        <v>0</v>
      </c>
      <c r="C4042" s="56" t="b">
        <v>0</v>
      </c>
      <c r="D4042" s="56" t="b">
        <v>0</v>
      </c>
      <c r="E4042" s="56">
        <f ca="1">IF(PV[[#This Row],[Business Date]]=Control!$C$6, PV[[#This Row],[Notional Value Local Cur]], -PV[[#This Row],[Notional Value Local Cur]])</f>
        <v>0</v>
      </c>
    </row>
    <row r="4043" spans="1:5" x14ac:dyDescent="0.25">
      <c r="A4043" s="36" t="b">
        <v>0</v>
      </c>
      <c r="B4043" s="56" t="b">
        <v>0</v>
      </c>
      <c r="C4043" s="56" t="b">
        <v>0</v>
      </c>
      <c r="D4043" s="56" t="b">
        <v>0</v>
      </c>
      <c r="E4043" s="56">
        <f ca="1">IF(PV[[#This Row],[Business Date]]=Control!$C$6, PV[[#This Row],[Notional Value Local Cur]], -PV[[#This Row],[Notional Value Local Cur]])</f>
        <v>0</v>
      </c>
    </row>
    <row r="4044" spans="1:5" x14ac:dyDescent="0.25">
      <c r="A4044" s="36" t="b">
        <v>0</v>
      </c>
      <c r="B4044" s="56" t="b">
        <v>0</v>
      </c>
      <c r="C4044" s="56" t="b">
        <v>0</v>
      </c>
      <c r="D4044" s="56" t="b">
        <v>0</v>
      </c>
      <c r="E4044" s="56">
        <f ca="1">IF(PV[[#This Row],[Business Date]]=Control!$C$6, PV[[#This Row],[Notional Value Local Cur]], -PV[[#This Row],[Notional Value Local Cur]])</f>
        <v>0</v>
      </c>
    </row>
    <row r="4045" spans="1:5" x14ac:dyDescent="0.25">
      <c r="A4045" s="36" t="b">
        <v>0</v>
      </c>
      <c r="B4045" s="56" t="b">
        <v>0</v>
      </c>
      <c r="C4045" s="56" t="b">
        <v>0</v>
      </c>
      <c r="D4045" s="56" t="b">
        <v>0</v>
      </c>
      <c r="E4045" s="56">
        <f ca="1">IF(PV[[#This Row],[Business Date]]=Control!$C$6, PV[[#This Row],[Notional Value Local Cur]], -PV[[#This Row],[Notional Value Local Cur]])</f>
        <v>0</v>
      </c>
    </row>
    <row r="4046" spans="1:5" x14ac:dyDescent="0.25">
      <c r="A4046" s="36" t="b">
        <v>0</v>
      </c>
      <c r="B4046" s="56" t="b">
        <v>0</v>
      </c>
      <c r="C4046" s="56" t="b">
        <v>0</v>
      </c>
      <c r="D4046" s="56" t="b">
        <v>0</v>
      </c>
      <c r="E4046" s="56">
        <f ca="1">IF(PV[[#This Row],[Business Date]]=Control!$C$6, PV[[#This Row],[Notional Value Local Cur]], -PV[[#This Row],[Notional Value Local Cur]])</f>
        <v>0</v>
      </c>
    </row>
    <row r="4047" spans="1:5" x14ac:dyDescent="0.25">
      <c r="A4047" s="36" t="b">
        <v>0</v>
      </c>
      <c r="B4047" s="56" t="b">
        <v>0</v>
      </c>
      <c r="C4047" s="56" t="b">
        <v>0</v>
      </c>
      <c r="D4047" s="56" t="b">
        <v>0</v>
      </c>
      <c r="E4047" s="56">
        <f ca="1">IF(PV[[#This Row],[Business Date]]=Control!$C$6, PV[[#This Row],[Notional Value Local Cur]], -PV[[#This Row],[Notional Value Local Cur]])</f>
        <v>0</v>
      </c>
    </row>
    <row r="4048" spans="1:5" x14ac:dyDescent="0.25">
      <c r="A4048" s="36" t="b">
        <v>0</v>
      </c>
      <c r="B4048" s="56" t="b">
        <v>0</v>
      </c>
      <c r="C4048" s="56" t="b">
        <v>0</v>
      </c>
      <c r="D4048" s="56" t="b">
        <v>0</v>
      </c>
      <c r="E4048" s="56">
        <f ca="1">IF(PV[[#This Row],[Business Date]]=Control!$C$6, PV[[#This Row],[Notional Value Local Cur]], -PV[[#This Row],[Notional Value Local Cur]])</f>
        <v>0</v>
      </c>
    </row>
    <row r="4049" spans="1:5" x14ac:dyDescent="0.25">
      <c r="A4049" s="36" t="b">
        <v>0</v>
      </c>
      <c r="B4049" s="56" t="b">
        <v>0</v>
      </c>
      <c r="C4049" s="56" t="b">
        <v>0</v>
      </c>
      <c r="D4049" s="56" t="b">
        <v>0</v>
      </c>
      <c r="E4049" s="56">
        <f ca="1">IF(PV[[#This Row],[Business Date]]=Control!$C$6, PV[[#This Row],[Notional Value Local Cur]], -PV[[#This Row],[Notional Value Local Cur]])</f>
        <v>0</v>
      </c>
    </row>
    <row r="4050" spans="1:5" x14ac:dyDescent="0.25">
      <c r="A4050" s="36" t="b">
        <v>0</v>
      </c>
      <c r="B4050" s="56" t="b">
        <v>0</v>
      </c>
      <c r="C4050" s="56" t="b">
        <v>0</v>
      </c>
      <c r="D4050" s="56" t="b">
        <v>0</v>
      </c>
      <c r="E4050" s="56">
        <f ca="1">IF(PV[[#This Row],[Business Date]]=Control!$C$6, PV[[#This Row],[Notional Value Local Cur]], -PV[[#This Row],[Notional Value Local Cur]])</f>
        <v>0</v>
      </c>
    </row>
    <row r="4051" spans="1:5" x14ac:dyDescent="0.25">
      <c r="A4051" s="36" t="b">
        <v>0</v>
      </c>
      <c r="B4051" s="56" t="b">
        <v>0</v>
      </c>
      <c r="C4051" s="56" t="b">
        <v>0</v>
      </c>
      <c r="D4051" s="56" t="b">
        <v>0</v>
      </c>
      <c r="E4051" s="56">
        <f ca="1">IF(PV[[#This Row],[Business Date]]=Control!$C$6, PV[[#This Row],[Notional Value Local Cur]], -PV[[#This Row],[Notional Value Local Cur]])</f>
        <v>0</v>
      </c>
    </row>
    <row r="4052" spans="1:5" x14ac:dyDescent="0.25">
      <c r="A4052" s="36" t="b">
        <v>0</v>
      </c>
      <c r="B4052" s="56" t="b">
        <v>0</v>
      </c>
      <c r="C4052" s="56" t="b">
        <v>0</v>
      </c>
      <c r="D4052" s="56" t="b">
        <v>0</v>
      </c>
      <c r="E4052" s="56">
        <f ca="1">IF(PV[[#This Row],[Business Date]]=Control!$C$6, PV[[#This Row],[Notional Value Local Cur]], -PV[[#This Row],[Notional Value Local Cur]])</f>
        <v>0</v>
      </c>
    </row>
    <row r="4053" spans="1:5" x14ac:dyDescent="0.25">
      <c r="A4053" s="36" t="b">
        <v>0</v>
      </c>
      <c r="B4053" s="56" t="b">
        <v>0</v>
      </c>
      <c r="C4053" s="56" t="b">
        <v>0</v>
      </c>
      <c r="D4053" s="56" t="b">
        <v>0</v>
      </c>
      <c r="E4053" s="56">
        <f ca="1">IF(PV[[#This Row],[Business Date]]=Control!$C$6, PV[[#This Row],[Notional Value Local Cur]], -PV[[#This Row],[Notional Value Local Cur]])</f>
        <v>0</v>
      </c>
    </row>
    <row r="4054" spans="1:5" x14ac:dyDescent="0.25">
      <c r="A4054" s="36" t="b">
        <v>0</v>
      </c>
      <c r="B4054" s="56" t="b">
        <v>0</v>
      </c>
      <c r="C4054" s="56" t="b">
        <v>0</v>
      </c>
      <c r="D4054" s="56" t="b">
        <v>0</v>
      </c>
      <c r="E4054" s="56">
        <f ca="1">IF(PV[[#This Row],[Business Date]]=Control!$C$6, PV[[#This Row],[Notional Value Local Cur]], -PV[[#This Row],[Notional Value Local Cur]])</f>
        <v>0</v>
      </c>
    </row>
    <row r="4055" spans="1:5" x14ac:dyDescent="0.25">
      <c r="A4055" s="36" t="b">
        <v>0</v>
      </c>
      <c r="B4055" s="56" t="b">
        <v>0</v>
      </c>
      <c r="C4055" s="56" t="b">
        <v>0</v>
      </c>
      <c r="D4055" s="56" t="b">
        <v>0</v>
      </c>
      <c r="E4055" s="56">
        <f ca="1">IF(PV[[#This Row],[Business Date]]=Control!$C$6, PV[[#This Row],[Notional Value Local Cur]], -PV[[#This Row],[Notional Value Local Cur]])</f>
        <v>0</v>
      </c>
    </row>
    <row r="4056" spans="1:5" x14ac:dyDescent="0.25">
      <c r="A4056" s="36" t="b">
        <v>0</v>
      </c>
      <c r="B4056" s="56" t="b">
        <v>0</v>
      </c>
      <c r="C4056" s="56" t="b">
        <v>0</v>
      </c>
      <c r="D4056" s="56" t="b">
        <v>0</v>
      </c>
      <c r="E4056" s="56">
        <f ca="1">IF(PV[[#This Row],[Business Date]]=Control!$C$6, PV[[#This Row],[Notional Value Local Cur]], -PV[[#This Row],[Notional Value Local Cur]])</f>
        <v>0</v>
      </c>
    </row>
    <row r="4057" spans="1:5" x14ac:dyDescent="0.25">
      <c r="A4057" s="36" t="b">
        <v>0</v>
      </c>
      <c r="B4057" s="56" t="b">
        <v>0</v>
      </c>
      <c r="C4057" s="56" t="b">
        <v>0</v>
      </c>
      <c r="D4057" s="56" t="b">
        <v>0</v>
      </c>
      <c r="E4057" s="56">
        <f ca="1">IF(PV[[#This Row],[Business Date]]=Control!$C$6, PV[[#This Row],[Notional Value Local Cur]], -PV[[#This Row],[Notional Value Local Cur]])</f>
        <v>0</v>
      </c>
    </row>
    <row r="4058" spans="1:5" x14ac:dyDescent="0.25">
      <c r="A4058" s="36" t="b">
        <v>0</v>
      </c>
      <c r="B4058" s="56" t="b">
        <v>0</v>
      </c>
      <c r="C4058" s="56" t="b">
        <v>0</v>
      </c>
      <c r="D4058" s="56" t="b">
        <v>0</v>
      </c>
      <c r="E4058" s="56">
        <f ca="1">IF(PV[[#This Row],[Business Date]]=Control!$C$6, PV[[#This Row],[Notional Value Local Cur]], -PV[[#This Row],[Notional Value Local Cur]])</f>
        <v>0</v>
      </c>
    </row>
    <row r="4059" spans="1:5" x14ac:dyDescent="0.25">
      <c r="A4059" s="36" t="b">
        <v>0</v>
      </c>
      <c r="B4059" s="56" t="b">
        <v>0</v>
      </c>
      <c r="C4059" s="56" t="b">
        <v>0</v>
      </c>
      <c r="D4059" s="56" t="b">
        <v>0</v>
      </c>
      <c r="E4059" s="56">
        <f ca="1">IF(PV[[#This Row],[Business Date]]=Control!$C$6, PV[[#This Row],[Notional Value Local Cur]], -PV[[#This Row],[Notional Value Local Cur]])</f>
        <v>0</v>
      </c>
    </row>
    <row r="4060" spans="1:5" x14ac:dyDescent="0.25">
      <c r="A4060" s="36" t="b">
        <v>0</v>
      </c>
      <c r="B4060" s="56" t="b">
        <v>0</v>
      </c>
      <c r="C4060" s="56" t="b">
        <v>0</v>
      </c>
      <c r="D4060" s="56" t="b">
        <v>0</v>
      </c>
      <c r="E4060" s="56">
        <f ca="1">IF(PV[[#This Row],[Business Date]]=Control!$C$6, PV[[#This Row],[Notional Value Local Cur]], -PV[[#This Row],[Notional Value Local Cur]])</f>
        <v>0</v>
      </c>
    </row>
    <row r="4061" spans="1:5" x14ac:dyDescent="0.25">
      <c r="A4061" s="36" t="b">
        <v>0</v>
      </c>
      <c r="B4061" s="56" t="b">
        <v>0</v>
      </c>
      <c r="C4061" s="56" t="b">
        <v>0</v>
      </c>
      <c r="D4061" s="56" t="b">
        <v>0</v>
      </c>
      <c r="E4061" s="56">
        <f ca="1">IF(PV[[#This Row],[Business Date]]=Control!$C$6, PV[[#This Row],[Notional Value Local Cur]], -PV[[#This Row],[Notional Value Local Cur]])</f>
        <v>0</v>
      </c>
    </row>
    <row r="4062" spans="1:5" x14ac:dyDescent="0.25">
      <c r="A4062" s="36" t="b">
        <v>0</v>
      </c>
      <c r="B4062" s="56" t="b">
        <v>0</v>
      </c>
      <c r="C4062" s="56" t="b">
        <v>0</v>
      </c>
      <c r="D4062" s="56" t="b">
        <v>0</v>
      </c>
      <c r="E4062" s="56">
        <f ca="1">IF(PV[[#This Row],[Business Date]]=Control!$C$6, PV[[#This Row],[Notional Value Local Cur]], -PV[[#This Row],[Notional Value Local Cur]])</f>
        <v>0</v>
      </c>
    </row>
    <row r="4063" spans="1:5" x14ac:dyDescent="0.25">
      <c r="A4063" s="36" t="b">
        <v>0</v>
      </c>
      <c r="B4063" s="56" t="b">
        <v>0</v>
      </c>
      <c r="C4063" s="56" t="b">
        <v>0</v>
      </c>
      <c r="D4063" s="56" t="b">
        <v>0</v>
      </c>
      <c r="E4063" s="56">
        <f ca="1">IF(PV[[#This Row],[Business Date]]=Control!$C$6, PV[[#This Row],[Notional Value Local Cur]], -PV[[#This Row],[Notional Value Local Cur]])</f>
        <v>0</v>
      </c>
    </row>
    <row r="4064" spans="1:5" x14ac:dyDescent="0.25">
      <c r="A4064" s="36" t="b">
        <v>0</v>
      </c>
      <c r="B4064" s="56" t="b">
        <v>0</v>
      </c>
      <c r="C4064" s="56" t="b">
        <v>0</v>
      </c>
      <c r="D4064" s="56" t="b">
        <v>0</v>
      </c>
      <c r="E4064" s="56">
        <f ca="1">IF(PV[[#This Row],[Business Date]]=Control!$C$6, PV[[#This Row],[Notional Value Local Cur]], -PV[[#This Row],[Notional Value Local Cur]])</f>
        <v>0</v>
      </c>
    </row>
    <row r="4065" spans="1:5" x14ac:dyDescent="0.25">
      <c r="A4065" s="36" t="b">
        <v>0</v>
      </c>
      <c r="B4065" s="56" t="b">
        <v>0</v>
      </c>
      <c r="C4065" s="56" t="b">
        <v>0</v>
      </c>
      <c r="D4065" s="56" t="b">
        <v>0</v>
      </c>
      <c r="E4065" s="56">
        <f ca="1">IF(PV[[#This Row],[Business Date]]=Control!$C$6, PV[[#This Row],[Notional Value Local Cur]], -PV[[#This Row],[Notional Value Local Cur]])</f>
        <v>0</v>
      </c>
    </row>
    <row r="4066" spans="1:5" x14ac:dyDescent="0.25">
      <c r="A4066" s="36" t="b">
        <v>0</v>
      </c>
      <c r="B4066" s="56" t="b">
        <v>0</v>
      </c>
      <c r="C4066" s="56" t="b">
        <v>0</v>
      </c>
      <c r="D4066" s="56" t="b">
        <v>0</v>
      </c>
      <c r="E4066" s="56">
        <f ca="1">IF(PV[[#This Row],[Business Date]]=Control!$C$6, PV[[#This Row],[Notional Value Local Cur]], -PV[[#This Row],[Notional Value Local Cur]])</f>
        <v>0</v>
      </c>
    </row>
    <row r="4067" spans="1:5" x14ac:dyDescent="0.25">
      <c r="A4067" s="36" t="b">
        <v>0</v>
      </c>
      <c r="B4067" s="56" t="b">
        <v>0</v>
      </c>
      <c r="C4067" s="56" t="b">
        <v>0</v>
      </c>
      <c r="D4067" s="56" t="b">
        <v>0</v>
      </c>
      <c r="E4067" s="56">
        <f ca="1">IF(PV[[#This Row],[Business Date]]=Control!$C$6, PV[[#This Row],[Notional Value Local Cur]], -PV[[#This Row],[Notional Value Local Cur]])</f>
        <v>0</v>
      </c>
    </row>
    <row r="4068" spans="1:5" x14ac:dyDescent="0.25">
      <c r="A4068" s="36" t="b">
        <v>0</v>
      </c>
      <c r="B4068" s="56" t="b">
        <v>0</v>
      </c>
      <c r="C4068" s="56" t="b">
        <v>0</v>
      </c>
      <c r="D4068" s="56" t="b">
        <v>0</v>
      </c>
      <c r="E4068" s="56">
        <f ca="1">IF(PV[[#This Row],[Business Date]]=Control!$C$6, PV[[#This Row],[Notional Value Local Cur]], -PV[[#This Row],[Notional Value Local Cur]])</f>
        <v>0</v>
      </c>
    </row>
    <row r="4069" spans="1:5" x14ac:dyDescent="0.25">
      <c r="A4069" s="36" t="b">
        <v>0</v>
      </c>
      <c r="B4069" s="56" t="b">
        <v>0</v>
      </c>
      <c r="C4069" s="56" t="b">
        <v>0</v>
      </c>
      <c r="D4069" s="56" t="b">
        <v>0</v>
      </c>
      <c r="E4069" s="56">
        <f ca="1">IF(PV[[#This Row],[Business Date]]=Control!$C$6, PV[[#This Row],[Notional Value Local Cur]], -PV[[#This Row],[Notional Value Local Cur]])</f>
        <v>0</v>
      </c>
    </row>
    <row r="4070" spans="1:5" x14ac:dyDescent="0.25">
      <c r="A4070" s="36" t="b">
        <v>0</v>
      </c>
      <c r="B4070" s="56" t="b">
        <v>0</v>
      </c>
      <c r="C4070" s="56" t="b">
        <v>0</v>
      </c>
      <c r="D4070" s="56" t="b">
        <v>0</v>
      </c>
      <c r="E4070" s="56">
        <f ca="1">IF(PV[[#This Row],[Business Date]]=Control!$C$6, PV[[#This Row],[Notional Value Local Cur]], -PV[[#This Row],[Notional Value Local Cur]])</f>
        <v>0</v>
      </c>
    </row>
    <row r="4071" spans="1:5" x14ac:dyDescent="0.25">
      <c r="A4071" s="36" t="b">
        <v>0</v>
      </c>
      <c r="B4071" s="56" t="b">
        <v>0</v>
      </c>
      <c r="C4071" s="56" t="b">
        <v>0</v>
      </c>
      <c r="D4071" s="56" t="b">
        <v>0</v>
      </c>
      <c r="E4071" s="56">
        <f ca="1">IF(PV[[#This Row],[Business Date]]=Control!$C$6, PV[[#This Row],[Notional Value Local Cur]], -PV[[#This Row],[Notional Value Local Cur]])</f>
        <v>0</v>
      </c>
    </row>
    <row r="4072" spans="1:5" x14ac:dyDescent="0.25">
      <c r="A4072" s="36" t="b">
        <v>0</v>
      </c>
      <c r="B4072" s="56" t="b">
        <v>0</v>
      </c>
      <c r="C4072" s="56" t="b">
        <v>0</v>
      </c>
      <c r="D4072" s="56" t="b">
        <v>0</v>
      </c>
      <c r="E4072" s="56">
        <f ca="1">IF(PV[[#This Row],[Business Date]]=Control!$C$6, PV[[#This Row],[Notional Value Local Cur]], -PV[[#This Row],[Notional Value Local Cur]])</f>
        <v>0</v>
      </c>
    </row>
    <row r="4073" spans="1:5" x14ac:dyDescent="0.25">
      <c r="A4073" s="36" t="b">
        <v>0</v>
      </c>
      <c r="B4073" s="56" t="b">
        <v>0</v>
      </c>
      <c r="C4073" s="56" t="b">
        <v>0</v>
      </c>
      <c r="D4073" s="56" t="b">
        <v>0</v>
      </c>
      <c r="E4073" s="56">
        <f ca="1">IF(PV[[#This Row],[Business Date]]=Control!$C$6, PV[[#This Row],[Notional Value Local Cur]], -PV[[#This Row],[Notional Value Local Cur]])</f>
        <v>0</v>
      </c>
    </row>
    <row r="4074" spans="1:5" x14ac:dyDescent="0.25">
      <c r="A4074" s="36" t="b">
        <v>0</v>
      </c>
      <c r="B4074" s="56" t="b">
        <v>0</v>
      </c>
      <c r="C4074" s="56" t="b">
        <v>0</v>
      </c>
      <c r="D4074" s="56" t="b">
        <v>0</v>
      </c>
      <c r="E4074" s="56">
        <f ca="1">IF(PV[[#This Row],[Business Date]]=Control!$C$6, PV[[#This Row],[Notional Value Local Cur]], -PV[[#This Row],[Notional Value Local Cur]])</f>
        <v>0</v>
      </c>
    </row>
    <row r="4075" spans="1:5" x14ac:dyDescent="0.25">
      <c r="A4075" s="36" t="b">
        <v>0</v>
      </c>
      <c r="B4075" s="56" t="b">
        <v>0</v>
      </c>
      <c r="C4075" s="56" t="b">
        <v>0</v>
      </c>
      <c r="D4075" s="56" t="b">
        <v>0</v>
      </c>
      <c r="E4075" s="56">
        <f ca="1">IF(PV[[#This Row],[Business Date]]=Control!$C$6, PV[[#This Row],[Notional Value Local Cur]], -PV[[#This Row],[Notional Value Local Cur]])</f>
        <v>0</v>
      </c>
    </row>
    <row r="4076" spans="1:5" x14ac:dyDescent="0.25">
      <c r="A4076" s="36" t="b">
        <v>0</v>
      </c>
      <c r="B4076" s="56" t="b">
        <v>0</v>
      </c>
      <c r="C4076" s="56" t="b">
        <v>0</v>
      </c>
      <c r="D4076" s="56" t="b">
        <v>0</v>
      </c>
      <c r="E4076" s="56">
        <f ca="1">IF(PV[[#This Row],[Business Date]]=Control!$C$6, PV[[#This Row],[Notional Value Local Cur]], -PV[[#This Row],[Notional Value Local Cur]])</f>
        <v>0</v>
      </c>
    </row>
    <row r="4077" spans="1:5" x14ac:dyDescent="0.25">
      <c r="A4077" s="36" t="b">
        <v>0</v>
      </c>
      <c r="B4077" s="56" t="b">
        <v>0</v>
      </c>
      <c r="C4077" s="56" t="b">
        <v>0</v>
      </c>
      <c r="D4077" s="56" t="b">
        <v>0</v>
      </c>
      <c r="E4077" s="56">
        <f ca="1">IF(PV[[#This Row],[Business Date]]=Control!$C$6, PV[[#This Row],[Notional Value Local Cur]], -PV[[#This Row],[Notional Value Local Cur]])</f>
        <v>0</v>
      </c>
    </row>
    <row r="4078" spans="1:5" x14ac:dyDescent="0.25">
      <c r="A4078" s="36" t="b">
        <v>0</v>
      </c>
      <c r="B4078" s="56" t="b">
        <v>0</v>
      </c>
      <c r="C4078" s="56" t="b">
        <v>0</v>
      </c>
      <c r="D4078" s="56" t="b">
        <v>0</v>
      </c>
      <c r="E4078" s="56">
        <f ca="1">IF(PV[[#This Row],[Business Date]]=Control!$C$6, PV[[#This Row],[Notional Value Local Cur]], -PV[[#This Row],[Notional Value Local Cur]])</f>
        <v>0</v>
      </c>
    </row>
    <row r="4079" spans="1:5" x14ac:dyDescent="0.25">
      <c r="A4079" s="36" t="b">
        <v>0</v>
      </c>
      <c r="B4079" s="56" t="b">
        <v>0</v>
      </c>
      <c r="C4079" s="56" t="b">
        <v>0</v>
      </c>
      <c r="D4079" s="56" t="b">
        <v>0</v>
      </c>
      <c r="E4079" s="56">
        <f ca="1">IF(PV[[#This Row],[Business Date]]=Control!$C$6, PV[[#This Row],[Notional Value Local Cur]], -PV[[#This Row],[Notional Value Local Cur]])</f>
        <v>0</v>
      </c>
    </row>
    <row r="4080" spans="1:5" x14ac:dyDescent="0.25">
      <c r="A4080" s="36" t="b">
        <v>0</v>
      </c>
      <c r="B4080" s="56" t="b">
        <v>0</v>
      </c>
      <c r="C4080" s="56" t="b">
        <v>0</v>
      </c>
      <c r="D4080" s="56" t="b">
        <v>0</v>
      </c>
      <c r="E4080" s="56">
        <f ca="1">IF(PV[[#This Row],[Business Date]]=Control!$C$6, PV[[#This Row],[Notional Value Local Cur]], -PV[[#This Row],[Notional Value Local Cur]])</f>
        <v>0</v>
      </c>
    </row>
    <row r="4081" spans="1:5" x14ac:dyDescent="0.25">
      <c r="A4081" s="36" t="b">
        <v>0</v>
      </c>
      <c r="B4081" s="56" t="b">
        <v>0</v>
      </c>
      <c r="C4081" s="56" t="b">
        <v>0</v>
      </c>
      <c r="D4081" s="56" t="b">
        <v>0</v>
      </c>
      <c r="E4081" s="56">
        <f ca="1">IF(PV[[#This Row],[Business Date]]=Control!$C$6, PV[[#This Row],[Notional Value Local Cur]], -PV[[#This Row],[Notional Value Local Cur]])</f>
        <v>0</v>
      </c>
    </row>
    <row r="4082" spans="1:5" x14ac:dyDescent="0.25">
      <c r="A4082" s="36" t="b">
        <v>0</v>
      </c>
      <c r="B4082" s="56" t="b">
        <v>0</v>
      </c>
      <c r="C4082" s="56" t="b">
        <v>0</v>
      </c>
      <c r="D4082" s="56" t="b">
        <v>0</v>
      </c>
      <c r="E4082" s="56">
        <f ca="1">IF(PV[[#This Row],[Business Date]]=Control!$C$6, PV[[#This Row],[Notional Value Local Cur]], -PV[[#This Row],[Notional Value Local Cur]])</f>
        <v>0</v>
      </c>
    </row>
    <row r="4083" spans="1:5" x14ac:dyDescent="0.25">
      <c r="A4083" s="36" t="b">
        <v>0</v>
      </c>
      <c r="B4083" s="56" t="b">
        <v>0</v>
      </c>
      <c r="C4083" s="56" t="b">
        <v>0</v>
      </c>
      <c r="D4083" s="56" t="b">
        <v>0</v>
      </c>
      <c r="E4083" s="56">
        <f ca="1">IF(PV[[#This Row],[Business Date]]=Control!$C$6, PV[[#This Row],[Notional Value Local Cur]], -PV[[#This Row],[Notional Value Local Cur]])</f>
        <v>0</v>
      </c>
    </row>
    <row r="4084" spans="1:5" x14ac:dyDescent="0.25">
      <c r="A4084" s="36" t="b">
        <v>0</v>
      </c>
      <c r="B4084" s="56" t="b">
        <v>0</v>
      </c>
      <c r="C4084" s="56" t="b">
        <v>0</v>
      </c>
      <c r="D4084" s="56" t="b">
        <v>0</v>
      </c>
      <c r="E4084" s="56">
        <f ca="1">IF(PV[[#This Row],[Business Date]]=Control!$C$6, PV[[#This Row],[Notional Value Local Cur]], -PV[[#This Row],[Notional Value Local Cur]])</f>
        <v>0</v>
      </c>
    </row>
    <row r="4085" spans="1:5" x14ac:dyDescent="0.25">
      <c r="A4085" s="36" t="b">
        <v>0</v>
      </c>
      <c r="B4085" s="56" t="b">
        <v>0</v>
      </c>
      <c r="C4085" s="56" t="b">
        <v>0</v>
      </c>
      <c r="D4085" s="56" t="b">
        <v>0</v>
      </c>
      <c r="E4085" s="56">
        <f ca="1">IF(PV[[#This Row],[Business Date]]=Control!$C$6, PV[[#This Row],[Notional Value Local Cur]], -PV[[#This Row],[Notional Value Local Cur]])</f>
        <v>0</v>
      </c>
    </row>
    <row r="4086" spans="1:5" x14ac:dyDescent="0.25">
      <c r="A4086" s="36" t="b">
        <v>0</v>
      </c>
      <c r="B4086" s="56" t="b">
        <v>0</v>
      </c>
      <c r="C4086" s="56" t="b">
        <v>0</v>
      </c>
      <c r="D4086" s="56" t="b">
        <v>0</v>
      </c>
      <c r="E4086" s="56">
        <f ca="1">IF(PV[[#This Row],[Business Date]]=Control!$C$6, PV[[#This Row],[Notional Value Local Cur]], -PV[[#This Row],[Notional Value Local Cur]])</f>
        <v>0</v>
      </c>
    </row>
    <row r="4087" spans="1:5" x14ac:dyDescent="0.25">
      <c r="A4087" s="36" t="b">
        <v>0</v>
      </c>
      <c r="B4087" s="56" t="b">
        <v>0</v>
      </c>
      <c r="C4087" s="56" t="b">
        <v>0</v>
      </c>
      <c r="D4087" s="56" t="b">
        <v>0</v>
      </c>
      <c r="E4087" s="56">
        <f ca="1">IF(PV[[#This Row],[Business Date]]=Control!$C$6, PV[[#This Row],[Notional Value Local Cur]], -PV[[#This Row],[Notional Value Local Cur]])</f>
        <v>0</v>
      </c>
    </row>
    <row r="4088" spans="1:5" x14ac:dyDescent="0.25">
      <c r="A4088" s="36" t="b">
        <v>0</v>
      </c>
      <c r="B4088" s="56" t="b">
        <v>0</v>
      </c>
      <c r="C4088" s="56" t="b">
        <v>0</v>
      </c>
      <c r="D4088" s="56" t="b">
        <v>0</v>
      </c>
      <c r="E4088" s="56">
        <f ca="1">IF(PV[[#This Row],[Business Date]]=Control!$C$6, PV[[#This Row],[Notional Value Local Cur]], -PV[[#This Row],[Notional Value Local Cur]])</f>
        <v>0</v>
      </c>
    </row>
    <row r="4089" spans="1:5" x14ac:dyDescent="0.25">
      <c r="A4089" s="36" t="b">
        <v>0</v>
      </c>
      <c r="B4089" s="56" t="b">
        <v>0</v>
      </c>
      <c r="C4089" s="56" t="b">
        <v>0</v>
      </c>
      <c r="D4089" s="56" t="b">
        <v>0</v>
      </c>
      <c r="E4089" s="56">
        <f ca="1">IF(PV[[#This Row],[Business Date]]=Control!$C$6, PV[[#This Row],[Notional Value Local Cur]], -PV[[#This Row],[Notional Value Local Cur]])</f>
        <v>0</v>
      </c>
    </row>
    <row r="4090" spans="1:5" x14ac:dyDescent="0.25">
      <c r="A4090" s="36" t="b">
        <v>0</v>
      </c>
      <c r="B4090" s="56" t="b">
        <v>0</v>
      </c>
      <c r="C4090" s="56" t="b">
        <v>0</v>
      </c>
      <c r="D4090" s="56" t="b">
        <v>0</v>
      </c>
      <c r="E4090" s="56">
        <f ca="1">IF(PV[[#This Row],[Business Date]]=Control!$C$6, PV[[#This Row],[Notional Value Local Cur]], -PV[[#This Row],[Notional Value Local Cur]])</f>
        <v>0</v>
      </c>
    </row>
    <row r="4091" spans="1:5" x14ac:dyDescent="0.25">
      <c r="A4091" s="36" t="b">
        <v>0</v>
      </c>
      <c r="B4091" s="56" t="b">
        <v>0</v>
      </c>
      <c r="C4091" s="56" t="b">
        <v>0</v>
      </c>
      <c r="D4091" s="56" t="b">
        <v>0</v>
      </c>
      <c r="E4091" s="56">
        <f ca="1">IF(PV[[#This Row],[Business Date]]=Control!$C$6, PV[[#This Row],[Notional Value Local Cur]], -PV[[#This Row],[Notional Value Local Cur]])</f>
        <v>0</v>
      </c>
    </row>
    <row r="4092" spans="1:5" x14ac:dyDescent="0.25">
      <c r="A4092" s="36" t="b">
        <v>0</v>
      </c>
      <c r="B4092" s="56" t="b">
        <v>0</v>
      </c>
      <c r="C4092" s="56" t="b">
        <v>0</v>
      </c>
      <c r="D4092" s="56" t="b">
        <v>0</v>
      </c>
      <c r="E4092" s="56">
        <f ca="1">IF(PV[[#This Row],[Business Date]]=Control!$C$6, PV[[#This Row],[Notional Value Local Cur]], -PV[[#This Row],[Notional Value Local Cur]])</f>
        <v>0</v>
      </c>
    </row>
    <row r="4093" spans="1:5" x14ac:dyDescent="0.25">
      <c r="A4093" s="36" t="b">
        <v>0</v>
      </c>
      <c r="B4093" s="56" t="b">
        <v>0</v>
      </c>
      <c r="C4093" s="56" t="b">
        <v>0</v>
      </c>
      <c r="D4093" s="56" t="b">
        <v>0</v>
      </c>
      <c r="E4093" s="56">
        <f ca="1">IF(PV[[#This Row],[Business Date]]=Control!$C$6, PV[[#This Row],[Notional Value Local Cur]], -PV[[#This Row],[Notional Value Local Cur]])</f>
        <v>0</v>
      </c>
    </row>
    <row r="4094" spans="1:5" x14ac:dyDescent="0.25">
      <c r="A4094" s="36" t="b">
        <v>0</v>
      </c>
      <c r="B4094" s="56" t="b">
        <v>0</v>
      </c>
      <c r="C4094" s="56" t="b">
        <v>0</v>
      </c>
      <c r="D4094" s="56" t="b">
        <v>0</v>
      </c>
      <c r="E4094" s="56">
        <f ca="1">IF(PV[[#This Row],[Business Date]]=Control!$C$6, PV[[#This Row],[Notional Value Local Cur]], -PV[[#This Row],[Notional Value Local Cur]])</f>
        <v>0</v>
      </c>
    </row>
    <row r="4095" spans="1:5" x14ac:dyDescent="0.25">
      <c r="A4095" s="36" t="b">
        <v>0</v>
      </c>
      <c r="B4095" s="56" t="b">
        <v>0</v>
      </c>
      <c r="C4095" s="56" t="b">
        <v>0</v>
      </c>
      <c r="D4095" s="56" t="b">
        <v>0</v>
      </c>
      <c r="E4095" s="56">
        <f ca="1">IF(PV[[#This Row],[Business Date]]=Control!$C$6, PV[[#This Row],[Notional Value Local Cur]], -PV[[#This Row],[Notional Value Local Cur]])</f>
        <v>0</v>
      </c>
    </row>
    <row r="4096" spans="1:5" x14ac:dyDescent="0.25">
      <c r="A4096" s="36" t="b">
        <v>0</v>
      </c>
      <c r="B4096" s="56" t="b">
        <v>0</v>
      </c>
      <c r="C4096" s="56" t="b">
        <v>0</v>
      </c>
      <c r="D4096" s="56" t="b">
        <v>0</v>
      </c>
      <c r="E4096" s="56">
        <f ca="1">IF(PV[[#This Row],[Business Date]]=Control!$C$6, PV[[#This Row],[Notional Value Local Cur]], -PV[[#This Row],[Notional Value Local Cur]])</f>
        <v>0</v>
      </c>
    </row>
    <row r="4097" spans="1:5" x14ac:dyDescent="0.25">
      <c r="A4097" s="36" t="b">
        <v>0</v>
      </c>
      <c r="B4097" s="56" t="b">
        <v>0</v>
      </c>
      <c r="C4097" s="56" t="b">
        <v>0</v>
      </c>
      <c r="D4097" s="56" t="b">
        <v>0</v>
      </c>
      <c r="E4097" s="56">
        <f ca="1">IF(PV[[#This Row],[Business Date]]=Control!$C$6, PV[[#This Row],[Notional Value Local Cur]], -PV[[#This Row],[Notional Value Local Cur]])</f>
        <v>0</v>
      </c>
    </row>
    <row r="4098" spans="1:5" x14ac:dyDescent="0.25">
      <c r="A4098" s="36" t="b">
        <v>0</v>
      </c>
      <c r="B4098" s="56" t="b">
        <v>0</v>
      </c>
      <c r="C4098" s="56" t="b">
        <v>0</v>
      </c>
      <c r="D4098" s="56" t="b">
        <v>0</v>
      </c>
      <c r="E4098" s="56">
        <f ca="1">IF(PV[[#This Row],[Business Date]]=Control!$C$6, PV[[#This Row],[Notional Value Local Cur]], -PV[[#This Row],[Notional Value Local Cur]])</f>
        <v>0</v>
      </c>
    </row>
    <row r="4099" spans="1:5" x14ac:dyDescent="0.25">
      <c r="A4099" s="36" t="b">
        <v>0</v>
      </c>
      <c r="B4099" s="56" t="b">
        <v>0</v>
      </c>
      <c r="C4099" s="56" t="b">
        <v>0</v>
      </c>
      <c r="D4099" s="56" t="b">
        <v>0</v>
      </c>
      <c r="E4099" s="56">
        <f ca="1">IF(PV[[#This Row],[Business Date]]=Control!$C$6, PV[[#This Row],[Notional Value Local Cur]], -PV[[#This Row],[Notional Value Local Cur]])</f>
        <v>0</v>
      </c>
    </row>
    <row r="4100" spans="1:5" x14ac:dyDescent="0.25">
      <c r="A4100" s="36" t="b">
        <v>0</v>
      </c>
      <c r="B4100" s="56" t="b">
        <v>0</v>
      </c>
      <c r="C4100" s="56" t="b">
        <v>0</v>
      </c>
      <c r="D4100" s="56" t="b">
        <v>0</v>
      </c>
      <c r="E4100" s="56">
        <f ca="1">IF(PV[[#This Row],[Business Date]]=Control!$C$6, PV[[#This Row],[Notional Value Local Cur]], -PV[[#This Row],[Notional Value Local Cur]])</f>
        <v>0</v>
      </c>
    </row>
    <row r="4101" spans="1:5" x14ac:dyDescent="0.25">
      <c r="A4101" s="36" t="b">
        <v>0</v>
      </c>
      <c r="B4101" s="56" t="b">
        <v>0</v>
      </c>
      <c r="C4101" s="56" t="b">
        <v>0</v>
      </c>
      <c r="D4101" s="56" t="b">
        <v>0</v>
      </c>
      <c r="E4101" s="56">
        <f ca="1">IF(PV[[#This Row],[Business Date]]=Control!$C$6, PV[[#This Row],[Notional Value Local Cur]], -PV[[#This Row],[Notional Value Local Cur]])</f>
        <v>0</v>
      </c>
    </row>
    <row r="4102" spans="1:5" x14ac:dyDescent="0.25">
      <c r="A4102" s="36" t="b">
        <v>0</v>
      </c>
      <c r="B4102" s="56" t="b">
        <v>0</v>
      </c>
      <c r="C4102" s="56" t="b">
        <v>0</v>
      </c>
      <c r="D4102" s="56" t="b">
        <v>0</v>
      </c>
      <c r="E4102" s="56">
        <f ca="1">IF(PV[[#This Row],[Business Date]]=Control!$C$6, PV[[#This Row],[Notional Value Local Cur]], -PV[[#This Row],[Notional Value Local Cur]])</f>
        <v>0</v>
      </c>
    </row>
    <row r="4103" spans="1:5" x14ac:dyDescent="0.25">
      <c r="A4103" s="36" t="b">
        <v>0</v>
      </c>
      <c r="B4103" s="56" t="b">
        <v>0</v>
      </c>
      <c r="C4103" s="56" t="b">
        <v>0</v>
      </c>
      <c r="D4103" s="56" t="b">
        <v>0</v>
      </c>
      <c r="E4103" s="56">
        <f ca="1">IF(PV[[#This Row],[Business Date]]=Control!$C$6, PV[[#This Row],[Notional Value Local Cur]], -PV[[#This Row],[Notional Value Local Cur]])</f>
        <v>0</v>
      </c>
    </row>
    <row r="4104" spans="1:5" x14ac:dyDescent="0.25">
      <c r="A4104" s="36" t="b">
        <v>0</v>
      </c>
      <c r="B4104" s="56" t="b">
        <v>0</v>
      </c>
      <c r="C4104" s="56" t="b">
        <v>0</v>
      </c>
      <c r="D4104" s="56" t="b">
        <v>0</v>
      </c>
      <c r="E4104" s="56">
        <f ca="1">IF(PV[[#This Row],[Business Date]]=Control!$C$6, PV[[#This Row],[Notional Value Local Cur]], -PV[[#This Row],[Notional Value Local Cur]])</f>
        <v>0</v>
      </c>
    </row>
    <row r="4105" spans="1:5" x14ac:dyDescent="0.25">
      <c r="A4105" s="36" t="b">
        <v>0</v>
      </c>
      <c r="B4105" s="56" t="b">
        <v>0</v>
      </c>
      <c r="C4105" s="56" t="b">
        <v>0</v>
      </c>
      <c r="D4105" s="56" t="b">
        <v>0</v>
      </c>
      <c r="E4105" s="56">
        <f ca="1">IF(PV[[#This Row],[Business Date]]=Control!$C$6, PV[[#This Row],[Notional Value Local Cur]], -PV[[#This Row],[Notional Value Local Cur]])</f>
        <v>0</v>
      </c>
    </row>
    <row r="4106" spans="1:5" x14ac:dyDescent="0.25">
      <c r="A4106" s="36" t="b">
        <v>0</v>
      </c>
      <c r="B4106" s="56" t="b">
        <v>0</v>
      </c>
      <c r="C4106" s="56" t="b">
        <v>0</v>
      </c>
      <c r="D4106" s="56" t="b">
        <v>0</v>
      </c>
      <c r="E4106" s="56">
        <f ca="1">IF(PV[[#This Row],[Business Date]]=Control!$C$6, PV[[#This Row],[Notional Value Local Cur]], -PV[[#This Row],[Notional Value Local Cur]])</f>
        <v>0</v>
      </c>
    </row>
    <row r="4107" spans="1:5" x14ac:dyDescent="0.25">
      <c r="A4107" s="36" t="b">
        <v>0</v>
      </c>
      <c r="B4107" s="56" t="b">
        <v>0</v>
      </c>
      <c r="C4107" s="56" t="b">
        <v>0</v>
      </c>
      <c r="D4107" s="56" t="b">
        <v>0</v>
      </c>
      <c r="E4107" s="56">
        <f ca="1">IF(PV[[#This Row],[Business Date]]=Control!$C$6, PV[[#This Row],[Notional Value Local Cur]], -PV[[#This Row],[Notional Value Local Cur]])</f>
        <v>0</v>
      </c>
    </row>
    <row r="4108" spans="1:5" x14ac:dyDescent="0.25">
      <c r="A4108" s="36" t="b">
        <v>0</v>
      </c>
      <c r="B4108" s="56" t="b">
        <v>0</v>
      </c>
      <c r="C4108" s="56" t="b">
        <v>0</v>
      </c>
      <c r="D4108" s="56" t="b">
        <v>0</v>
      </c>
      <c r="E4108" s="56">
        <f ca="1">IF(PV[[#This Row],[Business Date]]=Control!$C$6, PV[[#This Row],[Notional Value Local Cur]], -PV[[#This Row],[Notional Value Local Cur]])</f>
        <v>0</v>
      </c>
    </row>
    <row r="4109" spans="1:5" x14ac:dyDescent="0.25">
      <c r="A4109" s="36" t="b">
        <v>0</v>
      </c>
      <c r="B4109" s="56" t="b">
        <v>0</v>
      </c>
      <c r="C4109" s="56" t="b">
        <v>0</v>
      </c>
      <c r="D4109" s="56" t="b">
        <v>0</v>
      </c>
      <c r="E4109" s="56">
        <f ca="1">IF(PV[[#This Row],[Business Date]]=Control!$C$6, PV[[#This Row],[Notional Value Local Cur]], -PV[[#This Row],[Notional Value Local Cur]])</f>
        <v>0</v>
      </c>
    </row>
    <row r="4110" spans="1:5" x14ac:dyDescent="0.25">
      <c r="A4110" s="36" t="b">
        <v>0</v>
      </c>
      <c r="B4110" s="56" t="b">
        <v>0</v>
      </c>
      <c r="C4110" s="56" t="b">
        <v>0</v>
      </c>
      <c r="D4110" s="56" t="b">
        <v>0</v>
      </c>
      <c r="E4110" s="56">
        <f ca="1">IF(PV[[#This Row],[Business Date]]=Control!$C$6, PV[[#This Row],[Notional Value Local Cur]], -PV[[#This Row],[Notional Value Local Cur]])</f>
        <v>0</v>
      </c>
    </row>
    <row r="4111" spans="1:5" x14ac:dyDescent="0.25">
      <c r="A4111" s="36" t="b">
        <v>0</v>
      </c>
      <c r="B4111" s="56" t="b">
        <v>0</v>
      </c>
      <c r="C4111" s="56" t="b">
        <v>0</v>
      </c>
      <c r="D4111" s="56" t="b">
        <v>0</v>
      </c>
      <c r="E4111" s="56">
        <f ca="1">IF(PV[[#This Row],[Business Date]]=Control!$C$6, PV[[#This Row],[Notional Value Local Cur]], -PV[[#This Row],[Notional Value Local Cur]])</f>
        <v>0</v>
      </c>
    </row>
    <row r="4112" spans="1:5" x14ac:dyDescent="0.25">
      <c r="A4112" s="36" t="b">
        <v>0</v>
      </c>
      <c r="B4112" s="56" t="b">
        <v>0</v>
      </c>
      <c r="C4112" s="56" t="b">
        <v>0</v>
      </c>
      <c r="D4112" s="56" t="b">
        <v>0</v>
      </c>
      <c r="E4112" s="56">
        <f ca="1">IF(PV[[#This Row],[Business Date]]=Control!$C$6, PV[[#This Row],[Notional Value Local Cur]], -PV[[#This Row],[Notional Value Local Cur]])</f>
        <v>0</v>
      </c>
    </row>
    <row r="4113" spans="1:5" x14ac:dyDescent="0.25">
      <c r="A4113" s="36" t="b">
        <v>0</v>
      </c>
      <c r="B4113" s="56" t="b">
        <v>0</v>
      </c>
      <c r="C4113" s="56" t="b">
        <v>0</v>
      </c>
      <c r="D4113" s="56" t="b">
        <v>0</v>
      </c>
      <c r="E4113" s="56">
        <f ca="1">IF(PV[[#This Row],[Business Date]]=Control!$C$6, PV[[#This Row],[Notional Value Local Cur]], -PV[[#This Row],[Notional Value Local Cur]])</f>
        <v>0</v>
      </c>
    </row>
    <row r="4114" spans="1:5" x14ac:dyDescent="0.25">
      <c r="A4114" s="36" t="b">
        <v>0</v>
      </c>
      <c r="B4114" s="56" t="b">
        <v>0</v>
      </c>
      <c r="C4114" s="56" t="b">
        <v>0</v>
      </c>
      <c r="D4114" s="56" t="b">
        <v>0</v>
      </c>
      <c r="E4114" s="56">
        <f ca="1">IF(PV[[#This Row],[Business Date]]=Control!$C$6, PV[[#This Row],[Notional Value Local Cur]], -PV[[#This Row],[Notional Value Local Cur]])</f>
        <v>0</v>
      </c>
    </row>
    <row r="4115" spans="1:5" x14ac:dyDescent="0.25">
      <c r="A4115" s="36" t="b">
        <v>0</v>
      </c>
      <c r="B4115" s="56" t="b">
        <v>0</v>
      </c>
      <c r="C4115" s="56" t="b">
        <v>0</v>
      </c>
      <c r="D4115" s="56" t="b">
        <v>0</v>
      </c>
      <c r="E4115" s="56">
        <f ca="1">IF(PV[[#This Row],[Business Date]]=Control!$C$6, PV[[#This Row],[Notional Value Local Cur]], -PV[[#This Row],[Notional Value Local Cur]])</f>
        <v>0</v>
      </c>
    </row>
    <row r="4116" spans="1:5" x14ac:dyDescent="0.25">
      <c r="A4116" s="36" t="b">
        <v>0</v>
      </c>
      <c r="B4116" s="56" t="b">
        <v>0</v>
      </c>
      <c r="C4116" s="56" t="b">
        <v>0</v>
      </c>
      <c r="D4116" s="56" t="b">
        <v>0</v>
      </c>
      <c r="E4116" s="56">
        <f ca="1">IF(PV[[#This Row],[Business Date]]=Control!$C$6, PV[[#This Row],[Notional Value Local Cur]], -PV[[#This Row],[Notional Value Local Cur]])</f>
        <v>0</v>
      </c>
    </row>
    <row r="4117" spans="1:5" x14ac:dyDescent="0.25">
      <c r="A4117" s="36" t="b">
        <v>0</v>
      </c>
      <c r="B4117" s="56" t="b">
        <v>0</v>
      </c>
      <c r="C4117" s="56" t="b">
        <v>0</v>
      </c>
      <c r="D4117" s="56" t="b">
        <v>0</v>
      </c>
      <c r="E4117" s="56">
        <f ca="1">IF(PV[[#This Row],[Business Date]]=Control!$C$6, PV[[#This Row],[Notional Value Local Cur]], -PV[[#This Row],[Notional Value Local Cur]])</f>
        <v>0</v>
      </c>
    </row>
    <row r="4118" spans="1:5" x14ac:dyDescent="0.25">
      <c r="A4118" s="36" t="b">
        <v>0</v>
      </c>
      <c r="B4118" s="56" t="b">
        <v>0</v>
      </c>
      <c r="C4118" s="56" t="b">
        <v>0</v>
      </c>
      <c r="D4118" s="56" t="b">
        <v>0</v>
      </c>
      <c r="E4118" s="56">
        <f ca="1">IF(PV[[#This Row],[Business Date]]=Control!$C$6, PV[[#This Row],[Notional Value Local Cur]], -PV[[#This Row],[Notional Value Local Cur]])</f>
        <v>0</v>
      </c>
    </row>
    <row r="4119" spans="1:5" x14ac:dyDescent="0.25">
      <c r="A4119" s="36" t="b">
        <v>0</v>
      </c>
      <c r="B4119" s="56" t="b">
        <v>0</v>
      </c>
      <c r="C4119" s="56" t="b">
        <v>0</v>
      </c>
      <c r="D4119" s="56" t="b">
        <v>0</v>
      </c>
      <c r="E4119" s="56">
        <f ca="1">IF(PV[[#This Row],[Business Date]]=Control!$C$6, PV[[#This Row],[Notional Value Local Cur]], -PV[[#This Row],[Notional Value Local Cur]])</f>
        <v>0</v>
      </c>
    </row>
    <row r="4120" spans="1:5" x14ac:dyDescent="0.25">
      <c r="A4120" s="36" t="b">
        <v>0</v>
      </c>
      <c r="B4120" s="56" t="b">
        <v>0</v>
      </c>
      <c r="C4120" s="56" t="b">
        <v>0</v>
      </c>
      <c r="D4120" s="56" t="b">
        <v>0</v>
      </c>
      <c r="E4120" s="56">
        <f ca="1">IF(PV[[#This Row],[Business Date]]=Control!$C$6, PV[[#This Row],[Notional Value Local Cur]], -PV[[#This Row],[Notional Value Local Cur]])</f>
        <v>0</v>
      </c>
    </row>
    <row r="4121" spans="1:5" x14ac:dyDescent="0.25">
      <c r="A4121" s="36" t="b">
        <v>0</v>
      </c>
      <c r="B4121" s="56" t="b">
        <v>0</v>
      </c>
      <c r="C4121" s="56" t="b">
        <v>0</v>
      </c>
      <c r="D4121" s="56" t="b">
        <v>0</v>
      </c>
      <c r="E4121" s="56">
        <f ca="1">IF(PV[[#This Row],[Business Date]]=Control!$C$6, PV[[#This Row],[Notional Value Local Cur]], -PV[[#This Row],[Notional Value Local Cur]])</f>
        <v>0</v>
      </c>
    </row>
    <row r="4122" spans="1:5" x14ac:dyDescent="0.25">
      <c r="A4122" s="36" t="b">
        <v>0</v>
      </c>
      <c r="B4122" s="56" t="b">
        <v>0</v>
      </c>
      <c r="C4122" s="56" t="b">
        <v>0</v>
      </c>
      <c r="D4122" s="56" t="b">
        <v>0</v>
      </c>
      <c r="E4122" s="56">
        <f ca="1">IF(PV[[#This Row],[Business Date]]=Control!$C$6, PV[[#This Row],[Notional Value Local Cur]], -PV[[#This Row],[Notional Value Local Cur]])</f>
        <v>0</v>
      </c>
    </row>
    <row r="4123" spans="1:5" x14ac:dyDescent="0.25">
      <c r="A4123" s="36" t="b">
        <v>0</v>
      </c>
      <c r="B4123" s="56" t="b">
        <v>0</v>
      </c>
      <c r="C4123" s="56" t="b">
        <v>0</v>
      </c>
      <c r="D4123" s="56" t="b">
        <v>0</v>
      </c>
      <c r="E4123" s="56">
        <f ca="1">IF(PV[[#This Row],[Business Date]]=Control!$C$6, PV[[#This Row],[Notional Value Local Cur]], -PV[[#This Row],[Notional Value Local Cur]])</f>
        <v>0</v>
      </c>
    </row>
    <row r="4124" spans="1:5" x14ac:dyDescent="0.25">
      <c r="A4124" s="36" t="b">
        <v>0</v>
      </c>
      <c r="B4124" s="56" t="b">
        <v>0</v>
      </c>
      <c r="C4124" s="56" t="b">
        <v>0</v>
      </c>
      <c r="D4124" s="56" t="b">
        <v>0</v>
      </c>
      <c r="E4124" s="56">
        <f ca="1">IF(PV[[#This Row],[Business Date]]=Control!$C$6, PV[[#This Row],[Notional Value Local Cur]], -PV[[#This Row],[Notional Value Local Cur]])</f>
        <v>0</v>
      </c>
    </row>
    <row r="4125" spans="1:5" x14ac:dyDescent="0.25">
      <c r="A4125" s="36" t="b">
        <v>0</v>
      </c>
      <c r="B4125" s="56" t="b">
        <v>0</v>
      </c>
      <c r="C4125" s="56" t="b">
        <v>0</v>
      </c>
      <c r="D4125" s="56" t="b">
        <v>0</v>
      </c>
      <c r="E4125" s="56">
        <f ca="1">IF(PV[[#This Row],[Business Date]]=Control!$C$6, PV[[#This Row],[Notional Value Local Cur]], -PV[[#This Row],[Notional Value Local Cur]])</f>
        <v>0</v>
      </c>
    </row>
    <row r="4126" spans="1:5" x14ac:dyDescent="0.25">
      <c r="A4126" s="36" t="b">
        <v>0</v>
      </c>
      <c r="B4126" s="56" t="b">
        <v>0</v>
      </c>
      <c r="C4126" s="56" t="b">
        <v>0</v>
      </c>
      <c r="D4126" s="56" t="b">
        <v>0</v>
      </c>
      <c r="E4126" s="56">
        <f ca="1">IF(PV[[#This Row],[Business Date]]=Control!$C$6, PV[[#This Row],[Notional Value Local Cur]], -PV[[#This Row],[Notional Value Local Cur]])</f>
        <v>0</v>
      </c>
    </row>
    <row r="4127" spans="1:5" x14ac:dyDescent="0.25">
      <c r="A4127" s="36" t="b">
        <v>0</v>
      </c>
      <c r="B4127" s="56" t="b">
        <v>0</v>
      </c>
      <c r="C4127" s="56" t="b">
        <v>0</v>
      </c>
      <c r="D4127" s="56" t="b">
        <v>0</v>
      </c>
      <c r="E4127" s="56">
        <f ca="1">IF(PV[[#This Row],[Business Date]]=Control!$C$6, PV[[#This Row],[Notional Value Local Cur]], -PV[[#This Row],[Notional Value Local Cur]])</f>
        <v>0</v>
      </c>
    </row>
    <row r="4128" spans="1:5" x14ac:dyDescent="0.25">
      <c r="A4128" s="36" t="b">
        <v>0</v>
      </c>
      <c r="B4128" s="56" t="b">
        <v>0</v>
      </c>
      <c r="C4128" s="56" t="b">
        <v>0</v>
      </c>
      <c r="D4128" s="56" t="b">
        <v>0</v>
      </c>
      <c r="E4128" s="56">
        <f ca="1">IF(PV[[#This Row],[Business Date]]=Control!$C$6, PV[[#This Row],[Notional Value Local Cur]], -PV[[#This Row],[Notional Value Local Cur]])</f>
        <v>0</v>
      </c>
    </row>
    <row r="4129" spans="1:5" x14ac:dyDescent="0.25">
      <c r="A4129" s="36" t="b">
        <v>0</v>
      </c>
      <c r="B4129" s="56" t="b">
        <v>0</v>
      </c>
      <c r="C4129" s="56" t="b">
        <v>0</v>
      </c>
      <c r="D4129" s="56" t="b">
        <v>0</v>
      </c>
      <c r="E4129" s="56">
        <f ca="1">IF(PV[[#This Row],[Business Date]]=Control!$C$6, PV[[#This Row],[Notional Value Local Cur]], -PV[[#This Row],[Notional Value Local Cur]])</f>
        <v>0</v>
      </c>
    </row>
    <row r="4130" spans="1:5" x14ac:dyDescent="0.25">
      <c r="A4130" s="36" t="b">
        <v>0</v>
      </c>
      <c r="B4130" s="56" t="b">
        <v>0</v>
      </c>
      <c r="C4130" s="56" t="b">
        <v>0</v>
      </c>
      <c r="D4130" s="56" t="b">
        <v>0</v>
      </c>
      <c r="E4130" s="56">
        <f ca="1">IF(PV[[#This Row],[Business Date]]=Control!$C$6, PV[[#This Row],[Notional Value Local Cur]], -PV[[#This Row],[Notional Value Local Cur]])</f>
        <v>0</v>
      </c>
    </row>
    <row r="4131" spans="1:5" x14ac:dyDescent="0.25">
      <c r="A4131" s="36" t="b">
        <v>0</v>
      </c>
      <c r="B4131" s="56" t="b">
        <v>0</v>
      </c>
      <c r="C4131" s="56" t="b">
        <v>0</v>
      </c>
      <c r="D4131" s="56" t="b">
        <v>0</v>
      </c>
      <c r="E4131" s="56">
        <f ca="1">IF(PV[[#This Row],[Business Date]]=Control!$C$6, PV[[#This Row],[Notional Value Local Cur]], -PV[[#This Row],[Notional Value Local Cur]])</f>
        <v>0</v>
      </c>
    </row>
    <row r="4132" spans="1:5" x14ac:dyDescent="0.25">
      <c r="A4132" s="36" t="b">
        <v>0</v>
      </c>
      <c r="B4132" s="56" t="b">
        <v>0</v>
      </c>
      <c r="C4132" s="56" t="b">
        <v>0</v>
      </c>
      <c r="D4132" s="56" t="b">
        <v>0</v>
      </c>
      <c r="E4132" s="56">
        <f ca="1">IF(PV[[#This Row],[Business Date]]=Control!$C$6, PV[[#This Row],[Notional Value Local Cur]], -PV[[#This Row],[Notional Value Local Cur]])</f>
        <v>0</v>
      </c>
    </row>
    <row r="4133" spans="1:5" x14ac:dyDescent="0.25">
      <c r="A4133" s="36" t="b">
        <v>0</v>
      </c>
      <c r="B4133" s="56" t="b">
        <v>0</v>
      </c>
      <c r="C4133" s="56" t="b">
        <v>0</v>
      </c>
      <c r="D4133" s="56" t="b">
        <v>0</v>
      </c>
      <c r="E4133" s="56">
        <f ca="1">IF(PV[[#This Row],[Business Date]]=Control!$C$6, PV[[#This Row],[Notional Value Local Cur]], -PV[[#This Row],[Notional Value Local Cur]])</f>
        <v>0</v>
      </c>
    </row>
    <row r="4134" spans="1:5" x14ac:dyDescent="0.25">
      <c r="A4134" s="36" t="b">
        <v>0</v>
      </c>
      <c r="B4134" s="56" t="b">
        <v>0</v>
      </c>
      <c r="C4134" s="56" t="b">
        <v>0</v>
      </c>
      <c r="D4134" s="56" t="b">
        <v>0</v>
      </c>
      <c r="E4134" s="56">
        <f ca="1">IF(PV[[#This Row],[Business Date]]=Control!$C$6, PV[[#This Row],[Notional Value Local Cur]], -PV[[#This Row],[Notional Value Local Cur]])</f>
        <v>0</v>
      </c>
    </row>
    <row r="4135" spans="1:5" x14ac:dyDescent="0.25">
      <c r="A4135" s="36" t="b">
        <v>0</v>
      </c>
      <c r="B4135" s="56" t="b">
        <v>0</v>
      </c>
      <c r="C4135" s="56" t="b">
        <v>0</v>
      </c>
      <c r="D4135" s="56" t="b">
        <v>0</v>
      </c>
      <c r="E4135" s="56">
        <f ca="1">IF(PV[[#This Row],[Business Date]]=Control!$C$6, PV[[#This Row],[Notional Value Local Cur]], -PV[[#This Row],[Notional Value Local Cur]])</f>
        <v>0</v>
      </c>
    </row>
    <row r="4136" spans="1:5" x14ac:dyDescent="0.25">
      <c r="A4136" s="36" t="b">
        <v>0</v>
      </c>
      <c r="B4136" s="56" t="b">
        <v>0</v>
      </c>
      <c r="C4136" s="56" t="b">
        <v>0</v>
      </c>
      <c r="D4136" s="56" t="b">
        <v>0</v>
      </c>
      <c r="E4136" s="56">
        <f ca="1">IF(PV[[#This Row],[Business Date]]=Control!$C$6, PV[[#This Row],[Notional Value Local Cur]], -PV[[#This Row],[Notional Value Local Cur]])</f>
        <v>0</v>
      </c>
    </row>
    <row r="4137" spans="1:5" x14ac:dyDescent="0.25">
      <c r="A4137" s="36" t="b">
        <v>0</v>
      </c>
      <c r="B4137" s="56" t="b">
        <v>0</v>
      </c>
      <c r="C4137" s="56" t="b">
        <v>0</v>
      </c>
      <c r="D4137" s="56" t="b">
        <v>0</v>
      </c>
      <c r="E4137" s="56">
        <f ca="1">IF(PV[[#This Row],[Business Date]]=Control!$C$6, PV[[#This Row],[Notional Value Local Cur]], -PV[[#This Row],[Notional Value Local Cur]])</f>
        <v>0</v>
      </c>
    </row>
    <row r="4138" spans="1:5" x14ac:dyDescent="0.25">
      <c r="A4138" s="36" t="b">
        <v>0</v>
      </c>
      <c r="B4138" s="56" t="b">
        <v>0</v>
      </c>
      <c r="C4138" s="56" t="b">
        <v>0</v>
      </c>
      <c r="D4138" s="56" t="b">
        <v>0</v>
      </c>
      <c r="E4138" s="56">
        <f ca="1">IF(PV[[#This Row],[Business Date]]=Control!$C$6, PV[[#This Row],[Notional Value Local Cur]], -PV[[#This Row],[Notional Value Local Cur]])</f>
        <v>0</v>
      </c>
    </row>
    <row r="4139" spans="1:5" x14ac:dyDescent="0.25">
      <c r="A4139" s="36" t="b">
        <v>0</v>
      </c>
      <c r="B4139" s="56" t="b">
        <v>0</v>
      </c>
      <c r="C4139" s="56" t="b">
        <v>0</v>
      </c>
      <c r="D4139" s="56" t="b">
        <v>0</v>
      </c>
      <c r="E4139" s="56">
        <f ca="1">IF(PV[[#This Row],[Business Date]]=Control!$C$6, PV[[#This Row],[Notional Value Local Cur]], -PV[[#This Row],[Notional Value Local Cur]])</f>
        <v>0</v>
      </c>
    </row>
    <row r="4140" spans="1:5" x14ac:dyDescent="0.25">
      <c r="A4140" s="36" t="b">
        <v>0</v>
      </c>
      <c r="B4140" s="56" t="b">
        <v>0</v>
      </c>
      <c r="C4140" s="56" t="b">
        <v>0</v>
      </c>
      <c r="D4140" s="56" t="b">
        <v>0</v>
      </c>
      <c r="E4140" s="56">
        <f ca="1">IF(PV[[#This Row],[Business Date]]=Control!$C$6, PV[[#This Row],[Notional Value Local Cur]], -PV[[#This Row],[Notional Value Local Cur]])</f>
        <v>0</v>
      </c>
    </row>
    <row r="4141" spans="1:5" x14ac:dyDescent="0.25">
      <c r="A4141" s="36" t="b">
        <v>0</v>
      </c>
      <c r="B4141" s="56" t="b">
        <v>0</v>
      </c>
      <c r="C4141" s="56" t="b">
        <v>0</v>
      </c>
      <c r="D4141" s="56" t="b">
        <v>0</v>
      </c>
      <c r="E4141" s="56">
        <f ca="1">IF(PV[[#This Row],[Business Date]]=Control!$C$6, PV[[#This Row],[Notional Value Local Cur]], -PV[[#This Row],[Notional Value Local Cur]])</f>
        <v>0</v>
      </c>
    </row>
    <row r="4142" spans="1:5" x14ac:dyDescent="0.25">
      <c r="A4142" s="36" t="b">
        <v>0</v>
      </c>
      <c r="B4142" s="56" t="b">
        <v>0</v>
      </c>
      <c r="C4142" s="56" t="b">
        <v>0</v>
      </c>
      <c r="D4142" s="56" t="b">
        <v>0</v>
      </c>
      <c r="E4142" s="56">
        <f ca="1">IF(PV[[#This Row],[Business Date]]=Control!$C$6, PV[[#This Row],[Notional Value Local Cur]], -PV[[#This Row],[Notional Value Local Cur]])</f>
        <v>0</v>
      </c>
    </row>
    <row r="4143" spans="1:5" x14ac:dyDescent="0.25">
      <c r="A4143" s="36" t="b">
        <v>0</v>
      </c>
      <c r="B4143" s="56" t="b">
        <v>0</v>
      </c>
      <c r="C4143" s="56" t="b">
        <v>0</v>
      </c>
      <c r="D4143" s="56" t="b">
        <v>0</v>
      </c>
      <c r="E4143" s="56">
        <f ca="1">IF(PV[[#This Row],[Business Date]]=Control!$C$6, PV[[#This Row],[Notional Value Local Cur]], -PV[[#This Row],[Notional Value Local Cur]])</f>
        <v>0</v>
      </c>
    </row>
    <row r="4144" spans="1:5" x14ac:dyDescent="0.25">
      <c r="A4144" s="36" t="b">
        <v>0</v>
      </c>
      <c r="B4144" s="56" t="b">
        <v>0</v>
      </c>
      <c r="C4144" s="56" t="b">
        <v>0</v>
      </c>
      <c r="D4144" s="56" t="b">
        <v>0</v>
      </c>
      <c r="E4144" s="56">
        <f ca="1">IF(PV[[#This Row],[Business Date]]=Control!$C$6, PV[[#This Row],[Notional Value Local Cur]], -PV[[#This Row],[Notional Value Local Cur]])</f>
        <v>0</v>
      </c>
    </row>
    <row r="4145" spans="1:5" x14ac:dyDescent="0.25">
      <c r="A4145" s="36" t="b">
        <v>0</v>
      </c>
      <c r="B4145" s="56" t="b">
        <v>0</v>
      </c>
      <c r="C4145" s="56" t="b">
        <v>0</v>
      </c>
      <c r="D4145" s="56" t="b">
        <v>0</v>
      </c>
      <c r="E4145" s="56">
        <f ca="1">IF(PV[[#This Row],[Business Date]]=Control!$C$6, PV[[#This Row],[Notional Value Local Cur]], -PV[[#This Row],[Notional Value Local Cur]])</f>
        <v>0</v>
      </c>
    </row>
    <row r="4146" spans="1:5" x14ac:dyDescent="0.25">
      <c r="A4146" s="36" t="b">
        <v>0</v>
      </c>
      <c r="B4146" s="56" t="b">
        <v>0</v>
      </c>
      <c r="C4146" s="56" t="b">
        <v>0</v>
      </c>
      <c r="D4146" s="56" t="b">
        <v>0</v>
      </c>
      <c r="E4146" s="56">
        <f ca="1">IF(PV[[#This Row],[Business Date]]=Control!$C$6, PV[[#This Row],[Notional Value Local Cur]], -PV[[#This Row],[Notional Value Local Cur]])</f>
        <v>0</v>
      </c>
    </row>
    <row r="4147" spans="1:5" x14ac:dyDescent="0.25">
      <c r="A4147" s="36" t="b">
        <v>0</v>
      </c>
      <c r="B4147" s="56" t="b">
        <v>0</v>
      </c>
      <c r="C4147" s="56" t="b">
        <v>0</v>
      </c>
      <c r="D4147" s="56" t="b">
        <v>0</v>
      </c>
      <c r="E4147" s="56">
        <f ca="1">IF(PV[[#This Row],[Business Date]]=Control!$C$6, PV[[#This Row],[Notional Value Local Cur]], -PV[[#This Row],[Notional Value Local Cur]])</f>
        <v>0</v>
      </c>
    </row>
    <row r="4148" spans="1:5" x14ac:dyDescent="0.25">
      <c r="A4148" s="36" t="b">
        <v>0</v>
      </c>
      <c r="B4148" s="56" t="b">
        <v>0</v>
      </c>
      <c r="C4148" s="56" t="b">
        <v>0</v>
      </c>
      <c r="D4148" s="56" t="b">
        <v>0</v>
      </c>
      <c r="E4148" s="56">
        <f ca="1">IF(PV[[#This Row],[Business Date]]=Control!$C$6, PV[[#This Row],[Notional Value Local Cur]], -PV[[#This Row],[Notional Value Local Cur]])</f>
        <v>0</v>
      </c>
    </row>
    <row r="4149" spans="1:5" x14ac:dyDescent="0.25">
      <c r="A4149" s="36" t="b">
        <v>0</v>
      </c>
      <c r="B4149" s="56" t="b">
        <v>0</v>
      </c>
      <c r="C4149" s="56" t="b">
        <v>0</v>
      </c>
      <c r="D4149" s="56" t="b">
        <v>0</v>
      </c>
      <c r="E4149" s="56">
        <f ca="1">IF(PV[[#This Row],[Business Date]]=Control!$C$6, PV[[#This Row],[Notional Value Local Cur]], -PV[[#This Row],[Notional Value Local Cur]])</f>
        <v>0</v>
      </c>
    </row>
    <row r="4150" spans="1:5" x14ac:dyDescent="0.25">
      <c r="A4150" s="36" t="b">
        <v>0</v>
      </c>
      <c r="B4150" s="56" t="b">
        <v>0</v>
      </c>
      <c r="C4150" s="56" t="b">
        <v>0</v>
      </c>
      <c r="D4150" s="56" t="b">
        <v>0</v>
      </c>
      <c r="E4150" s="56">
        <f ca="1">IF(PV[[#This Row],[Business Date]]=Control!$C$6, PV[[#This Row],[Notional Value Local Cur]], -PV[[#This Row],[Notional Value Local Cur]])</f>
        <v>0</v>
      </c>
    </row>
    <row r="4151" spans="1:5" x14ac:dyDescent="0.25">
      <c r="A4151" s="36" t="b">
        <v>0</v>
      </c>
      <c r="B4151" s="56" t="b">
        <v>0</v>
      </c>
      <c r="C4151" s="56" t="b">
        <v>0</v>
      </c>
      <c r="D4151" s="56" t="b">
        <v>0</v>
      </c>
      <c r="E4151" s="56">
        <f ca="1">IF(PV[[#This Row],[Business Date]]=Control!$C$6, PV[[#This Row],[Notional Value Local Cur]], -PV[[#This Row],[Notional Value Local Cur]])</f>
        <v>0</v>
      </c>
    </row>
    <row r="4152" spans="1:5" x14ac:dyDescent="0.25">
      <c r="A4152" s="36" t="b">
        <v>0</v>
      </c>
      <c r="B4152" s="56" t="b">
        <v>0</v>
      </c>
      <c r="C4152" s="56" t="b">
        <v>0</v>
      </c>
      <c r="D4152" s="56" t="b">
        <v>0</v>
      </c>
      <c r="E4152" s="56">
        <f ca="1">IF(PV[[#This Row],[Business Date]]=Control!$C$6, PV[[#This Row],[Notional Value Local Cur]], -PV[[#This Row],[Notional Value Local Cur]])</f>
        <v>0</v>
      </c>
    </row>
    <row r="4153" spans="1:5" x14ac:dyDescent="0.25">
      <c r="A4153" s="36" t="b">
        <v>0</v>
      </c>
      <c r="B4153" s="56" t="b">
        <v>0</v>
      </c>
      <c r="C4153" s="56" t="b">
        <v>0</v>
      </c>
      <c r="D4153" s="56" t="b">
        <v>0</v>
      </c>
      <c r="E4153" s="56">
        <f ca="1">IF(PV[[#This Row],[Business Date]]=Control!$C$6, PV[[#This Row],[Notional Value Local Cur]], -PV[[#This Row],[Notional Value Local Cur]])</f>
        <v>0</v>
      </c>
    </row>
    <row r="4154" spans="1:5" x14ac:dyDescent="0.25">
      <c r="A4154" s="36" t="b">
        <v>0</v>
      </c>
      <c r="B4154" s="56" t="b">
        <v>0</v>
      </c>
      <c r="C4154" s="56" t="b">
        <v>0</v>
      </c>
      <c r="D4154" s="56" t="b">
        <v>0</v>
      </c>
      <c r="E4154" s="56">
        <f ca="1">IF(PV[[#This Row],[Business Date]]=Control!$C$6, PV[[#This Row],[Notional Value Local Cur]], -PV[[#This Row],[Notional Value Local Cur]])</f>
        <v>0</v>
      </c>
    </row>
    <row r="4155" spans="1:5" x14ac:dyDescent="0.25">
      <c r="A4155" s="36" t="b">
        <v>0</v>
      </c>
      <c r="B4155" s="56" t="b">
        <v>0</v>
      </c>
      <c r="C4155" s="56" t="b">
        <v>0</v>
      </c>
      <c r="D4155" s="56" t="b">
        <v>0</v>
      </c>
      <c r="E4155" s="56">
        <f ca="1">IF(PV[[#This Row],[Business Date]]=Control!$C$6, PV[[#This Row],[Notional Value Local Cur]], -PV[[#This Row],[Notional Value Local Cur]])</f>
        <v>0</v>
      </c>
    </row>
    <row r="4156" spans="1:5" x14ac:dyDescent="0.25">
      <c r="A4156" s="36" t="b">
        <v>0</v>
      </c>
      <c r="B4156" s="56" t="b">
        <v>0</v>
      </c>
      <c r="C4156" s="56" t="b">
        <v>0</v>
      </c>
      <c r="D4156" s="56" t="b">
        <v>0</v>
      </c>
      <c r="E4156" s="56">
        <f ca="1">IF(PV[[#This Row],[Business Date]]=Control!$C$6, PV[[#This Row],[Notional Value Local Cur]], -PV[[#This Row],[Notional Value Local Cur]])</f>
        <v>0</v>
      </c>
    </row>
    <row r="4157" spans="1:5" x14ac:dyDescent="0.25">
      <c r="A4157" s="36" t="b">
        <v>0</v>
      </c>
      <c r="B4157" s="56" t="b">
        <v>0</v>
      </c>
      <c r="C4157" s="56" t="b">
        <v>0</v>
      </c>
      <c r="D4157" s="56" t="b">
        <v>0</v>
      </c>
      <c r="E4157" s="56">
        <f ca="1">IF(PV[[#This Row],[Business Date]]=Control!$C$6, PV[[#This Row],[Notional Value Local Cur]], -PV[[#This Row],[Notional Value Local Cur]])</f>
        <v>0</v>
      </c>
    </row>
    <row r="4158" spans="1:5" x14ac:dyDescent="0.25">
      <c r="A4158" s="36" t="b">
        <v>0</v>
      </c>
      <c r="B4158" s="56" t="b">
        <v>0</v>
      </c>
      <c r="C4158" s="56" t="b">
        <v>0</v>
      </c>
      <c r="D4158" s="56" t="b">
        <v>0</v>
      </c>
      <c r="E4158" s="56">
        <f ca="1">IF(PV[[#This Row],[Business Date]]=Control!$C$6, PV[[#This Row],[Notional Value Local Cur]], -PV[[#This Row],[Notional Value Local Cur]])</f>
        <v>0</v>
      </c>
    </row>
    <row r="4159" spans="1:5" x14ac:dyDescent="0.25">
      <c r="A4159" s="36" t="b">
        <v>0</v>
      </c>
      <c r="B4159" s="56" t="b">
        <v>0</v>
      </c>
      <c r="C4159" s="56" t="b">
        <v>0</v>
      </c>
      <c r="D4159" s="56" t="b">
        <v>0</v>
      </c>
      <c r="E4159" s="56">
        <f ca="1">IF(PV[[#This Row],[Business Date]]=Control!$C$6, PV[[#This Row],[Notional Value Local Cur]], -PV[[#This Row],[Notional Value Local Cur]])</f>
        <v>0</v>
      </c>
    </row>
    <row r="4160" spans="1:5" x14ac:dyDescent="0.25">
      <c r="A4160" s="36" t="b">
        <v>0</v>
      </c>
      <c r="B4160" s="56" t="b">
        <v>0</v>
      </c>
      <c r="C4160" s="56" t="b">
        <v>0</v>
      </c>
      <c r="D4160" s="56" t="b">
        <v>0</v>
      </c>
      <c r="E4160" s="56">
        <f ca="1">IF(PV[[#This Row],[Business Date]]=Control!$C$6, PV[[#This Row],[Notional Value Local Cur]], -PV[[#This Row],[Notional Value Local Cur]])</f>
        <v>0</v>
      </c>
    </row>
    <row r="4161" spans="1:5" x14ac:dyDescent="0.25">
      <c r="A4161" s="36" t="b">
        <v>0</v>
      </c>
      <c r="B4161" s="56" t="b">
        <v>0</v>
      </c>
      <c r="C4161" s="56" t="b">
        <v>0</v>
      </c>
      <c r="D4161" s="56" t="b">
        <v>0</v>
      </c>
      <c r="E4161" s="56">
        <f ca="1">IF(PV[[#This Row],[Business Date]]=Control!$C$6, PV[[#This Row],[Notional Value Local Cur]], -PV[[#This Row],[Notional Value Local Cur]])</f>
        <v>0</v>
      </c>
    </row>
    <row r="4162" spans="1:5" x14ac:dyDescent="0.25">
      <c r="A4162" s="36" t="b">
        <v>0</v>
      </c>
      <c r="B4162" s="56" t="b">
        <v>0</v>
      </c>
      <c r="C4162" s="56" t="b">
        <v>0</v>
      </c>
      <c r="D4162" s="56" t="b">
        <v>0</v>
      </c>
      <c r="E4162" s="56">
        <f ca="1">IF(PV[[#This Row],[Business Date]]=Control!$C$6, PV[[#This Row],[Notional Value Local Cur]], -PV[[#This Row],[Notional Value Local Cur]])</f>
        <v>0</v>
      </c>
    </row>
    <row r="4163" spans="1:5" x14ac:dyDescent="0.25">
      <c r="A4163" s="36" t="b">
        <v>0</v>
      </c>
      <c r="B4163" s="56" t="b">
        <v>0</v>
      </c>
      <c r="C4163" s="56" t="b">
        <v>0</v>
      </c>
      <c r="D4163" s="56" t="b">
        <v>0</v>
      </c>
      <c r="E4163" s="56">
        <f ca="1">IF(PV[[#This Row],[Business Date]]=Control!$C$6, PV[[#This Row],[Notional Value Local Cur]], -PV[[#This Row],[Notional Value Local Cur]])</f>
        <v>0</v>
      </c>
    </row>
    <row r="4164" spans="1:5" x14ac:dyDescent="0.25">
      <c r="A4164" s="36" t="b">
        <v>0</v>
      </c>
      <c r="B4164" s="56" t="b">
        <v>0</v>
      </c>
      <c r="C4164" s="56" t="b">
        <v>0</v>
      </c>
      <c r="D4164" s="56" t="b">
        <v>0</v>
      </c>
      <c r="E4164" s="56">
        <f ca="1">IF(PV[[#This Row],[Business Date]]=Control!$C$6, PV[[#This Row],[Notional Value Local Cur]], -PV[[#This Row],[Notional Value Local Cur]])</f>
        <v>0</v>
      </c>
    </row>
    <row r="4165" spans="1:5" x14ac:dyDescent="0.25">
      <c r="A4165" s="36" t="b">
        <v>0</v>
      </c>
      <c r="B4165" s="56" t="b">
        <v>0</v>
      </c>
      <c r="C4165" s="56" t="b">
        <v>0</v>
      </c>
      <c r="D4165" s="56" t="b">
        <v>0</v>
      </c>
      <c r="E4165" s="56">
        <f ca="1">IF(PV[[#This Row],[Business Date]]=Control!$C$6, PV[[#This Row],[Notional Value Local Cur]], -PV[[#This Row],[Notional Value Local Cur]])</f>
        <v>0</v>
      </c>
    </row>
    <row r="4166" spans="1:5" x14ac:dyDescent="0.25">
      <c r="A4166" s="36" t="b">
        <v>0</v>
      </c>
      <c r="B4166" s="56" t="b">
        <v>0</v>
      </c>
      <c r="C4166" s="56" t="b">
        <v>0</v>
      </c>
      <c r="D4166" s="56" t="b">
        <v>0</v>
      </c>
      <c r="E4166" s="56">
        <f ca="1">IF(PV[[#This Row],[Business Date]]=Control!$C$6, PV[[#This Row],[Notional Value Local Cur]], -PV[[#This Row],[Notional Value Local Cur]])</f>
        <v>0</v>
      </c>
    </row>
    <row r="4167" spans="1:5" x14ac:dyDescent="0.25">
      <c r="A4167" s="36" t="b">
        <v>0</v>
      </c>
      <c r="B4167" s="56" t="b">
        <v>0</v>
      </c>
      <c r="C4167" s="56" t="b">
        <v>0</v>
      </c>
      <c r="D4167" s="56" t="b">
        <v>0</v>
      </c>
      <c r="E4167" s="56">
        <f ca="1">IF(PV[[#This Row],[Business Date]]=Control!$C$6, PV[[#This Row],[Notional Value Local Cur]], -PV[[#This Row],[Notional Value Local Cur]])</f>
        <v>0</v>
      </c>
    </row>
    <row r="4168" spans="1:5" x14ac:dyDescent="0.25">
      <c r="A4168" s="36" t="b">
        <v>0</v>
      </c>
      <c r="B4168" s="56" t="b">
        <v>0</v>
      </c>
      <c r="C4168" s="56" t="b">
        <v>0</v>
      </c>
      <c r="D4168" s="56" t="b">
        <v>0</v>
      </c>
      <c r="E4168" s="56">
        <f ca="1">IF(PV[[#This Row],[Business Date]]=Control!$C$6, PV[[#This Row],[Notional Value Local Cur]], -PV[[#This Row],[Notional Value Local Cur]])</f>
        <v>0</v>
      </c>
    </row>
    <row r="4169" spans="1:5" x14ac:dyDescent="0.25">
      <c r="A4169" s="36" t="b">
        <v>0</v>
      </c>
      <c r="B4169" s="56" t="b">
        <v>0</v>
      </c>
      <c r="C4169" s="56" t="b">
        <v>0</v>
      </c>
      <c r="D4169" s="56" t="b">
        <v>0</v>
      </c>
      <c r="E4169" s="56">
        <f ca="1">IF(PV[[#This Row],[Business Date]]=Control!$C$6, PV[[#This Row],[Notional Value Local Cur]], -PV[[#This Row],[Notional Value Local Cur]])</f>
        <v>0</v>
      </c>
    </row>
    <row r="4170" spans="1:5" x14ac:dyDescent="0.25">
      <c r="A4170" s="36" t="b">
        <v>0</v>
      </c>
      <c r="B4170" s="56" t="b">
        <v>0</v>
      </c>
      <c r="C4170" s="56" t="b">
        <v>0</v>
      </c>
      <c r="D4170" s="56" t="b">
        <v>0</v>
      </c>
      <c r="E4170" s="56">
        <f ca="1">IF(PV[[#This Row],[Business Date]]=Control!$C$6, PV[[#This Row],[Notional Value Local Cur]], -PV[[#This Row],[Notional Value Local Cur]])</f>
        <v>0</v>
      </c>
    </row>
    <row r="4171" spans="1:5" x14ac:dyDescent="0.25">
      <c r="A4171" s="36" t="b">
        <v>0</v>
      </c>
      <c r="B4171" s="56" t="b">
        <v>0</v>
      </c>
      <c r="C4171" s="56" t="b">
        <v>0</v>
      </c>
      <c r="D4171" s="56" t="b">
        <v>0</v>
      </c>
      <c r="E4171" s="56">
        <f ca="1">IF(PV[[#This Row],[Business Date]]=Control!$C$6, PV[[#This Row],[Notional Value Local Cur]], -PV[[#This Row],[Notional Value Local Cur]])</f>
        <v>0</v>
      </c>
    </row>
    <row r="4172" spans="1:5" x14ac:dyDescent="0.25">
      <c r="A4172" s="36" t="b">
        <v>0</v>
      </c>
      <c r="B4172" s="56" t="b">
        <v>0</v>
      </c>
      <c r="C4172" s="56" t="b">
        <v>0</v>
      </c>
      <c r="D4172" s="56" t="b">
        <v>0</v>
      </c>
      <c r="E4172" s="56">
        <f ca="1">IF(PV[[#This Row],[Business Date]]=Control!$C$6, PV[[#This Row],[Notional Value Local Cur]], -PV[[#This Row],[Notional Value Local Cur]])</f>
        <v>0</v>
      </c>
    </row>
    <row r="4173" spans="1:5" x14ac:dyDescent="0.25">
      <c r="A4173" s="36" t="b">
        <v>0</v>
      </c>
      <c r="B4173" s="56" t="b">
        <v>0</v>
      </c>
      <c r="C4173" s="56" t="b">
        <v>0</v>
      </c>
      <c r="D4173" s="56" t="b">
        <v>0</v>
      </c>
      <c r="E4173" s="56">
        <f ca="1">IF(PV[[#This Row],[Business Date]]=Control!$C$6, PV[[#This Row],[Notional Value Local Cur]], -PV[[#This Row],[Notional Value Local Cur]])</f>
        <v>0</v>
      </c>
    </row>
    <row r="4174" spans="1:5" x14ac:dyDescent="0.25">
      <c r="A4174" s="36" t="b">
        <v>0</v>
      </c>
      <c r="B4174" s="56" t="b">
        <v>0</v>
      </c>
      <c r="C4174" s="56" t="b">
        <v>0</v>
      </c>
      <c r="D4174" s="56" t="b">
        <v>0</v>
      </c>
      <c r="E4174" s="56">
        <f ca="1">IF(PV[[#This Row],[Business Date]]=Control!$C$6, PV[[#This Row],[Notional Value Local Cur]], -PV[[#This Row],[Notional Value Local Cur]])</f>
        <v>0</v>
      </c>
    </row>
    <row r="4175" spans="1:5" x14ac:dyDescent="0.25">
      <c r="A4175" s="36" t="b">
        <v>0</v>
      </c>
      <c r="B4175" s="56" t="b">
        <v>0</v>
      </c>
      <c r="C4175" s="56" t="b">
        <v>0</v>
      </c>
      <c r="D4175" s="56" t="b">
        <v>0</v>
      </c>
      <c r="E4175" s="56">
        <f ca="1">IF(PV[[#This Row],[Business Date]]=Control!$C$6, PV[[#This Row],[Notional Value Local Cur]], -PV[[#This Row],[Notional Value Local Cur]])</f>
        <v>0</v>
      </c>
    </row>
    <row r="4176" spans="1:5" x14ac:dyDescent="0.25">
      <c r="A4176" s="36" t="b">
        <v>0</v>
      </c>
      <c r="B4176" s="56" t="b">
        <v>0</v>
      </c>
      <c r="C4176" s="56" t="b">
        <v>0</v>
      </c>
      <c r="D4176" s="56" t="b">
        <v>0</v>
      </c>
      <c r="E4176" s="56">
        <f ca="1">IF(PV[[#This Row],[Business Date]]=Control!$C$6, PV[[#This Row],[Notional Value Local Cur]], -PV[[#This Row],[Notional Value Local Cur]])</f>
        <v>0</v>
      </c>
    </row>
    <row r="4177" spans="1:5" x14ac:dyDescent="0.25">
      <c r="A4177" s="36" t="b">
        <v>0</v>
      </c>
      <c r="B4177" s="56" t="b">
        <v>0</v>
      </c>
      <c r="C4177" s="56" t="b">
        <v>0</v>
      </c>
      <c r="D4177" s="56" t="b">
        <v>0</v>
      </c>
      <c r="E4177" s="56">
        <f ca="1">IF(PV[[#This Row],[Business Date]]=Control!$C$6, PV[[#This Row],[Notional Value Local Cur]], -PV[[#This Row],[Notional Value Local Cur]])</f>
        <v>0</v>
      </c>
    </row>
    <row r="4178" spans="1:5" x14ac:dyDescent="0.25">
      <c r="A4178" s="36" t="b">
        <v>0</v>
      </c>
      <c r="B4178" s="56" t="b">
        <v>0</v>
      </c>
      <c r="C4178" s="56" t="b">
        <v>0</v>
      </c>
      <c r="D4178" s="56" t="b">
        <v>0</v>
      </c>
      <c r="E4178" s="56">
        <f ca="1">IF(PV[[#This Row],[Business Date]]=Control!$C$6, PV[[#This Row],[Notional Value Local Cur]], -PV[[#This Row],[Notional Value Local Cur]])</f>
        <v>0</v>
      </c>
    </row>
    <row r="4179" spans="1:5" x14ac:dyDescent="0.25">
      <c r="A4179" s="36" t="b">
        <v>0</v>
      </c>
      <c r="B4179" s="56" t="b">
        <v>0</v>
      </c>
      <c r="C4179" s="56" t="b">
        <v>0</v>
      </c>
      <c r="D4179" s="56" t="b">
        <v>0</v>
      </c>
      <c r="E4179" s="56">
        <f ca="1">IF(PV[[#This Row],[Business Date]]=Control!$C$6, PV[[#This Row],[Notional Value Local Cur]], -PV[[#This Row],[Notional Value Local Cur]])</f>
        <v>0</v>
      </c>
    </row>
    <row r="4180" spans="1:5" x14ac:dyDescent="0.25">
      <c r="A4180" s="36" t="b">
        <v>0</v>
      </c>
      <c r="B4180" s="56" t="b">
        <v>0</v>
      </c>
      <c r="C4180" s="56" t="b">
        <v>0</v>
      </c>
      <c r="D4180" s="56" t="b">
        <v>0</v>
      </c>
      <c r="E4180" s="56">
        <f ca="1">IF(PV[[#This Row],[Business Date]]=Control!$C$6, PV[[#This Row],[Notional Value Local Cur]], -PV[[#This Row],[Notional Value Local Cur]])</f>
        <v>0</v>
      </c>
    </row>
    <row r="4181" spans="1:5" x14ac:dyDescent="0.25">
      <c r="A4181" s="36" t="b">
        <v>0</v>
      </c>
      <c r="B4181" s="56" t="b">
        <v>0</v>
      </c>
      <c r="C4181" s="56" t="b">
        <v>0</v>
      </c>
      <c r="D4181" s="56" t="b">
        <v>0</v>
      </c>
      <c r="E4181" s="56">
        <f ca="1">IF(PV[[#This Row],[Business Date]]=Control!$C$6, PV[[#This Row],[Notional Value Local Cur]], -PV[[#This Row],[Notional Value Local Cur]])</f>
        <v>0</v>
      </c>
    </row>
    <row r="4182" spans="1:5" x14ac:dyDescent="0.25">
      <c r="A4182" s="36" t="b">
        <v>0</v>
      </c>
      <c r="B4182" s="56" t="b">
        <v>0</v>
      </c>
      <c r="C4182" s="56" t="b">
        <v>0</v>
      </c>
      <c r="D4182" s="56" t="b">
        <v>0</v>
      </c>
      <c r="E4182" s="56">
        <f ca="1">IF(PV[[#This Row],[Business Date]]=Control!$C$6, PV[[#This Row],[Notional Value Local Cur]], -PV[[#This Row],[Notional Value Local Cur]])</f>
        <v>0</v>
      </c>
    </row>
    <row r="4183" spans="1:5" x14ac:dyDescent="0.25">
      <c r="A4183" s="36" t="b">
        <v>0</v>
      </c>
      <c r="B4183" s="56" t="b">
        <v>0</v>
      </c>
      <c r="C4183" s="56" t="b">
        <v>0</v>
      </c>
      <c r="D4183" s="56" t="b">
        <v>0</v>
      </c>
      <c r="E4183" s="56">
        <f ca="1">IF(PV[[#This Row],[Business Date]]=Control!$C$6, PV[[#This Row],[Notional Value Local Cur]], -PV[[#This Row],[Notional Value Local Cur]])</f>
        <v>0</v>
      </c>
    </row>
    <row r="4184" spans="1:5" x14ac:dyDescent="0.25">
      <c r="A4184" s="36" t="b">
        <v>0</v>
      </c>
      <c r="B4184" s="56" t="b">
        <v>0</v>
      </c>
      <c r="C4184" s="56" t="b">
        <v>0</v>
      </c>
      <c r="D4184" s="56" t="b">
        <v>0</v>
      </c>
      <c r="E4184" s="56">
        <f ca="1">IF(PV[[#This Row],[Business Date]]=Control!$C$6, PV[[#This Row],[Notional Value Local Cur]], -PV[[#This Row],[Notional Value Local Cur]])</f>
        <v>0</v>
      </c>
    </row>
    <row r="4185" spans="1:5" x14ac:dyDescent="0.25">
      <c r="A4185" s="36" t="b">
        <v>0</v>
      </c>
      <c r="B4185" s="56" t="b">
        <v>0</v>
      </c>
      <c r="C4185" s="56" t="b">
        <v>0</v>
      </c>
      <c r="D4185" s="56" t="b">
        <v>0</v>
      </c>
      <c r="E4185" s="56">
        <f ca="1">IF(PV[[#This Row],[Business Date]]=Control!$C$6, PV[[#This Row],[Notional Value Local Cur]], -PV[[#This Row],[Notional Value Local Cur]])</f>
        <v>0</v>
      </c>
    </row>
    <row r="4186" spans="1:5" x14ac:dyDescent="0.25">
      <c r="A4186" s="36" t="b">
        <v>0</v>
      </c>
      <c r="B4186" s="56" t="b">
        <v>0</v>
      </c>
      <c r="C4186" s="56" t="b">
        <v>0</v>
      </c>
      <c r="D4186" s="56" t="b">
        <v>0</v>
      </c>
      <c r="E4186" s="56">
        <f ca="1">IF(PV[[#This Row],[Business Date]]=Control!$C$6, PV[[#This Row],[Notional Value Local Cur]], -PV[[#This Row],[Notional Value Local Cur]])</f>
        <v>0</v>
      </c>
    </row>
    <row r="4187" spans="1:5" x14ac:dyDescent="0.25">
      <c r="A4187" s="36" t="b">
        <v>0</v>
      </c>
      <c r="B4187" s="56" t="b">
        <v>0</v>
      </c>
      <c r="C4187" s="56" t="b">
        <v>0</v>
      </c>
      <c r="D4187" s="56" t="b">
        <v>0</v>
      </c>
      <c r="E4187" s="56">
        <f ca="1">IF(PV[[#This Row],[Business Date]]=Control!$C$6, PV[[#This Row],[Notional Value Local Cur]], -PV[[#This Row],[Notional Value Local Cur]])</f>
        <v>0</v>
      </c>
    </row>
    <row r="4188" spans="1:5" x14ac:dyDescent="0.25">
      <c r="A4188" s="36" t="b">
        <v>0</v>
      </c>
      <c r="B4188" s="56" t="b">
        <v>0</v>
      </c>
      <c r="C4188" s="56" t="b">
        <v>0</v>
      </c>
      <c r="D4188" s="56" t="b">
        <v>0</v>
      </c>
      <c r="E4188" s="56">
        <f ca="1">IF(PV[[#This Row],[Business Date]]=Control!$C$6, PV[[#This Row],[Notional Value Local Cur]], -PV[[#This Row],[Notional Value Local Cur]])</f>
        <v>0</v>
      </c>
    </row>
    <row r="4189" spans="1:5" x14ac:dyDescent="0.25">
      <c r="A4189" s="36" t="b">
        <v>0</v>
      </c>
      <c r="B4189" s="56" t="b">
        <v>0</v>
      </c>
      <c r="C4189" s="56" t="b">
        <v>0</v>
      </c>
      <c r="D4189" s="56" t="b">
        <v>0</v>
      </c>
      <c r="E4189" s="56">
        <f ca="1">IF(PV[[#This Row],[Business Date]]=Control!$C$6, PV[[#This Row],[Notional Value Local Cur]], -PV[[#This Row],[Notional Value Local Cur]])</f>
        <v>0</v>
      </c>
    </row>
    <row r="4190" spans="1:5" x14ac:dyDescent="0.25">
      <c r="A4190" s="36" t="b">
        <v>0</v>
      </c>
      <c r="B4190" s="56" t="b">
        <v>0</v>
      </c>
      <c r="C4190" s="56" t="b">
        <v>0</v>
      </c>
      <c r="D4190" s="56" t="b">
        <v>0</v>
      </c>
      <c r="E4190" s="56">
        <f ca="1">IF(PV[[#This Row],[Business Date]]=Control!$C$6, PV[[#This Row],[Notional Value Local Cur]], -PV[[#This Row],[Notional Value Local Cur]])</f>
        <v>0</v>
      </c>
    </row>
    <row r="4191" spans="1:5" x14ac:dyDescent="0.25">
      <c r="A4191" s="36" t="b">
        <v>0</v>
      </c>
      <c r="B4191" s="56" t="b">
        <v>0</v>
      </c>
      <c r="C4191" s="56" t="b">
        <v>0</v>
      </c>
      <c r="D4191" s="56" t="b">
        <v>0</v>
      </c>
      <c r="E4191" s="56">
        <f ca="1">IF(PV[[#This Row],[Business Date]]=Control!$C$6, PV[[#This Row],[Notional Value Local Cur]], -PV[[#This Row],[Notional Value Local Cur]])</f>
        <v>0</v>
      </c>
    </row>
    <row r="4192" spans="1:5" x14ac:dyDescent="0.25">
      <c r="A4192" s="36" t="b">
        <v>0</v>
      </c>
      <c r="B4192" s="56" t="b">
        <v>0</v>
      </c>
      <c r="C4192" s="56" t="b">
        <v>0</v>
      </c>
      <c r="D4192" s="56" t="b">
        <v>0</v>
      </c>
      <c r="E4192" s="56">
        <f ca="1">IF(PV[[#This Row],[Business Date]]=Control!$C$6, PV[[#This Row],[Notional Value Local Cur]], -PV[[#This Row],[Notional Value Local Cur]])</f>
        <v>0</v>
      </c>
    </row>
    <row r="4193" spans="1:5" x14ac:dyDescent="0.25">
      <c r="A4193" s="36" t="b">
        <v>0</v>
      </c>
      <c r="B4193" s="56" t="b">
        <v>0</v>
      </c>
      <c r="C4193" s="56" t="b">
        <v>0</v>
      </c>
      <c r="D4193" s="56" t="b">
        <v>0</v>
      </c>
      <c r="E4193" s="56">
        <f ca="1">IF(PV[[#This Row],[Business Date]]=Control!$C$6, PV[[#This Row],[Notional Value Local Cur]], -PV[[#This Row],[Notional Value Local Cur]])</f>
        <v>0</v>
      </c>
    </row>
    <row r="4194" spans="1:5" x14ac:dyDescent="0.25">
      <c r="A4194" s="36" t="b">
        <v>0</v>
      </c>
      <c r="B4194" s="56" t="b">
        <v>0</v>
      </c>
      <c r="C4194" s="56" t="b">
        <v>0</v>
      </c>
      <c r="D4194" s="56" t="b">
        <v>0</v>
      </c>
      <c r="E4194" s="56">
        <f ca="1">IF(PV[[#This Row],[Business Date]]=Control!$C$6, PV[[#This Row],[Notional Value Local Cur]], -PV[[#This Row],[Notional Value Local Cur]])</f>
        <v>0</v>
      </c>
    </row>
    <row r="4195" spans="1:5" x14ac:dyDescent="0.25">
      <c r="A4195" s="36" t="b">
        <v>0</v>
      </c>
      <c r="B4195" s="56" t="b">
        <v>0</v>
      </c>
      <c r="C4195" s="56" t="b">
        <v>0</v>
      </c>
      <c r="D4195" s="56" t="b">
        <v>0</v>
      </c>
      <c r="E4195" s="56">
        <f ca="1">IF(PV[[#This Row],[Business Date]]=Control!$C$6, PV[[#This Row],[Notional Value Local Cur]], -PV[[#This Row],[Notional Value Local Cur]])</f>
        <v>0</v>
      </c>
    </row>
    <row r="4196" spans="1:5" x14ac:dyDescent="0.25">
      <c r="A4196" s="36" t="b">
        <v>0</v>
      </c>
      <c r="B4196" s="56" t="b">
        <v>0</v>
      </c>
      <c r="C4196" s="56" t="b">
        <v>0</v>
      </c>
      <c r="D4196" s="56" t="b">
        <v>0</v>
      </c>
      <c r="E4196" s="56">
        <f ca="1">IF(PV[[#This Row],[Business Date]]=Control!$C$6, PV[[#This Row],[Notional Value Local Cur]], -PV[[#This Row],[Notional Value Local Cur]])</f>
        <v>0</v>
      </c>
    </row>
    <row r="4197" spans="1:5" x14ac:dyDescent="0.25">
      <c r="A4197" s="36" t="b">
        <v>0</v>
      </c>
      <c r="B4197" s="56" t="b">
        <v>0</v>
      </c>
      <c r="C4197" s="56" t="b">
        <v>0</v>
      </c>
      <c r="D4197" s="56" t="b">
        <v>0</v>
      </c>
      <c r="E4197" s="56">
        <f ca="1">IF(PV[[#This Row],[Business Date]]=Control!$C$6, PV[[#This Row],[Notional Value Local Cur]], -PV[[#This Row],[Notional Value Local Cur]])</f>
        <v>0</v>
      </c>
    </row>
    <row r="4198" spans="1:5" x14ac:dyDescent="0.25">
      <c r="A4198" s="36" t="b">
        <v>0</v>
      </c>
      <c r="B4198" s="56" t="b">
        <v>0</v>
      </c>
      <c r="C4198" s="56" t="b">
        <v>0</v>
      </c>
      <c r="D4198" s="56" t="b">
        <v>0</v>
      </c>
      <c r="E4198" s="56">
        <f ca="1">IF(PV[[#This Row],[Business Date]]=Control!$C$6, PV[[#This Row],[Notional Value Local Cur]], -PV[[#This Row],[Notional Value Local Cur]])</f>
        <v>0</v>
      </c>
    </row>
    <row r="4199" spans="1:5" x14ac:dyDescent="0.25">
      <c r="A4199" s="36" t="b">
        <v>0</v>
      </c>
      <c r="B4199" s="56" t="b">
        <v>0</v>
      </c>
      <c r="C4199" s="56" t="b">
        <v>0</v>
      </c>
      <c r="D4199" s="56" t="b">
        <v>0</v>
      </c>
      <c r="E4199" s="56">
        <f ca="1">IF(PV[[#This Row],[Business Date]]=Control!$C$6, PV[[#This Row],[Notional Value Local Cur]], -PV[[#This Row],[Notional Value Local Cur]])</f>
        <v>0</v>
      </c>
    </row>
    <row r="4200" spans="1:5" x14ac:dyDescent="0.25">
      <c r="A4200" s="36" t="b">
        <v>0</v>
      </c>
      <c r="B4200" s="56" t="b">
        <v>0</v>
      </c>
      <c r="C4200" s="56" t="b">
        <v>0</v>
      </c>
      <c r="D4200" s="56" t="b">
        <v>0</v>
      </c>
      <c r="E4200" s="56">
        <f ca="1">IF(PV[[#This Row],[Business Date]]=Control!$C$6, PV[[#This Row],[Notional Value Local Cur]], -PV[[#This Row],[Notional Value Local Cur]])</f>
        <v>0</v>
      </c>
    </row>
    <row r="4201" spans="1:5" x14ac:dyDescent="0.25">
      <c r="A4201" s="36" t="b">
        <v>0</v>
      </c>
      <c r="B4201" s="56" t="b">
        <v>0</v>
      </c>
      <c r="C4201" s="56" t="b">
        <v>0</v>
      </c>
      <c r="D4201" s="56" t="b">
        <v>0</v>
      </c>
      <c r="E4201" s="56">
        <f ca="1">IF(PV[[#This Row],[Business Date]]=Control!$C$6, PV[[#This Row],[Notional Value Local Cur]], -PV[[#This Row],[Notional Value Local Cur]])</f>
        <v>0</v>
      </c>
    </row>
    <row r="4202" spans="1:5" x14ac:dyDescent="0.25">
      <c r="A4202" s="36" t="b">
        <v>0</v>
      </c>
      <c r="B4202" s="56" t="b">
        <v>0</v>
      </c>
      <c r="C4202" s="56" t="b">
        <v>0</v>
      </c>
      <c r="D4202" s="56" t="b">
        <v>0</v>
      </c>
      <c r="E4202" s="56">
        <f ca="1">IF(PV[[#This Row],[Business Date]]=Control!$C$6, PV[[#This Row],[Notional Value Local Cur]], -PV[[#This Row],[Notional Value Local Cur]])</f>
        <v>0</v>
      </c>
    </row>
    <row r="4203" spans="1:5" x14ac:dyDescent="0.25">
      <c r="A4203" s="36" t="b">
        <v>0</v>
      </c>
      <c r="B4203" s="56" t="b">
        <v>0</v>
      </c>
      <c r="C4203" s="56" t="b">
        <v>0</v>
      </c>
      <c r="D4203" s="56" t="b">
        <v>0</v>
      </c>
      <c r="E4203" s="56">
        <f ca="1">IF(PV[[#This Row],[Business Date]]=Control!$C$6, PV[[#This Row],[Notional Value Local Cur]], -PV[[#This Row],[Notional Value Local Cur]])</f>
        <v>0</v>
      </c>
    </row>
    <row r="4204" spans="1:5" x14ac:dyDescent="0.25">
      <c r="A4204" s="36" t="b">
        <v>0</v>
      </c>
      <c r="B4204" s="56" t="b">
        <v>0</v>
      </c>
      <c r="C4204" s="56" t="b">
        <v>0</v>
      </c>
      <c r="D4204" s="56" t="b">
        <v>0</v>
      </c>
      <c r="E4204" s="56">
        <f ca="1">IF(PV[[#This Row],[Business Date]]=Control!$C$6, PV[[#This Row],[Notional Value Local Cur]], -PV[[#This Row],[Notional Value Local Cur]])</f>
        <v>0</v>
      </c>
    </row>
    <row r="4205" spans="1:5" x14ac:dyDescent="0.25">
      <c r="A4205" s="36" t="b">
        <v>0</v>
      </c>
      <c r="B4205" s="56" t="b">
        <v>0</v>
      </c>
      <c r="C4205" s="56" t="b">
        <v>0</v>
      </c>
      <c r="D4205" s="56" t="b">
        <v>0</v>
      </c>
      <c r="E4205" s="56">
        <f ca="1">IF(PV[[#This Row],[Business Date]]=Control!$C$6, PV[[#This Row],[Notional Value Local Cur]], -PV[[#This Row],[Notional Value Local Cur]])</f>
        <v>0</v>
      </c>
    </row>
    <row r="4206" spans="1:5" x14ac:dyDescent="0.25">
      <c r="A4206" s="36" t="b">
        <v>0</v>
      </c>
      <c r="B4206" s="56" t="b">
        <v>0</v>
      </c>
      <c r="C4206" s="56" t="b">
        <v>0</v>
      </c>
      <c r="D4206" s="56" t="b">
        <v>0</v>
      </c>
      <c r="E4206" s="56">
        <f ca="1">IF(PV[[#This Row],[Business Date]]=Control!$C$6, PV[[#This Row],[Notional Value Local Cur]], -PV[[#This Row],[Notional Value Local Cur]])</f>
        <v>0</v>
      </c>
    </row>
    <row r="4207" spans="1:5" x14ac:dyDescent="0.25">
      <c r="A4207" s="36" t="b">
        <v>0</v>
      </c>
      <c r="B4207" s="56" t="b">
        <v>0</v>
      </c>
      <c r="C4207" s="56" t="b">
        <v>0</v>
      </c>
      <c r="D4207" s="56" t="b">
        <v>0</v>
      </c>
      <c r="E4207" s="56">
        <f ca="1">IF(PV[[#This Row],[Business Date]]=Control!$C$6, PV[[#This Row],[Notional Value Local Cur]], -PV[[#This Row],[Notional Value Local Cur]])</f>
        <v>0</v>
      </c>
    </row>
    <row r="4208" spans="1:5" x14ac:dyDescent="0.25">
      <c r="A4208" s="36" t="b">
        <v>0</v>
      </c>
      <c r="B4208" s="56" t="b">
        <v>0</v>
      </c>
      <c r="C4208" s="56" t="b">
        <v>0</v>
      </c>
      <c r="D4208" s="56" t="b">
        <v>0</v>
      </c>
      <c r="E4208" s="56">
        <f ca="1">IF(PV[[#This Row],[Business Date]]=Control!$C$6, PV[[#This Row],[Notional Value Local Cur]], -PV[[#This Row],[Notional Value Local Cur]])</f>
        <v>0</v>
      </c>
    </row>
    <row r="4209" spans="1:5" x14ac:dyDescent="0.25">
      <c r="A4209" s="36" t="b">
        <v>0</v>
      </c>
      <c r="B4209" s="56" t="b">
        <v>0</v>
      </c>
      <c r="C4209" s="56" t="b">
        <v>0</v>
      </c>
      <c r="D4209" s="56" t="b">
        <v>0</v>
      </c>
      <c r="E4209" s="56">
        <f ca="1">IF(PV[[#This Row],[Business Date]]=Control!$C$6, PV[[#This Row],[Notional Value Local Cur]], -PV[[#This Row],[Notional Value Local Cur]])</f>
        <v>0</v>
      </c>
    </row>
    <row r="4210" spans="1:5" x14ac:dyDescent="0.25">
      <c r="A4210" s="36" t="b">
        <v>0</v>
      </c>
      <c r="B4210" s="56" t="b">
        <v>0</v>
      </c>
      <c r="C4210" s="56" t="b">
        <v>0</v>
      </c>
      <c r="D4210" s="56" t="b">
        <v>0</v>
      </c>
      <c r="E4210" s="56">
        <f ca="1">IF(PV[[#This Row],[Business Date]]=Control!$C$6, PV[[#This Row],[Notional Value Local Cur]], -PV[[#This Row],[Notional Value Local Cur]])</f>
        <v>0</v>
      </c>
    </row>
    <row r="4211" spans="1:5" x14ac:dyDescent="0.25">
      <c r="A4211" s="36" t="b">
        <v>0</v>
      </c>
      <c r="B4211" s="56" t="b">
        <v>0</v>
      </c>
      <c r="C4211" s="56" t="b">
        <v>0</v>
      </c>
      <c r="D4211" s="56" t="b">
        <v>0</v>
      </c>
      <c r="E4211" s="56">
        <f ca="1">IF(PV[[#This Row],[Business Date]]=Control!$C$6, PV[[#This Row],[Notional Value Local Cur]], -PV[[#This Row],[Notional Value Local Cur]])</f>
        <v>0</v>
      </c>
    </row>
    <row r="4212" spans="1:5" x14ac:dyDescent="0.25">
      <c r="A4212" s="36" t="b">
        <v>0</v>
      </c>
      <c r="B4212" s="56" t="b">
        <v>0</v>
      </c>
      <c r="C4212" s="56" t="b">
        <v>0</v>
      </c>
      <c r="D4212" s="56" t="b">
        <v>0</v>
      </c>
      <c r="E4212" s="56">
        <f ca="1">IF(PV[[#This Row],[Business Date]]=Control!$C$6, PV[[#This Row],[Notional Value Local Cur]], -PV[[#This Row],[Notional Value Local Cur]])</f>
        <v>0</v>
      </c>
    </row>
    <row r="4213" spans="1:5" x14ac:dyDescent="0.25">
      <c r="A4213" s="36" t="b">
        <v>0</v>
      </c>
      <c r="B4213" s="56" t="b">
        <v>0</v>
      </c>
      <c r="C4213" s="56" t="b">
        <v>0</v>
      </c>
      <c r="D4213" s="56" t="b">
        <v>0</v>
      </c>
      <c r="E4213" s="56">
        <f ca="1">IF(PV[[#This Row],[Business Date]]=Control!$C$6, PV[[#This Row],[Notional Value Local Cur]], -PV[[#This Row],[Notional Value Local Cur]])</f>
        <v>0</v>
      </c>
    </row>
    <row r="4214" spans="1:5" x14ac:dyDescent="0.25">
      <c r="A4214" s="36" t="b">
        <v>0</v>
      </c>
      <c r="B4214" s="56" t="b">
        <v>0</v>
      </c>
      <c r="C4214" s="56" t="b">
        <v>0</v>
      </c>
      <c r="D4214" s="56" t="b">
        <v>0</v>
      </c>
      <c r="E4214" s="56">
        <f ca="1">IF(PV[[#This Row],[Business Date]]=Control!$C$6, PV[[#This Row],[Notional Value Local Cur]], -PV[[#This Row],[Notional Value Local Cur]])</f>
        <v>0</v>
      </c>
    </row>
    <row r="4215" spans="1:5" x14ac:dyDescent="0.25">
      <c r="A4215" s="36" t="b">
        <v>0</v>
      </c>
      <c r="B4215" s="56" t="b">
        <v>0</v>
      </c>
      <c r="C4215" s="56" t="b">
        <v>0</v>
      </c>
      <c r="D4215" s="56" t="b">
        <v>0</v>
      </c>
      <c r="E4215" s="56">
        <f ca="1">IF(PV[[#This Row],[Business Date]]=Control!$C$6, PV[[#This Row],[Notional Value Local Cur]], -PV[[#This Row],[Notional Value Local Cur]])</f>
        <v>0</v>
      </c>
    </row>
    <row r="4216" spans="1:5" x14ac:dyDescent="0.25">
      <c r="A4216" s="36" t="b">
        <v>0</v>
      </c>
      <c r="B4216" s="56" t="b">
        <v>0</v>
      </c>
      <c r="C4216" s="56" t="b">
        <v>0</v>
      </c>
      <c r="D4216" s="56" t="b">
        <v>0</v>
      </c>
      <c r="E4216" s="56">
        <f ca="1">IF(PV[[#This Row],[Business Date]]=Control!$C$6, PV[[#This Row],[Notional Value Local Cur]], -PV[[#This Row],[Notional Value Local Cur]])</f>
        <v>0</v>
      </c>
    </row>
    <row r="4217" spans="1:5" x14ac:dyDescent="0.25">
      <c r="A4217" s="36" t="b">
        <v>0</v>
      </c>
      <c r="B4217" s="56" t="b">
        <v>0</v>
      </c>
      <c r="C4217" s="56" t="b">
        <v>0</v>
      </c>
      <c r="D4217" s="56" t="b">
        <v>0</v>
      </c>
      <c r="E4217" s="56">
        <f ca="1">IF(PV[[#This Row],[Business Date]]=Control!$C$6, PV[[#This Row],[Notional Value Local Cur]], -PV[[#This Row],[Notional Value Local Cur]])</f>
        <v>0</v>
      </c>
    </row>
    <row r="4218" spans="1:5" x14ac:dyDescent="0.25">
      <c r="A4218" s="36" t="b">
        <v>0</v>
      </c>
      <c r="B4218" s="56" t="b">
        <v>0</v>
      </c>
      <c r="C4218" s="56" t="b">
        <v>0</v>
      </c>
      <c r="D4218" s="56" t="b">
        <v>0</v>
      </c>
      <c r="E4218" s="56">
        <f ca="1">IF(PV[[#This Row],[Business Date]]=Control!$C$6, PV[[#This Row],[Notional Value Local Cur]], -PV[[#This Row],[Notional Value Local Cur]])</f>
        <v>0</v>
      </c>
    </row>
    <row r="4219" spans="1:5" x14ac:dyDescent="0.25">
      <c r="A4219" s="36" t="b">
        <v>0</v>
      </c>
      <c r="B4219" s="56" t="b">
        <v>0</v>
      </c>
      <c r="C4219" s="56" t="b">
        <v>0</v>
      </c>
      <c r="D4219" s="56" t="b">
        <v>0</v>
      </c>
      <c r="E4219" s="56">
        <f ca="1">IF(PV[[#This Row],[Business Date]]=Control!$C$6, PV[[#This Row],[Notional Value Local Cur]], -PV[[#This Row],[Notional Value Local Cur]])</f>
        <v>0</v>
      </c>
    </row>
    <row r="4220" spans="1:5" x14ac:dyDescent="0.25">
      <c r="A4220" s="36" t="b">
        <v>0</v>
      </c>
      <c r="B4220" s="56" t="b">
        <v>0</v>
      </c>
      <c r="C4220" s="56" t="b">
        <v>0</v>
      </c>
      <c r="D4220" s="56" t="b">
        <v>0</v>
      </c>
      <c r="E4220" s="56">
        <f ca="1">IF(PV[[#This Row],[Business Date]]=Control!$C$6, PV[[#This Row],[Notional Value Local Cur]], -PV[[#This Row],[Notional Value Local Cur]])</f>
        <v>0</v>
      </c>
    </row>
    <row r="4221" spans="1:5" x14ac:dyDescent="0.25">
      <c r="A4221" s="36" t="b">
        <v>0</v>
      </c>
      <c r="B4221" s="56" t="b">
        <v>0</v>
      </c>
      <c r="C4221" s="56" t="b">
        <v>0</v>
      </c>
      <c r="D4221" s="56" t="b">
        <v>0</v>
      </c>
      <c r="E4221" s="56">
        <f ca="1">IF(PV[[#This Row],[Business Date]]=Control!$C$6, PV[[#This Row],[Notional Value Local Cur]], -PV[[#This Row],[Notional Value Local Cur]])</f>
        <v>0</v>
      </c>
    </row>
    <row r="4222" spans="1:5" x14ac:dyDescent="0.25">
      <c r="A4222" s="36" t="b">
        <v>0</v>
      </c>
      <c r="B4222" s="56" t="b">
        <v>0</v>
      </c>
      <c r="C4222" s="56" t="b">
        <v>0</v>
      </c>
      <c r="D4222" s="56" t="b">
        <v>0</v>
      </c>
      <c r="E4222" s="56">
        <f ca="1">IF(PV[[#This Row],[Business Date]]=Control!$C$6, PV[[#This Row],[Notional Value Local Cur]], -PV[[#This Row],[Notional Value Local Cur]])</f>
        <v>0</v>
      </c>
    </row>
    <row r="4223" spans="1:5" x14ac:dyDescent="0.25">
      <c r="A4223" s="36" t="b">
        <v>0</v>
      </c>
      <c r="B4223" s="56" t="b">
        <v>0</v>
      </c>
      <c r="C4223" s="56" t="b">
        <v>0</v>
      </c>
      <c r="D4223" s="56" t="b">
        <v>0</v>
      </c>
      <c r="E4223" s="56">
        <f ca="1">IF(PV[[#This Row],[Business Date]]=Control!$C$6, PV[[#This Row],[Notional Value Local Cur]], -PV[[#This Row],[Notional Value Local Cur]])</f>
        <v>0</v>
      </c>
    </row>
    <row r="4224" spans="1:5" x14ac:dyDescent="0.25">
      <c r="A4224" s="36" t="b">
        <v>0</v>
      </c>
      <c r="B4224" s="56" t="b">
        <v>0</v>
      </c>
      <c r="C4224" s="56" t="b">
        <v>0</v>
      </c>
      <c r="D4224" s="56" t="b">
        <v>0</v>
      </c>
      <c r="E4224" s="56">
        <f ca="1">IF(PV[[#This Row],[Business Date]]=Control!$C$6, PV[[#This Row],[Notional Value Local Cur]], -PV[[#This Row],[Notional Value Local Cur]])</f>
        <v>0</v>
      </c>
    </row>
    <row r="4225" spans="1:5" x14ac:dyDescent="0.25">
      <c r="A4225" s="36" t="b">
        <v>0</v>
      </c>
      <c r="B4225" s="56" t="b">
        <v>0</v>
      </c>
      <c r="C4225" s="56" t="b">
        <v>0</v>
      </c>
      <c r="D4225" s="56" t="b">
        <v>0</v>
      </c>
      <c r="E4225" s="56">
        <f ca="1">IF(PV[[#This Row],[Business Date]]=Control!$C$6, PV[[#This Row],[Notional Value Local Cur]], -PV[[#This Row],[Notional Value Local Cur]])</f>
        <v>0</v>
      </c>
    </row>
    <row r="4226" spans="1:5" x14ac:dyDescent="0.25">
      <c r="A4226" s="36" t="b">
        <v>0</v>
      </c>
      <c r="B4226" s="56" t="b">
        <v>0</v>
      </c>
      <c r="C4226" s="56" t="b">
        <v>0</v>
      </c>
      <c r="D4226" s="56" t="b">
        <v>0</v>
      </c>
      <c r="E4226" s="56">
        <f ca="1">IF(PV[[#This Row],[Business Date]]=Control!$C$6, PV[[#This Row],[Notional Value Local Cur]], -PV[[#This Row],[Notional Value Local Cur]])</f>
        <v>0</v>
      </c>
    </row>
    <row r="4227" spans="1:5" x14ac:dyDescent="0.25">
      <c r="A4227" s="36" t="b">
        <v>0</v>
      </c>
      <c r="B4227" s="56" t="b">
        <v>0</v>
      </c>
      <c r="C4227" s="56" t="b">
        <v>0</v>
      </c>
      <c r="D4227" s="56" t="b">
        <v>0</v>
      </c>
      <c r="E4227" s="56">
        <f ca="1">IF(PV[[#This Row],[Business Date]]=Control!$C$6, PV[[#This Row],[Notional Value Local Cur]], -PV[[#This Row],[Notional Value Local Cur]])</f>
        <v>0</v>
      </c>
    </row>
    <row r="4228" spans="1:5" x14ac:dyDescent="0.25">
      <c r="A4228" s="36" t="b">
        <v>0</v>
      </c>
      <c r="B4228" s="56" t="b">
        <v>0</v>
      </c>
      <c r="C4228" s="56" t="b">
        <v>0</v>
      </c>
      <c r="D4228" s="56" t="b">
        <v>0</v>
      </c>
      <c r="E4228" s="56">
        <f ca="1">IF(PV[[#This Row],[Business Date]]=Control!$C$6, PV[[#This Row],[Notional Value Local Cur]], -PV[[#This Row],[Notional Value Local Cur]])</f>
        <v>0</v>
      </c>
    </row>
    <row r="4229" spans="1:5" x14ac:dyDescent="0.25">
      <c r="A4229" s="36" t="b">
        <v>0</v>
      </c>
      <c r="B4229" s="56" t="b">
        <v>0</v>
      </c>
      <c r="C4229" s="56" t="b">
        <v>0</v>
      </c>
      <c r="D4229" s="56" t="b">
        <v>0</v>
      </c>
      <c r="E4229" s="56">
        <f ca="1">IF(PV[[#This Row],[Business Date]]=Control!$C$6, PV[[#This Row],[Notional Value Local Cur]], -PV[[#This Row],[Notional Value Local Cur]])</f>
        <v>0</v>
      </c>
    </row>
    <row r="4230" spans="1:5" x14ac:dyDescent="0.25">
      <c r="A4230" s="36" t="b">
        <v>0</v>
      </c>
      <c r="B4230" s="56" t="b">
        <v>0</v>
      </c>
      <c r="C4230" s="56" t="b">
        <v>0</v>
      </c>
      <c r="D4230" s="56" t="b">
        <v>0</v>
      </c>
      <c r="E4230" s="56">
        <f ca="1">IF(PV[[#This Row],[Business Date]]=Control!$C$6, PV[[#This Row],[Notional Value Local Cur]], -PV[[#This Row],[Notional Value Local Cur]])</f>
        <v>0</v>
      </c>
    </row>
    <row r="4231" spans="1:5" x14ac:dyDescent="0.25">
      <c r="A4231" s="36" t="b">
        <v>0</v>
      </c>
      <c r="B4231" s="56" t="b">
        <v>0</v>
      </c>
      <c r="C4231" s="56" t="b">
        <v>0</v>
      </c>
      <c r="D4231" s="56" t="b">
        <v>0</v>
      </c>
      <c r="E4231" s="56">
        <f ca="1">IF(PV[[#This Row],[Business Date]]=Control!$C$6, PV[[#This Row],[Notional Value Local Cur]], -PV[[#This Row],[Notional Value Local Cur]])</f>
        <v>0</v>
      </c>
    </row>
    <row r="4232" spans="1:5" x14ac:dyDescent="0.25">
      <c r="A4232" s="36" t="b">
        <v>0</v>
      </c>
      <c r="B4232" s="56" t="b">
        <v>0</v>
      </c>
      <c r="C4232" s="56" t="b">
        <v>0</v>
      </c>
      <c r="D4232" s="56" t="b">
        <v>0</v>
      </c>
      <c r="E4232" s="56">
        <f ca="1">IF(PV[[#This Row],[Business Date]]=Control!$C$6, PV[[#This Row],[Notional Value Local Cur]], -PV[[#This Row],[Notional Value Local Cur]])</f>
        <v>0</v>
      </c>
    </row>
    <row r="4233" spans="1:5" x14ac:dyDescent="0.25">
      <c r="A4233" s="36" t="b">
        <v>0</v>
      </c>
      <c r="B4233" s="56" t="b">
        <v>0</v>
      </c>
      <c r="C4233" s="56" t="b">
        <v>0</v>
      </c>
      <c r="D4233" s="56" t="b">
        <v>0</v>
      </c>
      <c r="E4233" s="56">
        <f ca="1">IF(PV[[#This Row],[Business Date]]=Control!$C$6, PV[[#This Row],[Notional Value Local Cur]], -PV[[#This Row],[Notional Value Local Cur]])</f>
        <v>0</v>
      </c>
    </row>
    <row r="4234" spans="1:5" x14ac:dyDescent="0.25">
      <c r="A4234" s="36" t="b">
        <v>0</v>
      </c>
      <c r="B4234" s="56" t="b">
        <v>0</v>
      </c>
      <c r="C4234" s="56" t="b">
        <v>0</v>
      </c>
      <c r="D4234" s="56" t="b">
        <v>0</v>
      </c>
      <c r="E4234" s="56">
        <f ca="1">IF(PV[[#This Row],[Business Date]]=Control!$C$6, PV[[#This Row],[Notional Value Local Cur]], -PV[[#This Row],[Notional Value Local Cur]])</f>
        <v>0</v>
      </c>
    </row>
    <row r="4235" spans="1:5" x14ac:dyDescent="0.25">
      <c r="A4235" s="36" t="b">
        <v>0</v>
      </c>
      <c r="B4235" s="56" t="b">
        <v>0</v>
      </c>
      <c r="C4235" s="56" t="b">
        <v>0</v>
      </c>
      <c r="D4235" s="56" t="b">
        <v>0</v>
      </c>
      <c r="E4235" s="56">
        <f ca="1">IF(PV[[#This Row],[Business Date]]=Control!$C$6, PV[[#This Row],[Notional Value Local Cur]], -PV[[#This Row],[Notional Value Local Cur]])</f>
        <v>0</v>
      </c>
    </row>
    <row r="4236" spans="1:5" x14ac:dyDescent="0.25">
      <c r="A4236" s="36" t="b">
        <v>0</v>
      </c>
      <c r="B4236" s="56" t="b">
        <v>0</v>
      </c>
      <c r="C4236" s="56" t="b">
        <v>0</v>
      </c>
      <c r="D4236" s="56" t="b">
        <v>0</v>
      </c>
      <c r="E4236" s="56">
        <f ca="1">IF(PV[[#This Row],[Business Date]]=Control!$C$6, PV[[#This Row],[Notional Value Local Cur]], -PV[[#This Row],[Notional Value Local Cur]])</f>
        <v>0</v>
      </c>
    </row>
    <row r="4237" spans="1:5" x14ac:dyDescent="0.25">
      <c r="A4237" s="36" t="b">
        <v>0</v>
      </c>
      <c r="B4237" s="56" t="b">
        <v>0</v>
      </c>
      <c r="C4237" s="56" t="b">
        <v>0</v>
      </c>
      <c r="D4237" s="56" t="b">
        <v>0</v>
      </c>
      <c r="E4237" s="56">
        <f ca="1">IF(PV[[#This Row],[Business Date]]=Control!$C$6, PV[[#This Row],[Notional Value Local Cur]], -PV[[#This Row],[Notional Value Local Cur]])</f>
        <v>0</v>
      </c>
    </row>
    <row r="4238" spans="1:5" x14ac:dyDescent="0.25">
      <c r="A4238" s="36" t="b">
        <v>0</v>
      </c>
      <c r="B4238" s="56" t="b">
        <v>0</v>
      </c>
      <c r="C4238" s="56" t="b">
        <v>0</v>
      </c>
      <c r="D4238" s="56" t="b">
        <v>0</v>
      </c>
      <c r="E4238" s="56">
        <f ca="1">IF(PV[[#This Row],[Business Date]]=Control!$C$6, PV[[#This Row],[Notional Value Local Cur]], -PV[[#This Row],[Notional Value Local Cur]])</f>
        <v>0</v>
      </c>
    </row>
    <row r="4239" spans="1:5" x14ac:dyDescent="0.25">
      <c r="A4239" s="36" t="b">
        <v>0</v>
      </c>
      <c r="B4239" s="56" t="b">
        <v>0</v>
      </c>
      <c r="C4239" s="56" t="b">
        <v>0</v>
      </c>
      <c r="D4239" s="56" t="b">
        <v>0</v>
      </c>
      <c r="E4239" s="56">
        <f ca="1">IF(PV[[#This Row],[Business Date]]=Control!$C$6, PV[[#This Row],[Notional Value Local Cur]], -PV[[#This Row],[Notional Value Local Cur]])</f>
        <v>0</v>
      </c>
    </row>
    <row r="4240" spans="1:5" x14ac:dyDescent="0.25">
      <c r="A4240" s="36" t="b">
        <v>0</v>
      </c>
      <c r="B4240" s="56" t="b">
        <v>0</v>
      </c>
      <c r="C4240" s="56" t="b">
        <v>0</v>
      </c>
      <c r="D4240" s="56" t="b">
        <v>0</v>
      </c>
      <c r="E4240" s="56">
        <f ca="1">IF(PV[[#This Row],[Business Date]]=Control!$C$6, PV[[#This Row],[Notional Value Local Cur]], -PV[[#This Row],[Notional Value Local Cur]])</f>
        <v>0</v>
      </c>
    </row>
    <row r="4241" spans="1:5" x14ac:dyDescent="0.25">
      <c r="A4241" s="36" t="b">
        <v>0</v>
      </c>
      <c r="B4241" s="56" t="b">
        <v>0</v>
      </c>
      <c r="C4241" s="56" t="b">
        <v>0</v>
      </c>
      <c r="D4241" s="56" t="b">
        <v>0</v>
      </c>
      <c r="E4241" s="56">
        <f ca="1">IF(PV[[#This Row],[Business Date]]=Control!$C$6, PV[[#This Row],[Notional Value Local Cur]], -PV[[#This Row],[Notional Value Local Cur]])</f>
        <v>0</v>
      </c>
    </row>
    <row r="4242" spans="1:5" x14ac:dyDescent="0.25">
      <c r="A4242" s="36" t="b">
        <v>0</v>
      </c>
      <c r="B4242" s="56" t="b">
        <v>0</v>
      </c>
      <c r="C4242" s="56" t="b">
        <v>0</v>
      </c>
      <c r="D4242" s="56" t="b">
        <v>0</v>
      </c>
      <c r="E4242" s="56">
        <f ca="1">IF(PV[[#This Row],[Business Date]]=Control!$C$6, PV[[#This Row],[Notional Value Local Cur]], -PV[[#This Row],[Notional Value Local Cur]])</f>
        <v>0</v>
      </c>
    </row>
    <row r="4243" spans="1:5" x14ac:dyDescent="0.25">
      <c r="A4243" s="36" t="b">
        <v>0</v>
      </c>
      <c r="B4243" s="56" t="b">
        <v>0</v>
      </c>
      <c r="C4243" s="56" t="b">
        <v>0</v>
      </c>
      <c r="D4243" s="56" t="b">
        <v>0</v>
      </c>
      <c r="E4243" s="56">
        <f ca="1">IF(PV[[#This Row],[Business Date]]=Control!$C$6, PV[[#This Row],[Notional Value Local Cur]], -PV[[#This Row],[Notional Value Local Cur]])</f>
        <v>0</v>
      </c>
    </row>
    <row r="4244" spans="1:5" x14ac:dyDescent="0.25">
      <c r="A4244" s="36" t="b">
        <v>0</v>
      </c>
      <c r="B4244" s="56" t="b">
        <v>0</v>
      </c>
      <c r="C4244" s="56" t="b">
        <v>0</v>
      </c>
      <c r="D4244" s="56" t="b">
        <v>0</v>
      </c>
      <c r="E4244" s="56">
        <f ca="1">IF(PV[[#This Row],[Business Date]]=Control!$C$6, PV[[#This Row],[Notional Value Local Cur]], -PV[[#This Row],[Notional Value Local Cur]])</f>
        <v>0</v>
      </c>
    </row>
    <row r="4245" spans="1:5" x14ac:dyDescent="0.25">
      <c r="A4245" s="36" t="b">
        <v>0</v>
      </c>
      <c r="B4245" s="56" t="b">
        <v>0</v>
      </c>
      <c r="C4245" s="56" t="b">
        <v>0</v>
      </c>
      <c r="D4245" s="56" t="b">
        <v>0</v>
      </c>
      <c r="E4245" s="56">
        <f ca="1">IF(PV[[#This Row],[Business Date]]=Control!$C$6, PV[[#This Row],[Notional Value Local Cur]], -PV[[#This Row],[Notional Value Local Cur]])</f>
        <v>0</v>
      </c>
    </row>
    <row r="4246" spans="1:5" x14ac:dyDescent="0.25">
      <c r="A4246" s="36" t="b">
        <v>0</v>
      </c>
      <c r="B4246" s="56" t="b">
        <v>0</v>
      </c>
      <c r="C4246" s="56" t="b">
        <v>0</v>
      </c>
      <c r="D4246" s="56" t="b">
        <v>0</v>
      </c>
      <c r="E4246" s="56">
        <f ca="1">IF(PV[[#This Row],[Business Date]]=Control!$C$6, PV[[#This Row],[Notional Value Local Cur]], -PV[[#This Row],[Notional Value Local Cur]])</f>
        <v>0</v>
      </c>
    </row>
    <row r="4247" spans="1:5" x14ac:dyDescent="0.25">
      <c r="A4247" s="36" t="b">
        <v>0</v>
      </c>
      <c r="B4247" s="56" t="b">
        <v>0</v>
      </c>
      <c r="C4247" s="56" t="b">
        <v>0</v>
      </c>
      <c r="D4247" s="56" t="b">
        <v>0</v>
      </c>
      <c r="E4247" s="56">
        <f ca="1">IF(PV[[#This Row],[Business Date]]=Control!$C$6, PV[[#This Row],[Notional Value Local Cur]], -PV[[#This Row],[Notional Value Local Cur]])</f>
        <v>0</v>
      </c>
    </row>
    <row r="4248" spans="1:5" x14ac:dyDescent="0.25">
      <c r="A4248" s="36" t="b">
        <v>0</v>
      </c>
      <c r="B4248" s="56" t="b">
        <v>0</v>
      </c>
      <c r="C4248" s="56" t="b">
        <v>0</v>
      </c>
      <c r="D4248" s="56" t="b">
        <v>0</v>
      </c>
      <c r="E4248" s="56">
        <f ca="1">IF(PV[[#This Row],[Business Date]]=Control!$C$6, PV[[#This Row],[Notional Value Local Cur]], -PV[[#This Row],[Notional Value Local Cur]])</f>
        <v>0</v>
      </c>
    </row>
    <row r="4249" spans="1:5" x14ac:dyDescent="0.25">
      <c r="A4249" s="36" t="b">
        <v>0</v>
      </c>
      <c r="B4249" s="56" t="b">
        <v>0</v>
      </c>
      <c r="C4249" s="56" t="b">
        <v>0</v>
      </c>
      <c r="D4249" s="56" t="b">
        <v>0</v>
      </c>
      <c r="E4249" s="56">
        <f ca="1">IF(PV[[#This Row],[Business Date]]=Control!$C$6, PV[[#This Row],[Notional Value Local Cur]], -PV[[#This Row],[Notional Value Local Cur]])</f>
        <v>0</v>
      </c>
    </row>
    <row r="4250" spans="1:5" x14ac:dyDescent="0.25">
      <c r="A4250" s="36" t="b">
        <v>0</v>
      </c>
      <c r="B4250" s="56" t="b">
        <v>0</v>
      </c>
      <c r="C4250" s="56" t="b">
        <v>0</v>
      </c>
      <c r="D4250" s="56" t="b">
        <v>0</v>
      </c>
      <c r="E4250" s="56">
        <f ca="1">IF(PV[[#This Row],[Business Date]]=Control!$C$6, PV[[#This Row],[Notional Value Local Cur]], -PV[[#This Row],[Notional Value Local Cur]])</f>
        <v>0</v>
      </c>
    </row>
    <row r="4251" spans="1:5" x14ac:dyDescent="0.25">
      <c r="A4251" s="36" t="b">
        <v>0</v>
      </c>
      <c r="B4251" s="56" t="b">
        <v>0</v>
      </c>
      <c r="C4251" s="56" t="b">
        <v>0</v>
      </c>
      <c r="D4251" s="56" t="b">
        <v>0</v>
      </c>
      <c r="E4251" s="56">
        <f ca="1">IF(PV[[#This Row],[Business Date]]=Control!$C$6, PV[[#This Row],[Notional Value Local Cur]], -PV[[#This Row],[Notional Value Local Cur]])</f>
        <v>0</v>
      </c>
    </row>
    <row r="4252" spans="1:5" x14ac:dyDescent="0.25">
      <c r="A4252" s="36" t="b">
        <v>0</v>
      </c>
      <c r="B4252" s="56" t="b">
        <v>0</v>
      </c>
      <c r="C4252" s="56" t="b">
        <v>0</v>
      </c>
      <c r="D4252" s="56" t="b">
        <v>0</v>
      </c>
      <c r="E4252" s="56">
        <f ca="1">IF(PV[[#This Row],[Business Date]]=Control!$C$6, PV[[#This Row],[Notional Value Local Cur]], -PV[[#This Row],[Notional Value Local Cur]])</f>
        <v>0</v>
      </c>
    </row>
    <row r="4253" spans="1:5" x14ac:dyDescent="0.25">
      <c r="A4253" s="36" t="b">
        <v>0</v>
      </c>
      <c r="B4253" s="56" t="b">
        <v>0</v>
      </c>
      <c r="C4253" s="56" t="b">
        <v>0</v>
      </c>
      <c r="D4253" s="56" t="b">
        <v>0</v>
      </c>
      <c r="E4253" s="56">
        <f ca="1">IF(PV[[#This Row],[Business Date]]=Control!$C$6, PV[[#This Row],[Notional Value Local Cur]], -PV[[#This Row],[Notional Value Local Cur]])</f>
        <v>0</v>
      </c>
    </row>
    <row r="4254" spans="1:5" x14ac:dyDescent="0.25">
      <c r="A4254" s="36" t="b">
        <v>0</v>
      </c>
      <c r="B4254" s="56" t="b">
        <v>0</v>
      </c>
      <c r="C4254" s="56" t="b">
        <v>0</v>
      </c>
      <c r="D4254" s="56" t="b">
        <v>0</v>
      </c>
      <c r="E4254" s="56">
        <f ca="1">IF(PV[[#This Row],[Business Date]]=Control!$C$6, PV[[#This Row],[Notional Value Local Cur]], -PV[[#This Row],[Notional Value Local Cur]])</f>
        <v>0</v>
      </c>
    </row>
    <row r="4255" spans="1:5" x14ac:dyDescent="0.25">
      <c r="A4255" s="36" t="b">
        <v>0</v>
      </c>
      <c r="B4255" s="56" t="b">
        <v>0</v>
      </c>
      <c r="C4255" s="56" t="b">
        <v>0</v>
      </c>
      <c r="D4255" s="56" t="b">
        <v>0</v>
      </c>
      <c r="E4255" s="56">
        <f ca="1">IF(PV[[#This Row],[Business Date]]=Control!$C$6, PV[[#This Row],[Notional Value Local Cur]], -PV[[#This Row],[Notional Value Local Cur]])</f>
        <v>0</v>
      </c>
    </row>
    <row r="4256" spans="1:5" x14ac:dyDescent="0.25">
      <c r="A4256" s="36" t="b">
        <v>0</v>
      </c>
      <c r="B4256" s="56" t="b">
        <v>0</v>
      </c>
      <c r="C4256" s="56" t="b">
        <v>0</v>
      </c>
      <c r="D4256" s="56" t="b">
        <v>0</v>
      </c>
      <c r="E4256" s="56">
        <f ca="1">IF(PV[[#This Row],[Business Date]]=Control!$C$6, PV[[#This Row],[Notional Value Local Cur]], -PV[[#This Row],[Notional Value Local Cur]])</f>
        <v>0</v>
      </c>
    </row>
    <row r="4257" spans="1:5" x14ac:dyDescent="0.25">
      <c r="A4257" s="36" t="b">
        <v>0</v>
      </c>
      <c r="B4257" s="56" t="b">
        <v>0</v>
      </c>
      <c r="C4257" s="56" t="b">
        <v>0</v>
      </c>
      <c r="D4257" s="56" t="b">
        <v>0</v>
      </c>
      <c r="E4257" s="56">
        <f ca="1">IF(PV[[#This Row],[Business Date]]=Control!$C$6, PV[[#This Row],[Notional Value Local Cur]], -PV[[#This Row],[Notional Value Local Cur]])</f>
        <v>0</v>
      </c>
    </row>
    <row r="4258" spans="1:5" x14ac:dyDescent="0.25">
      <c r="A4258" s="36" t="b">
        <v>0</v>
      </c>
      <c r="B4258" s="56" t="b">
        <v>0</v>
      </c>
      <c r="C4258" s="56" t="b">
        <v>0</v>
      </c>
      <c r="D4258" s="56" t="b">
        <v>0</v>
      </c>
      <c r="E4258" s="56">
        <f ca="1">IF(PV[[#This Row],[Business Date]]=Control!$C$6, PV[[#This Row],[Notional Value Local Cur]], -PV[[#This Row],[Notional Value Local Cur]])</f>
        <v>0</v>
      </c>
    </row>
    <row r="4259" spans="1:5" x14ac:dyDescent="0.25">
      <c r="A4259" s="36" t="b">
        <v>0</v>
      </c>
      <c r="B4259" s="56" t="b">
        <v>0</v>
      </c>
      <c r="C4259" s="56" t="b">
        <v>0</v>
      </c>
      <c r="D4259" s="56" t="b">
        <v>0</v>
      </c>
      <c r="E4259" s="56">
        <f ca="1">IF(PV[[#This Row],[Business Date]]=Control!$C$6, PV[[#This Row],[Notional Value Local Cur]], -PV[[#This Row],[Notional Value Local Cur]])</f>
        <v>0</v>
      </c>
    </row>
    <row r="4260" spans="1:5" x14ac:dyDescent="0.25">
      <c r="A4260" s="36" t="b">
        <v>0</v>
      </c>
      <c r="B4260" s="56" t="b">
        <v>0</v>
      </c>
      <c r="C4260" s="56" t="b">
        <v>0</v>
      </c>
      <c r="D4260" s="56" t="b">
        <v>0</v>
      </c>
      <c r="E4260" s="56">
        <f ca="1">IF(PV[[#This Row],[Business Date]]=Control!$C$6, PV[[#This Row],[Notional Value Local Cur]], -PV[[#This Row],[Notional Value Local Cur]])</f>
        <v>0</v>
      </c>
    </row>
    <row r="4261" spans="1:5" x14ac:dyDescent="0.25">
      <c r="A4261" s="36" t="b">
        <v>0</v>
      </c>
      <c r="B4261" s="56" t="b">
        <v>0</v>
      </c>
      <c r="C4261" s="56" t="b">
        <v>0</v>
      </c>
      <c r="D4261" s="56" t="b">
        <v>0</v>
      </c>
      <c r="E4261" s="56">
        <f ca="1">IF(PV[[#This Row],[Business Date]]=Control!$C$6, PV[[#This Row],[Notional Value Local Cur]], -PV[[#This Row],[Notional Value Local Cur]])</f>
        <v>0</v>
      </c>
    </row>
    <row r="4262" spans="1:5" x14ac:dyDescent="0.25">
      <c r="A4262" s="36" t="b">
        <v>0</v>
      </c>
      <c r="B4262" s="56" t="b">
        <v>0</v>
      </c>
      <c r="C4262" s="56" t="b">
        <v>0</v>
      </c>
      <c r="D4262" s="56" t="b">
        <v>0</v>
      </c>
      <c r="E4262" s="56">
        <f ca="1">IF(PV[[#This Row],[Business Date]]=Control!$C$6, PV[[#This Row],[Notional Value Local Cur]], -PV[[#This Row],[Notional Value Local Cur]])</f>
        <v>0</v>
      </c>
    </row>
    <row r="4263" spans="1:5" x14ac:dyDescent="0.25">
      <c r="A4263" s="36" t="b">
        <v>0</v>
      </c>
      <c r="B4263" s="56" t="b">
        <v>0</v>
      </c>
      <c r="C4263" s="56" t="b">
        <v>0</v>
      </c>
      <c r="D4263" s="56" t="b">
        <v>0</v>
      </c>
      <c r="E4263" s="56">
        <f ca="1">IF(PV[[#This Row],[Business Date]]=Control!$C$6, PV[[#This Row],[Notional Value Local Cur]], -PV[[#This Row],[Notional Value Local Cur]])</f>
        <v>0</v>
      </c>
    </row>
    <row r="4264" spans="1:5" x14ac:dyDescent="0.25">
      <c r="A4264" s="36" t="b">
        <v>0</v>
      </c>
      <c r="B4264" s="56" t="b">
        <v>0</v>
      </c>
      <c r="C4264" s="56" t="b">
        <v>0</v>
      </c>
      <c r="D4264" s="56" t="b">
        <v>0</v>
      </c>
      <c r="E4264" s="56">
        <f ca="1">IF(PV[[#This Row],[Business Date]]=Control!$C$6, PV[[#This Row],[Notional Value Local Cur]], -PV[[#This Row],[Notional Value Local Cur]])</f>
        <v>0</v>
      </c>
    </row>
    <row r="4265" spans="1:5" x14ac:dyDescent="0.25">
      <c r="A4265" s="36" t="b">
        <v>0</v>
      </c>
      <c r="B4265" s="56" t="b">
        <v>0</v>
      </c>
      <c r="C4265" s="56" t="b">
        <v>0</v>
      </c>
      <c r="D4265" s="56" t="b">
        <v>0</v>
      </c>
      <c r="E4265" s="56">
        <f ca="1">IF(PV[[#This Row],[Business Date]]=Control!$C$6, PV[[#This Row],[Notional Value Local Cur]], -PV[[#This Row],[Notional Value Local Cur]])</f>
        <v>0</v>
      </c>
    </row>
    <row r="4266" spans="1:5" x14ac:dyDescent="0.25">
      <c r="A4266" s="36" t="b">
        <v>0</v>
      </c>
      <c r="B4266" s="56" t="b">
        <v>0</v>
      </c>
      <c r="C4266" s="56" t="b">
        <v>0</v>
      </c>
      <c r="D4266" s="56" t="b">
        <v>0</v>
      </c>
      <c r="E4266" s="56">
        <f ca="1">IF(PV[[#This Row],[Business Date]]=Control!$C$6, PV[[#This Row],[Notional Value Local Cur]], -PV[[#This Row],[Notional Value Local Cur]])</f>
        <v>0</v>
      </c>
    </row>
    <row r="4267" spans="1:5" x14ac:dyDescent="0.25">
      <c r="A4267" s="36" t="b">
        <v>0</v>
      </c>
      <c r="B4267" s="56" t="b">
        <v>0</v>
      </c>
      <c r="C4267" s="56" t="b">
        <v>0</v>
      </c>
      <c r="D4267" s="56" t="b">
        <v>0</v>
      </c>
      <c r="E4267" s="56">
        <f ca="1">IF(PV[[#This Row],[Business Date]]=Control!$C$6, PV[[#This Row],[Notional Value Local Cur]], -PV[[#This Row],[Notional Value Local Cur]])</f>
        <v>0</v>
      </c>
    </row>
    <row r="4268" spans="1:5" x14ac:dyDescent="0.25">
      <c r="A4268" s="36" t="b">
        <v>0</v>
      </c>
      <c r="B4268" s="56" t="b">
        <v>0</v>
      </c>
      <c r="C4268" s="56" t="b">
        <v>0</v>
      </c>
      <c r="D4268" s="56" t="b">
        <v>0</v>
      </c>
      <c r="E4268" s="56">
        <f ca="1">IF(PV[[#This Row],[Business Date]]=Control!$C$6, PV[[#This Row],[Notional Value Local Cur]], -PV[[#This Row],[Notional Value Local Cur]])</f>
        <v>0</v>
      </c>
    </row>
    <row r="4269" spans="1:5" x14ac:dyDescent="0.25">
      <c r="A4269" s="36" t="b">
        <v>0</v>
      </c>
      <c r="B4269" s="56" t="b">
        <v>0</v>
      </c>
      <c r="C4269" s="56" t="b">
        <v>0</v>
      </c>
      <c r="D4269" s="56" t="b">
        <v>0</v>
      </c>
      <c r="E4269" s="56">
        <f ca="1">IF(PV[[#This Row],[Business Date]]=Control!$C$6, PV[[#This Row],[Notional Value Local Cur]], -PV[[#This Row],[Notional Value Local Cur]])</f>
        <v>0</v>
      </c>
    </row>
    <row r="4270" spans="1:5" x14ac:dyDescent="0.25">
      <c r="A4270" s="36" t="b">
        <v>0</v>
      </c>
      <c r="B4270" s="56" t="b">
        <v>0</v>
      </c>
      <c r="C4270" s="56" t="b">
        <v>0</v>
      </c>
      <c r="D4270" s="56" t="b">
        <v>0</v>
      </c>
      <c r="E4270" s="56">
        <f ca="1">IF(PV[[#This Row],[Business Date]]=Control!$C$6, PV[[#This Row],[Notional Value Local Cur]], -PV[[#This Row],[Notional Value Local Cur]])</f>
        <v>0</v>
      </c>
    </row>
    <row r="4271" spans="1:5" x14ac:dyDescent="0.25">
      <c r="A4271" s="36" t="b">
        <v>0</v>
      </c>
      <c r="B4271" s="56" t="b">
        <v>0</v>
      </c>
      <c r="C4271" s="56" t="b">
        <v>0</v>
      </c>
      <c r="D4271" s="56" t="b">
        <v>0</v>
      </c>
      <c r="E4271" s="56">
        <f ca="1">IF(PV[[#This Row],[Business Date]]=Control!$C$6, PV[[#This Row],[Notional Value Local Cur]], -PV[[#This Row],[Notional Value Local Cur]])</f>
        <v>0</v>
      </c>
    </row>
    <row r="4272" spans="1:5" x14ac:dyDescent="0.25">
      <c r="A4272" s="36" t="b">
        <v>0</v>
      </c>
      <c r="B4272" s="56" t="b">
        <v>0</v>
      </c>
      <c r="C4272" s="56" t="b">
        <v>0</v>
      </c>
      <c r="D4272" s="56" t="b">
        <v>0</v>
      </c>
      <c r="E4272" s="56">
        <f ca="1">IF(PV[[#This Row],[Business Date]]=Control!$C$6, PV[[#This Row],[Notional Value Local Cur]], -PV[[#This Row],[Notional Value Local Cur]])</f>
        <v>0</v>
      </c>
    </row>
    <row r="4273" spans="1:5" x14ac:dyDescent="0.25">
      <c r="A4273" s="36" t="b">
        <v>0</v>
      </c>
      <c r="B4273" s="56" t="b">
        <v>0</v>
      </c>
      <c r="C4273" s="56" t="b">
        <v>0</v>
      </c>
      <c r="D4273" s="56" t="b">
        <v>0</v>
      </c>
      <c r="E4273" s="56">
        <f ca="1">IF(PV[[#This Row],[Business Date]]=Control!$C$6, PV[[#This Row],[Notional Value Local Cur]], -PV[[#This Row],[Notional Value Local Cur]])</f>
        <v>0</v>
      </c>
    </row>
    <row r="4274" spans="1:5" x14ac:dyDescent="0.25">
      <c r="A4274" s="36" t="b">
        <v>0</v>
      </c>
      <c r="B4274" s="56" t="b">
        <v>0</v>
      </c>
      <c r="C4274" s="56" t="b">
        <v>0</v>
      </c>
      <c r="D4274" s="56" t="b">
        <v>0</v>
      </c>
      <c r="E4274" s="56">
        <f ca="1">IF(PV[[#This Row],[Business Date]]=Control!$C$6, PV[[#This Row],[Notional Value Local Cur]], -PV[[#This Row],[Notional Value Local Cur]])</f>
        <v>0</v>
      </c>
    </row>
    <row r="4275" spans="1:5" x14ac:dyDescent="0.25">
      <c r="A4275" s="36" t="b">
        <v>0</v>
      </c>
      <c r="B4275" s="56" t="b">
        <v>0</v>
      </c>
      <c r="C4275" s="56" t="b">
        <v>0</v>
      </c>
      <c r="D4275" s="56" t="b">
        <v>0</v>
      </c>
      <c r="E4275" s="56">
        <f ca="1">IF(PV[[#This Row],[Business Date]]=Control!$C$6, PV[[#This Row],[Notional Value Local Cur]], -PV[[#This Row],[Notional Value Local Cur]])</f>
        <v>0</v>
      </c>
    </row>
    <row r="4276" spans="1:5" x14ac:dyDescent="0.25">
      <c r="A4276" s="36" t="b">
        <v>0</v>
      </c>
      <c r="B4276" s="56" t="b">
        <v>0</v>
      </c>
      <c r="C4276" s="56" t="b">
        <v>0</v>
      </c>
      <c r="D4276" s="56" t="b">
        <v>0</v>
      </c>
      <c r="E4276" s="56">
        <f ca="1">IF(PV[[#This Row],[Business Date]]=Control!$C$6, PV[[#This Row],[Notional Value Local Cur]], -PV[[#This Row],[Notional Value Local Cur]])</f>
        <v>0</v>
      </c>
    </row>
    <row r="4277" spans="1:5" x14ac:dyDescent="0.25">
      <c r="A4277" s="36" t="b">
        <v>0</v>
      </c>
      <c r="B4277" s="56" t="b">
        <v>0</v>
      </c>
      <c r="C4277" s="56" t="b">
        <v>0</v>
      </c>
      <c r="D4277" s="56" t="b">
        <v>0</v>
      </c>
      <c r="E4277" s="56">
        <f ca="1">IF(PV[[#This Row],[Business Date]]=Control!$C$6, PV[[#This Row],[Notional Value Local Cur]], -PV[[#This Row],[Notional Value Local Cur]])</f>
        <v>0</v>
      </c>
    </row>
    <row r="4278" spans="1:5" x14ac:dyDescent="0.25">
      <c r="A4278" s="36" t="b">
        <v>0</v>
      </c>
      <c r="B4278" s="56" t="b">
        <v>0</v>
      </c>
      <c r="C4278" s="56" t="b">
        <v>0</v>
      </c>
      <c r="D4278" s="56" t="b">
        <v>0</v>
      </c>
      <c r="E4278" s="56">
        <f ca="1">IF(PV[[#This Row],[Business Date]]=Control!$C$6, PV[[#This Row],[Notional Value Local Cur]], -PV[[#This Row],[Notional Value Local Cur]])</f>
        <v>0</v>
      </c>
    </row>
    <row r="4279" spans="1:5" x14ac:dyDescent="0.25">
      <c r="A4279" s="36" t="b">
        <v>0</v>
      </c>
      <c r="B4279" s="56" t="b">
        <v>0</v>
      </c>
      <c r="C4279" s="56" t="b">
        <v>0</v>
      </c>
      <c r="D4279" s="56" t="b">
        <v>0</v>
      </c>
      <c r="E4279" s="56">
        <f ca="1">IF(PV[[#This Row],[Business Date]]=Control!$C$6, PV[[#This Row],[Notional Value Local Cur]], -PV[[#This Row],[Notional Value Local Cur]])</f>
        <v>0</v>
      </c>
    </row>
    <row r="4280" spans="1:5" x14ac:dyDescent="0.25">
      <c r="A4280" s="36" t="b">
        <v>0</v>
      </c>
      <c r="B4280" s="56" t="b">
        <v>0</v>
      </c>
      <c r="C4280" s="56" t="b">
        <v>0</v>
      </c>
      <c r="D4280" s="56" t="b">
        <v>0</v>
      </c>
      <c r="E4280" s="56">
        <f ca="1">IF(PV[[#This Row],[Business Date]]=Control!$C$6, PV[[#This Row],[Notional Value Local Cur]], -PV[[#This Row],[Notional Value Local Cur]])</f>
        <v>0</v>
      </c>
    </row>
    <row r="4281" spans="1:5" x14ac:dyDescent="0.25">
      <c r="A4281" s="36" t="b">
        <v>0</v>
      </c>
      <c r="B4281" s="56" t="b">
        <v>0</v>
      </c>
      <c r="C4281" s="56" t="b">
        <v>0</v>
      </c>
      <c r="D4281" s="56" t="b">
        <v>0</v>
      </c>
      <c r="E4281" s="56">
        <f ca="1">IF(PV[[#This Row],[Business Date]]=Control!$C$6, PV[[#This Row],[Notional Value Local Cur]], -PV[[#This Row],[Notional Value Local Cur]])</f>
        <v>0</v>
      </c>
    </row>
    <row r="4282" spans="1:5" x14ac:dyDescent="0.25">
      <c r="A4282" s="36" t="b">
        <v>0</v>
      </c>
      <c r="B4282" s="56" t="b">
        <v>0</v>
      </c>
      <c r="C4282" s="56" t="b">
        <v>0</v>
      </c>
      <c r="D4282" s="56" t="b">
        <v>0</v>
      </c>
      <c r="E4282" s="56">
        <f ca="1">IF(PV[[#This Row],[Business Date]]=Control!$C$6, PV[[#This Row],[Notional Value Local Cur]], -PV[[#This Row],[Notional Value Local Cur]])</f>
        <v>0</v>
      </c>
    </row>
    <row r="4283" spans="1:5" x14ac:dyDescent="0.25">
      <c r="A4283" s="36" t="b">
        <v>0</v>
      </c>
      <c r="B4283" s="56" t="b">
        <v>0</v>
      </c>
      <c r="C4283" s="56" t="b">
        <v>0</v>
      </c>
      <c r="D4283" s="56" t="b">
        <v>0</v>
      </c>
      <c r="E4283" s="56">
        <f ca="1">IF(PV[[#This Row],[Business Date]]=Control!$C$6, PV[[#This Row],[Notional Value Local Cur]], -PV[[#This Row],[Notional Value Local Cur]])</f>
        <v>0</v>
      </c>
    </row>
    <row r="4284" spans="1:5" x14ac:dyDescent="0.25">
      <c r="A4284" s="36" t="b">
        <v>0</v>
      </c>
      <c r="B4284" s="56" t="b">
        <v>0</v>
      </c>
      <c r="C4284" s="56" t="b">
        <v>0</v>
      </c>
      <c r="D4284" s="56" t="b">
        <v>0</v>
      </c>
      <c r="E4284" s="56">
        <f ca="1">IF(PV[[#This Row],[Business Date]]=Control!$C$6, PV[[#This Row],[Notional Value Local Cur]], -PV[[#This Row],[Notional Value Local Cur]])</f>
        <v>0</v>
      </c>
    </row>
    <row r="4285" spans="1:5" x14ac:dyDescent="0.25">
      <c r="A4285" s="36" t="b">
        <v>0</v>
      </c>
      <c r="B4285" s="56" t="b">
        <v>0</v>
      </c>
      <c r="C4285" s="56" t="b">
        <v>0</v>
      </c>
      <c r="D4285" s="56" t="b">
        <v>0</v>
      </c>
      <c r="E4285" s="56">
        <f ca="1">IF(PV[[#This Row],[Business Date]]=Control!$C$6, PV[[#This Row],[Notional Value Local Cur]], -PV[[#This Row],[Notional Value Local Cur]])</f>
        <v>0</v>
      </c>
    </row>
    <row r="4286" spans="1:5" x14ac:dyDescent="0.25">
      <c r="A4286" s="36" t="b">
        <v>0</v>
      </c>
      <c r="B4286" s="56" t="b">
        <v>0</v>
      </c>
      <c r="C4286" s="56" t="b">
        <v>0</v>
      </c>
      <c r="D4286" s="56" t="b">
        <v>0</v>
      </c>
      <c r="E4286" s="56">
        <f ca="1">IF(PV[[#This Row],[Business Date]]=Control!$C$6, PV[[#This Row],[Notional Value Local Cur]], -PV[[#This Row],[Notional Value Local Cur]])</f>
        <v>0</v>
      </c>
    </row>
    <row r="4287" spans="1:5" x14ac:dyDescent="0.25">
      <c r="A4287" s="36" t="b">
        <v>0</v>
      </c>
      <c r="B4287" s="56" t="b">
        <v>0</v>
      </c>
      <c r="C4287" s="56" t="b">
        <v>0</v>
      </c>
      <c r="D4287" s="56" t="b">
        <v>0</v>
      </c>
      <c r="E4287" s="56">
        <f ca="1">IF(PV[[#This Row],[Business Date]]=Control!$C$6, PV[[#This Row],[Notional Value Local Cur]], -PV[[#This Row],[Notional Value Local Cur]])</f>
        <v>0</v>
      </c>
    </row>
    <row r="4288" spans="1:5" x14ac:dyDescent="0.25">
      <c r="A4288" s="36" t="b">
        <v>0</v>
      </c>
      <c r="B4288" s="56" t="b">
        <v>0</v>
      </c>
      <c r="C4288" s="56" t="b">
        <v>0</v>
      </c>
      <c r="D4288" s="56" t="b">
        <v>0</v>
      </c>
      <c r="E4288" s="56">
        <f ca="1">IF(PV[[#This Row],[Business Date]]=Control!$C$6, PV[[#This Row],[Notional Value Local Cur]], -PV[[#This Row],[Notional Value Local Cur]])</f>
        <v>0</v>
      </c>
    </row>
    <row r="4289" spans="1:5" x14ac:dyDescent="0.25">
      <c r="A4289" s="36" t="b">
        <v>0</v>
      </c>
      <c r="B4289" s="56" t="b">
        <v>0</v>
      </c>
      <c r="C4289" s="56" t="b">
        <v>0</v>
      </c>
      <c r="D4289" s="56" t="b">
        <v>0</v>
      </c>
      <c r="E4289" s="56">
        <f ca="1">IF(PV[[#This Row],[Business Date]]=Control!$C$6, PV[[#This Row],[Notional Value Local Cur]], -PV[[#This Row],[Notional Value Local Cur]])</f>
        <v>0</v>
      </c>
    </row>
    <row r="4290" spans="1:5" x14ac:dyDescent="0.25">
      <c r="A4290" s="36" t="b">
        <v>0</v>
      </c>
      <c r="B4290" s="56" t="b">
        <v>0</v>
      </c>
      <c r="C4290" s="56" t="b">
        <v>0</v>
      </c>
      <c r="D4290" s="56" t="b">
        <v>0</v>
      </c>
      <c r="E4290" s="56">
        <f ca="1">IF(PV[[#This Row],[Business Date]]=Control!$C$6, PV[[#This Row],[Notional Value Local Cur]], -PV[[#This Row],[Notional Value Local Cur]])</f>
        <v>0</v>
      </c>
    </row>
    <row r="4291" spans="1:5" x14ac:dyDescent="0.25">
      <c r="A4291" s="36" t="b">
        <v>0</v>
      </c>
      <c r="B4291" s="56" t="b">
        <v>0</v>
      </c>
      <c r="C4291" s="56" t="b">
        <v>0</v>
      </c>
      <c r="D4291" s="56" t="b">
        <v>0</v>
      </c>
      <c r="E4291" s="56">
        <f ca="1">IF(PV[[#This Row],[Business Date]]=Control!$C$6, PV[[#This Row],[Notional Value Local Cur]], -PV[[#This Row],[Notional Value Local Cur]])</f>
        <v>0</v>
      </c>
    </row>
    <row r="4292" spans="1:5" x14ac:dyDescent="0.25">
      <c r="A4292" s="36" t="b">
        <v>0</v>
      </c>
      <c r="B4292" s="56" t="b">
        <v>0</v>
      </c>
      <c r="C4292" s="56" t="b">
        <v>0</v>
      </c>
      <c r="D4292" s="56" t="b">
        <v>0</v>
      </c>
      <c r="E4292" s="56">
        <f ca="1">IF(PV[[#This Row],[Business Date]]=Control!$C$6, PV[[#This Row],[Notional Value Local Cur]], -PV[[#This Row],[Notional Value Local Cur]])</f>
        <v>0</v>
      </c>
    </row>
    <row r="4293" spans="1:5" x14ac:dyDescent="0.25">
      <c r="A4293" s="36" t="b">
        <v>0</v>
      </c>
      <c r="B4293" s="56" t="b">
        <v>0</v>
      </c>
      <c r="C4293" s="56" t="b">
        <v>0</v>
      </c>
      <c r="D4293" s="56" t="b">
        <v>0</v>
      </c>
      <c r="E4293" s="56">
        <f ca="1">IF(PV[[#This Row],[Business Date]]=Control!$C$6, PV[[#This Row],[Notional Value Local Cur]], -PV[[#This Row],[Notional Value Local Cur]])</f>
        <v>0</v>
      </c>
    </row>
    <row r="4294" spans="1:5" x14ac:dyDescent="0.25">
      <c r="A4294" s="36" t="b">
        <v>0</v>
      </c>
      <c r="B4294" s="56" t="b">
        <v>0</v>
      </c>
      <c r="C4294" s="56" t="b">
        <v>0</v>
      </c>
      <c r="D4294" s="56" t="b">
        <v>0</v>
      </c>
      <c r="E4294" s="56">
        <f ca="1">IF(PV[[#This Row],[Business Date]]=Control!$C$6, PV[[#This Row],[Notional Value Local Cur]], -PV[[#This Row],[Notional Value Local Cur]])</f>
        <v>0</v>
      </c>
    </row>
    <row r="4295" spans="1:5" x14ac:dyDescent="0.25">
      <c r="A4295" s="36" t="b">
        <v>0</v>
      </c>
      <c r="B4295" s="56" t="b">
        <v>0</v>
      </c>
      <c r="C4295" s="56" t="b">
        <v>0</v>
      </c>
      <c r="D4295" s="56" t="b">
        <v>0</v>
      </c>
      <c r="E4295" s="56">
        <f ca="1">IF(PV[[#This Row],[Business Date]]=Control!$C$6, PV[[#This Row],[Notional Value Local Cur]], -PV[[#This Row],[Notional Value Local Cur]])</f>
        <v>0</v>
      </c>
    </row>
    <row r="4296" spans="1:5" x14ac:dyDescent="0.25">
      <c r="A4296" s="36" t="b">
        <v>0</v>
      </c>
      <c r="B4296" s="56" t="b">
        <v>0</v>
      </c>
      <c r="C4296" s="56" t="b">
        <v>0</v>
      </c>
      <c r="D4296" s="56" t="b">
        <v>0</v>
      </c>
      <c r="E4296" s="56">
        <f ca="1">IF(PV[[#This Row],[Business Date]]=Control!$C$6, PV[[#This Row],[Notional Value Local Cur]], -PV[[#This Row],[Notional Value Local Cur]])</f>
        <v>0</v>
      </c>
    </row>
    <row r="4297" spans="1:5" x14ac:dyDescent="0.25">
      <c r="A4297" s="36" t="b">
        <v>0</v>
      </c>
      <c r="B4297" s="56" t="b">
        <v>0</v>
      </c>
      <c r="C4297" s="56" t="b">
        <v>0</v>
      </c>
      <c r="D4297" s="56" t="b">
        <v>0</v>
      </c>
      <c r="E4297" s="56">
        <f ca="1">IF(PV[[#This Row],[Business Date]]=Control!$C$6, PV[[#This Row],[Notional Value Local Cur]], -PV[[#This Row],[Notional Value Local Cur]])</f>
        <v>0</v>
      </c>
    </row>
    <row r="4298" spans="1:5" x14ac:dyDescent="0.25">
      <c r="A4298" s="36" t="b">
        <v>0</v>
      </c>
      <c r="B4298" s="56" t="b">
        <v>0</v>
      </c>
      <c r="C4298" s="56" t="b">
        <v>0</v>
      </c>
      <c r="D4298" s="56" t="b">
        <v>0</v>
      </c>
      <c r="E4298" s="56">
        <f ca="1">IF(PV[[#This Row],[Business Date]]=Control!$C$6, PV[[#This Row],[Notional Value Local Cur]], -PV[[#This Row],[Notional Value Local Cur]])</f>
        <v>0</v>
      </c>
    </row>
    <row r="4299" spans="1:5" x14ac:dyDescent="0.25">
      <c r="A4299" s="36" t="b">
        <v>0</v>
      </c>
      <c r="B4299" s="56" t="b">
        <v>0</v>
      </c>
      <c r="C4299" s="56" t="b">
        <v>0</v>
      </c>
      <c r="D4299" s="56" t="b">
        <v>0</v>
      </c>
      <c r="E4299" s="56">
        <f ca="1">IF(PV[[#This Row],[Business Date]]=Control!$C$6, PV[[#This Row],[Notional Value Local Cur]], -PV[[#This Row],[Notional Value Local Cur]])</f>
        <v>0</v>
      </c>
    </row>
    <row r="4300" spans="1:5" x14ac:dyDescent="0.25">
      <c r="A4300" s="36" t="b">
        <v>0</v>
      </c>
      <c r="B4300" s="56" t="b">
        <v>0</v>
      </c>
      <c r="C4300" s="56" t="b">
        <v>0</v>
      </c>
      <c r="D4300" s="56" t="b">
        <v>0</v>
      </c>
      <c r="E4300" s="56">
        <f ca="1">IF(PV[[#This Row],[Business Date]]=Control!$C$6, PV[[#This Row],[Notional Value Local Cur]], -PV[[#This Row],[Notional Value Local Cur]])</f>
        <v>0</v>
      </c>
    </row>
    <row r="4301" spans="1:5" x14ac:dyDescent="0.25">
      <c r="A4301" s="36" t="b">
        <v>0</v>
      </c>
      <c r="B4301" s="56" t="b">
        <v>0</v>
      </c>
      <c r="C4301" s="56" t="b">
        <v>0</v>
      </c>
      <c r="D4301" s="56" t="b">
        <v>0</v>
      </c>
      <c r="E4301" s="56">
        <f ca="1">IF(PV[[#This Row],[Business Date]]=Control!$C$6, PV[[#This Row],[Notional Value Local Cur]], -PV[[#This Row],[Notional Value Local Cur]])</f>
        <v>0</v>
      </c>
    </row>
    <row r="4302" spans="1:5" x14ac:dyDescent="0.25">
      <c r="A4302" s="36" t="b">
        <v>0</v>
      </c>
      <c r="B4302" s="56" t="b">
        <v>0</v>
      </c>
      <c r="C4302" s="56" t="b">
        <v>0</v>
      </c>
      <c r="D4302" s="56" t="b">
        <v>0</v>
      </c>
      <c r="E4302" s="56">
        <f ca="1">IF(PV[[#This Row],[Business Date]]=Control!$C$6, PV[[#This Row],[Notional Value Local Cur]], -PV[[#This Row],[Notional Value Local Cur]])</f>
        <v>0</v>
      </c>
    </row>
    <row r="4303" spans="1:5" x14ac:dyDescent="0.25">
      <c r="A4303" s="36" t="b">
        <v>0</v>
      </c>
      <c r="B4303" s="56" t="b">
        <v>0</v>
      </c>
      <c r="C4303" s="56" t="b">
        <v>0</v>
      </c>
      <c r="D4303" s="56" t="b">
        <v>0</v>
      </c>
      <c r="E4303" s="56">
        <f ca="1">IF(PV[[#This Row],[Business Date]]=Control!$C$6, PV[[#This Row],[Notional Value Local Cur]], -PV[[#This Row],[Notional Value Local Cur]])</f>
        <v>0</v>
      </c>
    </row>
    <row r="4304" spans="1:5" x14ac:dyDescent="0.25">
      <c r="A4304" s="36" t="b">
        <v>0</v>
      </c>
      <c r="B4304" s="56" t="b">
        <v>0</v>
      </c>
      <c r="C4304" s="56" t="b">
        <v>0</v>
      </c>
      <c r="D4304" s="56" t="b">
        <v>0</v>
      </c>
      <c r="E4304" s="56">
        <f ca="1">IF(PV[[#This Row],[Business Date]]=Control!$C$6, PV[[#This Row],[Notional Value Local Cur]], -PV[[#This Row],[Notional Value Local Cur]])</f>
        <v>0</v>
      </c>
    </row>
    <row r="4305" spans="1:5" x14ac:dyDescent="0.25">
      <c r="A4305" s="36" t="b">
        <v>0</v>
      </c>
      <c r="B4305" s="56" t="b">
        <v>0</v>
      </c>
      <c r="C4305" s="56" t="b">
        <v>0</v>
      </c>
      <c r="D4305" s="56" t="b">
        <v>0</v>
      </c>
      <c r="E4305" s="56">
        <f ca="1">IF(PV[[#This Row],[Business Date]]=Control!$C$6, PV[[#This Row],[Notional Value Local Cur]], -PV[[#This Row],[Notional Value Local Cur]])</f>
        <v>0</v>
      </c>
    </row>
    <row r="4306" spans="1:5" x14ac:dyDescent="0.25">
      <c r="A4306" s="36" t="b">
        <v>0</v>
      </c>
      <c r="B4306" s="56" t="b">
        <v>0</v>
      </c>
      <c r="C4306" s="56" t="b">
        <v>0</v>
      </c>
      <c r="D4306" s="56" t="b">
        <v>0</v>
      </c>
      <c r="E4306" s="56">
        <f ca="1">IF(PV[[#This Row],[Business Date]]=Control!$C$6, PV[[#This Row],[Notional Value Local Cur]], -PV[[#This Row],[Notional Value Local Cur]])</f>
        <v>0</v>
      </c>
    </row>
    <row r="4307" spans="1:5" x14ac:dyDescent="0.25">
      <c r="A4307" s="36" t="b">
        <v>0</v>
      </c>
      <c r="B4307" s="56" t="b">
        <v>0</v>
      </c>
      <c r="C4307" s="56" t="b">
        <v>0</v>
      </c>
      <c r="D4307" s="56" t="b">
        <v>0</v>
      </c>
      <c r="E4307" s="56">
        <f ca="1">IF(PV[[#This Row],[Business Date]]=Control!$C$6, PV[[#This Row],[Notional Value Local Cur]], -PV[[#This Row],[Notional Value Local Cur]])</f>
        <v>0</v>
      </c>
    </row>
    <row r="4308" spans="1:5" x14ac:dyDescent="0.25">
      <c r="A4308" s="36" t="b">
        <v>0</v>
      </c>
      <c r="B4308" s="56" t="b">
        <v>0</v>
      </c>
      <c r="C4308" s="56" t="b">
        <v>0</v>
      </c>
      <c r="D4308" s="56" t="b">
        <v>0</v>
      </c>
      <c r="E4308" s="56">
        <f ca="1">IF(PV[[#This Row],[Business Date]]=Control!$C$6, PV[[#This Row],[Notional Value Local Cur]], -PV[[#This Row],[Notional Value Local Cur]])</f>
        <v>0</v>
      </c>
    </row>
    <row r="4309" spans="1:5" x14ac:dyDescent="0.25">
      <c r="A4309" s="36" t="b">
        <v>0</v>
      </c>
      <c r="B4309" s="56" t="b">
        <v>0</v>
      </c>
      <c r="C4309" s="56" t="b">
        <v>0</v>
      </c>
      <c r="D4309" s="56" t="b">
        <v>0</v>
      </c>
      <c r="E4309" s="56">
        <f ca="1">IF(PV[[#This Row],[Business Date]]=Control!$C$6, PV[[#This Row],[Notional Value Local Cur]], -PV[[#This Row],[Notional Value Local Cur]])</f>
        <v>0</v>
      </c>
    </row>
    <row r="4310" spans="1:5" x14ac:dyDescent="0.25">
      <c r="A4310" s="36" t="b">
        <v>0</v>
      </c>
      <c r="B4310" s="56" t="b">
        <v>0</v>
      </c>
      <c r="C4310" s="56" t="b">
        <v>0</v>
      </c>
      <c r="D4310" s="56" t="b">
        <v>0</v>
      </c>
      <c r="E4310" s="56">
        <f ca="1">IF(PV[[#This Row],[Business Date]]=Control!$C$6, PV[[#This Row],[Notional Value Local Cur]], -PV[[#This Row],[Notional Value Local Cur]])</f>
        <v>0</v>
      </c>
    </row>
    <row r="4311" spans="1:5" x14ac:dyDescent="0.25">
      <c r="A4311" s="36" t="b">
        <v>0</v>
      </c>
      <c r="B4311" s="56" t="b">
        <v>0</v>
      </c>
      <c r="C4311" s="56" t="b">
        <v>0</v>
      </c>
      <c r="D4311" s="56" t="b">
        <v>0</v>
      </c>
      <c r="E4311" s="56">
        <f ca="1">IF(PV[[#This Row],[Business Date]]=Control!$C$6, PV[[#This Row],[Notional Value Local Cur]], -PV[[#This Row],[Notional Value Local Cur]])</f>
        <v>0</v>
      </c>
    </row>
    <row r="4312" spans="1:5" x14ac:dyDescent="0.25">
      <c r="A4312" s="36" t="b">
        <v>0</v>
      </c>
      <c r="B4312" s="56" t="b">
        <v>0</v>
      </c>
      <c r="C4312" s="56" t="b">
        <v>0</v>
      </c>
      <c r="D4312" s="56" t="b">
        <v>0</v>
      </c>
      <c r="E4312" s="56">
        <f ca="1">IF(PV[[#This Row],[Business Date]]=Control!$C$6, PV[[#This Row],[Notional Value Local Cur]], -PV[[#This Row],[Notional Value Local Cur]])</f>
        <v>0</v>
      </c>
    </row>
    <row r="4313" spans="1:5" x14ac:dyDescent="0.25">
      <c r="A4313" s="36" t="b">
        <v>0</v>
      </c>
      <c r="B4313" s="56" t="b">
        <v>0</v>
      </c>
      <c r="C4313" s="56" t="b">
        <v>0</v>
      </c>
      <c r="D4313" s="56" t="b">
        <v>0</v>
      </c>
      <c r="E4313" s="56">
        <f ca="1">IF(PV[[#This Row],[Business Date]]=Control!$C$6, PV[[#This Row],[Notional Value Local Cur]], -PV[[#This Row],[Notional Value Local Cur]])</f>
        <v>0</v>
      </c>
    </row>
    <row r="4314" spans="1:5" x14ac:dyDescent="0.25">
      <c r="A4314" s="36" t="b">
        <v>0</v>
      </c>
      <c r="B4314" s="56" t="b">
        <v>0</v>
      </c>
      <c r="C4314" s="56" t="b">
        <v>0</v>
      </c>
      <c r="D4314" s="56" t="b">
        <v>0</v>
      </c>
      <c r="E4314" s="56">
        <f ca="1">IF(PV[[#This Row],[Business Date]]=Control!$C$6, PV[[#This Row],[Notional Value Local Cur]], -PV[[#This Row],[Notional Value Local Cur]])</f>
        <v>0</v>
      </c>
    </row>
    <row r="4315" spans="1:5" x14ac:dyDescent="0.25">
      <c r="A4315" s="36" t="b">
        <v>0</v>
      </c>
      <c r="B4315" s="56" t="b">
        <v>0</v>
      </c>
      <c r="C4315" s="56" t="b">
        <v>0</v>
      </c>
      <c r="D4315" s="56" t="b">
        <v>0</v>
      </c>
      <c r="E4315" s="56">
        <f ca="1">IF(PV[[#This Row],[Business Date]]=Control!$C$6, PV[[#This Row],[Notional Value Local Cur]], -PV[[#This Row],[Notional Value Local Cur]])</f>
        <v>0</v>
      </c>
    </row>
    <row r="4316" spans="1:5" x14ac:dyDescent="0.25">
      <c r="A4316" s="36" t="b">
        <v>0</v>
      </c>
      <c r="B4316" s="56" t="b">
        <v>0</v>
      </c>
      <c r="C4316" s="56" t="b">
        <v>0</v>
      </c>
      <c r="D4316" s="56" t="b">
        <v>0</v>
      </c>
      <c r="E4316" s="56">
        <f ca="1">IF(PV[[#This Row],[Business Date]]=Control!$C$6, PV[[#This Row],[Notional Value Local Cur]], -PV[[#This Row],[Notional Value Local Cur]])</f>
        <v>0</v>
      </c>
    </row>
    <row r="4317" spans="1:5" x14ac:dyDescent="0.25">
      <c r="A4317" s="36" t="b">
        <v>0</v>
      </c>
      <c r="B4317" s="56" t="b">
        <v>0</v>
      </c>
      <c r="C4317" s="56" t="b">
        <v>0</v>
      </c>
      <c r="D4317" s="56" t="b">
        <v>0</v>
      </c>
      <c r="E4317" s="56">
        <f ca="1">IF(PV[[#This Row],[Business Date]]=Control!$C$6, PV[[#This Row],[Notional Value Local Cur]], -PV[[#This Row],[Notional Value Local Cur]])</f>
        <v>0</v>
      </c>
    </row>
    <row r="4318" spans="1:5" x14ac:dyDescent="0.25">
      <c r="A4318" s="36" t="b">
        <v>0</v>
      </c>
      <c r="B4318" s="56" t="b">
        <v>0</v>
      </c>
      <c r="C4318" s="56" t="b">
        <v>0</v>
      </c>
      <c r="D4318" s="56" t="b">
        <v>0</v>
      </c>
      <c r="E4318" s="56">
        <f ca="1">IF(PV[[#This Row],[Business Date]]=Control!$C$6, PV[[#This Row],[Notional Value Local Cur]], -PV[[#This Row],[Notional Value Local Cur]])</f>
        <v>0</v>
      </c>
    </row>
    <row r="4319" spans="1:5" x14ac:dyDescent="0.25">
      <c r="A4319" s="36" t="b">
        <v>0</v>
      </c>
      <c r="B4319" s="56" t="b">
        <v>0</v>
      </c>
      <c r="C4319" s="56" t="b">
        <v>0</v>
      </c>
      <c r="D4319" s="56" t="b">
        <v>0</v>
      </c>
      <c r="E4319" s="56">
        <f ca="1">IF(PV[[#This Row],[Business Date]]=Control!$C$6, PV[[#This Row],[Notional Value Local Cur]], -PV[[#This Row],[Notional Value Local Cur]])</f>
        <v>0</v>
      </c>
    </row>
    <row r="4320" spans="1:5" x14ac:dyDescent="0.25">
      <c r="A4320" s="36" t="b">
        <v>0</v>
      </c>
      <c r="B4320" s="56" t="b">
        <v>0</v>
      </c>
      <c r="C4320" s="56" t="b">
        <v>0</v>
      </c>
      <c r="D4320" s="56" t="b">
        <v>0</v>
      </c>
      <c r="E4320" s="56">
        <f ca="1">IF(PV[[#This Row],[Business Date]]=Control!$C$6, PV[[#This Row],[Notional Value Local Cur]], -PV[[#This Row],[Notional Value Local Cur]])</f>
        <v>0</v>
      </c>
    </row>
    <row r="4321" spans="1:5" x14ac:dyDescent="0.25">
      <c r="A4321" s="36" t="b">
        <v>0</v>
      </c>
      <c r="B4321" s="56" t="b">
        <v>0</v>
      </c>
      <c r="C4321" s="56" t="b">
        <v>0</v>
      </c>
      <c r="D4321" s="56" t="b">
        <v>0</v>
      </c>
      <c r="E4321" s="56">
        <f ca="1">IF(PV[[#This Row],[Business Date]]=Control!$C$6, PV[[#This Row],[Notional Value Local Cur]], -PV[[#This Row],[Notional Value Local Cur]])</f>
        <v>0</v>
      </c>
    </row>
    <row r="4322" spans="1:5" x14ac:dyDescent="0.25">
      <c r="A4322" s="36" t="b">
        <v>0</v>
      </c>
      <c r="B4322" s="56" t="b">
        <v>0</v>
      </c>
      <c r="C4322" s="56" t="b">
        <v>0</v>
      </c>
      <c r="D4322" s="56" t="b">
        <v>0</v>
      </c>
      <c r="E4322" s="56">
        <f ca="1">IF(PV[[#This Row],[Business Date]]=Control!$C$6, PV[[#This Row],[Notional Value Local Cur]], -PV[[#This Row],[Notional Value Local Cur]])</f>
        <v>0</v>
      </c>
    </row>
    <row r="4323" spans="1:5" x14ac:dyDescent="0.25">
      <c r="A4323" s="36" t="b">
        <v>0</v>
      </c>
      <c r="B4323" s="56" t="b">
        <v>0</v>
      </c>
      <c r="C4323" s="56" t="b">
        <v>0</v>
      </c>
      <c r="D4323" s="56" t="b">
        <v>0</v>
      </c>
      <c r="E4323" s="56">
        <f ca="1">IF(PV[[#This Row],[Business Date]]=Control!$C$6, PV[[#This Row],[Notional Value Local Cur]], -PV[[#This Row],[Notional Value Local Cur]])</f>
        <v>0</v>
      </c>
    </row>
    <row r="4324" spans="1:5" x14ac:dyDescent="0.25">
      <c r="A4324" s="36" t="b">
        <v>0</v>
      </c>
      <c r="B4324" s="56" t="b">
        <v>0</v>
      </c>
      <c r="C4324" s="56" t="b">
        <v>0</v>
      </c>
      <c r="D4324" s="56" t="b">
        <v>0</v>
      </c>
      <c r="E4324" s="56">
        <f ca="1">IF(PV[[#This Row],[Business Date]]=Control!$C$6, PV[[#This Row],[Notional Value Local Cur]], -PV[[#This Row],[Notional Value Local Cur]])</f>
        <v>0</v>
      </c>
    </row>
    <row r="4325" spans="1:5" x14ac:dyDescent="0.25">
      <c r="A4325" s="36" t="b">
        <v>0</v>
      </c>
      <c r="B4325" s="56" t="b">
        <v>0</v>
      </c>
      <c r="C4325" s="56" t="b">
        <v>0</v>
      </c>
      <c r="D4325" s="56" t="b">
        <v>0</v>
      </c>
      <c r="E4325" s="56">
        <f ca="1">IF(PV[[#This Row],[Business Date]]=Control!$C$6, PV[[#This Row],[Notional Value Local Cur]], -PV[[#This Row],[Notional Value Local Cur]])</f>
        <v>0</v>
      </c>
    </row>
    <row r="4326" spans="1:5" x14ac:dyDescent="0.25">
      <c r="A4326" s="36" t="b">
        <v>0</v>
      </c>
      <c r="B4326" s="56" t="b">
        <v>0</v>
      </c>
      <c r="C4326" s="56" t="b">
        <v>0</v>
      </c>
      <c r="D4326" s="56" t="b">
        <v>0</v>
      </c>
      <c r="E4326" s="56">
        <f ca="1">IF(PV[[#This Row],[Business Date]]=Control!$C$6, PV[[#This Row],[Notional Value Local Cur]], -PV[[#This Row],[Notional Value Local Cur]])</f>
        <v>0</v>
      </c>
    </row>
    <row r="4327" spans="1:5" x14ac:dyDescent="0.25">
      <c r="A4327" s="36" t="b">
        <v>0</v>
      </c>
      <c r="B4327" s="56" t="b">
        <v>0</v>
      </c>
      <c r="C4327" s="56" t="b">
        <v>0</v>
      </c>
      <c r="D4327" s="56" t="b">
        <v>0</v>
      </c>
      <c r="E4327" s="56">
        <f ca="1">IF(PV[[#This Row],[Business Date]]=Control!$C$6, PV[[#This Row],[Notional Value Local Cur]], -PV[[#This Row],[Notional Value Local Cur]])</f>
        <v>0</v>
      </c>
    </row>
    <row r="4328" spans="1:5" x14ac:dyDescent="0.25">
      <c r="A4328" s="36" t="b">
        <v>0</v>
      </c>
      <c r="B4328" s="56" t="b">
        <v>0</v>
      </c>
      <c r="C4328" s="56" t="b">
        <v>0</v>
      </c>
      <c r="D4328" s="56" t="b">
        <v>0</v>
      </c>
      <c r="E4328" s="56">
        <f ca="1">IF(PV[[#This Row],[Business Date]]=Control!$C$6, PV[[#This Row],[Notional Value Local Cur]], -PV[[#This Row],[Notional Value Local Cur]])</f>
        <v>0</v>
      </c>
    </row>
    <row r="4329" spans="1:5" x14ac:dyDescent="0.25">
      <c r="A4329" s="36" t="b">
        <v>0</v>
      </c>
      <c r="B4329" s="56" t="b">
        <v>0</v>
      </c>
      <c r="C4329" s="56" t="b">
        <v>0</v>
      </c>
      <c r="D4329" s="56" t="b">
        <v>0</v>
      </c>
      <c r="E4329" s="56">
        <f ca="1">IF(PV[[#This Row],[Business Date]]=Control!$C$6, PV[[#This Row],[Notional Value Local Cur]], -PV[[#This Row],[Notional Value Local Cur]])</f>
        <v>0</v>
      </c>
    </row>
    <row r="4330" spans="1:5" x14ac:dyDescent="0.25">
      <c r="A4330" s="36" t="b">
        <v>0</v>
      </c>
      <c r="B4330" s="56" t="b">
        <v>0</v>
      </c>
      <c r="C4330" s="56" t="b">
        <v>0</v>
      </c>
      <c r="D4330" s="56" t="b">
        <v>0</v>
      </c>
      <c r="E4330" s="56">
        <f ca="1">IF(PV[[#This Row],[Business Date]]=Control!$C$6, PV[[#This Row],[Notional Value Local Cur]], -PV[[#This Row],[Notional Value Local Cur]])</f>
        <v>0</v>
      </c>
    </row>
    <row r="4331" spans="1:5" x14ac:dyDescent="0.25">
      <c r="A4331" s="36" t="b">
        <v>0</v>
      </c>
      <c r="B4331" s="56" t="b">
        <v>0</v>
      </c>
      <c r="C4331" s="56" t="b">
        <v>0</v>
      </c>
      <c r="D4331" s="56" t="b">
        <v>0</v>
      </c>
      <c r="E4331" s="56">
        <f ca="1">IF(PV[[#This Row],[Business Date]]=Control!$C$6, PV[[#This Row],[Notional Value Local Cur]], -PV[[#This Row],[Notional Value Local Cur]])</f>
        <v>0</v>
      </c>
    </row>
    <row r="4332" spans="1:5" x14ac:dyDescent="0.25">
      <c r="A4332" s="36" t="b">
        <v>0</v>
      </c>
      <c r="B4332" s="56" t="b">
        <v>0</v>
      </c>
      <c r="C4332" s="56" t="b">
        <v>0</v>
      </c>
      <c r="D4332" s="56" t="b">
        <v>0</v>
      </c>
      <c r="E4332" s="56">
        <f ca="1">IF(PV[[#This Row],[Business Date]]=Control!$C$6, PV[[#This Row],[Notional Value Local Cur]], -PV[[#This Row],[Notional Value Local Cur]])</f>
        <v>0</v>
      </c>
    </row>
    <row r="4333" spans="1:5" x14ac:dyDescent="0.25">
      <c r="A4333" s="36" t="b">
        <v>0</v>
      </c>
      <c r="B4333" s="56" t="b">
        <v>0</v>
      </c>
      <c r="C4333" s="56" t="b">
        <v>0</v>
      </c>
      <c r="D4333" s="56" t="b">
        <v>0</v>
      </c>
      <c r="E4333" s="56">
        <f ca="1">IF(PV[[#This Row],[Business Date]]=Control!$C$6, PV[[#This Row],[Notional Value Local Cur]], -PV[[#This Row],[Notional Value Local Cur]])</f>
        <v>0</v>
      </c>
    </row>
    <row r="4334" spans="1:5" x14ac:dyDescent="0.25">
      <c r="A4334" s="36" t="b">
        <v>0</v>
      </c>
      <c r="B4334" s="56" t="b">
        <v>0</v>
      </c>
      <c r="C4334" s="56" t="b">
        <v>0</v>
      </c>
      <c r="D4334" s="56" t="b">
        <v>0</v>
      </c>
      <c r="E4334" s="56">
        <f ca="1">IF(PV[[#This Row],[Business Date]]=Control!$C$6, PV[[#This Row],[Notional Value Local Cur]], -PV[[#This Row],[Notional Value Local Cur]])</f>
        <v>0</v>
      </c>
    </row>
    <row r="4335" spans="1:5" x14ac:dyDescent="0.25">
      <c r="A4335" s="36" t="b">
        <v>0</v>
      </c>
      <c r="B4335" s="56" t="b">
        <v>0</v>
      </c>
      <c r="C4335" s="56" t="b">
        <v>0</v>
      </c>
      <c r="D4335" s="56" t="b">
        <v>0</v>
      </c>
      <c r="E4335" s="56">
        <f ca="1">IF(PV[[#This Row],[Business Date]]=Control!$C$6, PV[[#This Row],[Notional Value Local Cur]], -PV[[#This Row],[Notional Value Local Cur]])</f>
        <v>0</v>
      </c>
    </row>
    <row r="4336" spans="1:5" x14ac:dyDescent="0.25">
      <c r="A4336" s="36" t="b">
        <v>0</v>
      </c>
      <c r="B4336" s="56" t="b">
        <v>0</v>
      </c>
      <c r="C4336" s="56" t="b">
        <v>0</v>
      </c>
      <c r="D4336" s="56" t="b">
        <v>0</v>
      </c>
      <c r="E4336" s="56">
        <f ca="1">IF(PV[[#This Row],[Business Date]]=Control!$C$6, PV[[#This Row],[Notional Value Local Cur]], -PV[[#This Row],[Notional Value Local Cur]])</f>
        <v>0</v>
      </c>
    </row>
    <row r="4337" spans="1:5" x14ac:dyDescent="0.25">
      <c r="A4337" s="36" t="b">
        <v>0</v>
      </c>
      <c r="B4337" s="56" t="b">
        <v>0</v>
      </c>
      <c r="C4337" s="56" t="b">
        <v>0</v>
      </c>
      <c r="D4337" s="56" t="b">
        <v>0</v>
      </c>
      <c r="E4337" s="56">
        <f ca="1">IF(PV[[#This Row],[Business Date]]=Control!$C$6, PV[[#This Row],[Notional Value Local Cur]], -PV[[#This Row],[Notional Value Local Cur]])</f>
        <v>0</v>
      </c>
    </row>
    <row r="4338" spans="1:5" x14ac:dyDescent="0.25">
      <c r="A4338" s="36" t="b">
        <v>0</v>
      </c>
      <c r="B4338" s="56" t="b">
        <v>0</v>
      </c>
      <c r="C4338" s="56" t="b">
        <v>0</v>
      </c>
      <c r="D4338" s="56" t="b">
        <v>0</v>
      </c>
      <c r="E4338" s="56">
        <f ca="1">IF(PV[[#This Row],[Business Date]]=Control!$C$6, PV[[#This Row],[Notional Value Local Cur]], -PV[[#This Row],[Notional Value Local Cur]])</f>
        <v>0</v>
      </c>
    </row>
    <row r="4339" spans="1:5" x14ac:dyDescent="0.25">
      <c r="A4339" s="36" t="b">
        <v>0</v>
      </c>
      <c r="B4339" s="56" t="b">
        <v>0</v>
      </c>
      <c r="C4339" s="56" t="b">
        <v>0</v>
      </c>
      <c r="D4339" s="56" t="b">
        <v>0</v>
      </c>
      <c r="E4339" s="56">
        <f ca="1">IF(PV[[#This Row],[Business Date]]=Control!$C$6, PV[[#This Row],[Notional Value Local Cur]], -PV[[#This Row],[Notional Value Local Cur]])</f>
        <v>0</v>
      </c>
    </row>
    <row r="4340" spans="1:5" x14ac:dyDescent="0.25">
      <c r="A4340" s="36" t="b">
        <v>0</v>
      </c>
      <c r="B4340" s="56" t="b">
        <v>0</v>
      </c>
      <c r="C4340" s="56" t="b">
        <v>0</v>
      </c>
      <c r="D4340" s="56" t="b">
        <v>0</v>
      </c>
      <c r="E4340" s="56">
        <f ca="1">IF(PV[[#This Row],[Business Date]]=Control!$C$6, PV[[#This Row],[Notional Value Local Cur]], -PV[[#This Row],[Notional Value Local Cur]])</f>
        <v>0</v>
      </c>
    </row>
    <row r="4341" spans="1:5" x14ac:dyDescent="0.25">
      <c r="A4341" s="36" t="b">
        <v>0</v>
      </c>
      <c r="B4341" s="56" t="b">
        <v>0</v>
      </c>
      <c r="C4341" s="56" t="b">
        <v>0</v>
      </c>
      <c r="D4341" s="56" t="b">
        <v>0</v>
      </c>
      <c r="E4341" s="56">
        <f ca="1">IF(PV[[#This Row],[Business Date]]=Control!$C$6, PV[[#This Row],[Notional Value Local Cur]], -PV[[#This Row],[Notional Value Local Cur]])</f>
        <v>0</v>
      </c>
    </row>
    <row r="4342" spans="1:5" x14ac:dyDescent="0.25">
      <c r="A4342" s="36" t="b">
        <v>0</v>
      </c>
      <c r="B4342" s="56" t="b">
        <v>0</v>
      </c>
      <c r="C4342" s="56" t="b">
        <v>0</v>
      </c>
      <c r="D4342" s="56" t="b">
        <v>0</v>
      </c>
      <c r="E4342" s="56">
        <f ca="1">IF(PV[[#This Row],[Business Date]]=Control!$C$6, PV[[#This Row],[Notional Value Local Cur]], -PV[[#This Row],[Notional Value Local Cur]])</f>
        <v>0</v>
      </c>
    </row>
    <row r="4343" spans="1:5" x14ac:dyDescent="0.25">
      <c r="A4343" s="36" t="b">
        <v>0</v>
      </c>
      <c r="B4343" s="56" t="b">
        <v>0</v>
      </c>
      <c r="C4343" s="56" t="b">
        <v>0</v>
      </c>
      <c r="D4343" s="56" t="b">
        <v>0</v>
      </c>
      <c r="E4343" s="56">
        <f ca="1">IF(PV[[#This Row],[Business Date]]=Control!$C$6, PV[[#This Row],[Notional Value Local Cur]], -PV[[#This Row],[Notional Value Local Cur]])</f>
        <v>0</v>
      </c>
    </row>
    <row r="4344" spans="1:5" x14ac:dyDescent="0.25">
      <c r="A4344" s="36" t="b">
        <v>0</v>
      </c>
      <c r="B4344" s="56" t="b">
        <v>0</v>
      </c>
      <c r="C4344" s="56" t="b">
        <v>0</v>
      </c>
      <c r="D4344" s="56" t="b">
        <v>0</v>
      </c>
      <c r="E4344" s="56">
        <f ca="1">IF(PV[[#This Row],[Business Date]]=Control!$C$6, PV[[#This Row],[Notional Value Local Cur]], -PV[[#This Row],[Notional Value Local Cur]])</f>
        <v>0</v>
      </c>
    </row>
    <row r="4345" spans="1:5" x14ac:dyDescent="0.25">
      <c r="A4345" s="36" t="b">
        <v>0</v>
      </c>
      <c r="B4345" s="56" t="b">
        <v>0</v>
      </c>
      <c r="C4345" s="56" t="b">
        <v>0</v>
      </c>
      <c r="D4345" s="56" t="b">
        <v>0</v>
      </c>
      <c r="E4345" s="56">
        <f ca="1">IF(PV[[#This Row],[Business Date]]=Control!$C$6, PV[[#This Row],[Notional Value Local Cur]], -PV[[#This Row],[Notional Value Local Cur]])</f>
        <v>0</v>
      </c>
    </row>
    <row r="4346" spans="1:5" x14ac:dyDescent="0.25">
      <c r="A4346" s="36" t="b">
        <v>0</v>
      </c>
      <c r="B4346" s="56" t="b">
        <v>0</v>
      </c>
      <c r="C4346" s="56" t="b">
        <v>0</v>
      </c>
      <c r="D4346" s="56" t="b">
        <v>0</v>
      </c>
      <c r="E4346" s="56">
        <f ca="1">IF(PV[[#This Row],[Business Date]]=Control!$C$6, PV[[#This Row],[Notional Value Local Cur]], -PV[[#This Row],[Notional Value Local Cur]])</f>
        <v>0</v>
      </c>
    </row>
    <row r="4347" spans="1:5" x14ac:dyDescent="0.25">
      <c r="A4347" s="36" t="b">
        <v>0</v>
      </c>
      <c r="B4347" s="56" t="b">
        <v>0</v>
      </c>
      <c r="C4347" s="56" t="b">
        <v>0</v>
      </c>
      <c r="D4347" s="56" t="b">
        <v>0</v>
      </c>
      <c r="E4347" s="56">
        <f ca="1">IF(PV[[#This Row],[Business Date]]=Control!$C$6, PV[[#This Row],[Notional Value Local Cur]], -PV[[#This Row],[Notional Value Local Cur]])</f>
        <v>0</v>
      </c>
    </row>
    <row r="4348" spans="1:5" x14ac:dyDescent="0.25">
      <c r="A4348" s="36" t="b">
        <v>0</v>
      </c>
      <c r="B4348" s="56" t="b">
        <v>0</v>
      </c>
      <c r="C4348" s="56" t="b">
        <v>0</v>
      </c>
      <c r="D4348" s="56" t="b">
        <v>0</v>
      </c>
      <c r="E4348" s="56">
        <f ca="1">IF(PV[[#This Row],[Business Date]]=Control!$C$6, PV[[#This Row],[Notional Value Local Cur]], -PV[[#This Row],[Notional Value Local Cur]])</f>
        <v>0</v>
      </c>
    </row>
    <row r="4349" spans="1:5" x14ac:dyDescent="0.25">
      <c r="A4349" s="36" t="b">
        <v>0</v>
      </c>
      <c r="B4349" s="56" t="b">
        <v>0</v>
      </c>
      <c r="C4349" s="56" t="b">
        <v>0</v>
      </c>
      <c r="D4349" s="56" t="b">
        <v>0</v>
      </c>
      <c r="E4349" s="56">
        <f ca="1">IF(PV[[#This Row],[Business Date]]=Control!$C$6, PV[[#This Row],[Notional Value Local Cur]], -PV[[#This Row],[Notional Value Local Cur]])</f>
        <v>0</v>
      </c>
    </row>
    <row r="4350" spans="1:5" x14ac:dyDescent="0.25">
      <c r="A4350" s="36" t="b">
        <v>0</v>
      </c>
      <c r="B4350" s="56" t="b">
        <v>0</v>
      </c>
      <c r="C4350" s="56" t="b">
        <v>0</v>
      </c>
      <c r="D4350" s="56" t="b">
        <v>0</v>
      </c>
      <c r="E4350" s="56">
        <f ca="1">IF(PV[[#This Row],[Business Date]]=Control!$C$6, PV[[#This Row],[Notional Value Local Cur]], -PV[[#This Row],[Notional Value Local Cur]])</f>
        <v>0</v>
      </c>
    </row>
    <row r="4351" spans="1:5" x14ac:dyDescent="0.25">
      <c r="A4351" s="36" t="b">
        <v>0</v>
      </c>
      <c r="B4351" s="56" t="b">
        <v>0</v>
      </c>
      <c r="C4351" s="56" t="b">
        <v>0</v>
      </c>
      <c r="D4351" s="56" t="b">
        <v>0</v>
      </c>
      <c r="E4351" s="56">
        <f ca="1">IF(PV[[#This Row],[Business Date]]=Control!$C$6, PV[[#This Row],[Notional Value Local Cur]], -PV[[#This Row],[Notional Value Local Cur]])</f>
        <v>0</v>
      </c>
    </row>
    <row r="4352" spans="1:5" x14ac:dyDescent="0.25">
      <c r="A4352" s="36" t="b">
        <v>0</v>
      </c>
      <c r="B4352" s="56" t="b">
        <v>0</v>
      </c>
      <c r="C4352" s="56" t="b">
        <v>0</v>
      </c>
      <c r="D4352" s="56" t="b">
        <v>0</v>
      </c>
      <c r="E4352" s="56">
        <f ca="1">IF(PV[[#This Row],[Business Date]]=Control!$C$6, PV[[#This Row],[Notional Value Local Cur]], -PV[[#This Row],[Notional Value Local Cur]])</f>
        <v>0</v>
      </c>
    </row>
    <row r="4353" spans="1:5" x14ac:dyDescent="0.25">
      <c r="A4353" s="36" t="b">
        <v>0</v>
      </c>
      <c r="B4353" s="56" t="b">
        <v>0</v>
      </c>
      <c r="C4353" s="56" t="b">
        <v>0</v>
      </c>
      <c r="D4353" s="56" t="b">
        <v>0</v>
      </c>
      <c r="E4353" s="56">
        <f ca="1">IF(PV[[#This Row],[Business Date]]=Control!$C$6, PV[[#This Row],[Notional Value Local Cur]], -PV[[#This Row],[Notional Value Local Cur]])</f>
        <v>0</v>
      </c>
    </row>
    <row r="4354" spans="1:5" x14ac:dyDescent="0.25">
      <c r="A4354" s="36" t="b">
        <v>0</v>
      </c>
      <c r="B4354" s="56" t="b">
        <v>0</v>
      </c>
      <c r="C4354" s="56" t="b">
        <v>0</v>
      </c>
      <c r="D4354" s="56" t="b">
        <v>0</v>
      </c>
      <c r="E4354" s="56">
        <f ca="1">IF(PV[[#This Row],[Business Date]]=Control!$C$6, PV[[#This Row],[Notional Value Local Cur]], -PV[[#This Row],[Notional Value Local Cur]])</f>
        <v>0</v>
      </c>
    </row>
    <row r="4355" spans="1:5" x14ac:dyDescent="0.25">
      <c r="A4355" s="36" t="b">
        <v>0</v>
      </c>
      <c r="B4355" s="56" t="b">
        <v>0</v>
      </c>
      <c r="C4355" s="56" t="b">
        <v>0</v>
      </c>
      <c r="D4355" s="56" t="b">
        <v>0</v>
      </c>
      <c r="E4355" s="56">
        <f ca="1">IF(PV[[#This Row],[Business Date]]=Control!$C$6, PV[[#This Row],[Notional Value Local Cur]], -PV[[#This Row],[Notional Value Local Cur]])</f>
        <v>0</v>
      </c>
    </row>
    <row r="4356" spans="1:5" x14ac:dyDescent="0.25">
      <c r="A4356" s="36" t="b">
        <v>0</v>
      </c>
      <c r="B4356" s="56" t="b">
        <v>0</v>
      </c>
      <c r="C4356" s="56" t="b">
        <v>0</v>
      </c>
      <c r="D4356" s="56" t="b">
        <v>0</v>
      </c>
      <c r="E4356" s="56">
        <f ca="1">IF(PV[[#This Row],[Business Date]]=Control!$C$6, PV[[#This Row],[Notional Value Local Cur]], -PV[[#This Row],[Notional Value Local Cur]])</f>
        <v>0</v>
      </c>
    </row>
    <row r="4357" spans="1:5" x14ac:dyDescent="0.25">
      <c r="A4357" s="36" t="b">
        <v>0</v>
      </c>
      <c r="B4357" s="56" t="b">
        <v>0</v>
      </c>
      <c r="C4357" s="56" t="b">
        <v>0</v>
      </c>
      <c r="D4357" s="56" t="b">
        <v>0</v>
      </c>
      <c r="E4357" s="56">
        <f ca="1">IF(PV[[#This Row],[Business Date]]=Control!$C$6, PV[[#This Row],[Notional Value Local Cur]], -PV[[#This Row],[Notional Value Local Cur]])</f>
        <v>0</v>
      </c>
    </row>
    <row r="4358" spans="1:5" x14ac:dyDescent="0.25">
      <c r="A4358" s="36" t="b">
        <v>0</v>
      </c>
      <c r="B4358" s="56" t="b">
        <v>0</v>
      </c>
      <c r="C4358" s="56" t="b">
        <v>0</v>
      </c>
      <c r="D4358" s="56" t="b">
        <v>0</v>
      </c>
      <c r="E4358" s="56">
        <f ca="1">IF(PV[[#This Row],[Business Date]]=Control!$C$6, PV[[#This Row],[Notional Value Local Cur]], -PV[[#This Row],[Notional Value Local Cur]])</f>
        <v>0</v>
      </c>
    </row>
    <row r="4359" spans="1:5" x14ac:dyDescent="0.25">
      <c r="A4359" s="36" t="b">
        <v>0</v>
      </c>
      <c r="B4359" s="56" t="b">
        <v>0</v>
      </c>
      <c r="C4359" s="56" t="b">
        <v>0</v>
      </c>
      <c r="D4359" s="56" t="b">
        <v>0</v>
      </c>
      <c r="E4359" s="56">
        <f ca="1">IF(PV[[#This Row],[Business Date]]=Control!$C$6, PV[[#This Row],[Notional Value Local Cur]], -PV[[#This Row],[Notional Value Local Cur]])</f>
        <v>0</v>
      </c>
    </row>
    <row r="4360" spans="1:5" x14ac:dyDescent="0.25">
      <c r="A4360" s="36" t="b">
        <v>0</v>
      </c>
      <c r="B4360" s="56" t="b">
        <v>0</v>
      </c>
      <c r="C4360" s="56" t="b">
        <v>0</v>
      </c>
      <c r="D4360" s="56" t="b">
        <v>0</v>
      </c>
      <c r="E4360" s="56">
        <f ca="1">IF(PV[[#This Row],[Business Date]]=Control!$C$6, PV[[#This Row],[Notional Value Local Cur]], -PV[[#This Row],[Notional Value Local Cur]])</f>
        <v>0</v>
      </c>
    </row>
    <row r="4361" spans="1:5" x14ac:dyDescent="0.25">
      <c r="A4361" s="36" t="b">
        <v>0</v>
      </c>
      <c r="B4361" s="56" t="b">
        <v>0</v>
      </c>
      <c r="C4361" s="56" t="b">
        <v>0</v>
      </c>
      <c r="D4361" s="56" t="b">
        <v>0</v>
      </c>
      <c r="E4361" s="56">
        <f ca="1">IF(PV[[#This Row],[Business Date]]=Control!$C$6, PV[[#This Row],[Notional Value Local Cur]], -PV[[#This Row],[Notional Value Local Cur]])</f>
        <v>0</v>
      </c>
    </row>
    <row r="4362" spans="1:5" x14ac:dyDescent="0.25">
      <c r="A4362" s="36" t="b">
        <v>0</v>
      </c>
      <c r="B4362" s="56" t="b">
        <v>0</v>
      </c>
      <c r="C4362" s="56" t="b">
        <v>0</v>
      </c>
      <c r="D4362" s="56" t="b">
        <v>0</v>
      </c>
      <c r="E4362" s="56">
        <f ca="1">IF(PV[[#This Row],[Business Date]]=Control!$C$6, PV[[#This Row],[Notional Value Local Cur]], -PV[[#This Row],[Notional Value Local Cur]])</f>
        <v>0</v>
      </c>
    </row>
    <row r="4363" spans="1:5" x14ac:dyDescent="0.25">
      <c r="A4363" s="36" t="b">
        <v>0</v>
      </c>
      <c r="B4363" s="56" t="b">
        <v>0</v>
      </c>
      <c r="C4363" s="56" t="b">
        <v>0</v>
      </c>
      <c r="D4363" s="56" t="b">
        <v>0</v>
      </c>
      <c r="E4363" s="56">
        <f ca="1">IF(PV[[#This Row],[Business Date]]=Control!$C$6, PV[[#This Row],[Notional Value Local Cur]], -PV[[#This Row],[Notional Value Local Cur]])</f>
        <v>0</v>
      </c>
    </row>
    <row r="4364" spans="1:5" x14ac:dyDescent="0.25">
      <c r="A4364" s="36" t="b">
        <v>0</v>
      </c>
      <c r="B4364" s="56" t="b">
        <v>0</v>
      </c>
      <c r="C4364" s="56" t="b">
        <v>0</v>
      </c>
      <c r="D4364" s="56" t="b">
        <v>0</v>
      </c>
      <c r="E4364" s="56">
        <f ca="1">IF(PV[[#This Row],[Business Date]]=Control!$C$6, PV[[#This Row],[Notional Value Local Cur]], -PV[[#This Row],[Notional Value Local Cur]])</f>
        <v>0</v>
      </c>
    </row>
    <row r="4365" spans="1:5" x14ac:dyDescent="0.25">
      <c r="A4365" s="36" t="b">
        <v>0</v>
      </c>
      <c r="B4365" s="56" t="b">
        <v>0</v>
      </c>
      <c r="C4365" s="56" t="b">
        <v>0</v>
      </c>
      <c r="D4365" s="56" t="b">
        <v>0</v>
      </c>
      <c r="E4365" s="56">
        <f ca="1">IF(PV[[#This Row],[Business Date]]=Control!$C$6, PV[[#This Row],[Notional Value Local Cur]], -PV[[#This Row],[Notional Value Local Cur]])</f>
        <v>0</v>
      </c>
    </row>
    <row r="4366" spans="1:5" x14ac:dyDescent="0.25">
      <c r="A4366" s="36" t="b">
        <v>0</v>
      </c>
      <c r="B4366" s="56" t="b">
        <v>0</v>
      </c>
      <c r="C4366" s="56" t="b">
        <v>0</v>
      </c>
      <c r="D4366" s="56" t="b">
        <v>0</v>
      </c>
      <c r="E4366" s="56">
        <f ca="1">IF(PV[[#This Row],[Business Date]]=Control!$C$6, PV[[#This Row],[Notional Value Local Cur]], -PV[[#This Row],[Notional Value Local Cur]])</f>
        <v>0</v>
      </c>
    </row>
    <row r="4367" spans="1:5" x14ac:dyDescent="0.25">
      <c r="A4367" s="36" t="b">
        <v>0</v>
      </c>
      <c r="B4367" s="56" t="b">
        <v>0</v>
      </c>
      <c r="C4367" s="56" t="b">
        <v>0</v>
      </c>
      <c r="D4367" s="56" t="b">
        <v>0</v>
      </c>
      <c r="E4367" s="56">
        <f ca="1">IF(PV[[#This Row],[Business Date]]=Control!$C$6, PV[[#This Row],[Notional Value Local Cur]], -PV[[#This Row],[Notional Value Local Cur]])</f>
        <v>0</v>
      </c>
    </row>
    <row r="4368" spans="1:5" x14ac:dyDescent="0.25">
      <c r="A4368" s="36" t="b">
        <v>0</v>
      </c>
      <c r="B4368" s="56" t="b">
        <v>0</v>
      </c>
      <c r="C4368" s="56" t="b">
        <v>0</v>
      </c>
      <c r="D4368" s="56" t="b">
        <v>0</v>
      </c>
      <c r="E4368" s="56">
        <f ca="1">IF(PV[[#This Row],[Business Date]]=Control!$C$6, PV[[#This Row],[Notional Value Local Cur]], -PV[[#This Row],[Notional Value Local Cur]])</f>
        <v>0</v>
      </c>
    </row>
    <row r="4369" spans="1:5" x14ac:dyDescent="0.25">
      <c r="A4369" s="36" t="b">
        <v>0</v>
      </c>
      <c r="B4369" s="56" t="b">
        <v>0</v>
      </c>
      <c r="C4369" s="56" t="b">
        <v>0</v>
      </c>
      <c r="D4369" s="56" t="b">
        <v>0</v>
      </c>
      <c r="E4369" s="56">
        <f ca="1">IF(PV[[#This Row],[Business Date]]=Control!$C$6, PV[[#This Row],[Notional Value Local Cur]], -PV[[#This Row],[Notional Value Local Cur]])</f>
        <v>0</v>
      </c>
    </row>
    <row r="4370" spans="1:5" x14ac:dyDescent="0.25">
      <c r="A4370" s="36" t="b">
        <v>0</v>
      </c>
      <c r="B4370" s="56" t="b">
        <v>0</v>
      </c>
      <c r="C4370" s="56" t="b">
        <v>0</v>
      </c>
      <c r="D4370" s="56" t="b">
        <v>0</v>
      </c>
      <c r="E4370" s="56">
        <f ca="1">IF(PV[[#This Row],[Business Date]]=Control!$C$6, PV[[#This Row],[Notional Value Local Cur]], -PV[[#This Row],[Notional Value Local Cur]])</f>
        <v>0</v>
      </c>
    </row>
    <row r="4371" spans="1:5" x14ac:dyDescent="0.25">
      <c r="A4371" s="36" t="b">
        <v>0</v>
      </c>
      <c r="B4371" s="56" t="b">
        <v>0</v>
      </c>
      <c r="C4371" s="56" t="b">
        <v>0</v>
      </c>
      <c r="D4371" s="56" t="b">
        <v>0</v>
      </c>
      <c r="E4371" s="56">
        <f ca="1">IF(PV[[#This Row],[Business Date]]=Control!$C$6, PV[[#This Row],[Notional Value Local Cur]], -PV[[#This Row],[Notional Value Local Cur]])</f>
        <v>0</v>
      </c>
    </row>
    <row r="4372" spans="1:5" x14ac:dyDescent="0.25">
      <c r="A4372" s="36" t="b">
        <v>0</v>
      </c>
      <c r="B4372" s="56" t="b">
        <v>0</v>
      </c>
      <c r="C4372" s="56" t="b">
        <v>0</v>
      </c>
      <c r="D4372" s="56" t="b">
        <v>0</v>
      </c>
      <c r="E4372" s="56">
        <f ca="1">IF(PV[[#This Row],[Business Date]]=Control!$C$6, PV[[#This Row],[Notional Value Local Cur]], -PV[[#This Row],[Notional Value Local Cur]])</f>
        <v>0</v>
      </c>
    </row>
    <row r="4373" spans="1:5" x14ac:dyDescent="0.25">
      <c r="A4373" s="36" t="b">
        <v>0</v>
      </c>
      <c r="B4373" s="56" t="b">
        <v>0</v>
      </c>
      <c r="C4373" s="56" t="b">
        <v>0</v>
      </c>
      <c r="D4373" s="56" t="b">
        <v>0</v>
      </c>
      <c r="E4373" s="56">
        <f ca="1">IF(PV[[#This Row],[Business Date]]=Control!$C$6, PV[[#This Row],[Notional Value Local Cur]], -PV[[#This Row],[Notional Value Local Cur]])</f>
        <v>0</v>
      </c>
    </row>
    <row r="4374" spans="1:5" x14ac:dyDescent="0.25">
      <c r="A4374" s="36" t="b">
        <v>0</v>
      </c>
      <c r="B4374" s="56" t="b">
        <v>0</v>
      </c>
      <c r="C4374" s="56" t="b">
        <v>0</v>
      </c>
      <c r="D4374" s="56" t="b">
        <v>0</v>
      </c>
      <c r="E4374" s="56">
        <f ca="1">IF(PV[[#This Row],[Business Date]]=Control!$C$6, PV[[#This Row],[Notional Value Local Cur]], -PV[[#This Row],[Notional Value Local Cur]])</f>
        <v>0</v>
      </c>
    </row>
    <row r="4375" spans="1:5" x14ac:dyDescent="0.25">
      <c r="A4375" s="36" t="b">
        <v>0</v>
      </c>
      <c r="B4375" s="56" t="b">
        <v>0</v>
      </c>
      <c r="C4375" s="56" t="b">
        <v>0</v>
      </c>
      <c r="D4375" s="56" t="b">
        <v>0</v>
      </c>
      <c r="E4375" s="56">
        <f ca="1">IF(PV[[#This Row],[Business Date]]=Control!$C$6, PV[[#This Row],[Notional Value Local Cur]], -PV[[#This Row],[Notional Value Local Cur]])</f>
        <v>0</v>
      </c>
    </row>
    <row r="4376" spans="1:5" x14ac:dyDescent="0.25">
      <c r="A4376" s="36" t="b">
        <v>0</v>
      </c>
      <c r="B4376" s="56" t="b">
        <v>0</v>
      </c>
      <c r="C4376" s="56" t="b">
        <v>0</v>
      </c>
      <c r="D4376" s="56" t="b">
        <v>0</v>
      </c>
      <c r="E4376" s="56">
        <f ca="1">IF(PV[[#This Row],[Business Date]]=Control!$C$6, PV[[#This Row],[Notional Value Local Cur]], -PV[[#This Row],[Notional Value Local Cur]])</f>
        <v>0</v>
      </c>
    </row>
    <row r="4377" spans="1:5" x14ac:dyDescent="0.25">
      <c r="A4377" s="36" t="b">
        <v>0</v>
      </c>
      <c r="B4377" s="56" t="b">
        <v>0</v>
      </c>
      <c r="C4377" s="56" t="b">
        <v>0</v>
      </c>
      <c r="D4377" s="56" t="b">
        <v>0</v>
      </c>
      <c r="E4377" s="56">
        <f ca="1">IF(PV[[#This Row],[Business Date]]=Control!$C$6, PV[[#This Row],[Notional Value Local Cur]], -PV[[#This Row],[Notional Value Local Cur]])</f>
        <v>0</v>
      </c>
    </row>
    <row r="4378" spans="1:5" x14ac:dyDescent="0.25">
      <c r="A4378" s="36" t="b">
        <v>0</v>
      </c>
      <c r="B4378" s="56" t="b">
        <v>0</v>
      </c>
      <c r="C4378" s="56" t="b">
        <v>0</v>
      </c>
      <c r="D4378" s="56" t="b">
        <v>0</v>
      </c>
      <c r="E4378" s="56">
        <f ca="1">IF(PV[[#This Row],[Business Date]]=Control!$C$6, PV[[#This Row],[Notional Value Local Cur]], -PV[[#This Row],[Notional Value Local Cur]])</f>
        <v>0</v>
      </c>
    </row>
    <row r="4379" spans="1:5" x14ac:dyDescent="0.25">
      <c r="A4379" s="36" t="b">
        <v>0</v>
      </c>
      <c r="B4379" s="56" t="b">
        <v>0</v>
      </c>
      <c r="C4379" s="56" t="b">
        <v>0</v>
      </c>
      <c r="D4379" s="56" t="b">
        <v>0</v>
      </c>
      <c r="E4379" s="56">
        <f ca="1">IF(PV[[#This Row],[Business Date]]=Control!$C$6, PV[[#This Row],[Notional Value Local Cur]], -PV[[#This Row],[Notional Value Local Cur]])</f>
        <v>0</v>
      </c>
    </row>
    <row r="4380" spans="1:5" x14ac:dyDescent="0.25">
      <c r="A4380" s="36" t="b">
        <v>0</v>
      </c>
      <c r="B4380" s="56" t="b">
        <v>0</v>
      </c>
      <c r="C4380" s="56" t="b">
        <v>0</v>
      </c>
      <c r="D4380" s="56" t="b">
        <v>0</v>
      </c>
      <c r="E4380" s="56">
        <f ca="1">IF(PV[[#This Row],[Business Date]]=Control!$C$6, PV[[#This Row],[Notional Value Local Cur]], -PV[[#This Row],[Notional Value Local Cur]])</f>
        <v>0</v>
      </c>
    </row>
    <row r="4381" spans="1:5" x14ac:dyDescent="0.25">
      <c r="A4381" s="36" t="b">
        <v>0</v>
      </c>
      <c r="B4381" s="56" t="b">
        <v>0</v>
      </c>
      <c r="C4381" s="56" t="b">
        <v>0</v>
      </c>
      <c r="D4381" s="56" t="b">
        <v>0</v>
      </c>
      <c r="E4381" s="56">
        <f ca="1">IF(PV[[#This Row],[Business Date]]=Control!$C$6, PV[[#This Row],[Notional Value Local Cur]], -PV[[#This Row],[Notional Value Local Cur]])</f>
        <v>0</v>
      </c>
    </row>
    <row r="4382" spans="1:5" x14ac:dyDescent="0.25">
      <c r="A4382" s="36" t="b">
        <v>0</v>
      </c>
      <c r="B4382" s="56" t="b">
        <v>0</v>
      </c>
      <c r="C4382" s="56" t="b">
        <v>0</v>
      </c>
      <c r="D4382" s="56" t="b">
        <v>0</v>
      </c>
      <c r="E4382" s="56">
        <f ca="1">IF(PV[[#This Row],[Business Date]]=Control!$C$6, PV[[#This Row],[Notional Value Local Cur]], -PV[[#This Row],[Notional Value Local Cur]])</f>
        <v>0</v>
      </c>
    </row>
    <row r="4383" spans="1:5" x14ac:dyDescent="0.25">
      <c r="A4383" s="36" t="b">
        <v>0</v>
      </c>
      <c r="B4383" s="56" t="b">
        <v>0</v>
      </c>
      <c r="C4383" s="56" t="b">
        <v>0</v>
      </c>
      <c r="D4383" s="56" t="b">
        <v>0</v>
      </c>
      <c r="E4383" s="56">
        <f ca="1">IF(PV[[#This Row],[Business Date]]=Control!$C$6, PV[[#This Row],[Notional Value Local Cur]], -PV[[#This Row],[Notional Value Local Cur]])</f>
        <v>0</v>
      </c>
    </row>
    <row r="4384" spans="1:5" x14ac:dyDescent="0.25">
      <c r="A4384" s="36" t="b">
        <v>0</v>
      </c>
      <c r="B4384" s="56" t="b">
        <v>0</v>
      </c>
      <c r="C4384" s="56" t="b">
        <v>0</v>
      </c>
      <c r="D4384" s="56" t="b">
        <v>0</v>
      </c>
      <c r="E4384" s="56">
        <f ca="1">IF(PV[[#This Row],[Business Date]]=Control!$C$6, PV[[#This Row],[Notional Value Local Cur]], -PV[[#This Row],[Notional Value Local Cur]])</f>
        <v>0</v>
      </c>
    </row>
    <row r="4385" spans="1:5" x14ac:dyDescent="0.25">
      <c r="A4385" s="36" t="b">
        <v>0</v>
      </c>
      <c r="B4385" s="56" t="b">
        <v>0</v>
      </c>
      <c r="C4385" s="56" t="b">
        <v>0</v>
      </c>
      <c r="D4385" s="56" t="b">
        <v>0</v>
      </c>
      <c r="E4385" s="56">
        <f ca="1">IF(PV[[#This Row],[Business Date]]=Control!$C$6, PV[[#This Row],[Notional Value Local Cur]], -PV[[#This Row],[Notional Value Local Cur]])</f>
        <v>0</v>
      </c>
    </row>
    <row r="4386" spans="1:5" x14ac:dyDescent="0.25">
      <c r="A4386" s="36" t="b">
        <v>0</v>
      </c>
      <c r="B4386" s="56" t="b">
        <v>0</v>
      </c>
      <c r="C4386" s="56" t="b">
        <v>0</v>
      </c>
      <c r="D4386" s="56" t="b">
        <v>0</v>
      </c>
      <c r="E4386" s="56">
        <f ca="1">IF(PV[[#This Row],[Business Date]]=Control!$C$6, PV[[#This Row],[Notional Value Local Cur]], -PV[[#This Row],[Notional Value Local Cur]])</f>
        <v>0</v>
      </c>
    </row>
    <row r="4387" spans="1:5" x14ac:dyDescent="0.25">
      <c r="A4387" s="36" t="b">
        <v>0</v>
      </c>
      <c r="B4387" s="56" t="b">
        <v>0</v>
      </c>
      <c r="C4387" s="56" t="b">
        <v>0</v>
      </c>
      <c r="D4387" s="56" t="b">
        <v>0</v>
      </c>
      <c r="E4387" s="56">
        <f ca="1">IF(PV[[#This Row],[Business Date]]=Control!$C$6, PV[[#This Row],[Notional Value Local Cur]], -PV[[#This Row],[Notional Value Local Cur]])</f>
        <v>0</v>
      </c>
    </row>
    <row r="4388" spans="1:5" x14ac:dyDescent="0.25">
      <c r="A4388" s="36" t="b">
        <v>0</v>
      </c>
      <c r="B4388" s="56" t="b">
        <v>0</v>
      </c>
      <c r="C4388" s="56" t="b">
        <v>0</v>
      </c>
      <c r="D4388" s="56" t="b">
        <v>0</v>
      </c>
      <c r="E4388" s="56">
        <f ca="1">IF(PV[[#This Row],[Business Date]]=Control!$C$6, PV[[#This Row],[Notional Value Local Cur]], -PV[[#This Row],[Notional Value Local Cur]])</f>
        <v>0</v>
      </c>
    </row>
    <row r="4389" spans="1:5" x14ac:dyDescent="0.25">
      <c r="A4389" s="36" t="b">
        <v>0</v>
      </c>
      <c r="B4389" s="56" t="b">
        <v>0</v>
      </c>
      <c r="C4389" s="56" t="b">
        <v>0</v>
      </c>
      <c r="D4389" s="56" t="b">
        <v>0</v>
      </c>
      <c r="E4389" s="56">
        <f ca="1">IF(PV[[#This Row],[Business Date]]=Control!$C$6, PV[[#This Row],[Notional Value Local Cur]], -PV[[#This Row],[Notional Value Local Cur]])</f>
        <v>0</v>
      </c>
    </row>
    <row r="4390" spans="1:5" x14ac:dyDescent="0.25">
      <c r="A4390" s="36" t="b">
        <v>0</v>
      </c>
      <c r="B4390" s="56" t="b">
        <v>0</v>
      </c>
      <c r="C4390" s="56" t="b">
        <v>0</v>
      </c>
      <c r="D4390" s="56" t="b">
        <v>0</v>
      </c>
      <c r="E4390" s="56">
        <f ca="1">IF(PV[[#This Row],[Business Date]]=Control!$C$6, PV[[#This Row],[Notional Value Local Cur]], -PV[[#This Row],[Notional Value Local Cur]])</f>
        <v>0</v>
      </c>
    </row>
    <row r="4391" spans="1:5" x14ac:dyDescent="0.25">
      <c r="A4391" s="36" t="b">
        <v>0</v>
      </c>
      <c r="B4391" s="56" t="b">
        <v>0</v>
      </c>
      <c r="C4391" s="56" t="b">
        <v>0</v>
      </c>
      <c r="D4391" s="56" t="b">
        <v>0</v>
      </c>
      <c r="E4391" s="56">
        <f ca="1">IF(PV[[#This Row],[Business Date]]=Control!$C$6, PV[[#This Row],[Notional Value Local Cur]], -PV[[#This Row],[Notional Value Local Cur]])</f>
        <v>0</v>
      </c>
    </row>
    <row r="4392" spans="1:5" x14ac:dyDescent="0.25">
      <c r="A4392" s="36" t="b">
        <v>0</v>
      </c>
      <c r="B4392" s="56" t="b">
        <v>0</v>
      </c>
      <c r="C4392" s="56" t="b">
        <v>0</v>
      </c>
      <c r="D4392" s="56" t="b">
        <v>0</v>
      </c>
      <c r="E4392" s="56">
        <f ca="1">IF(PV[[#This Row],[Business Date]]=Control!$C$6, PV[[#This Row],[Notional Value Local Cur]], -PV[[#This Row],[Notional Value Local Cur]])</f>
        <v>0</v>
      </c>
    </row>
    <row r="4393" spans="1:5" x14ac:dyDescent="0.25">
      <c r="A4393" s="36" t="b">
        <v>0</v>
      </c>
      <c r="B4393" s="56" t="b">
        <v>0</v>
      </c>
      <c r="C4393" s="56" t="b">
        <v>0</v>
      </c>
      <c r="D4393" s="56" t="b">
        <v>0</v>
      </c>
      <c r="E4393" s="56">
        <f ca="1">IF(PV[[#This Row],[Business Date]]=Control!$C$6, PV[[#This Row],[Notional Value Local Cur]], -PV[[#This Row],[Notional Value Local Cur]])</f>
        <v>0</v>
      </c>
    </row>
    <row r="4394" spans="1:5" x14ac:dyDescent="0.25">
      <c r="A4394" s="36" t="b">
        <v>0</v>
      </c>
      <c r="B4394" s="56" t="b">
        <v>0</v>
      </c>
      <c r="C4394" s="56" t="b">
        <v>0</v>
      </c>
      <c r="D4394" s="56" t="b">
        <v>0</v>
      </c>
      <c r="E4394" s="56">
        <f ca="1">IF(PV[[#This Row],[Business Date]]=Control!$C$6, PV[[#This Row],[Notional Value Local Cur]], -PV[[#This Row],[Notional Value Local Cur]])</f>
        <v>0</v>
      </c>
    </row>
    <row r="4395" spans="1:5" x14ac:dyDescent="0.25">
      <c r="A4395" s="36" t="b">
        <v>0</v>
      </c>
      <c r="B4395" s="56" t="b">
        <v>0</v>
      </c>
      <c r="C4395" s="56" t="b">
        <v>0</v>
      </c>
      <c r="D4395" s="56" t="b">
        <v>0</v>
      </c>
      <c r="E4395" s="56">
        <f ca="1">IF(PV[[#This Row],[Business Date]]=Control!$C$6, PV[[#This Row],[Notional Value Local Cur]], -PV[[#This Row],[Notional Value Local Cur]])</f>
        <v>0</v>
      </c>
    </row>
    <row r="4396" spans="1:5" x14ac:dyDescent="0.25">
      <c r="A4396" s="36" t="b">
        <v>0</v>
      </c>
      <c r="B4396" s="56" t="b">
        <v>0</v>
      </c>
      <c r="C4396" s="56" t="b">
        <v>0</v>
      </c>
      <c r="D4396" s="56" t="b">
        <v>0</v>
      </c>
      <c r="E4396" s="56">
        <f ca="1">IF(PV[[#This Row],[Business Date]]=Control!$C$6, PV[[#This Row],[Notional Value Local Cur]], -PV[[#This Row],[Notional Value Local Cur]])</f>
        <v>0</v>
      </c>
    </row>
    <row r="4397" spans="1:5" x14ac:dyDescent="0.25">
      <c r="A4397" s="36" t="b">
        <v>0</v>
      </c>
      <c r="B4397" s="56" t="b">
        <v>0</v>
      </c>
      <c r="C4397" s="56" t="b">
        <v>0</v>
      </c>
      <c r="D4397" s="56" t="b">
        <v>0</v>
      </c>
      <c r="E4397" s="56">
        <f ca="1">IF(PV[[#This Row],[Business Date]]=Control!$C$6, PV[[#This Row],[Notional Value Local Cur]], -PV[[#This Row],[Notional Value Local Cur]])</f>
        <v>0</v>
      </c>
    </row>
    <row r="4398" spans="1:5" x14ac:dyDescent="0.25">
      <c r="A4398" s="36" t="b">
        <v>0</v>
      </c>
      <c r="B4398" s="56" t="b">
        <v>0</v>
      </c>
      <c r="C4398" s="56" t="b">
        <v>0</v>
      </c>
      <c r="D4398" s="56" t="b">
        <v>0</v>
      </c>
      <c r="E4398" s="56">
        <f ca="1">IF(PV[[#This Row],[Business Date]]=Control!$C$6, PV[[#This Row],[Notional Value Local Cur]], -PV[[#This Row],[Notional Value Local Cur]])</f>
        <v>0</v>
      </c>
    </row>
    <row r="4399" spans="1:5" x14ac:dyDescent="0.25">
      <c r="A4399" s="36" t="b">
        <v>0</v>
      </c>
      <c r="B4399" s="56" t="b">
        <v>0</v>
      </c>
      <c r="C4399" s="56" t="b">
        <v>0</v>
      </c>
      <c r="D4399" s="56" t="b">
        <v>0</v>
      </c>
      <c r="E4399" s="56">
        <f ca="1">IF(PV[[#This Row],[Business Date]]=Control!$C$6, PV[[#This Row],[Notional Value Local Cur]], -PV[[#This Row],[Notional Value Local Cur]])</f>
        <v>0</v>
      </c>
    </row>
    <row r="4400" spans="1:5" x14ac:dyDescent="0.25">
      <c r="A4400" s="36" t="b">
        <v>0</v>
      </c>
      <c r="B4400" s="56" t="b">
        <v>0</v>
      </c>
      <c r="C4400" s="56" t="b">
        <v>0</v>
      </c>
      <c r="D4400" s="56" t="b">
        <v>0</v>
      </c>
      <c r="E4400" s="56">
        <f ca="1">IF(PV[[#This Row],[Business Date]]=Control!$C$6, PV[[#This Row],[Notional Value Local Cur]], -PV[[#This Row],[Notional Value Local Cur]])</f>
        <v>0</v>
      </c>
    </row>
    <row r="4401" spans="1:5" x14ac:dyDescent="0.25">
      <c r="A4401" s="36" t="b">
        <v>0</v>
      </c>
      <c r="B4401" s="56" t="b">
        <v>0</v>
      </c>
      <c r="C4401" s="56" t="b">
        <v>0</v>
      </c>
      <c r="D4401" s="56" t="b">
        <v>0</v>
      </c>
      <c r="E4401" s="56">
        <f ca="1">IF(PV[[#This Row],[Business Date]]=Control!$C$6, PV[[#This Row],[Notional Value Local Cur]], -PV[[#This Row],[Notional Value Local Cur]])</f>
        <v>0</v>
      </c>
    </row>
    <row r="4402" spans="1:5" x14ac:dyDescent="0.25">
      <c r="A4402" s="36" t="b">
        <v>0</v>
      </c>
      <c r="B4402" s="56" t="b">
        <v>0</v>
      </c>
      <c r="C4402" s="56" t="b">
        <v>0</v>
      </c>
      <c r="D4402" s="56" t="b">
        <v>0</v>
      </c>
      <c r="E4402" s="56">
        <f ca="1">IF(PV[[#This Row],[Business Date]]=Control!$C$6, PV[[#This Row],[Notional Value Local Cur]], -PV[[#This Row],[Notional Value Local Cur]])</f>
        <v>0</v>
      </c>
    </row>
    <row r="4403" spans="1:5" x14ac:dyDescent="0.25">
      <c r="A4403" s="36" t="b">
        <v>0</v>
      </c>
      <c r="B4403" s="56" t="b">
        <v>0</v>
      </c>
      <c r="C4403" s="56" t="b">
        <v>0</v>
      </c>
      <c r="D4403" s="56" t="b">
        <v>0</v>
      </c>
      <c r="E4403" s="56">
        <f ca="1">IF(PV[[#This Row],[Business Date]]=Control!$C$6, PV[[#This Row],[Notional Value Local Cur]], -PV[[#This Row],[Notional Value Local Cur]])</f>
        <v>0</v>
      </c>
    </row>
    <row r="4404" spans="1:5" x14ac:dyDescent="0.25">
      <c r="A4404" s="36" t="b">
        <v>0</v>
      </c>
      <c r="B4404" s="56" t="b">
        <v>0</v>
      </c>
      <c r="C4404" s="56" t="b">
        <v>0</v>
      </c>
      <c r="D4404" s="56" t="b">
        <v>0</v>
      </c>
      <c r="E4404" s="56">
        <f ca="1">IF(PV[[#This Row],[Business Date]]=Control!$C$6, PV[[#This Row],[Notional Value Local Cur]], -PV[[#This Row],[Notional Value Local Cur]])</f>
        <v>0</v>
      </c>
    </row>
    <row r="4405" spans="1:5" x14ac:dyDescent="0.25">
      <c r="A4405" s="36" t="b">
        <v>0</v>
      </c>
      <c r="B4405" s="56" t="b">
        <v>0</v>
      </c>
      <c r="C4405" s="56" t="b">
        <v>0</v>
      </c>
      <c r="D4405" s="56" t="b">
        <v>0</v>
      </c>
      <c r="E4405" s="56">
        <f ca="1">IF(PV[[#This Row],[Business Date]]=Control!$C$6, PV[[#This Row],[Notional Value Local Cur]], -PV[[#This Row],[Notional Value Local Cur]])</f>
        <v>0</v>
      </c>
    </row>
    <row r="4406" spans="1:5" x14ac:dyDescent="0.25">
      <c r="A4406" s="36" t="b">
        <v>0</v>
      </c>
      <c r="B4406" s="56" t="b">
        <v>0</v>
      </c>
      <c r="C4406" s="56" t="b">
        <v>0</v>
      </c>
      <c r="D4406" s="56" t="b">
        <v>0</v>
      </c>
      <c r="E4406" s="56">
        <f ca="1">IF(PV[[#This Row],[Business Date]]=Control!$C$6, PV[[#This Row],[Notional Value Local Cur]], -PV[[#This Row],[Notional Value Local Cur]])</f>
        <v>0</v>
      </c>
    </row>
    <row r="4407" spans="1:5" x14ac:dyDescent="0.25">
      <c r="A4407" s="36" t="b">
        <v>0</v>
      </c>
      <c r="B4407" s="56" t="b">
        <v>0</v>
      </c>
      <c r="C4407" s="56" t="b">
        <v>0</v>
      </c>
      <c r="D4407" s="56" t="b">
        <v>0</v>
      </c>
      <c r="E4407" s="56">
        <f ca="1">IF(PV[[#This Row],[Business Date]]=Control!$C$6, PV[[#This Row],[Notional Value Local Cur]], -PV[[#This Row],[Notional Value Local Cur]])</f>
        <v>0</v>
      </c>
    </row>
    <row r="4408" spans="1:5" x14ac:dyDescent="0.25">
      <c r="A4408" s="36" t="b">
        <v>0</v>
      </c>
      <c r="B4408" s="56" t="b">
        <v>0</v>
      </c>
      <c r="C4408" s="56" t="b">
        <v>0</v>
      </c>
      <c r="D4408" s="56" t="b">
        <v>0</v>
      </c>
      <c r="E4408" s="56">
        <f ca="1">IF(PV[[#This Row],[Business Date]]=Control!$C$6, PV[[#This Row],[Notional Value Local Cur]], -PV[[#This Row],[Notional Value Local Cur]])</f>
        <v>0</v>
      </c>
    </row>
    <row r="4409" spans="1:5" x14ac:dyDescent="0.25">
      <c r="A4409" s="36" t="b">
        <v>0</v>
      </c>
      <c r="B4409" s="56" t="b">
        <v>0</v>
      </c>
      <c r="C4409" s="56" t="b">
        <v>0</v>
      </c>
      <c r="D4409" s="56" t="b">
        <v>0</v>
      </c>
      <c r="E4409" s="56">
        <f ca="1">IF(PV[[#This Row],[Business Date]]=Control!$C$6, PV[[#This Row],[Notional Value Local Cur]], -PV[[#This Row],[Notional Value Local Cur]])</f>
        <v>0</v>
      </c>
    </row>
    <row r="4410" spans="1:5" x14ac:dyDescent="0.25">
      <c r="A4410" s="36" t="b">
        <v>0</v>
      </c>
      <c r="B4410" s="56" t="b">
        <v>0</v>
      </c>
      <c r="C4410" s="56" t="b">
        <v>0</v>
      </c>
      <c r="D4410" s="56" t="b">
        <v>0</v>
      </c>
      <c r="E4410" s="56">
        <f ca="1">IF(PV[[#This Row],[Business Date]]=Control!$C$6, PV[[#This Row],[Notional Value Local Cur]], -PV[[#This Row],[Notional Value Local Cur]])</f>
        <v>0</v>
      </c>
    </row>
    <row r="4411" spans="1:5" x14ac:dyDescent="0.25">
      <c r="A4411" s="36" t="b">
        <v>0</v>
      </c>
      <c r="B4411" s="56" t="b">
        <v>0</v>
      </c>
      <c r="C4411" s="56" t="b">
        <v>0</v>
      </c>
      <c r="D4411" s="56" t="b">
        <v>0</v>
      </c>
      <c r="E4411" s="56">
        <f ca="1">IF(PV[[#This Row],[Business Date]]=Control!$C$6, PV[[#This Row],[Notional Value Local Cur]], -PV[[#This Row],[Notional Value Local Cur]])</f>
        <v>0</v>
      </c>
    </row>
    <row r="4412" spans="1:5" x14ac:dyDescent="0.25">
      <c r="A4412" s="36" t="b">
        <v>0</v>
      </c>
      <c r="B4412" s="56" t="b">
        <v>0</v>
      </c>
      <c r="C4412" s="56" t="b">
        <v>0</v>
      </c>
      <c r="D4412" s="56" t="b">
        <v>0</v>
      </c>
      <c r="E4412" s="56">
        <f ca="1">IF(PV[[#This Row],[Business Date]]=Control!$C$6, PV[[#This Row],[Notional Value Local Cur]], -PV[[#This Row],[Notional Value Local Cur]])</f>
        <v>0</v>
      </c>
    </row>
    <row r="4413" spans="1:5" x14ac:dyDescent="0.25">
      <c r="A4413" s="36" t="b">
        <v>0</v>
      </c>
      <c r="B4413" s="56" t="b">
        <v>0</v>
      </c>
      <c r="C4413" s="56" t="b">
        <v>0</v>
      </c>
      <c r="D4413" s="56" t="b">
        <v>0</v>
      </c>
      <c r="E4413" s="56">
        <f ca="1">IF(PV[[#This Row],[Business Date]]=Control!$C$6, PV[[#This Row],[Notional Value Local Cur]], -PV[[#This Row],[Notional Value Local Cur]])</f>
        <v>0</v>
      </c>
    </row>
    <row r="4414" spans="1:5" x14ac:dyDescent="0.25">
      <c r="A4414" s="36" t="b">
        <v>0</v>
      </c>
      <c r="B4414" s="56" t="b">
        <v>0</v>
      </c>
      <c r="C4414" s="56" t="b">
        <v>0</v>
      </c>
      <c r="D4414" s="56" t="b">
        <v>0</v>
      </c>
      <c r="E4414" s="56">
        <f ca="1">IF(PV[[#This Row],[Business Date]]=Control!$C$6, PV[[#This Row],[Notional Value Local Cur]], -PV[[#This Row],[Notional Value Local Cur]])</f>
        <v>0</v>
      </c>
    </row>
    <row r="4415" spans="1:5" x14ac:dyDescent="0.25">
      <c r="A4415" s="36" t="b">
        <v>0</v>
      </c>
      <c r="B4415" s="56" t="b">
        <v>0</v>
      </c>
      <c r="C4415" s="56" t="b">
        <v>0</v>
      </c>
      <c r="D4415" s="56" t="b">
        <v>0</v>
      </c>
      <c r="E4415" s="56">
        <f ca="1">IF(PV[[#This Row],[Business Date]]=Control!$C$6, PV[[#This Row],[Notional Value Local Cur]], -PV[[#This Row],[Notional Value Local Cur]])</f>
        <v>0</v>
      </c>
    </row>
    <row r="4416" spans="1:5" x14ac:dyDescent="0.25">
      <c r="A4416" s="36" t="b">
        <v>0</v>
      </c>
      <c r="B4416" s="56" t="b">
        <v>0</v>
      </c>
      <c r="C4416" s="56" t="b">
        <v>0</v>
      </c>
      <c r="D4416" s="56" t="b">
        <v>0</v>
      </c>
      <c r="E4416" s="56">
        <f ca="1">IF(PV[[#This Row],[Business Date]]=Control!$C$6, PV[[#This Row],[Notional Value Local Cur]], -PV[[#This Row],[Notional Value Local Cur]])</f>
        <v>0</v>
      </c>
    </row>
    <row r="4417" spans="1:5" x14ac:dyDescent="0.25">
      <c r="A4417" s="36" t="b">
        <v>0</v>
      </c>
      <c r="B4417" s="56" t="b">
        <v>0</v>
      </c>
      <c r="C4417" s="56" t="b">
        <v>0</v>
      </c>
      <c r="D4417" s="56" t="b">
        <v>0</v>
      </c>
      <c r="E4417" s="56">
        <f ca="1">IF(PV[[#This Row],[Business Date]]=Control!$C$6, PV[[#This Row],[Notional Value Local Cur]], -PV[[#This Row],[Notional Value Local Cur]])</f>
        <v>0</v>
      </c>
    </row>
    <row r="4418" spans="1:5" x14ac:dyDescent="0.25">
      <c r="A4418" s="36" t="b">
        <v>0</v>
      </c>
      <c r="B4418" s="56" t="b">
        <v>0</v>
      </c>
      <c r="C4418" s="56" t="b">
        <v>0</v>
      </c>
      <c r="D4418" s="56" t="b">
        <v>0</v>
      </c>
      <c r="E4418" s="56">
        <f ca="1">IF(PV[[#This Row],[Business Date]]=Control!$C$6, PV[[#This Row],[Notional Value Local Cur]], -PV[[#This Row],[Notional Value Local Cur]])</f>
        <v>0</v>
      </c>
    </row>
    <row r="4419" spans="1:5" x14ac:dyDescent="0.25">
      <c r="A4419" s="36" t="b">
        <v>0</v>
      </c>
      <c r="B4419" s="56" t="b">
        <v>0</v>
      </c>
      <c r="C4419" s="56" t="b">
        <v>0</v>
      </c>
      <c r="D4419" s="56" t="b">
        <v>0</v>
      </c>
      <c r="E4419" s="56">
        <f ca="1">IF(PV[[#This Row],[Business Date]]=Control!$C$6, PV[[#This Row],[Notional Value Local Cur]], -PV[[#This Row],[Notional Value Local Cur]])</f>
        <v>0</v>
      </c>
    </row>
    <row r="4420" spans="1:5" x14ac:dyDescent="0.25">
      <c r="A4420" s="36" t="b">
        <v>0</v>
      </c>
      <c r="B4420" s="56" t="b">
        <v>0</v>
      </c>
      <c r="C4420" s="56" t="b">
        <v>0</v>
      </c>
      <c r="D4420" s="56" t="b">
        <v>0</v>
      </c>
      <c r="E4420" s="56">
        <f ca="1">IF(PV[[#This Row],[Business Date]]=Control!$C$6, PV[[#This Row],[Notional Value Local Cur]], -PV[[#This Row],[Notional Value Local Cur]])</f>
        <v>0</v>
      </c>
    </row>
    <row r="4421" spans="1:5" x14ac:dyDescent="0.25">
      <c r="A4421" s="36" t="b">
        <v>0</v>
      </c>
      <c r="B4421" s="56" t="b">
        <v>0</v>
      </c>
      <c r="C4421" s="56" t="b">
        <v>0</v>
      </c>
      <c r="D4421" s="56" t="b">
        <v>0</v>
      </c>
      <c r="E4421" s="56">
        <f ca="1">IF(PV[[#This Row],[Business Date]]=Control!$C$6, PV[[#This Row],[Notional Value Local Cur]], -PV[[#This Row],[Notional Value Local Cur]])</f>
        <v>0</v>
      </c>
    </row>
    <row r="4422" spans="1:5" x14ac:dyDescent="0.25">
      <c r="A4422" s="36" t="b">
        <v>0</v>
      </c>
      <c r="B4422" s="56" t="b">
        <v>0</v>
      </c>
      <c r="C4422" s="56" t="b">
        <v>0</v>
      </c>
      <c r="D4422" s="56" t="b">
        <v>0</v>
      </c>
      <c r="E4422" s="56">
        <f ca="1">IF(PV[[#This Row],[Business Date]]=Control!$C$6, PV[[#This Row],[Notional Value Local Cur]], -PV[[#This Row],[Notional Value Local Cur]])</f>
        <v>0</v>
      </c>
    </row>
    <row r="4423" spans="1:5" x14ac:dyDescent="0.25">
      <c r="A4423" s="36" t="b">
        <v>0</v>
      </c>
      <c r="B4423" s="56" t="b">
        <v>0</v>
      </c>
      <c r="C4423" s="56" t="b">
        <v>0</v>
      </c>
      <c r="D4423" s="56" t="b">
        <v>0</v>
      </c>
      <c r="E4423" s="56">
        <f ca="1">IF(PV[[#This Row],[Business Date]]=Control!$C$6, PV[[#This Row],[Notional Value Local Cur]], -PV[[#This Row],[Notional Value Local Cur]])</f>
        <v>0</v>
      </c>
    </row>
    <row r="4424" spans="1:5" x14ac:dyDescent="0.25">
      <c r="A4424" s="36" t="b">
        <v>0</v>
      </c>
      <c r="B4424" s="56" t="b">
        <v>0</v>
      </c>
      <c r="C4424" s="56" t="b">
        <v>0</v>
      </c>
      <c r="D4424" s="56" t="b">
        <v>0</v>
      </c>
      <c r="E4424" s="56">
        <f ca="1">IF(PV[[#This Row],[Business Date]]=Control!$C$6, PV[[#This Row],[Notional Value Local Cur]], -PV[[#This Row],[Notional Value Local Cur]])</f>
        <v>0</v>
      </c>
    </row>
    <row r="4425" spans="1:5" x14ac:dyDescent="0.25">
      <c r="A4425" s="36" t="b">
        <v>0</v>
      </c>
      <c r="B4425" s="56" t="b">
        <v>0</v>
      </c>
      <c r="C4425" s="56" t="b">
        <v>0</v>
      </c>
      <c r="D4425" s="56" t="b">
        <v>0</v>
      </c>
      <c r="E4425" s="56">
        <f ca="1">IF(PV[[#This Row],[Business Date]]=Control!$C$6, PV[[#This Row],[Notional Value Local Cur]], -PV[[#This Row],[Notional Value Local Cur]])</f>
        <v>0</v>
      </c>
    </row>
    <row r="4426" spans="1:5" x14ac:dyDescent="0.25">
      <c r="A4426" s="36" t="b">
        <v>0</v>
      </c>
      <c r="B4426" s="56" t="b">
        <v>0</v>
      </c>
      <c r="C4426" s="56" t="b">
        <v>0</v>
      </c>
      <c r="D4426" s="56" t="b">
        <v>0</v>
      </c>
      <c r="E4426" s="56">
        <f ca="1">IF(PV[[#This Row],[Business Date]]=Control!$C$6, PV[[#This Row],[Notional Value Local Cur]], -PV[[#This Row],[Notional Value Local Cur]])</f>
        <v>0</v>
      </c>
    </row>
    <row r="4427" spans="1:5" x14ac:dyDescent="0.25">
      <c r="A4427" s="36" t="b">
        <v>0</v>
      </c>
      <c r="B4427" s="56" t="b">
        <v>0</v>
      </c>
      <c r="C4427" s="56" t="b">
        <v>0</v>
      </c>
      <c r="D4427" s="56" t="b">
        <v>0</v>
      </c>
      <c r="E4427" s="56">
        <f ca="1">IF(PV[[#This Row],[Business Date]]=Control!$C$6, PV[[#This Row],[Notional Value Local Cur]], -PV[[#This Row],[Notional Value Local Cur]])</f>
        <v>0</v>
      </c>
    </row>
    <row r="4428" spans="1:5" x14ac:dyDescent="0.25">
      <c r="A4428" s="36" t="b">
        <v>0</v>
      </c>
      <c r="B4428" s="56" t="b">
        <v>0</v>
      </c>
      <c r="C4428" s="56" t="b">
        <v>0</v>
      </c>
      <c r="D4428" s="56" t="b">
        <v>0</v>
      </c>
      <c r="E4428" s="56">
        <f ca="1">IF(PV[[#This Row],[Business Date]]=Control!$C$6, PV[[#This Row],[Notional Value Local Cur]], -PV[[#This Row],[Notional Value Local Cur]])</f>
        <v>0</v>
      </c>
    </row>
    <row r="4429" spans="1:5" x14ac:dyDescent="0.25">
      <c r="A4429" s="36" t="b">
        <v>0</v>
      </c>
      <c r="B4429" s="56" t="b">
        <v>0</v>
      </c>
      <c r="C4429" s="56" t="b">
        <v>0</v>
      </c>
      <c r="D4429" s="56" t="b">
        <v>0</v>
      </c>
      <c r="E4429" s="56">
        <f ca="1">IF(PV[[#This Row],[Business Date]]=Control!$C$6, PV[[#This Row],[Notional Value Local Cur]], -PV[[#This Row],[Notional Value Local Cur]])</f>
        <v>0</v>
      </c>
    </row>
    <row r="4430" spans="1:5" x14ac:dyDescent="0.25">
      <c r="A4430" s="36" t="b">
        <v>0</v>
      </c>
      <c r="B4430" s="56" t="b">
        <v>0</v>
      </c>
      <c r="C4430" s="56" t="b">
        <v>0</v>
      </c>
      <c r="D4430" s="56" t="b">
        <v>0</v>
      </c>
      <c r="E4430" s="56">
        <f ca="1">IF(PV[[#This Row],[Business Date]]=Control!$C$6, PV[[#This Row],[Notional Value Local Cur]], -PV[[#This Row],[Notional Value Local Cur]])</f>
        <v>0</v>
      </c>
    </row>
    <row r="4431" spans="1:5" x14ac:dyDescent="0.25">
      <c r="A4431" s="36" t="b">
        <v>0</v>
      </c>
      <c r="B4431" s="56" t="b">
        <v>0</v>
      </c>
      <c r="C4431" s="56" t="b">
        <v>0</v>
      </c>
      <c r="D4431" s="56" t="b">
        <v>0</v>
      </c>
      <c r="E4431" s="56">
        <f ca="1">IF(PV[[#This Row],[Business Date]]=Control!$C$6, PV[[#This Row],[Notional Value Local Cur]], -PV[[#This Row],[Notional Value Local Cur]])</f>
        <v>0</v>
      </c>
    </row>
    <row r="4432" spans="1:5" x14ac:dyDescent="0.25">
      <c r="A4432" s="36" t="b">
        <v>0</v>
      </c>
      <c r="B4432" s="56" t="b">
        <v>0</v>
      </c>
      <c r="C4432" s="56" t="b">
        <v>0</v>
      </c>
      <c r="D4432" s="56" t="b">
        <v>0</v>
      </c>
      <c r="E4432" s="56">
        <f ca="1">IF(PV[[#This Row],[Business Date]]=Control!$C$6, PV[[#This Row],[Notional Value Local Cur]], -PV[[#This Row],[Notional Value Local Cur]])</f>
        <v>0</v>
      </c>
    </row>
    <row r="4433" spans="1:5" x14ac:dyDescent="0.25">
      <c r="A4433" s="36" t="b">
        <v>0</v>
      </c>
      <c r="B4433" s="56" t="b">
        <v>0</v>
      </c>
      <c r="C4433" s="56" t="b">
        <v>0</v>
      </c>
      <c r="D4433" s="56" t="b">
        <v>0</v>
      </c>
      <c r="E4433" s="56">
        <f ca="1">IF(PV[[#This Row],[Business Date]]=Control!$C$6, PV[[#This Row],[Notional Value Local Cur]], -PV[[#This Row],[Notional Value Local Cur]])</f>
        <v>0</v>
      </c>
    </row>
    <row r="4434" spans="1:5" x14ac:dyDescent="0.25">
      <c r="A4434" s="36" t="b">
        <v>0</v>
      </c>
      <c r="B4434" s="56" t="b">
        <v>0</v>
      </c>
      <c r="C4434" s="56" t="b">
        <v>0</v>
      </c>
      <c r="D4434" s="56" t="b">
        <v>0</v>
      </c>
      <c r="E4434" s="56">
        <f ca="1">IF(PV[[#This Row],[Business Date]]=Control!$C$6, PV[[#This Row],[Notional Value Local Cur]], -PV[[#This Row],[Notional Value Local Cur]])</f>
        <v>0</v>
      </c>
    </row>
    <row r="4435" spans="1:5" x14ac:dyDescent="0.25">
      <c r="A4435" s="36" t="b">
        <v>0</v>
      </c>
      <c r="B4435" s="56" t="b">
        <v>0</v>
      </c>
      <c r="C4435" s="56" t="b">
        <v>0</v>
      </c>
      <c r="D4435" s="56" t="b">
        <v>0</v>
      </c>
      <c r="E4435" s="56">
        <f ca="1">IF(PV[[#This Row],[Business Date]]=Control!$C$6, PV[[#This Row],[Notional Value Local Cur]], -PV[[#This Row],[Notional Value Local Cur]])</f>
        <v>0</v>
      </c>
    </row>
    <row r="4436" spans="1:5" x14ac:dyDescent="0.25">
      <c r="A4436" s="36" t="b">
        <v>0</v>
      </c>
      <c r="B4436" s="56" t="b">
        <v>0</v>
      </c>
      <c r="C4436" s="56" t="b">
        <v>0</v>
      </c>
      <c r="D4436" s="56" t="b">
        <v>0</v>
      </c>
      <c r="E4436" s="56">
        <f ca="1">IF(PV[[#This Row],[Business Date]]=Control!$C$6, PV[[#This Row],[Notional Value Local Cur]], -PV[[#This Row],[Notional Value Local Cur]])</f>
        <v>0</v>
      </c>
    </row>
    <row r="4437" spans="1:5" x14ac:dyDescent="0.25">
      <c r="A4437" s="36" t="b">
        <v>0</v>
      </c>
      <c r="B4437" s="56" t="b">
        <v>0</v>
      </c>
      <c r="C4437" s="56" t="b">
        <v>0</v>
      </c>
      <c r="D4437" s="56" t="b">
        <v>0</v>
      </c>
      <c r="E4437" s="56">
        <f ca="1">IF(PV[[#This Row],[Business Date]]=Control!$C$6, PV[[#This Row],[Notional Value Local Cur]], -PV[[#This Row],[Notional Value Local Cur]])</f>
        <v>0</v>
      </c>
    </row>
    <row r="4438" spans="1:5" x14ac:dyDescent="0.25">
      <c r="A4438" s="36" t="b">
        <v>0</v>
      </c>
      <c r="B4438" s="56" t="b">
        <v>0</v>
      </c>
      <c r="C4438" s="56" t="b">
        <v>0</v>
      </c>
      <c r="D4438" s="56" t="b">
        <v>0</v>
      </c>
      <c r="E4438" s="56">
        <f ca="1">IF(PV[[#This Row],[Business Date]]=Control!$C$6, PV[[#This Row],[Notional Value Local Cur]], -PV[[#This Row],[Notional Value Local Cur]])</f>
        <v>0</v>
      </c>
    </row>
    <row r="4439" spans="1:5" x14ac:dyDescent="0.25">
      <c r="A4439" s="36" t="b">
        <v>0</v>
      </c>
      <c r="B4439" s="56" t="b">
        <v>0</v>
      </c>
      <c r="C4439" s="56" t="b">
        <v>0</v>
      </c>
      <c r="D4439" s="56" t="b">
        <v>0</v>
      </c>
      <c r="E4439" s="56">
        <f ca="1">IF(PV[[#This Row],[Business Date]]=Control!$C$6, PV[[#This Row],[Notional Value Local Cur]], -PV[[#This Row],[Notional Value Local Cur]])</f>
        <v>0</v>
      </c>
    </row>
    <row r="4440" spans="1:5" x14ac:dyDescent="0.25">
      <c r="A4440" s="36" t="b">
        <v>0</v>
      </c>
      <c r="B4440" s="56" t="b">
        <v>0</v>
      </c>
      <c r="C4440" s="56" t="b">
        <v>0</v>
      </c>
      <c r="D4440" s="56" t="b">
        <v>0</v>
      </c>
      <c r="E4440" s="56">
        <f ca="1">IF(PV[[#This Row],[Business Date]]=Control!$C$6, PV[[#This Row],[Notional Value Local Cur]], -PV[[#This Row],[Notional Value Local Cur]])</f>
        <v>0</v>
      </c>
    </row>
    <row r="4441" spans="1:5" x14ac:dyDescent="0.25">
      <c r="A4441" s="36" t="b">
        <v>0</v>
      </c>
      <c r="B4441" s="56" t="b">
        <v>0</v>
      </c>
      <c r="C4441" s="56" t="b">
        <v>0</v>
      </c>
      <c r="D4441" s="56" t="b">
        <v>0</v>
      </c>
      <c r="E4441" s="56">
        <f ca="1">IF(PV[[#This Row],[Business Date]]=Control!$C$6, PV[[#This Row],[Notional Value Local Cur]], -PV[[#This Row],[Notional Value Local Cur]])</f>
        <v>0</v>
      </c>
    </row>
    <row r="4442" spans="1:5" x14ac:dyDescent="0.25">
      <c r="A4442" s="36" t="b">
        <v>0</v>
      </c>
      <c r="B4442" s="56" t="b">
        <v>0</v>
      </c>
      <c r="C4442" s="56" t="b">
        <v>0</v>
      </c>
      <c r="D4442" s="56" t="b">
        <v>0</v>
      </c>
      <c r="E4442" s="56">
        <f ca="1">IF(PV[[#This Row],[Business Date]]=Control!$C$6, PV[[#This Row],[Notional Value Local Cur]], -PV[[#This Row],[Notional Value Local Cur]])</f>
        <v>0</v>
      </c>
    </row>
    <row r="4443" spans="1:5" x14ac:dyDescent="0.25">
      <c r="A4443" s="36" t="b">
        <v>0</v>
      </c>
      <c r="B4443" s="56" t="b">
        <v>0</v>
      </c>
      <c r="C4443" s="56" t="b">
        <v>0</v>
      </c>
      <c r="D4443" s="56" t="b">
        <v>0</v>
      </c>
      <c r="E4443" s="56">
        <f ca="1">IF(PV[[#This Row],[Business Date]]=Control!$C$6, PV[[#This Row],[Notional Value Local Cur]], -PV[[#This Row],[Notional Value Local Cur]])</f>
        <v>0</v>
      </c>
    </row>
    <row r="4444" spans="1:5" x14ac:dyDescent="0.25">
      <c r="A4444" s="36" t="b">
        <v>0</v>
      </c>
      <c r="B4444" s="56" t="b">
        <v>0</v>
      </c>
      <c r="C4444" s="56" t="b">
        <v>0</v>
      </c>
      <c r="D4444" s="56" t="b">
        <v>0</v>
      </c>
      <c r="E4444" s="56">
        <f ca="1">IF(PV[[#This Row],[Business Date]]=Control!$C$6, PV[[#This Row],[Notional Value Local Cur]], -PV[[#This Row],[Notional Value Local Cur]])</f>
        <v>0</v>
      </c>
    </row>
    <row r="4445" spans="1:5" x14ac:dyDescent="0.25">
      <c r="A4445" s="36" t="b">
        <v>0</v>
      </c>
      <c r="B4445" s="56" t="b">
        <v>0</v>
      </c>
      <c r="C4445" s="56" t="b">
        <v>0</v>
      </c>
      <c r="D4445" s="56" t="b">
        <v>0</v>
      </c>
      <c r="E4445" s="56">
        <f ca="1">IF(PV[[#This Row],[Business Date]]=Control!$C$6, PV[[#This Row],[Notional Value Local Cur]], -PV[[#This Row],[Notional Value Local Cur]])</f>
        <v>0</v>
      </c>
    </row>
    <row r="4446" spans="1:5" x14ac:dyDescent="0.25">
      <c r="A4446" s="36" t="b">
        <v>0</v>
      </c>
      <c r="B4446" s="56" t="b">
        <v>0</v>
      </c>
      <c r="C4446" s="56" t="b">
        <v>0</v>
      </c>
      <c r="D4446" s="56" t="b">
        <v>0</v>
      </c>
      <c r="E4446" s="56">
        <f ca="1">IF(PV[[#This Row],[Business Date]]=Control!$C$6, PV[[#This Row],[Notional Value Local Cur]], -PV[[#This Row],[Notional Value Local Cur]])</f>
        <v>0</v>
      </c>
    </row>
    <row r="4447" spans="1:5" x14ac:dyDescent="0.25">
      <c r="A4447" s="36" t="b">
        <v>0</v>
      </c>
      <c r="B4447" s="56" t="b">
        <v>0</v>
      </c>
      <c r="C4447" s="56" t="b">
        <v>0</v>
      </c>
      <c r="D4447" s="56" t="b">
        <v>0</v>
      </c>
      <c r="E4447" s="56">
        <f ca="1">IF(PV[[#This Row],[Business Date]]=Control!$C$6, PV[[#This Row],[Notional Value Local Cur]], -PV[[#This Row],[Notional Value Local Cur]])</f>
        <v>0</v>
      </c>
    </row>
    <row r="4448" spans="1:5" x14ac:dyDescent="0.25">
      <c r="A4448" s="36" t="b">
        <v>0</v>
      </c>
      <c r="B4448" s="56" t="b">
        <v>0</v>
      </c>
      <c r="C4448" s="56" t="b">
        <v>0</v>
      </c>
      <c r="D4448" s="56" t="b">
        <v>0</v>
      </c>
      <c r="E4448" s="56">
        <f ca="1">IF(PV[[#This Row],[Business Date]]=Control!$C$6, PV[[#This Row],[Notional Value Local Cur]], -PV[[#This Row],[Notional Value Local Cur]])</f>
        <v>0</v>
      </c>
    </row>
    <row r="4449" spans="1:5" x14ac:dyDescent="0.25">
      <c r="A4449" s="36" t="b">
        <v>0</v>
      </c>
      <c r="B4449" s="56" t="b">
        <v>0</v>
      </c>
      <c r="C4449" s="56" t="b">
        <v>0</v>
      </c>
      <c r="D4449" s="56" t="b">
        <v>0</v>
      </c>
      <c r="E4449" s="56">
        <f ca="1">IF(PV[[#This Row],[Business Date]]=Control!$C$6, PV[[#This Row],[Notional Value Local Cur]], -PV[[#This Row],[Notional Value Local Cur]])</f>
        <v>0</v>
      </c>
    </row>
    <row r="4450" spans="1:5" x14ac:dyDescent="0.25">
      <c r="A4450" s="36" t="b">
        <v>0</v>
      </c>
      <c r="B4450" s="56" t="b">
        <v>0</v>
      </c>
      <c r="C4450" s="56" t="b">
        <v>0</v>
      </c>
      <c r="D4450" s="56" t="b">
        <v>0</v>
      </c>
      <c r="E4450" s="56">
        <f ca="1">IF(PV[[#This Row],[Business Date]]=Control!$C$6, PV[[#This Row],[Notional Value Local Cur]], -PV[[#This Row],[Notional Value Local Cur]])</f>
        <v>0</v>
      </c>
    </row>
    <row r="4451" spans="1:5" x14ac:dyDescent="0.25">
      <c r="A4451" s="36" t="b">
        <v>0</v>
      </c>
      <c r="B4451" s="56" t="b">
        <v>0</v>
      </c>
      <c r="C4451" s="56" t="b">
        <v>0</v>
      </c>
      <c r="D4451" s="56" t="b">
        <v>0</v>
      </c>
      <c r="E4451" s="56">
        <f ca="1">IF(PV[[#This Row],[Business Date]]=Control!$C$6, PV[[#This Row],[Notional Value Local Cur]], -PV[[#This Row],[Notional Value Local Cur]])</f>
        <v>0</v>
      </c>
    </row>
    <row r="4452" spans="1:5" x14ac:dyDescent="0.25">
      <c r="A4452" s="36" t="b">
        <v>0</v>
      </c>
      <c r="B4452" s="56" t="b">
        <v>0</v>
      </c>
      <c r="C4452" s="56" t="b">
        <v>0</v>
      </c>
      <c r="D4452" s="56" t="b">
        <v>0</v>
      </c>
      <c r="E4452" s="56">
        <f ca="1">IF(PV[[#This Row],[Business Date]]=Control!$C$6, PV[[#This Row],[Notional Value Local Cur]], -PV[[#This Row],[Notional Value Local Cur]])</f>
        <v>0</v>
      </c>
    </row>
    <row r="4453" spans="1:5" x14ac:dyDescent="0.25">
      <c r="A4453" s="36" t="b">
        <v>0</v>
      </c>
      <c r="B4453" s="56" t="b">
        <v>0</v>
      </c>
      <c r="C4453" s="56" t="b">
        <v>0</v>
      </c>
      <c r="D4453" s="56" t="b">
        <v>0</v>
      </c>
      <c r="E4453" s="56">
        <f ca="1">IF(PV[[#This Row],[Business Date]]=Control!$C$6, PV[[#This Row],[Notional Value Local Cur]], -PV[[#This Row],[Notional Value Local Cur]])</f>
        <v>0</v>
      </c>
    </row>
    <row r="4454" spans="1:5" x14ac:dyDescent="0.25">
      <c r="A4454" s="36" t="b">
        <v>0</v>
      </c>
      <c r="B4454" s="56" t="b">
        <v>0</v>
      </c>
      <c r="C4454" s="56" t="b">
        <v>0</v>
      </c>
      <c r="D4454" s="56" t="b">
        <v>0</v>
      </c>
      <c r="E4454" s="56">
        <f ca="1">IF(PV[[#This Row],[Business Date]]=Control!$C$6, PV[[#This Row],[Notional Value Local Cur]], -PV[[#This Row],[Notional Value Local Cur]])</f>
        <v>0</v>
      </c>
    </row>
    <row r="4455" spans="1:5" x14ac:dyDescent="0.25">
      <c r="A4455" s="36" t="b">
        <v>0</v>
      </c>
      <c r="B4455" s="56" t="b">
        <v>0</v>
      </c>
      <c r="C4455" s="56" t="b">
        <v>0</v>
      </c>
      <c r="D4455" s="56" t="b">
        <v>0</v>
      </c>
      <c r="E4455" s="56">
        <f ca="1">IF(PV[[#This Row],[Business Date]]=Control!$C$6, PV[[#This Row],[Notional Value Local Cur]], -PV[[#This Row],[Notional Value Local Cur]])</f>
        <v>0</v>
      </c>
    </row>
    <row r="4456" spans="1:5" x14ac:dyDescent="0.25">
      <c r="A4456" s="36" t="b">
        <v>0</v>
      </c>
      <c r="B4456" s="56" t="b">
        <v>0</v>
      </c>
      <c r="C4456" s="56" t="b">
        <v>0</v>
      </c>
      <c r="D4456" s="56" t="b">
        <v>0</v>
      </c>
      <c r="E4456" s="56">
        <f ca="1">IF(PV[[#This Row],[Business Date]]=Control!$C$6, PV[[#This Row],[Notional Value Local Cur]], -PV[[#This Row],[Notional Value Local Cur]])</f>
        <v>0</v>
      </c>
    </row>
    <row r="4457" spans="1:5" x14ac:dyDescent="0.25">
      <c r="A4457" s="36" t="b">
        <v>0</v>
      </c>
      <c r="B4457" s="56" t="b">
        <v>0</v>
      </c>
      <c r="C4457" s="56" t="b">
        <v>0</v>
      </c>
      <c r="D4457" s="56" t="b">
        <v>0</v>
      </c>
      <c r="E4457" s="56">
        <f ca="1">IF(PV[[#This Row],[Business Date]]=Control!$C$6, PV[[#This Row],[Notional Value Local Cur]], -PV[[#This Row],[Notional Value Local Cur]])</f>
        <v>0</v>
      </c>
    </row>
    <row r="4458" spans="1:5" x14ac:dyDescent="0.25">
      <c r="A4458" s="36" t="b">
        <v>0</v>
      </c>
      <c r="B4458" s="56" t="b">
        <v>0</v>
      </c>
      <c r="C4458" s="56" t="b">
        <v>0</v>
      </c>
      <c r="D4458" s="56" t="b">
        <v>0</v>
      </c>
      <c r="E4458" s="56">
        <f ca="1">IF(PV[[#This Row],[Business Date]]=Control!$C$6, PV[[#This Row],[Notional Value Local Cur]], -PV[[#This Row],[Notional Value Local Cur]])</f>
        <v>0</v>
      </c>
    </row>
    <row r="4459" spans="1:5" x14ac:dyDescent="0.25">
      <c r="A4459" s="36" t="b">
        <v>0</v>
      </c>
      <c r="B4459" s="56" t="b">
        <v>0</v>
      </c>
      <c r="C4459" s="56" t="b">
        <v>0</v>
      </c>
      <c r="D4459" s="56" t="b">
        <v>0</v>
      </c>
      <c r="E4459" s="56">
        <f ca="1">IF(PV[[#This Row],[Business Date]]=Control!$C$6, PV[[#This Row],[Notional Value Local Cur]], -PV[[#This Row],[Notional Value Local Cur]])</f>
        <v>0</v>
      </c>
    </row>
    <row r="4460" spans="1:5" x14ac:dyDescent="0.25">
      <c r="A4460" s="36" t="b">
        <v>0</v>
      </c>
      <c r="B4460" s="56" t="b">
        <v>0</v>
      </c>
      <c r="C4460" s="56" t="b">
        <v>0</v>
      </c>
      <c r="D4460" s="56" t="b">
        <v>0</v>
      </c>
      <c r="E4460" s="56">
        <f ca="1">IF(PV[[#This Row],[Business Date]]=Control!$C$6, PV[[#This Row],[Notional Value Local Cur]], -PV[[#This Row],[Notional Value Local Cur]])</f>
        <v>0</v>
      </c>
    </row>
    <row r="4461" spans="1:5" x14ac:dyDescent="0.25">
      <c r="A4461" s="36" t="b">
        <v>0</v>
      </c>
      <c r="B4461" s="56" t="b">
        <v>0</v>
      </c>
      <c r="C4461" s="56" t="b">
        <v>0</v>
      </c>
      <c r="D4461" s="56" t="b">
        <v>0</v>
      </c>
      <c r="E4461" s="56">
        <f ca="1">IF(PV[[#This Row],[Business Date]]=Control!$C$6, PV[[#This Row],[Notional Value Local Cur]], -PV[[#This Row],[Notional Value Local Cur]])</f>
        <v>0</v>
      </c>
    </row>
    <row r="4462" spans="1:5" x14ac:dyDescent="0.25">
      <c r="A4462" s="36" t="b">
        <v>0</v>
      </c>
      <c r="B4462" s="56" t="b">
        <v>0</v>
      </c>
      <c r="C4462" s="56" t="b">
        <v>0</v>
      </c>
      <c r="D4462" s="56" t="b">
        <v>0</v>
      </c>
      <c r="E4462" s="56">
        <f ca="1">IF(PV[[#This Row],[Business Date]]=Control!$C$6, PV[[#This Row],[Notional Value Local Cur]], -PV[[#This Row],[Notional Value Local Cur]])</f>
        <v>0</v>
      </c>
    </row>
    <row r="4463" spans="1:5" x14ac:dyDescent="0.25">
      <c r="A4463" s="36" t="b">
        <v>0</v>
      </c>
      <c r="B4463" s="56" t="b">
        <v>0</v>
      </c>
      <c r="C4463" s="56" t="b">
        <v>0</v>
      </c>
      <c r="D4463" s="56" t="b">
        <v>0</v>
      </c>
      <c r="E4463" s="56">
        <f ca="1">IF(PV[[#This Row],[Business Date]]=Control!$C$6, PV[[#This Row],[Notional Value Local Cur]], -PV[[#This Row],[Notional Value Local Cur]])</f>
        <v>0</v>
      </c>
    </row>
    <row r="4464" spans="1:5" x14ac:dyDescent="0.25">
      <c r="A4464" s="36" t="b">
        <v>0</v>
      </c>
      <c r="B4464" s="56" t="b">
        <v>0</v>
      </c>
      <c r="C4464" s="56" t="b">
        <v>0</v>
      </c>
      <c r="D4464" s="56" t="b">
        <v>0</v>
      </c>
      <c r="E4464" s="56">
        <f ca="1">IF(PV[[#This Row],[Business Date]]=Control!$C$6, PV[[#This Row],[Notional Value Local Cur]], -PV[[#This Row],[Notional Value Local Cur]])</f>
        <v>0</v>
      </c>
    </row>
    <row r="4465" spans="1:5" x14ac:dyDescent="0.25">
      <c r="A4465" s="36" t="b">
        <v>0</v>
      </c>
      <c r="B4465" s="56" t="b">
        <v>0</v>
      </c>
      <c r="C4465" s="56" t="b">
        <v>0</v>
      </c>
      <c r="D4465" s="56" t="b">
        <v>0</v>
      </c>
      <c r="E4465" s="56">
        <f ca="1">IF(PV[[#This Row],[Business Date]]=Control!$C$6, PV[[#This Row],[Notional Value Local Cur]], -PV[[#This Row],[Notional Value Local Cur]])</f>
        <v>0</v>
      </c>
    </row>
    <row r="4466" spans="1:5" x14ac:dyDescent="0.25">
      <c r="A4466" s="36" t="b">
        <v>0</v>
      </c>
      <c r="B4466" s="56" t="b">
        <v>0</v>
      </c>
      <c r="C4466" s="56" t="b">
        <v>0</v>
      </c>
      <c r="D4466" s="56" t="b">
        <v>0</v>
      </c>
      <c r="E4466" s="56">
        <f ca="1">IF(PV[[#This Row],[Business Date]]=Control!$C$6, PV[[#This Row],[Notional Value Local Cur]], -PV[[#This Row],[Notional Value Local Cur]])</f>
        <v>0</v>
      </c>
    </row>
    <row r="4467" spans="1:5" x14ac:dyDescent="0.25">
      <c r="A4467" s="36" t="b">
        <v>0</v>
      </c>
      <c r="B4467" s="56" t="b">
        <v>0</v>
      </c>
      <c r="C4467" s="56" t="b">
        <v>0</v>
      </c>
      <c r="D4467" s="56" t="b">
        <v>0</v>
      </c>
      <c r="E4467" s="56">
        <f ca="1">IF(PV[[#This Row],[Business Date]]=Control!$C$6, PV[[#This Row],[Notional Value Local Cur]], -PV[[#This Row],[Notional Value Local Cur]])</f>
        <v>0</v>
      </c>
    </row>
    <row r="4468" spans="1:5" x14ac:dyDescent="0.25">
      <c r="A4468" s="36" t="b">
        <v>0</v>
      </c>
      <c r="B4468" s="56" t="b">
        <v>0</v>
      </c>
      <c r="C4468" s="56" t="b">
        <v>0</v>
      </c>
      <c r="D4468" s="56" t="b">
        <v>0</v>
      </c>
      <c r="E4468" s="56">
        <f ca="1">IF(PV[[#This Row],[Business Date]]=Control!$C$6, PV[[#This Row],[Notional Value Local Cur]], -PV[[#This Row],[Notional Value Local Cur]])</f>
        <v>0</v>
      </c>
    </row>
    <row r="4469" spans="1:5" x14ac:dyDescent="0.25">
      <c r="A4469" s="36" t="b">
        <v>0</v>
      </c>
      <c r="B4469" s="56" t="b">
        <v>0</v>
      </c>
      <c r="C4469" s="56" t="b">
        <v>0</v>
      </c>
      <c r="D4469" s="56" t="b">
        <v>0</v>
      </c>
      <c r="E4469" s="56">
        <f ca="1">IF(PV[[#This Row],[Business Date]]=Control!$C$6, PV[[#This Row],[Notional Value Local Cur]], -PV[[#This Row],[Notional Value Local Cur]])</f>
        <v>0</v>
      </c>
    </row>
    <row r="4470" spans="1:5" x14ac:dyDescent="0.25">
      <c r="A4470" s="36" t="b">
        <v>0</v>
      </c>
      <c r="B4470" s="56" t="b">
        <v>0</v>
      </c>
      <c r="C4470" s="56" t="b">
        <v>0</v>
      </c>
      <c r="D4470" s="56" t="b">
        <v>0</v>
      </c>
      <c r="E4470" s="56">
        <f ca="1">IF(PV[[#This Row],[Business Date]]=Control!$C$6, PV[[#This Row],[Notional Value Local Cur]], -PV[[#This Row],[Notional Value Local Cur]])</f>
        <v>0</v>
      </c>
    </row>
    <row r="4471" spans="1:5" x14ac:dyDescent="0.25">
      <c r="A4471" s="36" t="b">
        <v>0</v>
      </c>
      <c r="B4471" s="56" t="b">
        <v>0</v>
      </c>
      <c r="C4471" s="56" t="b">
        <v>0</v>
      </c>
      <c r="D4471" s="56" t="b">
        <v>0</v>
      </c>
      <c r="E4471" s="56">
        <f ca="1">IF(PV[[#This Row],[Business Date]]=Control!$C$6, PV[[#This Row],[Notional Value Local Cur]], -PV[[#This Row],[Notional Value Local Cur]])</f>
        <v>0</v>
      </c>
    </row>
    <row r="4472" spans="1:5" x14ac:dyDescent="0.25">
      <c r="A4472" s="36" t="b">
        <v>0</v>
      </c>
      <c r="B4472" s="56" t="b">
        <v>0</v>
      </c>
      <c r="C4472" s="56" t="b">
        <v>0</v>
      </c>
      <c r="D4472" s="56" t="b">
        <v>0</v>
      </c>
      <c r="E4472" s="56">
        <f ca="1">IF(PV[[#This Row],[Business Date]]=Control!$C$6, PV[[#This Row],[Notional Value Local Cur]], -PV[[#This Row],[Notional Value Local Cur]])</f>
        <v>0</v>
      </c>
    </row>
    <row r="4473" spans="1:5" x14ac:dyDescent="0.25">
      <c r="A4473" s="36" t="b">
        <v>0</v>
      </c>
      <c r="B4473" s="56" t="b">
        <v>0</v>
      </c>
      <c r="C4473" s="56" t="b">
        <v>0</v>
      </c>
      <c r="D4473" s="56" t="b">
        <v>0</v>
      </c>
      <c r="E4473" s="56">
        <f ca="1">IF(PV[[#This Row],[Business Date]]=Control!$C$6, PV[[#This Row],[Notional Value Local Cur]], -PV[[#This Row],[Notional Value Local Cur]])</f>
        <v>0</v>
      </c>
    </row>
    <row r="4474" spans="1:5" x14ac:dyDescent="0.25">
      <c r="A4474" s="36" t="b">
        <v>0</v>
      </c>
      <c r="B4474" s="56" t="b">
        <v>0</v>
      </c>
      <c r="C4474" s="56" t="b">
        <v>0</v>
      </c>
      <c r="D4474" s="56" t="b">
        <v>0</v>
      </c>
      <c r="E4474" s="56">
        <f ca="1">IF(PV[[#This Row],[Business Date]]=Control!$C$6, PV[[#This Row],[Notional Value Local Cur]], -PV[[#This Row],[Notional Value Local Cur]])</f>
        <v>0</v>
      </c>
    </row>
    <row r="4475" spans="1:5" x14ac:dyDescent="0.25">
      <c r="A4475" s="36" t="b">
        <v>0</v>
      </c>
      <c r="B4475" s="56" t="b">
        <v>0</v>
      </c>
      <c r="C4475" s="56" t="b">
        <v>0</v>
      </c>
      <c r="D4475" s="56" t="b">
        <v>0</v>
      </c>
      <c r="E4475" s="56">
        <f ca="1">IF(PV[[#This Row],[Business Date]]=Control!$C$6, PV[[#This Row],[Notional Value Local Cur]], -PV[[#This Row],[Notional Value Local Cur]])</f>
        <v>0</v>
      </c>
    </row>
    <row r="4476" spans="1:5" x14ac:dyDescent="0.25">
      <c r="A4476" s="36" t="b">
        <v>0</v>
      </c>
      <c r="B4476" s="56" t="b">
        <v>0</v>
      </c>
      <c r="C4476" s="56" t="b">
        <v>0</v>
      </c>
      <c r="D4476" s="56" t="b">
        <v>0</v>
      </c>
      <c r="E4476" s="56">
        <f ca="1">IF(PV[[#This Row],[Business Date]]=Control!$C$6, PV[[#This Row],[Notional Value Local Cur]], -PV[[#This Row],[Notional Value Local Cur]])</f>
        <v>0</v>
      </c>
    </row>
    <row r="4477" spans="1:5" x14ac:dyDescent="0.25">
      <c r="A4477" s="36" t="b">
        <v>0</v>
      </c>
      <c r="B4477" s="56" t="b">
        <v>0</v>
      </c>
      <c r="C4477" s="56" t="b">
        <v>0</v>
      </c>
      <c r="D4477" s="56" t="b">
        <v>0</v>
      </c>
      <c r="E4477" s="56">
        <f ca="1">IF(PV[[#This Row],[Business Date]]=Control!$C$6, PV[[#This Row],[Notional Value Local Cur]], -PV[[#This Row],[Notional Value Local Cur]])</f>
        <v>0</v>
      </c>
    </row>
    <row r="4478" spans="1:5" x14ac:dyDescent="0.25">
      <c r="A4478" s="36" t="b">
        <v>0</v>
      </c>
      <c r="B4478" s="56" t="b">
        <v>0</v>
      </c>
      <c r="C4478" s="56" t="b">
        <v>0</v>
      </c>
      <c r="D4478" s="56" t="b">
        <v>0</v>
      </c>
      <c r="E4478" s="56">
        <f ca="1">IF(PV[[#This Row],[Business Date]]=Control!$C$6, PV[[#This Row],[Notional Value Local Cur]], -PV[[#This Row],[Notional Value Local Cur]])</f>
        <v>0</v>
      </c>
    </row>
    <row r="4479" spans="1:5" x14ac:dyDescent="0.25">
      <c r="A4479" s="36" t="b">
        <v>0</v>
      </c>
      <c r="B4479" s="56" t="b">
        <v>0</v>
      </c>
      <c r="C4479" s="56" t="b">
        <v>0</v>
      </c>
      <c r="D4479" s="56" t="b">
        <v>0</v>
      </c>
      <c r="E4479" s="56">
        <f ca="1">IF(PV[[#This Row],[Business Date]]=Control!$C$6, PV[[#This Row],[Notional Value Local Cur]], -PV[[#This Row],[Notional Value Local Cur]])</f>
        <v>0</v>
      </c>
    </row>
    <row r="4480" spans="1:5" x14ac:dyDescent="0.25">
      <c r="A4480" s="36" t="b">
        <v>0</v>
      </c>
      <c r="B4480" s="56" t="b">
        <v>0</v>
      </c>
      <c r="C4480" s="56" t="b">
        <v>0</v>
      </c>
      <c r="D4480" s="56" t="b">
        <v>0</v>
      </c>
      <c r="E4480" s="56">
        <f ca="1">IF(PV[[#This Row],[Business Date]]=Control!$C$6, PV[[#This Row],[Notional Value Local Cur]], -PV[[#This Row],[Notional Value Local Cur]])</f>
        <v>0</v>
      </c>
    </row>
    <row r="4481" spans="1:5" x14ac:dyDescent="0.25">
      <c r="A4481" s="36" t="b">
        <v>0</v>
      </c>
      <c r="B4481" s="56" t="b">
        <v>0</v>
      </c>
      <c r="C4481" s="56" t="b">
        <v>0</v>
      </c>
      <c r="D4481" s="56" t="b">
        <v>0</v>
      </c>
      <c r="E4481" s="56">
        <f ca="1">IF(PV[[#This Row],[Business Date]]=Control!$C$6, PV[[#This Row],[Notional Value Local Cur]], -PV[[#This Row],[Notional Value Local Cur]])</f>
        <v>0</v>
      </c>
    </row>
    <row r="4482" spans="1:5" x14ac:dyDescent="0.25">
      <c r="A4482" s="36" t="b">
        <v>0</v>
      </c>
      <c r="B4482" s="56" t="b">
        <v>0</v>
      </c>
      <c r="C4482" s="56" t="b">
        <v>0</v>
      </c>
      <c r="D4482" s="56" t="b">
        <v>0</v>
      </c>
      <c r="E4482" s="56">
        <f ca="1">IF(PV[[#This Row],[Business Date]]=Control!$C$6, PV[[#This Row],[Notional Value Local Cur]], -PV[[#This Row],[Notional Value Local Cur]])</f>
        <v>0</v>
      </c>
    </row>
    <row r="4483" spans="1:5" x14ac:dyDescent="0.25">
      <c r="A4483" s="36" t="b">
        <v>0</v>
      </c>
      <c r="B4483" s="56" t="b">
        <v>0</v>
      </c>
      <c r="C4483" s="56" t="b">
        <v>0</v>
      </c>
      <c r="D4483" s="56" t="b">
        <v>0</v>
      </c>
      <c r="E4483" s="56">
        <f ca="1">IF(PV[[#This Row],[Business Date]]=Control!$C$6, PV[[#This Row],[Notional Value Local Cur]], -PV[[#This Row],[Notional Value Local Cur]])</f>
        <v>0</v>
      </c>
    </row>
    <row r="4484" spans="1:5" x14ac:dyDescent="0.25">
      <c r="A4484" s="36" t="b">
        <v>0</v>
      </c>
      <c r="B4484" s="56" t="b">
        <v>0</v>
      </c>
      <c r="C4484" s="56" t="b">
        <v>0</v>
      </c>
      <c r="D4484" s="56" t="b">
        <v>0</v>
      </c>
      <c r="E4484" s="56">
        <f ca="1">IF(PV[[#This Row],[Business Date]]=Control!$C$6, PV[[#This Row],[Notional Value Local Cur]], -PV[[#This Row],[Notional Value Local Cur]])</f>
        <v>0</v>
      </c>
    </row>
    <row r="4485" spans="1:5" x14ac:dyDescent="0.25">
      <c r="A4485" s="36" t="b">
        <v>0</v>
      </c>
      <c r="B4485" s="56" t="b">
        <v>0</v>
      </c>
      <c r="C4485" s="56" t="b">
        <v>0</v>
      </c>
      <c r="D4485" s="56" t="b">
        <v>0</v>
      </c>
      <c r="E4485" s="56">
        <f ca="1">IF(PV[[#This Row],[Business Date]]=Control!$C$6, PV[[#This Row],[Notional Value Local Cur]], -PV[[#This Row],[Notional Value Local Cur]])</f>
        <v>0</v>
      </c>
    </row>
    <row r="4486" spans="1:5" x14ac:dyDescent="0.25">
      <c r="A4486" s="36" t="b">
        <v>0</v>
      </c>
      <c r="B4486" s="56" t="b">
        <v>0</v>
      </c>
      <c r="C4486" s="56" t="b">
        <v>0</v>
      </c>
      <c r="D4486" s="56" t="b">
        <v>0</v>
      </c>
      <c r="E4486" s="56">
        <f ca="1">IF(PV[[#This Row],[Business Date]]=Control!$C$6, PV[[#This Row],[Notional Value Local Cur]], -PV[[#This Row],[Notional Value Local Cur]])</f>
        <v>0</v>
      </c>
    </row>
    <row r="4487" spans="1:5" x14ac:dyDescent="0.25">
      <c r="A4487" s="36" t="b">
        <v>0</v>
      </c>
      <c r="B4487" s="56" t="b">
        <v>0</v>
      </c>
      <c r="C4487" s="56" t="b">
        <v>0</v>
      </c>
      <c r="D4487" s="56" t="b">
        <v>0</v>
      </c>
      <c r="E4487" s="56">
        <f ca="1">IF(PV[[#This Row],[Business Date]]=Control!$C$6, PV[[#This Row],[Notional Value Local Cur]], -PV[[#This Row],[Notional Value Local Cur]])</f>
        <v>0</v>
      </c>
    </row>
    <row r="4488" spans="1:5" x14ac:dyDescent="0.25">
      <c r="A4488" s="36" t="b">
        <v>0</v>
      </c>
      <c r="B4488" s="56" t="b">
        <v>0</v>
      </c>
      <c r="C4488" s="56" t="b">
        <v>0</v>
      </c>
      <c r="D4488" s="56" t="b">
        <v>0</v>
      </c>
      <c r="E4488" s="56">
        <f ca="1">IF(PV[[#This Row],[Business Date]]=Control!$C$6, PV[[#This Row],[Notional Value Local Cur]], -PV[[#This Row],[Notional Value Local Cur]])</f>
        <v>0</v>
      </c>
    </row>
    <row r="4489" spans="1:5" x14ac:dyDescent="0.25">
      <c r="A4489" s="36" t="b">
        <v>0</v>
      </c>
      <c r="B4489" s="56" t="b">
        <v>0</v>
      </c>
      <c r="C4489" s="56" t="b">
        <v>0</v>
      </c>
      <c r="D4489" s="56" t="b">
        <v>0</v>
      </c>
      <c r="E4489" s="56">
        <f ca="1">IF(PV[[#This Row],[Business Date]]=Control!$C$6, PV[[#This Row],[Notional Value Local Cur]], -PV[[#This Row],[Notional Value Local Cur]])</f>
        <v>0</v>
      </c>
    </row>
    <row r="4490" spans="1:5" x14ac:dyDescent="0.25">
      <c r="A4490" s="36" t="b">
        <v>0</v>
      </c>
      <c r="B4490" s="56" t="b">
        <v>0</v>
      </c>
      <c r="C4490" s="56" t="b">
        <v>0</v>
      </c>
      <c r="D4490" s="56" t="b">
        <v>0</v>
      </c>
      <c r="E4490" s="56">
        <f ca="1">IF(PV[[#This Row],[Business Date]]=Control!$C$6, PV[[#This Row],[Notional Value Local Cur]], -PV[[#This Row],[Notional Value Local Cur]])</f>
        <v>0</v>
      </c>
    </row>
    <row r="4491" spans="1:5" x14ac:dyDescent="0.25">
      <c r="A4491" s="36" t="b">
        <v>0</v>
      </c>
      <c r="B4491" s="56" t="b">
        <v>0</v>
      </c>
      <c r="C4491" s="56" t="b">
        <v>0</v>
      </c>
      <c r="D4491" s="56" t="b">
        <v>0</v>
      </c>
      <c r="E4491" s="56">
        <f ca="1">IF(PV[[#This Row],[Business Date]]=Control!$C$6, PV[[#This Row],[Notional Value Local Cur]], -PV[[#This Row],[Notional Value Local Cur]])</f>
        <v>0</v>
      </c>
    </row>
    <row r="4492" spans="1:5" x14ac:dyDescent="0.25">
      <c r="A4492" s="36" t="b">
        <v>0</v>
      </c>
      <c r="B4492" s="56" t="b">
        <v>0</v>
      </c>
      <c r="C4492" s="56" t="b">
        <v>0</v>
      </c>
      <c r="D4492" s="56" t="b">
        <v>0</v>
      </c>
      <c r="E4492" s="56">
        <f ca="1">IF(PV[[#This Row],[Business Date]]=Control!$C$6, PV[[#This Row],[Notional Value Local Cur]], -PV[[#This Row],[Notional Value Local Cur]])</f>
        <v>0</v>
      </c>
    </row>
    <row r="4493" spans="1:5" x14ac:dyDescent="0.25">
      <c r="A4493" s="36" t="b">
        <v>0</v>
      </c>
      <c r="B4493" s="56" t="b">
        <v>0</v>
      </c>
      <c r="C4493" s="56" t="b">
        <v>0</v>
      </c>
      <c r="D4493" s="56" t="b">
        <v>0</v>
      </c>
      <c r="E4493" s="56">
        <f ca="1">IF(PV[[#This Row],[Business Date]]=Control!$C$6, PV[[#This Row],[Notional Value Local Cur]], -PV[[#This Row],[Notional Value Local Cur]])</f>
        <v>0</v>
      </c>
    </row>
    <row r="4494" spans="1:5" x14ac:dyDescent="0.25">
      <c r="A4494" s="36" t="b">
        <v>0</v>
      </c>
      <c r="B4494" s="56" t="b">
        <v>0</v>
      </c>
      <c r="C4494" s="56" t="b">
        <v>0</v>
      </c>
      <c r="D4494" s="56" t="b">
        <v>0</v>
      </c>
      <c r="E4494" s="56">
        <f ca="1">IF(PV[[#This Row],[Business Date]]=Control!$C$6, PV[[#This Row],[Notional Value Local Cur]], -PV[[#This Row],[Notional Value Local Cur]])</f>
        <v>0</v>
      </c>
    </row>
    <row r="4495" spans="1:5" x14ac:dyDescent="0.25">
      <c r="A4495" s="36" t="b">
        <v>0</v>
      </c>
      <c r="B4495" s="56" t="b">
        <v>0</v>
      </c>
      <c r="C4495" s="56" t="b">
        <v>0</v>
      </c>
      <c r="D4495" s="56" t="b">
        <v>0</v>
      </c>
      <c r="E4495" s="56">
        <f ca="1">IF(PV[[#This Row],[Business Date]]=Control!$C$6, PV[[#This Row],[Notional Value Local Cur]], -PV[[#This Row],[Notional Value Local Cur]])</f>
        <v>0</v>
      </c>
    </row>
    <row r="4496" spans="1:5" x14ac:dyDescent="0.25">
      <c r="A4496" s="36" t="b">
        <v>0</v>
      </c>
      <c r="B4496" s="56" t="b">
        <v>0</v>
      </c>
      <c r="C4496" s="56" t="b">
        <v>0</v>
      </c>
      <c r="D4496" s="56" t="b">
        <v>0</v>
      </c>
      <c r="E4496" s="56">
        <f ca="1">IF(PV[[#This Row],[Business Date]]=Control!$C$6, PV[[#This Row],[Notional Value Local Cur]], -PV[[#This Row],[Notional Value Local Cur]])</f>
        <v>0</v>
      </c>
    </row>
    <row r="4497" spans="1:5" x14ac:dyDescent="0.25">
      <c r="A4497" s="36" t="b">
        <v>0</v>
      </c>
      <c r="B4497" s="56" t="b">
        <v>0</v>
      </c>
      <c r="C4497" s="56" t="b">
        <v>0</v>
      </c>
      <c r="D4497" s="56" t="b">
        <v>0</v>
      </c>
      <c r="E4497" s="56">
        <f ca="1">IF(PV[[#This Row],[Business Date]]=Control!$C$6, PV[[#This Row],[Notional Value Local Cur]], -PV[[#This Row],[Notional Value Local Cur]])</f>
        <v>0</v>
      </c>
    </row>
    <row r="4498" spans="1:5" x14ac:dyDescent="0.25">
      <c r="A4498" s="36" t="b">
        <v>0</v>
      </c>
      <c r="B4498" s="56" t="b">
        <v>0</v>
      </c>
      <c r="C4498" s="56" t="b">
        <v>0</v>
      </c>
      <c r="D4498" s="56" t="b">
        <v>0</v>
      </c>
      <c r="E4498" s="56">
        <f ca="1">IF(PV[[#This Row],[Business Date]]=Control!$C$6, PV[[#This Row],[Notional Value Local Cur]], -PV[[#This Row],[Notional Value Local Cur]])</f>
        <v>0</v>
      </c>
    </row>
    <row r="4499" spans="1:5" x14ac:dyDescent="0.25">
      <c r="A4499" s="36" t="b">
        <v>0</v>
      </c>
      <c r="B4499" s="56" t="b">
        <v>0</v>
      </c>
      <c r="C4499" s="56" t="b">
        <v>0</v>
      </c>
      <c r="D4499" s="56" t="b">
        <v>0</v>
      </c>
      <c r="E4499" s="56">
        <f ca="1">IF(PV[[#This Row],[Business Date]]=Control!$C$6, PV[[#This Row],[Notional Value Local Cur]], -PV[[#This Row],[Notional Value Local Cur]])</f>
        <v>0</v>
      </c>
    </row>
    <row r="4500" spans="1:5" x14ac:dyDescent="0.25">
      <c r="A4500" s="36" t="b">
        <v>0</v>
      </c>
      <c r="B4500" s="56" t="b">
        <v>0</v>
      </c>
      <c r="C4500" s="56" t="b">
        <v>0</v>
      </c>
      <c r="D4500" s="56" t="b">
        <v>0</v>
      </c>
      <c r="E4500" s="56">
        <f ca="1">IF(PV[[#This Row],[Business Date]]=Control!$C$6, PV[[#This Row],[Notional Value Local Cur]], -PV[[#This Row],[Notional Value Local Cur]])</f>
        <v>0</v>
      </c>
    </row>
    <row r="4501" spans="1:5" x14ac:dyDescent="0.25">
      <c r="A4501" s="36" t="b">
        <v>0</v>
      </c>
      <c r="B4501" s="56" t="b">
        <v>0</v>
      </c>
      <c r="C4501" s="56" t="b">
        <v>0</v>
      </c>
      <c r="D4501" s="56" t="b">
        <v>0</v>
      </c>
      <c r="E4501" s="56">
        <f ca="1">IF(PV[[#This Row],[Business Date]]=Control!$C$6, PV[[#This Row],[Notional Value Local Cur]], -PV[[#This Row],[Notional Value Local Cur]])</f>
        <v>0</v>
      </c>
    </row>
    <row r="4502" spans="1:5" x14ac:dyDescent="0.25">
      <c r="A4502" s="36" t="b">
        <v>0</v>
      </c>
      <c r="B4502" s="56" t="b">
        <v>0</v>
      </c>
      <c r="C4502" s="56" t="b">
        <v>0</v>
      </c>
      <c r="D4502" s="56" t="b">
        <v>0</v>
      </c>
      <c r="E4502" s="56">
        <f ca="1">IF(PV[[#This Row],[Business Date]]=Control!$C$6, PV[[#This Row],[Notional Value Local Cur]], -PV[[#This Row],[Notional Value Local Cur]])</f>
        <v>0</v>
      </c>
    </row>
    <row r="4503" spans="1:5" x14ac:dyDescent="0.25">
      <c r="A4503" s="36" t="b">
        <v>0</v>
      </c>
      <c r="B4503" s="56" t="b">
        <v>0</v>
      </c>
      <c r="C4503" s="56" t="b">
        <v>0</v>
      </c>
      <c r="D4503" s="56" t="b">
        <v>0</v>
      </c>
      <c r="E4503" s="56">
        <f ca="1">IF(PV[[#This Row],[Business Date]]=Control!$C$6, PV[[#This Row],[Notional Value Local Cur]], -PV[[#This Row],[Notional Value Local Cur]])</f>
        <v>0</v>
      </c>
    </row>
    <row r="4504" spans="1:5" x14ac:dyDescent="0.25">
      <c r="A4504" s="36" t="b">
        <v>0</v>
      </c>
      <c r="B4504" s="56" t="b">
        <v>0</v>
      </c>
      <c r="C4504" s="56" t="b">
        <v>0</v>
      </c>
      <c r="D4504" s="56" t="b">
        <v>0</v>
      </c>
      <c r="E4504" s="56">
        <f ca="1">IF(PV[[#This Row],[Business Date]]=Control!$C$6, PV[[#This Row],[Notional Value Local Cur]], -PV[[#This Row],[Notional Value Local Cur]])</f>
        <v>0</v>
      </c>
    </row>
    <row r="4505" spans="1:5" x14ac:dyDescent="0.25">
      <c r="A4505" s="36" t="b">
        <v>0</v>
      </c>
      <c r="B4505" s="56" t="b">
        <v>0</v>
      </c>
      <c r="C4505" s="56" t="b">
        <v>0</v>
      </c>
      <c r="D4505" s="56" t="b">
        <v>0</v>
      </c>
      <c r="E4505" s="56">
        <f ca="1">IF(PV[[#This Row],[Business Date]]=Control!$C$6, PV[[#This Row],[Notional Value Local Cur]], -PV[[#This Row],[Notional Value Local Cur]])</f>
        <v>0</v>
      </c>
    </row>
    <row r="4506" spans="1:5" x14ac:dyDescent="0.25">
      <c r="A4506" s="36" t="b">
        <v>0</v>
      </c>
      <c r="B4506" s="56" t="b">
        <v>0</v>
      </c>
      <c r="C4506" s="56" t="b">
        <v>0</v>
      </c>
      <c r="D4506" s="56" t="b">
        <v>0</v>
      </c>
      <c r="E4506" s="56">
        <f ca="1">IF(PV[[#This Row],[Business Date]]=Control!$C$6, PV[[#This Row],[Notional Value Local Cur]], -PV[[#This Row],[Notional Value Local Cur]])</f>
        <v>0</v>
      </c>
    </row>
    <row r="4507" spans="1:5" x14ac:dyDescent="0.25">
      <c r="A4507" s="36" t="b">
        <v>0</v>
      </c>
      <c r="B4507" s="56" t="b">
        <v>0</v>
      </c>
      <c r="C4507" s="56" t="b">
        <v>0</v>
      </c>
      <c r="D4507" s="56" t="b">
        <v>0</v>
      </c>
      <c r="E4507" s="56">
        <f ca="1">IF(PV[[#This Row],[Business Date]]=Control!$C$6, PV[[#This Row],[Notional Value Local Cur]], -PV[[#This Row],[Notional Value Local Cur]])</f>
        <v>0</v>
      </c>
    </row>
    <row r="4508" spans="1:5" x14ac:dyDescent="0.25">
      <c r="A4508" s="36" t="b">
        <v>0</v>
      </c>
      <c r="B4508" s="56" t="b">
        <v>0</v>
      </c>
      <c r="C4508" s="56" t="b">
        <v>0</v>
      </c>
      <c r="D4508" s="56" t="b">
        <v>0</v>
      </c>
      <c r="E4508" s="56">
        <f ca="1">IF(PV[[#This Row],[Business Date]]=Control!$C$6, PV[[#This Row],[Notional Value Local Cur]], -PV[[#This Row],[Notional Value Local Cur]])</f>
        <v>0</v>
      </c>
    </row>
    <row r="4509" spans="1:5" x14ac:dyDescent="0.25">
      <c r="A4509" s="36" t="b">
        <v>0</v>
      </c>
      <c r="B4509" s="56" t="b">
        <v>0</v>
      </c>
      <c r="C4509" s="56" t="b">
        <v>0</v>
      </c>
      <c r="D4509" s="56" t="b">
        <v>0</v>
      </c>
      <c r="E4509" s="56">
        <f ca="1">IF(PV[[#This Row],[Business Date]]=Control!$C$6, PV[[#This Row],[Notional Value Local Cur]], -PV[[#This Row],[Notional Value Local Cur]])</f>
        <v>0</v>
      </c>
    </row>
    <row r="4510" spans="1:5" x14ac:dyDescent="0.25">
      <c r="A4510" s="36" t="b">
        <v>0</v>
      </c>
      <c r="B4510" s="56" t="b">
        <v>0</v>
      </c>
      <c r="C4510" s="56" t="b">
        <v>0</v>
      </c>
      <c r="D4510" s="56" t="b">
        <v>0</v>
      </c>
      <c r="E4510" s="56">
        <f ca="1">IF(PV[[#This Row],[Business Date]]=Control!$C$6, PV[[#This Row],[Notional Value Local Cur]], -PV[[#This Row],[Notional Value Local Cur]])</f>
        <v>0</v>
      </c>
    </row>
    <row r="4511" spans="1:5" x14ac:dyDescent="0.25">
      <c r="A4511" s="36" t="b">
        <v>0</v>
      </c>
      <c r="B4511" s="56" t="b">
        <v>0</v>
      </c>
      <c r="C4511" s="56" t="b">
        <v>0</v>
      </c>
      <c r="D4511" s="56" t="b">
        <v>0</v>
      </c>
      <c r="E4511" s="56">
        <f ca="1">IF(PV[[#This Row],[Business Date]]=Control!$C$6, PV[[#This Row],[Notional Value Local Cur]], -PV[[#This Row],[Notional Value Local Cur]])</f>
        <v>0</v>
      </c>
    </row>
    <row r="4512" spans="1:5" x14ac:dyDescent="0.25">
      <c r="A4512" s="36" t="b">
        <v>0</v>
      </c>
      <c r="B4512" s="56" t="b">
        <v>0</v>
      </c>
      <c r="C4512" s="56" t="b">
        <v>0</v>
      </c>
      <c r="D4512" s="56" t="b">
        <v>0</v>
      </c>
      <c r="E4512" s="56">
        <f ca="1">IF(PV[[#This Row],[Business Date]]=Control!$C$6, PV[[#This Row],[Notional Value Local Cur]], -PV[[#This Row],[Notional Value Local Cur]])</f>
        <v>0</v>
      </c>
    </row>
    <row r="4513" spans="1:5" x14ac:dyDescent="0.25">
      <c r="A4513" s="36" t="b">
        <v>0</v>
      </c>
      <c r="B4513" s="56" t="b">
        <v>0</v>
      </c>
      <c r="C4513" s="56" t="b">
        <v>0</v>
      </c>
      <c r="D4513" s="56" t="b">
        <v>0</v>
      </c>
      <c r="E4513" s="56">
        <f ca="1">IF(PV[[#This Row],[Business Date]]=Control!$C$6, PV[[#This Row],[Notional Value Local Cur]], -PV[[#This Row],[Notional Value Local Cur]])</f>
        <v>0</v>
      </c>
    </row>
    <row r="4514" spans="1:5" x14ac:dyDescent="0.25">
      <c r="A4514" s="36" t="b">
        <v>0</v>
      </c>
      <c r="B4514" s="56" t="b">
        <v>0</v>
      </c>
      <c r="C4514" s="56" t="b">
        <v>0</v>
      </c>
      <c r="D4514" s="56" t="b">
        <v>0</v>
      </c>
      <c r="E4514" s="56">
        <f ca="1">IF(PV[[#This Row],[Business Date]]=Control!$C$6, PV[[#This Row],[Notional Value Local Cur]], -PV[[#This Row],[Notional Value Local Cur]])</f>
        <v>0</v>
      </c>
    </row>
    <row r="4515" spans="1:5" x14ac:dyDescent="0.25">
      <c r="A4515" s="36" t="b">
        <v>0</v>
      </c>
      <c r="B4515" s="56" t="b">
        <v>0</v>
      </c>
      <c r="C4515" s="56" t="b">
        <v>0</v>
      </c>
      <c r="D4515" s="56" t="b">
        <v>0</v>
      </c>
      <c r="E4515" s="56">
        <f ca="1">IF(PV[[#This Row],[Business Date]]=Control!$C$6, PV[[#This Row],[Notional Value Local Cur]], -PV[[#This Row],[Notional Value Local Cur]])</f>
        <v>0</v>
      </c>
    </row>
    <row r="4516" spans="1:5" x14ac:dyDescent="0.25">
      <c r="A4516" s="36" t="b">
        <v>0</v>
      </c>
      <c r="B4516" s="56" t="b">
        <v>0</v>
      </c>
      <c r="C4516" s="56" t="b">
        <v>0</v>
      </c>
      <c r="D4516" s="56" t="b">
        <v>0</v>
      </c>
      <c r="E4516" s="56">
        <f ca="1">IF(PV[[#This Row],[Business Date]]=Control!$C$6, PV[[#This Row],[Notional Value Local Cur]], -PV[[#This Row],[Notional Value Local Cur]])</f>
        <v>0</v>
      </c>
    </row>
    <row r="4517" spans="1:5" x14ac:dyDescent="0.25">
      <c r="A4517" s="36" t="b">
        <v>0</v>
      </c>
      <c r="B4517" s="56" t="b">
        <v>0</v>
      </c>
      <c r="C4517" s="56" t="b">
        <v>0</v>
      </c>
      <c r="D4517" s="56" t="b">
        <v>0</v>
      </c>
      <c r="E4517" s="56">
        <f ca="1">IF(PV[[#This Row],[Business Date]]=Control!$C$6, PV[[#This Row],[Notional Value Local Cur]], -PV[[#This Row],[Notional Value Local Cur]])</f>
        <v>0</v>
      </c>
    </row>
    <row r="4518" spans="1:5" x14ac:dyDescent="0.25">
      <c r="A4518" s="36" t="b">
        <v>0</v>
      </c>
      <c r="B4518" s="56" t="b">
        <v>0</v>
      </c>
      <c r="C4518" s="56" t="b">
        <v>0</v>
      </c>
      <c r="D4518" s="56" t="b">
        <v>0</v>
      </c>
      <c r="E4518" s="56">
        <f ca="1">IF(PV[[#This Row],[Business Date]]=Control!$C$6, PV[[#This Row],[Notional Value Local Cur]], -PV[[#This Row],[Notional Value Local Cur]])</f>
        <v>0</v>
      </c>
    </row>
    <row r="4519" spans="1:5" x14ac:dyDescent="0.25">
      <c r="A4519" s="36" t="b">
        <v>0</v>
      </c>
      <c r="B4519" s="56" t="b">
        <v>0</v>
      </c>
      <c r="C4519" s="56" t="b">
        <v>0</v>
      </c>
      <c r="D4519" s="56" t="b">
        <v>0</v>
      </c>
      <c r="E4519" s="56">
        <f ca="1">IF(PV[[#This Row],[Business Date]]=Control!$C$6, PV[[#This Row],[Notional Value Local Cur]], -PV[[#This Row],[Notional Value Local Cur]])</f>
        <v>0</v>
      </c>
    </row>
    <row r="4520" spans="1:5" x14ac:dyDescent="0.25">
      <c r="A4520" s="36" t="b">
        <v>0</v>
      </c>
      <c r="B4520" s="56" t="b">
        <v>0</v>
      </c>
      <c r="C4520" s="56" t="b">
        <v>0</v>
      </c>
      <c r="D4520" s="56" t="b">
        <v>0</v>
      </c>
      <c r="E4520" s="56">
        <f ca="1">IF(PV[[#This Row],[Business Date]]=Control!$C$6, PV[[#This Row],[Notional Value Local Cur]], -PV[[#This Row],[Notional Value Local Cur]])</f>
        <v>0</v>
      </c>
    </row>
    <row r="4521" spans="1:5" x14ac:dyDescent="0.25">
      <c r="A4521" s="36" t="b">
        <v>0</v>
      </c>
      <c r="B4521" s="56" t="b">
        <v>0</v>
      </c>
      <c r="C4521" s="56" t="b">
        <v>0</v>
      </c>
      <c r="D4521" s="56" t="b">
        <v>0</v>
      </c>
      <c r="E4521" s="56">
        <f ca="1">IF(PV[[#This Row],[Business Date]]=Control!$C$6, PV[[#This Row],[Notional Value Local Cur]], -PV[[#This Row],[Notional Value Local Cur]])</f>
        <v>0</v>
      </c>
    </row>
    <row r="4522" spans="1:5" x14ac:dyDescent="0.25">
      <c r="A4522" s="36" t="b">
        <v>0</v>
      </c>
      <c r="B4522" s="56" t="b">
        <v>0</v>
      </c>
      <c r="C4522" s="56" t="b">
        <v>0</v>
      </c>
      <c r="D4522" s="56" t="b">
        <v>0</v>
      </c>
      <c r="E4522" s="56">
        <f ca="1">IF(PV[[#This Row],[Business Date]]=Control!$C$6, PV[[#This Row],[Notional Value Local Cur]], -PV[[#This Row],[Notional Value Local Cur]])</f>
        <v>0</v>
      </c>
    </row>
    <row r="4523" spans="1:5" x14ac:dyDescent="0.25">
      <c r="A4523" s="36" t="b">
        <v>0</v>
      </c>
      <c r="B4523" s="56" t="b">
        <v>0</v>
      </c>
      <c r="C4523" s="56" t="b">
        <v>0</v>
      </c>
      <c r="D4523" s="56" t="b">
        <v>0</v>
      </c>
      <c r="E4523" s="56">
        <f ca="1">IF(PV[[#This Row],[Business Date]]=Control!$C$6, PV[[#This Row],[Notional Value Local Cur]], -PV[[#This Row],[Notional Value Local Cur]])</f>
        <v>0</v>
      </c>
    </row>
    <row r="4524" spans="1:5" x14ac:dyDescent="0.25">
      <c r="A4524" s="36" t="b">
        <v>0</v>
      </c>
      <c r="B4524" s="56" t="b">
        <v>0</v>
      </c>
      <c r="C4524" s="56" t="b">
        <v>0</v>
      </c>
      <c r="D4524" s="56" t="b">
        <v>0</v>
      </c>
      <c r="E4524" s="56">
        <f ca="1">IF(PV[[#This Row],[Business Date]]=Control!$C$6, PV[[#This Row],[Notional Value Local Cur]], -PV[[#This Row],[Notional Value Local Cur]])</f>
        <v>0</v>
      </c>
    </row>
    <row r="4525" spans="1:5" x14ac:dyDescent="0.25">
      <c r="A4525" s="36" t="b">
        <v>0</v>
      </c>
      <c r="B4525" s="56" t="b">
        <v>0</v>
      </c>
      <c r="C4525" s="56" t="b">
        <v>0</v>
      </c>
      <c r="D4525" s="56" t="b">
        <v>0</v>
      </c>
      <c r="E4525" s="56">
        <f ca="1">IF(PV[[#This Row],[Business Date]]=Control!$C$6, PV[[#This Row],[Notional Value Local Cur]], -PV[[#This Row],[Notional Value Local Cur]])</f>
        <v>0</v>
      </c>
    </row>
    <row r="4526" spans="1:5" x14ac:dyDescent="0.25">
      <c r="A4526" s="36" t="b">
        <v>0</v>
      </c>
      <c r="B4526" s="56" t="b">
        <v>0</v>
      </c>
      <c r="C4526" s="56" t="b">
        <v>0</v>
      </c>
      <c r="D4526" s="56" t="b">
        <v>0</v>
      </c>
      <c r="E4526" s="56">
        <f ca="1">IF(PV[[#This Row],[Business Date]]=Control!$C$6, PV[[#This Row],[Notional Value Local Cur]], -PV[[#This Row],[Notional Value Local Cur]])</f>
        <v>0</v>
      </c>
    </row>
    <row r="4527" spans="1:5" x14ac:dyDescent="0.25">
      <c r="A4527" s="36" t="b">
        <v>0</v>
      </c>
      <c r="B4527" s="56" t="b">
        <v>0</v>
      </c>
      <c r="C4527" s="56" t="b">
        <v>0</v>
      </c>
      <c r="D4527" s="56" t="b">
        <v>0</v>
      </c>
      <c r="E4527" s="56">
        <f ca="1">IF(PV[[#This Row],[Business Date]]=Control!$C$6, PV[[#This Row],[Notional Value Local Cur]], -PV[[#This Row],[Notional Value Local Cur]])</f>
        <v>0</v>
      </c>
    </row>
    <row r="4528" spans="1:5" x14ac:dyDescent="0.25">
      <c r="A4528" s="36" t="b">
        <v>0</v>
      </c>
      <c r="B4528" s="56" t="b">
        <v>0</v>
      </c>
      <c r="C4528" s="56" t="b">
        <v>0</v>
      </c>
      <c r="D4528" s="56" t="b">
        <v>0</v>
      </c>
      <c r="E4528" s="56">
        <f ca="1">IF(PV[[#This Row],[Business Date]]=Control!$C$6, PV[[#This Row],[Notional Value Local Cur]], -PV[[#This Row],[Notional Value Local Cur]])</f>
        <v>0</v>
      </c>
    </row>
    <row r="4529" spans="1:5" x14ac:dyDescent="0.25">
      <c r="A4529" s="36" t="b">
        <v>0</v>
      </c>
      <c r="B4529" s="56" t="b">
        <v>0</v>
      </c>
      <c r="C4529" s="56" t="b">
        <v>0</v>
      </c>
      <c r="D4529" s="56" t="b">
        <v>0</v>
      </c>
      <c r="E4529" s="56">
        <f ca="1">IF(PV[[#This Row],[Business Date]]=Control!$C$6, PV[[#This Row],[Notional Value Local Cur]], -PV[[#This Row],[Notional Value Local Cur]])</f>
        <v>0</v>
      </c>
    </row>
    <row r="4530" spans="1:5" x14ac:dyDescent="0.25">
      <c r="A4530" s="36" t="b">
        <v>0</v>
      </c>
      <c r="B4530" s="56" t="b">
        <v>0</v>
      </c>
      <c r="C4530" s="56" t="b">
        <v>0</v>
      </c>
      <c r="D4530" s="56" t="b">
        <v>0</v>
      </c>
      <c r="E4530" s="56">
        <f ca="1">IF(PV[[#This Row],[Business Date]]=Control!$C$6, PV[[#This Row],[Notional Value Local Cur]], -PV[[#This Row],[Notional Value Local Cur]])</f>
        <v>0</v>
      </c>
    </row>
    <row r="4531" spans="1:5" x14ac:dyDescent="0.25">
      <c r="A4531" s="36" t="b">
        <v>0</v>
      </c>
      <c r="B4531" s="56" t="b">
        <v>0</v>
      </c>
      <c r="C4531" s="56" t="b">
        <v>0</v>
      </c>
      <c r="D4531" s="56" t="b">
        <v>0</v>
      </c>
      <c r="E4531" s="56">
        <f ca="1">IF(PV[[#This Row],[Business Date]]=Control!$C$6, PV[[#This Row],[Notional Value Local Cur]], -PV[[#This Row],[Notional Value Local Cur]])</f>
        <v>0</v>
      </c>
    </row>
    <row r="4532" spans="1:5" x14ac:dyDescent="0.25">
      <c r="A4532" s="36" t="b">
        <v>0</v>
      </c>
      <c r="B4532" s="56" t="b">
        <v>0</v>
      </c>
      <c r="C4532" s="56" t="b">
        <v>0</v>
      </c>
      <c r="D4532" s="56" t="b">
        <v>0</v>
      </c>
      <c r="E4532" s="56">
        <f ca="1">IF(PV[[#This Row],[Business Date]]=Control!$C$6, PV[[#This Row],[Notional Value Local Cur]], -PV[[#This Row],[Notional Value Local Cur]])</f>
        <v>0</v>
      </c>
    </row>
    <row r="4533" spans="1:5" x14ac:dyDescent="0.25">
      <c r="A4533" s="36" t="b">
        <v>0</v>
      </c>
      <c r="B4533" s="56" t="b">
        <v>0</v>
      </c>
      <c r="C4533" s="56" t="b">
        <v>0</v>
      </c>
      <c r="D4533" s="56" t="b">
        <v>0</v>
      </c>
      <c r="E4533" s="56">
        <f ca="1">IF(PV[[#This Row],[Business Date]]=Control!$C$6, PV[[#This Row],[Notional Value Local Cur]], -PV[[#This Row],[Notional Value Local Cur]])</f>
        <v>0</v>
      </c>
    </row>
    <row r="4534" spans="1:5" x14ac:dyDescent="0.25">
      <c r="A4534" s="36" t="b">
        <v>0</v>
      </c>
      <c r="B4534" s="56" t="b">
        <v>0</v>
      </c>
      <c r="C4534" s="56" t="b">
        <v>0</v>
      </c>
      <c r="D4534" s="56" t="b">
        <v>0</v>
      </c>
      <c r="E4534" s="56">
        <f ca="1">IF(PV[[#This Row],[Business Date]]=Control!$C$6, PV[[#This Row],[Notional Value Local Cur]], -PV[[#This Row],[Notional Value Local Cur]])</f>
        <v>0</v>
      </c>
    </row>
    <row r="4535" spans="1:5" x14ac:dyDescent="0.25">
      <c r="A4535" s="36" t="b">
        <v>0</v>
      </c>
      <c r="B4535" s="56" t="b">
        <v>0</v>
      </c>
      <c r="C4535" s="56" t="b">
        <v>0</v>
      </c>
      <c r="D4535" s="56" t="b">
        <v>0</v>
      </c>
      <c r="E4535" s="56">
        <f ca="1">IF(PV[[#This Row],[Business Date]]=Control!$C$6, PV[[#This Row],[Notional Value Local Cur]], -PV[[#This Row],[Notional Value Local Cur]])</f>
        <v>0</v>
      </c>
    </row>
    <row r="4536" spans="1:5" x14ac:dyDescent="0.25">
      <c r="A4536" s="36" t="b">
        <v>0</v>
      </c>
      <c r="B4536" s="56" t="b">
        <v>0</v>
      </c>
      <c r="C4536" s="56" t="b">
        <v>0</v>
      </c>
      <c r="D4536" s="56" t="b">
        <v>0</v>
      </c>
      <c r="E4536" s="56">
        <f ca="1">IF(PV[[#This Row],[Business Date]]=Control!$C$6, PV[[#This Row],[Notional Value Local Cur]], -PV[[#This Row],[Notional Value Local Cur]])</f>
        <v>0</v>
      </c>
    </row>
    <row r="4537" spans="1:5" x14ac:dyDescent="0.25">
      <c r="A4537" s="36" t="b">
        <v>0</v>
      </c>
      <c r="B4537" s="56" t="b">
        <v>0</v>
      </c>
      <c r="C4537" s="56" t="b">
        <v>0</v>
      </c>
      <c r="D4537" s="56" t="b">
        <v>0</v>
      </c>
      <c r="E4537" s="56">
        <f ca="1">IF(PV[[#This Row],[Business Date]]=Control!$C$6, PV[[#This Row],[Notional Value Local Cur]], -PV[[#This Row],[Notional Value Local Cur]])</f>
        <v>0</v>
      </c>
    </row>
    <row r="4538" spans="1:5" x14ac:dyDescent="0.25">
      <c r="A4538" s="36" t="b">
        <v>0</v>
      </c>
      <c r="B4538" s="56" t="b">
        <v>0</v>
      </c>
      <c r="C4538" s="56" t="b">
        <v>0</v>
      </c>
      <c r="D4538" s="56" t="b">
        <v>0</v>
      </c>
      <c r="E4538" s="56">
        <f ca="1">IF(PV[[#This Row],[Business Date]]=Control!$C$6, PV[[#This Row],[Notional Value Local Cur]], -PV[[#This Row],[Notional Value Local Cur]])</f>
        <v>0</v>
      </c>
    </row>
    <row r="4539" spans="1:5" x14ac:dyDescent="0.25">
      <c r="A4539" s="36" t="b">
        <v>0</v>
      </c>
      <c r="B4539" s="56" t="b">
        <v>0</v>
      </c>
      <c r="C4539" s="56" t="b">
        <v>0</v>
      </c>
      <c r="D4539" s="56" t="b">
        <v>0</v>
      </c>
      <c r="E4539" s="56">
        <f ca="1">IF(PV[[#This Row],[Business Date]]=Control!$C$6, PV[[#This Row],[Notional Value Local Cur]], -PV[[#This Row],[Notional Value Local Cur]])</f>
        <v>0</v>
      </c>
    </row>
    <row r="4540" spans="1:5" x14ac:dyDescent="0.25">
      <c r="A4540" s="36" t="b">
        <v>0</v>
      </c>
      <c r="B4540" s="56" t="b">
        <v>0</v>
      </c>
      <c r="C4540" s="56" t="b">
        <v>0</v>
      </c>
      <c r="D4540" s="56" t="b">
        <v>0</v>
      </c>
      <c r="E4540" s="56">
        <f ca="1">IF(PV[[#This Row],[Business Date]]=Control!$C$6, PV[[#This Row],[Notional Value Local Cur]], -PV[[#This Row],[Notional Value Local Cur]])</f>
        <v>0</v>
      </c>
    </row>
    <row r="4541" spans="1:5" x14ac:dyDescent="0.25">
      <c r="A4541" s="36" t="b">
        <v>0</v>
      </c>
      <c r="B4541" s="56" t="b">
        <v>0</v>
      </c>
      <c r="C4541" s="56" t="b">
        <v>0</v>
      </c>
      <c r="D4541" s="56" t="b">
        <v>0</v>
      </c>
      <c r="E4541" s="56">
        <f ca="1">IF(PV[[#This Row],[Business Date]]=Control!$C$6, PV[[#This Row],[Notional Value Local Cur]], -PV[[#This Row],[Notional Value Local Cur]])</f>
        <v>0</v>
      </c>
    </row>
    <row r="4542" spans="1:5" x14ac:dyDescent="0.25">
      <c r="A4542" s="36" t="b">
        <v>0</v>
      </c>
      <c r="B4542" s="56" t="b">
        <v>0</v>
      </c>
      <c r="C4542" s="56" t="b">
        <v>0</v>
      </c>
      <c r="D4542" s="56" t="b">
        <v>0</v>
      </c>
      <c r="E4542" s="56">
        <f ca="1">IF(PV[[#This Row],[Business Date]]=Control!$C$6, PV[[#This Row],[Notional Value Local Cur]], -PV[[#This Row],[Notional Value Local Cur]])</f>
        <v>0</v>
      </c>
    </row>
    <row r="4543" spans="1:5" x14ac:dyDescent="0.25">
      <c r="A4543" s="36" t="b">
        <v>0</v>
      </c>
      <c r="B4543" s="56" t="b">
        <v>0</v>
      </c>
      <c r="C4543" s="56" t="b">
        <v>0</v>
      </c>
      <c r="D4543" s="56" t="b">
        <v>0</v>
      </c>
      <c r="E4543" s="56">
        <f ca="1">IF(PV[[#This Row],[Business Date]]=Control!$C$6, PV[[#This Row],[Notional Value Local Cur]], -PV[[#This Row],[Notional Value Local Cur]])</f>
        <v>0</v>
      </c>
    </row>
    <row r="4544" spans="1:5" x14ac:dyDescent="0.25">
      <c r="A4544" s="36" t="b">
        <v>0</v>
      </c>
      <c r="B4544" s="56" t="b">
        <v>0</v>
      </c>
      <c r="C4544" s="56" t="b">
        <v>0</v>
      </c>
      <c r="D4544" s="56" t="b">
        <v>0</v>
      </c>
      <c r="E4544" s="56">
        <f ca="1">IF(PV[[#This Row],[Business Date]]=Control!$C$6, PV[[#This Row],[Notional Value Local Cur]], -PV[[#This Row],[Notional Value Local Cur]])</f>
        <v>0</v>
      </c>
    </row>
    <row r="4545" spans="1:5" x14ac:dyDescent="0.25">
      <c r="A4545" s="36" t="b">
        <v>0</v>
      </c>
      <c r="B4545" s="56" t="b">
        <v>0</v>
      </c>
      <c r="C4545" s="56" t="b">
        <v>0</v>
      </c>
      <c r="D4545" s="56" t="b">
        <v>0</v>
      </c>
      <c r="E4545" s="56">
        <f ca="1">IF(PV[[#This Row],[Business Date]]=Control!$C$6, PV[[#This Row],[Notional Value Local Cur]], -PV[[#This Row],[Notional Value Local Cur]])</f>
        <v>0</v>
      </c>
    </row>
    <row r="4546" spans="1:5" x14ac:dyDescent="0.25">
      <c r="A4546" s="36" t="b">
        <v>0</v>
      </c>
      <c r="B4546" s="56" t="b">
        <v>0</v>
      </c>
      <c r="C4546" s="56" t="b">
        <v>0</v>
      </c>
      <c r="D4546" s="56" t="b">
        <v>0</v>
      </c>
      <c r="E4546" s="56">
        <f ca="1">IF(PV[[#This Row],[Business Date]]=Control!$C$6, PV[[#This Row],[Notional Value Local Cur]], -PV[[#This Row],[Notional Value Local Cur]])</f>
        <v>0</v>
      </c>
    </row>
    <row r="4547" spans="1:5" x14ac:dyDescent="0.25">
      <c r="A4547" s="36" t="b">
        <v>0</v>
      </c>
      <c r="B4547" s="56" t="b">
        <v>0</v>
      </c>
      <c r="C4547" s="56" t="b">
        <v>0</v>
      </c>
      <c r="D4547" s="56" t="b">
        <v>0</v>
      </c>
      <c r="E4547" s="56">
        <f ca="1">IF(PV[[#This Row],[Business Date]]=Control!$C$6, PV[[#This Row],[Notional Value Local Cur]], -PV[[#This Row],[Notional Value Local Cur]])</f>
        <v>0</v>
      </c>
    </row>
    <row r="4548" spans="1:5" x14ac:dyDescent="0.25">
      <c r="A4548" s="36" t="b">
        <v>0</v>
      </c>
      <c r="B4548" s="56" t="b">
        <v>0</v>
      </c>
      <c r="C4548" s="56" t="b">
        <v>0</v>
      </c>
      <c r="D4548" s="56" t="b">
        <v>0</v>
      </c>
      <c r="E4548" s="56">
        <f ca="1">IF(PV[[#This Row],[Business Date]]=Control!$C$6, PV[[#This Row],[Notional Value Local Cur]], -PV[[#This Row],[Notional Value Local Cur]])</f>
        <v>0</v>
      </c>
    </row>
    <row r="4549" spans="1:5" x14ac:dyDescent="0.25">
      <c r="A4549" s="36" t="b">
        <v>0</v>
      </c>
      <c r="B4549" s="56" t="b">
        <v>0</v>
      </c>
      <c r="C4549" s="56" t="b">
        <v>0</v>
      </c>
      <c r="D4549" s="56" t="b">
        <v>0</v>
      </c>
      <c r="E4549" s="56">
        <f ca="1">IF(PV[[#This Row],[Business Date]]=Control!$C$6, PV[[#This Row],[Notional Value Local Cur]], -PV[[#This Row],[Notional Value Local Cur]])</f>
        <v>0</v>
      </c>
    </row>
    <row r="4550" spans="1:5" x14ac:dyDescent="0.25">
      <c r="A4550" s="36" t="b">
        <v>0</v>
      </c>
      <c r="B4550" s="56" t="b">
        <v>0</v>
      </c>
      <c r="C4550" s="56" t="b">
        <v>0</v>
      </c>
      <c r="D4550" s="56" t="b">
        <v>0</v>
      </c>
      <c r="E4550" s="56">
        <f ca="1">IF(PV[[#This Row],[Business Date]]=Control!$C$6, PV[[#This Row],[Notional Value Local Cur]], -PV[[#This Row],[Notional Value Local Cur]])</f>
        <v>0</v>
      </c>
    </row>
    <row r="4551" spans="1:5" x14ac:dyDescent="0.25">
      <c r="A4551" s="36" t="b">
        <v>0</v>
      </c>
      <c r="B4551" s="56" t="b">
        <v>0</v>
      </c>
      <c r="C4551" s="56" t="b">
        <v>0</v>
      </c>
      <c r="D4551" s="56" t="b">
        <v>0</v>
      </c>
      <c r="E4551" s="56">
        <f ca="1">IF(PV[[#This Row],[Business Date]]=Control!$C$6, PV[[#This Row],[Notional Value Local Cur]], -PV[[#This Row],[Notional Value Local Cur]])</f>
        <v>0</v>
      </c>
    </row>
    <row r="4552" spans="1:5" x14ac:dyDescent="0.25">
      <c r="A4552" s="36" t="b">
        <v>0</v>
      </c>
      <c r="B4552" s="56" t="b">
        <v>0</v>
      </c>
      <c r="C4552" s="56" t="b">
        <v>0</v>
      </c>
      <c r="D4552" s="56" t="b">
        <v>0</v>
      </c>
      <c r="E4552" s="56">
        <f ca="1">IF(PV[[#This Row],[Business Date]]=Control!$C$6, PV[[#This Row],[Notional Value Local Cur]], -PV[[#This Row],[Notional Value Local Cur]])</f>
        <v>0</v>
      </c>
    </row>
    <row r="4553" spans="1:5" x14ac:dyDescent="0.25">
      <c r="A4553" s="36" t="b">
        <v>0</v>
      </c>
      <c r="B4553" s="56" t="b">
        <v>0</v>
      </c>
      <c r="C4553" s="56" t="b">
        <v>0</v>
      </c>
      <c r="D4553" s="56" t="b">
        <v>0</v>
      </c>
      <c r="E4553" s="56">
        <f ca="1">IF(PV[[#This Row],[Business Date]]=Control!$C$6, PV[[#This Row],[Notional Value Local Cur]], -PV[[#This Row],[Notional Value Local Cur]])</f>
        <v>0</v>
      </c>
    </row>
    <row r="4554" spans="1:5" x14ac:dyDescent="0.25">
      <c r="A4554" s="36" t="b">
        <v>0</v>
      </c>
      <c r="B4554" s="56" t="b">
        <v>0</v>
      </c>
      <c r="C4554" s="56" t="b">
        <v>0</v>
      </c>
      <c r="D4554" s="56" t="b">
        <v>0</v>
      </c>
      <c r="E4554" s="56">
        <f ca="1">IF(PV[[#This Row],[Business Date]]=Control!$C$6, PV[[#This Row],[Notional Value Local Cur]], -PV[[#This Row],[Notional Value Local Cur]])</f>
        <v>0</v>
      </c>
    </row>
    <row r="4555" spans="1:5" x14ac:dyDescent="0.25">
      <c r="A4555" s="36" t="b">
        <v>0</v>
      </c>
      <c r="B4555" s="56" t="b">
        <v>0</v>
      </c>
      <c r="C4555" s="56" t="b">
        <v>0</v>
      </c>
      <c r="D4555" s="56" t="b">
        <v>0</v>
      </c>
      <c r="E4555" s="56">
        <f ca="1">IF(PV[[#This Row],[Business Date]]=Control!$C$6, PV[[#This Row],[Notional Value Local Cur]], -PV[[#This Row],[Notional Value Local Cur]])</f>
        <v>0</v>
      </c>
    </row>
    <row r="4556" spans="1:5" x14ac:dyDescent="0.25">
      <c r="A4556" s="36" t="b">
        <v>0</v>
      </c>
      <c r="B4556" s="56" t="b">
        <v>0</v>
      </c>
      <c r="C4556" s="56" t="b">
        <v>0</v>
      </c>
      <c r="D4556" s="56" t="b">
        <v>0</v>
      </c>
      <c r="E4556" s="56">
        <f ca="1">IF(PV[[#This Row],[Business Date]]=Control!$C$6, PV[[#This Row],[Notional Value Local Cur]], -PV[[#This Row],[Notional Value Local Cur]])</f>
        <v>0</v>
      </c>
    </row>
    <row r="4557" spans="1:5" x14ac:dyDescent="0.25">
      <c r="A4557" s="36" t="b">
        <v>0</v>
      </c>
      <c r="B4557" s="56" t="b">
        <v>0</v>
      </c>
      <c r="C4557" s="56" t="b">
        <v>0</v>
      </c>
      <c r="D4557" s="56" t="b">
        <v>0</v>
      </c>
      <c r="E4557" s="56">
        <f ca="1">IF(PV[[#This Row],[Business Date]]=Control!$C$6, PV[[#This Row],[Notional Value Local Cur]], -PV[[#This Row],[Notional Value Local Cur]])</f>
        <v>0</v>
      </c>
    </row>
    <row r="4558" spans="1:5" x14ac:dyDescent="0.25">
      <c r="A4558" s="36" t="b">
        <v>0</v>
      </c>
      <c r="B4558" s="56" t="b">
        <v>0</v>
      </c>
      <c r="C4558" s="56" t="b">
        <v>0</v>
      </c>
      <c r="D4558" s="56" t="b">
        <v>0</v>
      </c>
      <c r="E4558" s="56">
        <f ca="1">IF(PV[[#This Row],[Business Date]]=Control!$C$6, PV[[#This Row],[Notional Value Local Cur]], -PV[[#This Row],[Notional Value Local Cur]])</f>
        <v>0</v>
      </c>
    </row>
    <row r="4559" spans="1:5" x14ac:dyDescent="0.25">
      <c r="A4559" s="36" t="b">
        <v>0</v>
      </c>
      <c r="B4559" s="56" t="b">
        <v>0</v>
      </c>
      <c r="C4559" s="56" t="b">
        <v>0</v>
      </c>
      <c r="D4559" s="56" t="b">
        <v>0</v>
      </c>
      <c r="E4559" s="56">
        <f ca="1">IF(PV[[#This Row],[Business Date]]=Control!$C$6, PV[[#This Row],[Notional Value Local Cur]], -PV[[#This Row],[Notional Value Local Cur]])</f>
        <v>0</v>
      </c>
    </row>
    <row r="4560" spans="1:5" x14ac:dyDescent="0.25">
      <c r="A4560" s="36" t="b">
        <v>0</v>
      </c>
      <c r="B4560" s="56" t="b">
        <v>0</v>
      </c>
      <c r="C4560" s="56" t="b">
        <v>0</v>
      </c>
      <c r="D4560" s="56" t="b">
        <v>0</v>
      </c>
      <c r="E4560" s="56">
        <f ca="1">IF(PV[[#This Row],[Business Date]]=Control!$C$6, PV[[#This Row],[Notional Value Local Cur]], -PV[[#This Row],[Notional Value Local Cur]])</f>
        <v>0</v>
      </c>
    </row>
    <row r="4561" spans="1:5" x14ac:dyDescent="0.25">
      <c r="A4561" s="36" t="b">
        <v>0</v>
      </c>
      <c r="B4561" s="56" t="b">
        <v>0</v>
      </c>
      <c r="C4561" s="56" t="b">
        <v>0</v>
      </c>
      <c r="D4561" s="56" t="b">
        <v>0</v>
      </c>
      <c r="E4561" s="56">
        <f ca="1">IF(PV[[#This Row],[Business Date]]=Control!$C$6, PV[[#This Row],[Notional Value Local Cur]], -PV[[#This Row],[Notional Value Local Cur]])</f>
        <v>0</v>
      </c>
    </row>
    <row r="4562" spans="1:5" x14ac:dyDescent="0.25">
      <c r="A4562" s="36" t="b">
        <v>0</v>
      </c>
      <c r="B4562" s="56" t="b">
        <v>0</v>
      </c>
      <c r="C4562" s="56" t="b">
        <v>0</v>
      </c>
      <c r="D4562" s="56" t="b">
        <v>0</v>
      </c>
      <c r="E4562" s="56">
        <f ca="1">IF(PV[[#This Row],[Business Date]]=Control!$C$6, PV[[#This Row],[Notional Value Local Cur]], -PV[[#This Row],[Notional Value Local Cur]])</f>
        <v>0</v>
      </c>
    </row>
    <row r="4563" spans="1:5" x14ac:dyDescent="0.25">
      <c r="A4563" s="36" t="b">
        <v>0</v>
      </c>
      <c r="B4563" s="56" t="b">
        <v>0</v>
      </c>
      <c r="C4563" s="56" t="b">
        <v>0</v>
      </c>
      <c r="D4563" s="56" t="b">
        <v>0</v>
      </c>
      <c r="E4563" s="56">
        <f ca="1">IF(PV[[#This Row],[Business Date]]=Control!$C$6, PV[[#This Row],[Notional Value Local Cur]], -PV[[#This Row],[Notional Value Local Cur]])</f>
        <v>0</v>
      </c>
    </row>
    <row r="4564" spans="1:5" x14ac:dyDescent="0.25">
      <c r="A4564" s="36" t="b">
        <v>0</v>
      </c>
      <c r="B4564" s="56" t="b">
        <v>0</v>
      </c>
      <c r="C4564" s="56" t="b">
        <v>0</v>
      </c>
      <c r="D4564" s="56" t="b">
        <v>0</v>
      </c>
      <c r="E4564" s="56">
        <f ca="1">IF(PV[[#This Row],[Business Date]]=Control!$C$6, PV[[#This Row],[Notional Value Local Cur]], -PV[[#This Row],[Notional Value Local Cur]])</f>
        <v>0</v>
      </c>
    </row>
    <row r="4565" spans="1:5" x14ac:dyDescent="0.25">
      <c r="A4565" s="36" t="b">
        <v>0</v>
      </c>
      <c r="B4565" s="56" t="b">
        <v>0</v>
      </c>
      <c r="C4565" s="56" t="b">
        <v>0</v>
      </c>
      <c r="D4565" s="56" t="b">
        <v>0</v>
      </c>
      <c r="E4565" s="56">
        <f ca="1">IF(PV[[#This Row],[Business Date]]=Control!$C$6, PV[[#This Row],[Notional Value Local Cur]], -PV[[#This Row],[Notional Value Local Cur]])</f>
        <v>0</v>
      </c>
    </row>
    <row r="4566" spans="1:5" x14ac:dyDescent="0.25">
      <c r="A4566" s="36" t="b">
        <v>0</v>
      </c>
      <c r="B4566" s="56" t="b">
        <v>0</v>
      </c>
      <c r="C4566" s="56" t="b">
        <v>0</v>
      </c>
      <c r="D4566" s="56" t="b">
        <v>0</v>
      </c>
      <c r="E4566" s="56">
        <f ca="1">IF(PV[[#This Row],[Business Date]]=Control!$C$6, PV[[#This Row],[Notional Value Local Cur]], -PV[[#This Row],[Notional Value Local Cur]])</f>
        <v>0</v>
      </c>
    </row>
    <row r="4567" spans="1:5" x14ac:dyDescent="0.25">
      <c r="A4567" s="36" t="b">
        <v>0</v>
      </c>
      <c r="B4567" s="56" t="b">
        <v>0</v>
      </c>
      <c r="C4567" s="56" t="b">
        <v>0</v>
      </c>
      <c r="D4567" s="56" t="b">
        <v>0</v>
      </c>
      <c r="E4567" s="56">
        <f ca="1">IF(PV[[#This Row],[Business Date]]=Control!$C$6, PV[[#This Row],[Notional Value Local Cur]], -PV[[#This Row],[Notional Value Local Cur]])</f>
        <v>0</v>
      </c>
    </row>
    <row r="4568" spans="1:5" x14ac:dyDescent="0.25">
      <c r="A4568" s="36" t="b">
        <v>0</v>
      </c>
      <c r="B4568" s="56" t="b">
        <v>0</v>
      </c>
      <c r="C4568" s="56" t="b">
        <v>0</v>
      </c>
      <c r="D4568" s="56" t="b">
        <v>0</v>
      </c>
      <c r="E4568" s="56">
        <f ca="1">IF(PV[[#This Row],[Business Date]]=Control!$C$6, PV[[#This Row],[Notional Value Local Cur]], -PV[[#This Row],[Notional Value Local Cur]])</f>
        <v>0</v>
      </c>
    </row>
    <row r="4569" spans="1:5" x14ac:dyDescent="0.25">
      <c r="A4569" s="36" t="b">
        <v>0</v>
      </c>
      <c r="B4569" s="56" t="b">
        <v>0</v>
      </c>
      <c r="C4569" s="56" t="b">
        <v>0</v>
      </c>
      <c r="D4569" s="56" t="b">
        <v>0</v>
      </c>
      <c r="E4569" s="56">
        <f ca="1">IF(PV[[#This Row],[Business Date]]=Control!$C$6, PV[[#This Row],[Notional Value Local Cur]], -PV[[#This Row],[Notional Value Local Cur]])</f>
        <v>0</v>
      </c>
    </row>
    <row r="4570" spans="1:5" x14ac:dyDescent="0.25">
      <c r="A4570" s="36" t="b">
        <v>0</v>
      </c>
      <c r="B4570" s="56" t="b">
        <v>0</v>
      </c>
      <c r="C4570" s="56" t="b">
        <v>0</v>
      </c>
      <c r="D4570" s="56" t="b">
        <v>0</v>
      </c>
      <c r="E4570" s="56">
        <f ca="1">IF(PV[[#This Row],[Business Date]]=Control!$C$6, PV[[#This Row],[Notional Value Local Cur]], -PV[[#This Row],[Notional Value Local Cur]])</f>
        <v>0</v>
      </c>
    </row>
    <row r="4571" spans="1:5" x14ac:dyDescent="0.25">
      <c r="A4571" s="36" t="b">
        <v>0</v>
      </c>
      <c r="B4571" s="56" t="b">
        <v>0</v>
      </c>
      <c r="C4571" s="56" t="b">
        <v>0</v>
      </c>
      <c r="D4571" s="56" t="b">
        <v>0</v>
      </c>
      <c r="E4571" s="56">
        <f ca="1">IF(PV[[#This Row],[Business Date]]=Control!$C$6, PV[[#This Row],[Notional Value Local Cur]], -PV[[#This Row],[Notional Value Local Cur]])</f>
        <v>0</v>
      </c>
    </row>
    <row r="4572" spans="1:5" x14ac:dyDescent="0.25">
      <c r="A4572" s="36" t="b">
        <v>0</v>
      </c>
      <c r="B4572" s="56" t="b">
        <v>0</v>
      </c>
      <c r="C4572" s="56" t="b">
        <v>0</v>
      </c>
      <c r="D4572" s="56" t="b">
        <v>0</v>
      </c>
      <c r="E4572" s="56">
        <f ca="1">IF(PV[[#This Row],[Business Date]]=Control!$C$6, PV[[#This Row],[Notional Value Local Cur]], -PV[[#This Row],[Notional Value Local Cur]])</f>
        <v>0</v>
      </c>
    </row>
    <row r="4573" spans="1:5" x14ac:dyDescent="0.25">
      <c r="A4573" s="36" t="b">
        <v>0</v>
      </c>
      <c r="B4573" s="56" t="b">
        <v>0</v>
      </c>
      <c r="C4573" s="56" t="b">
        <v>0</v>
      </c>
      <c r="D4573" s="56" t="b">
        <v>0</v>
      </c>
      <c r="E4573" s="56">
        <f ca="1">IF(PV[[#This Row],[Business Date]]=Control!$C$6, PV[[#This Row],[Notional Value Local Cur]], -PV[[#This Row],[Notional Value Local Cur]])</f>
        <v>0</v>
      </c>
    </row>
    <row r="4574" spans="1:5" x14ac:dyDescent="0.25">
      <c r="A4574" s="36" t="b">
        <v>0</v>
      </c>
      <c r="B4574" s="56" t="b">
        <v>0</v>
      </c>
      <c r="C4574" s="56" t="b">
        <v>0</v>
      </c>
      <c r="D4574" s="56" t="b">
        <v>0</v>
      </c>
      <c r="E4574" s="56">
        <f ca="1">IF(PV[[#This Row],[Business Date]]=Control!$C$6, PV[[#This Row],[Notional Value Local Cur]], -PV[[#This Row],[Notional Value Local Cur]])</f>
        <v>0</v>
      </c>
    </row>
    <row r="4575" spans="1:5" x14ac:dyDescent="0.25">
      <c r="A4575" s="36" t="b">
        <v>0</v>
      </c>
      <c r="B4575" s="56" t="b">
        <v>0</v>
      </c>
      <c r="C4575" s="56" t="b">
        <v>0</v>
      </c>
      <c r="D4575" s="56" t="b">
        <v>0</v>
      </c>
      <c r="E4575" s="56">
        <f ca="1">IF(PV[[#This Row],[Business Date]]=Control!$C$6, PV[[#This Row],[Notional Value Local Cur]], -PV[[#This Row],[Notional Value Local Cur]])</f>
        <v>0</v>
      </c>
    </row>
    <row r="4576" spans="1:5" x14ac:dyDescent="0.25">
      <c r="A4576" s="36" t="b">
        <v>0</v>
      </c>
      <c r="B4576" s="56" t="b">
        <v>0</v>
      </c>
      <c r="C4576" s="56" t="b">
        <v>0</v>
      </c>
      <c r="D4576" s="56" t="b">
        <v>0</v>
      </c>
      <c r="E4576" s="56">
        <f ca="1">IF(PV[[#This Row],[Business Date]]=Control!$C$6, PV[[#This Row],[Notional Value Local Cur]], -PV[[#This Row],[Notional Value Local Cur]])</f>
        <v>0</v>
      </c>
    </row>
    <row r="4577" spans="1:5" x14ac:dyDescent="0.25">
      <c r="A4577" s="36" t="b">
        <v>0</v>
      </c>
      <c r="B4577" s="56" t="b">
        <v>0</v>
      </c>
      <c r="C4577" s="56" t="b">
        <v>0</v>
      </c>
      <c r="D4577" s="56" t="b">
        <v>0</v>
      </c>
      <c r="E4577" s="56">
        <f ca="1">IF(PV[[#This Row],[Business Date]]=Control!$C$6, PV[[#This Row],[Notional Value Local Cur]], -PV[[#This Row],[Notional Value Local Cur]])</f>
        <v>0</v>
      </c>
    </row>
    <row r="4578" spans="1:5" x14ac:dyDescent="0.25">
      <c r="A4578" s="36" t="b">
        <v>0</v>
      </c>
      <c r="B4578" s="56" t="b">
        <v>0</v>
      </c>
      <c r="C4578" s="56" t="b">
        <v>0</v>
      </c>
      <c r="D4578" s="56" t="b">
        <v>0</v>
      </c>
      <c r="E4578" s="56">
        <f ca="1">IF(PV[[#This Row],[Business Date]]=Control!$C$6, PV[[#This Row],[Notional Value Local Cur]], -PV[[#This Row],[Notional Value Local Cur]])</f>
        <v>0</v>
      </c>
    </row>
    <row r="4579" spans="1:5" x14ac:dyDescent="0.25">
      <c r="A4579" s="36" t="b">
        <v>0</v>
      </c>
      <c r="B4579" s="56" t="b">
        <v>0</v>
      </c>
      <c r="C4579" s="56" t="b">
        <v>0</v>
      </c>
      <c r="D4579" s="56" t="b">
        <v>0</v>
      </c>
      <c r="E4579" s="56">
        <f ca="1">IF(PV[[#This Row],[Business Date]]=Control!$C$6, PV[[#This Row],[Notional Value Local Cur]], -PV[[#This Row],[Notional Value Local Cur]])</f>
        <v>0</v>
      </c>
    </row>
    <row r="4580" spans="1:5" x14ac:dyDescent="0.25">
      <c r="A4580" s="36" t="b">
        <v>0</v>
      </c>
      <c r="B4580" s="56" t="b">
        <v>0</v>
      </c>
      <c r="C4580" s="56" t="b">
        <v>0</v>
      </c>
      <c r="D4580" s="56" t="b">
        <v>0</v>
      </c>
      <c r="E4580" s="56">
        <f ca="1">IF(PV[[#This Row],[Business Date]]=Control!$C$6, PV[[#This Row],[Notional Value Local Cur]], -PV[[#This Row],[Notional Value Local Cur]])</f>
        <v>0</v>
      </c>
    </row>
    <row r="4581" spans="1:5" x14ac:dyDescent="0.25">
      <c r="A4581" s="36" t="b">
        <v>0</v>
      </c>
      <c r="B4581" s="56" t="b">
        <v>0</v>
      </c>
      <c r="C4581" s="56" t="b">
        <v>0</v>
      </c>
      <c r="D4581" s="56" t="b">
        <v>0</v>
      </c>
      <c r="E4581" s="56">
        <f ca="1">IF(PV[[#This Row],[Business Date]]=Control!$C$6, PV[[#This Row],[Notional Value Local Cur]], -PV[[#This Row],[Notional Value Local Cur]])</f>
        <v>0</v>
      </c>
    </row>
    <row r="4582" spans="1:5" x14ac:dyDescent="0.25">
      <c r="A4582" s="36" t="b">
        <v>0</v>
      </c>
      <c r="B4582" s="56" t="b">
        <v>0</v>
      </c>
      <c r="C4582" s="56" t="b">
        <v>0</v>
      </c>
      <c r="D4582" s="56" t="b">
        <v>0</v>
      </c>
      <c r="E4582" s="56">
        <f ca="1">IF(PV[[#This Row],[Business Date]]=Control!$C$6, PV[[#This Row],[Notional Value Local Cur]], -PV[[#This Row],[Notional Value Local Cur]])</f>
        <v>0</v>
      </c>
    </row>
    <row r="4583" spans="1:5" x14ac:dyDescent="0.25">
      <c r="A4583" s="36" t="b">
        <v>0</v>
      </c>
      <c r="B4583" s="56" t="b">
        <v>0</v>
      </c>
      <c r="C4583" s="56" t="b">
        <v>0</v>
      </c>
      <c r="D4583" s="56" t="b">
        <v>0</v>
      </c>
      <c r="E4583" s="56">
        <f ca="1">IF(PV[[#This Row],[Business Date]]=Control!$C$6, PV[[#This Row],[Notional Value Local Cur]], -PV[[#This Row],[Notional Value Local Cur]])</f>
        <v>0</v>
      </c>
    </row>
    <row r="4584" spans="1:5" x14ac:dyDescent="0.25">
      <c r="A4584" s="36" t="b">
        <v>0</v>
      </c>
      <c r="B4584" s="56" t="b">
        <v>0</v>
      </c>
      <c r="C4584" s="56" t="b">
        <v>0</v>
      </c>
      <c r="D4584" s="56" t="b">
        <v>0</v>
      </c>
      <c r="E4584" s="56">
        <f ca="1">IF(PV[[#This Row],[Business Date]]=Control!$C$6, PV[[#This Row],[Notional Value Local Cur]], -PV[[#This Row],[Notional Value Local Cur]])</f>
        <v>0</v>
      </c>
    </row>
    <row r="4585" spans="1:5" x14ac:dyDescent="0.25">
      <c r="A4585" s="36" t="b">
        <v>0</v>
      </c>
      <c r="B4585" s="56" t="b">
        <v>0</v>
      </c>
      <c r="C4585" s="56" t="b">
        <v>0</v>
      </c>
      <c r="D4585" s="56" t="b">
        <v>0</v>
      </c>
      <c r="E4585" s="56">
        <f ca="1">IF(PV[[#This Row],[Business Date]]=Control!$C$6, PV[[#This Row],[Notional Value Local Cur]], -PV[[#This Row],[Notional Value Local Cur]])</f>
        <v>0</v>
      </c>
    </row>
    <row r="4586" spans="1:5" x14ac:dyDescent="0.25">
      <c r="A4586" s="36" t="b">
        <v>0</v>
      </c>
      <c r="B4586" s="56" t="b">
        <v>0</v>
      </c>
      <c r="C4586" s="56" t="b">
        <v>0</v>
      </c>
      <c r="D4586" s="56" t="b">
        <v>0</v>
      </c>
      <c r="E4586" s="56">
        <f ca="1">IF(PV[[#This Row],[Business Date]]=Control!$C$6, PV[[#This Row],[Notional Value Local Cur]], -PV[[#This Row],[Notional Value Local Cur]])</f>
        <v>0</v>
      </c>
    </row>
    <row r="4587" spans="1:5" x14ac:dyDescent="0.25">
      <c r="A4587" s="36" t="b">
        <v>0</v>
      </c>
      <c r="B4587" s="56" t="b">
        <v>0</v>
      </c>
      <c r="C4587" s="56" t="b">
        <v>0</v>
      </c>
      <c r="D4587" s="56" t="b">
        <v>0</v>
      </c>
      <c r="E4587" s="56">
        <f ca="1">IF(PV[[#This Row],[Business Date]]=Control!$C$6, PV[[#This Row],[Notional Value Local Cur]], -PV[[#This Row],[Notional Value Local Cur]])</f>
        <v>0</v>
      </c>
    </row>
    <row r="4588" spans="1:5" x14ac:dyDescent="0.25">
      <c r="A4588" s="36" t="b">
        <v>0</v>
      </c>
      <c r="B4588" s="56" t="b">
        <v>0</v>
      </c>
      <c r="C4588" s="56" t="b">
        <v>0</v>
      </c>
      <c r="D4588" s="56" t="b">
        <v>0</v>
      </c>
      <c r="E4588" s="56">
        <f ca="1">IF(PV[[#This Row],[Business Date]]=Control!$C$6, PV[[#This Row],[Notional Value Local Cur]], -PV[[#This Row],[Notional Value Local Cur]])</f>
        <v>0</v>
      </c>
    </row>
    <row r="4589" spans="1:5" x14ac:dyDescent="0.25">
      <c r="A4589" s="36" t="b">
        <v>0</v>
      </c>
      <c r="B4589" s="56" t="b">
        <v>0</v>
      </c>
      <c r="C4589" s="56" t="b">
        <v>0</v>
      </c>
      <c r="D4589" s="56" t="b">
        <v>0</v>
      </c>
      <c r="E4589" s="56">
        <f ca="1">IF(PV[[#This Row],[Business Date]]=Control!$C$6, PV[[#This Row],[Notional Value Local Cur]], -PV[[#This Row],[Notional Value Local Cur]])</f>
        <v>0</v>
      </c>
    </row>
    <row r="4590" spans="1:5" x14ac:dyDescent="0.25">
      <c r="A4590" s="36" t="b">
        <v>0</v>
      </c>
      <c r="B4590" s="56" t="b">
        <v>0</v>
      </c>
      <c r="C4590" s="56" t="b">
        <v>0</v>
      </c>
      <c r="D4590" s="56" t="b">
        <v>0</v>
      </c>
      <c r="E4590" s="56">
        <f ca="1">IF(PV[[#This Row],[Business Date]]=Control!$C$6, PV[[#This Row],[Notional Value Local Cur]], -PV[[#This Row],[Notional Value Local Cur]])</f>
        <v>0</v>
      </c>
    </row>
    <row r="4591" spans="1:5" x14ac:dyDescent="0.25">
      <c r="A4591" s="36" t="b">
        <v>0</v>
      </c>
      <c r="B4591" s="56" t="b">
        <v>0</v>
      </c>
      <c r="C4591" s="56" t="b">
        <v>0</v>
      </c>
      <c r="D4591" s="56" t="b">
        <v>0</v>
      </c>
      <c r="E4591" s="56">
        <f ca="1">IF(PV[[#This Row],[Business Date]]=Control!$C$6, PV[[#This Row],[Notional Value Local Cur]], -PV[[#This Row],[Notional Value Local Cur]])</f>
        <v>0</v>
      </c>
    </row>
    <row r="4592" spans="1:5" x14ac:dyDescent="0.25">
      <c r="A4592" s="36" t="b">
        <v>0</v>
      </c>
      <c r="B4592" s="56" t="b">
        <v>0</v>
      </c>
      <c r="C4592" s="56" t="b">
        <v>0</v>
      </c>
      <c r="D4592" s="56" t="b">
        <v>0</v>
      </c>
      <c r="E4592" s="56">
        <f ca="1">IF(PV[[#This Row],[Business Date]]=Control!$C$6, PV[[#This Row],[Notional Value Local Cur]], -PV[[#This Row],[Notional Value Local Cur]])</f>
        <v>0</v>
      </c>
    </row>
    <row r="4593" spans="1:5" x14ac:dyDescent="0.25">
      <c r="A4593" s="36" t="b">
        <v>0</v>
      </c>
      <c r="B4593" s="56" t="b">
        <v>0</v>
      </c>
      <c r="C4593" s="56" t="b">
        <v>0</v>
      </c>
      <c r="D4593" s="56" t="b">
        <v>0</v>
      </c>
      <c r="E4593" s="56">
        <f ca="1">IF(PV[[#This Row],[Business Date]]=Control!$C$6, PV[[#This Row],[Notional Value Local Cur]], -PV[[#This Row],[Notional Value Local Cur]])</f>
        <v>0</v>
      </c>
    </row>
    <row r="4594" spans="1:5" x14ac:dyDescent="0.25">
      <c r="A4594" s="36" t="b">
        <v>0</v>
      </c>
      <c r="B4594" s="56" t="b">
        <v>0</v>
      </c>
      <c r="C4594" s="56" t="b">
        <v>0</v>
      </c>
      <c r="D4594" s="56" t="b">
        <v>0</v>
      </c>
      <c r="E4594" s="56">
        <f ca="1">IF(PV[[#This Row],[Business Date]]=Control!$C$6, PV[[#This Row],[Notional Value Local Cur]], -PV[[#This Row],[Notional Value Local Cur]])</f>
        <v>0</v>
      </c>
    </row>
    <row r="4595" spans="1:5" x14ac:dyDescent="0.25">
      <c r="A4595" s="36" t="b">
        <v>0</v>
      </c>
      <c r="B4595" s="56" t="b">
        <v>0</v>
      </c>
      <c r="C4595" s="56" t="b">
        <v>0</v>
      </c>
      <c r="D4595" s="56" t="b">
        <v>0</v>
      </c>
      <c r="E4595" s="56">
        <f ca="1">IF(PV[[#This Row],[Business Date]]=Control!$C$6, PV[[#This Row],[Notional Value Local Cur]], -PV[[#This Row],[Notional Value Local Cur]])</f>
        <v>0</v>
      </c>
    </row>
    <row r="4596" spans="1:5" x14ac:dyDescent="0.25">
      <c r="A4596" s="36" t="b">
        <v>0</v>
      </c>
      <c r="B4596" s="56" t="b">
        <v>0</v>
      </c>
      <c r="C4596" s="56" t="b">
        <v>0</v>
      </c>
      <c r="D4596" s="56" t="b">
        <v>0</v>
      </c>
      <c r="E4596" s="56">
        <f ca="1">IF(PV[[#This Row],[Business Date]]=Control!$C$6, PV[[#This Row],[Notional Value Local Cur]], -PV[[#This Row],[Notional Value Local Cur]])</f>
        <v>0</v>
      </c>
    </row>
    <row r="4597" spans="1:5" x14ac:dyDescent="0.25">
      <c r="A4597" s="36" t="b">
        <v>0</v>
      </c>
      <c r="B4597" s="56" t="b">
        <v>0</v>
      </c>
      <c r="C4597" s="56" t="b">
        <v>0</v>
      </c>
      <c r="D4597" s="56" t="b">
        <v>0</v>
      </c>
      <c r="E4597" s="56">
        <f ca="1">IF(PV[[#This Row],[Business Date]]=Control!$C$6, PV[[#This Row],[Notional Value Local Cur]], -PV[[#This Row],[Notional Value Local Cur]])</f>
        <v>0</v>
      </c>
    </row>
    <row r="4598" spans="1:5" x14ac:dyDescent="0.25">
      <c r="A4598" s="36" t="b">
        <v>0</v>
      </c>
      <c r="B4598" s="56" t="b">
        <v>0</v>
      </c>
      <c r="C4598" s="56" t="b">
        <v>0</v>
      </c>
      <c r="D4598" s="56" t="b">
        <v>0</v>
      </c>
      <c r="E4598" s="56">
        <f ca="1">IF(PV[[#This Row],[Business Date]]=Control!$C$6, PV[[#This Row],[Notional Value Local Cur]], -PV[[#This Row],[Notional Value Local Cur]])</f>
        <v>0</v>
      </c>
    </row>
    <row r="4599" spans="1:5" x14ac:dyDescent="0.25">
      <c r="A4599" s="36" t="b">
        <v>0</v>
      </c>
      <c r="B4599" s="56" t="b">
        <v>0</v>
      </c>
      <c r="C4599" s="56" t="b">
        <v>0</v>
      </c>
      <c r="D4599" s="56" t="b">
        <v>0</v>
      </c>
      <c r="E4599" s="56">
        <f ca="1">IF(PV[[#This Row],[Business Date]]=Control!$C$6, PV[[#This Row],[Notional Value Local Cur]], -PV[[#This Row],[Notional Value Local Cur]])</f>
        <v>0</v>
      </c>
    </row>
    <row r="4600" spans="1:5" x14ac:dyDescent="0.25">
      <c r="A4600" s="36" t="b">
        <v>0</v>
      </c>
      <c r="B4600" s="56" t="b">
        <v>0</v>
      </c>
      <c r="C4600" s="56" t="b">
        <v>0</v>
      </c>
      <c r="D4600" s="56" t="b">
        <v>0</v>
      </c>
      <c r="E4600" s="56">
        <f ca="1">IF(PV[[#This Row],[Business Date]]=Control!$C$6, PV[[#This Row],[Notional Value Local Cur]], -PV[[#This Row],[Notional Value Local Cur]])</f>
        <v>0</v>
      </c>
    </row>
    <row r="4601" spans="1:5" x14ac:dyDescent="0.25">
      <c r="A4601" s="36" t="b">
        <v>0</v>
      </c>
      <c r="B4601" s="56" t="b">
        <v>0</v>
      </c>
      <c r="C4601" s="56" t="b">
        <v>0</v>
      </c>
      <c r="D4601" s="56" t="b">
        <v>0</v>
      </c>
      <c r="E4601" s="56">
        <f ca="1">IF(PV[[#This Row],[Business Date]]=Control!$C$6, PV[[#This Row],[Notional Value Local Cur]], -PV[[#This Row],[Notional Value Local Cur]])</f>
        <v>0</v>
      </c>
    </row>
    <row r="4602" spans="1:5" x14ac:dyDescent="0.25">
      <c r="A4602" s="36" t="b">
        <v>0</v>
      </c>
      <c r="B4602" s="56" t="b">
        <v>0</v>
      </c>
      <c r="C4602" s="56" t="b">
        <v>0</v>
      </c>
      <c r="D4602" s="56" t="b">
        <v>0</v>
      </c>
      <c r="E4602" s="56">
        <f ca="1">IF(PV[[#This Row],[Business Date]]=Control!$C$6, PV[[#This Row],[Notional Value Local Cur]], -PV[[#This Row],[Notional Value Local Cur]])</f>
        <v>0</v>
      </c>
    </row>
    <row r="4603" spans="1:5" x14ac:dyDescent="0.25">
      <c r="A4603" s="36" t="b">
        <v>0</v>
      </c>
      <c r="B4603" s="56" t="b">
        <v>0</v>
      </c>
      <c r="C4603" s="56" t="b">
        <v>0</v>
      </c>
      <c r="D4603" s="56" t="b">
        <v>0</v>
      </c>
      <c r="E4603" s="56">
        <f ca="1">IF(PV[[#This Row],[Business Date]]=Control!$C$6, PV[[#This Row],[Notional Value Local Cur]], -PV[[#This Row],[Notional Value Local Cur]])</f>
        <v>0</v>
      </c>
    </row>
    <row r="4604" spans="1:5" x14ac:dyDescent="0.25">
      <c r="A4604" s="36" t="b">
        <v>0</v>
      </c>
      <c r="B4604" s="56" t="b">
        <v>0</v>
      </c>
      <c r="C4604" s="56" t="b">
        <v>0</v>
      </c>
      <c r="D4604" s="56" t="b">
        <v>0</v>
      </c>
      <c r="E4604" s="56">
        <f ca="1">IF(PV[[#This Row],[Business Date]]=Control!$C$6, PV[[#This Row],[Notional Value Local Cur]], -PV[[#This Row],[Notional Value Local Cur]])</f>
        <v>0</v>
      </c>
    </row>
    <row r="4605" spans="1:5" x14ac:dyDescent="0.25">
      <c r="A4605" s="36" t="b">
        <v>0</v>
      </c>
      <c r="B4605" s="56" t="b">
        <v>0</v>
      </c>
      <c r="C4605" s="56" t="b">
        <v>0</v>
      </c>
      <c r="D4605" s="56" t="b">
        <v>0</v>
      </c>
      <c r="E4605" s="56">
        <f ca="1">IF(PV[[#This Row],[Business Date]]=Control!$C$6, PV[[#This Row],[Notional Value Local Cur]], -PV[[#This Row],[Notional Value Local Cur]])</f>
        <v>0</v>
      </c>
    </row>
    <row r="4606" spans="1:5" x14ac:dyDescent="0.25">
      <c r="A4606" s="36" t="b">
        <v>0</v>
      </c>
      <c r="B4606" s="56" t="b">
        <v>0</v>
      </c>
      <c r="C4606" s="56" t="b">
        <v>0</v>
      </c>
      <c r="D4606" s="56" t="b">
        <v>0</v>
      </c>
      <c r="E4606" s="56">
        <f ca="1">IF(PV[[#This Row],[Business Date]]=Control!$C$6, PV[[#This Row],[Notional Value Local Cur]], -PV[[#This Row],[Notional Value Local Cur]])</f>
        <v>0</v>
      </c>
    </row>
    <row r="4607" spans="1:5" x14ac:dyDescent="0.25">
      <c r="A4607" s="36" t="b">
        <v>0</v>
      </c>
      <c r="B4607" s="56" t="b">
        <v>0</v>
      </c>
      <c r="C4607" s="56" t="b">
        <v>0</v>
      </c>
      <c r="D4607" s="56" t="b">
        <v>0</v>
      </c>
      <c r="E4607" s="56">
        <f ca="1">IF(PV[[#This Row],[Business Date]]=Control!$C$6, PV[[#This Row],[Notional Value Local Cur]], -PV[[#This Row],[Notional Value Local Cur]])</f>
        <v>0</v>
      </c>
    </row>
    <row r="4608" spans="1:5" x14ac:dyDescent="0.25">
      <c r="A4608" s="36" t="b">
        <v>0</v>
      </c>
      <c r="B4608" s="56" t="b">
        <v>0</v>
      </c>
      <c r="C4608" s="56" t="b">
        <v>0</v>
      </c>
      <c r="D4608" s="56" t="b">
        <v>0</v>
      </c>
      <c r="E4608" s="56">
        <f ca="1">IF(PV[[#This Row],[Business Date]]=Control!$C$6, PV[[#This Row],[Notional Value Local Cur]], -PV[[#This Row],[Notional Value Local Cur]])</f>
        <v>0</v>
      </c>
    </row>
    <row r="4609" spans="1:5" x14ac:dyDescent="0.25">
      <c r="A4609" s="36" t="b">
        <v>0</v>
      </c>
      <c r="B4609" s="56" t="b">
        <v>0</v>
      </c>
      <c r="C4609" s="56" t="b">
        <v>0</v>
      </c>
      <c r="D4609" s="56" t="b">
        <v>0</v>
      </c>
      <c r="E4609" s="56">
        <f ca="1">IF(PV[[#This Row],[Business Date]]=Control!$C$6, PV[[#This Row],[Notional Value Local Cur]], -PV[[#This Row],[Notional Value Local Cur]])</f>
        <v>0</v>
      </c>
    </row>
    <row r="4610" spans="1:5" x14ac:dyDescent="0.25">
      <c r="A4610" s="36" t="b">
        <v>0</v>
      </c>
      <c r="B4610" s="56" t="b">
        <v>0</v>
      </c>
      <c r="C4610" s="56" t="b">
        <v>0</v>
      </c>
      <c r="D4610" s="56" t="b">
        <v>0</v>
      </c>
      <c r="E4610" s="56">
        <f ca="1">IF(PV[[#This Row],[Business Date]]=Control!$C$6, PV[[#This Row],[Notional Value Local Cur]], -PV[[#This Row],[Notional Value Local Cur]])</f>
        <v>0</v>
      </c>
    </row>
    <row r="4611" spans="1:5" x14ac:dyDescent="0.25">
      <c r="A4611" s="36" t="b">
        <v>0</v>
      </c>
      <c r="B4611" s="56" t="b">
        <v>0</v>
      </c>
      <c r="C4611" s="56" t="b">
        <v>0</v>
      </c>
      <c r="D4611" s="56" t="b">
        <v>0</v>
      </c>
      <c r="E4611" s="56">
        <f ca="1">IF(PV[[#This Row],[Business Date]]=Control!$C$6, PV[[#This Row],[Notional Value Local Cur]], -PV[[#This Row],[Notional Value Local Cur]])</f>
        <v>0</v>
      </c>
    </row>
    <row r="4612" spans="1:5" x14ac:dyDescent="0.25">
      <c r="A4612" s="36" t="b">
        <v>0</v>
      </c>
      <c r="B4612" s="56" t="b">
        <v>0</v>
      </c>
      <c r="C4612" s="56" t="b">
        <v>0</v>
      </c>
      <c r="D4612" s="56" t="b">
        <v>0</v>
      </c>
      <c r="E4612" s="56">
        <f ca="1">IF(PV[[#This Row],[Business Date]]=Control!$C$6, PV[[#This Row],[Notional Value Local Cur]], -PV[[#This Row],[Notional Value Local Cur]])</f>
        <v>0</v>
      </c>
    </row>
    <row r="4613" spans="1:5" x14ac:dyDescent="0.25">
      <c r="A4613" s="36" t="b">
        <v>0</v>
      </c>
      <c r="B4613" s="56" t="b">
        <v>0</v>
      </c>
      <c r="C4613" s="56" t="b">
        <v>0</v>
      </c>
      <c r="D4613" s="56" t="b">
        <v>0</v>
      </c>
      <c r="E4613" s="56">
        <f ca="1">IF(PV[[#This Row],[Business Date]]=Control!$C$6, PV[[#This Row],[Notional Value Local Cur]], -PV[[#This Row],[Notional Value Local Cur]])</f>
        <v>0</v>
      </c>
    </row>
    <row r="4614" spans="1:5" x14ac:dyDescent="0.25">
      <c r="A4614" s="36" t="b">
        <v>0</v>
      </c>
      <c r="B4614" s="56" t="b">
        <v>0</v>
      </c>
      <c r="C4614" s="56" t="b">
        <v>0</v>
      </c>
      <c r="D4614" s="56" t="b">
        <v>0</v>
      </c>
      <c r="E4614" s="56">
        <f ca="1">IF(PV[[#This Row],[Business Date]]=Control!$C$6, PV[[#This Row],[Notional Value Local Cur]], -PV[[#This Row],[Notional Value Local Cur]])</f>
        <v>0</v>
      </c>
    </row>
    <row r="4615" spans="1:5" x14ac:dyDescent="0.25">
      <c r="A4615" s="36" t="b">
        <v>0</v>
      </c>
      <c r="B4615" s="56" t="b">
        <v>0</v>
      </c>
      <c r="C4615" s="56" t="b">
        <v>0</v>
      </c>
      <c r="D4615" s="56" t="b">
        <v>0</v>
      </c>
      <c r="E4615" s="56">
        <f ca="1">IF(PV[[#This Row],[Business Date]]=Control!$C$6, PV[[#This Row],[Notional Value Local Cur]], -PV[[#This Row],[Notional Value Local Cur]])</f>
        <v>0</v>
      </c>
    </row>
    <row r="4616" spans="1:5" x14ac:dyDescent="0.25">
      <c r="A4616" s="36" t="b">
        <v>0</v>
      </c>
      <c r="B4616" s="56" t="b">
        <v>0</v>
      </c>
      <c r="C4616" s="56" t="b">
        <v>0</v>
      </c>
      <c r="D4616" s="56" t="b">
        <v>0</v>
      </c>
      <c r="E4616" s="56">
        <f ca="1">IF(PV[[#This Row],[Business Date]]=Control!$C$6, PV[[#This Row],[Notional Value Local Cur]], -PV[[#This Row],[Notional Value Local Cur]])</f>
        <v>0</v>
      </c>
    </row>
    <row r="4617" spans="1:5" x14ac:dyDescent="0.25">
      <c r="A4617" s="36" t="b">
        <v>0</v>
      </c>
      <c r="B4617" s="56" t="b">
        <v>0</v>
      </c>
      <c r="C4617" s="56" t="b">
        <v>0</v>
      </c>
      <c r="D4617" s="56" t="b">
        <v>0</v>
      </c>
      <c r="E4617" s="56">
        <f ca="1">IF(PV[[#This Row],[Business Date]]=Control!$C$6, PV[[#This Row],[Notional Value Local Cur]], -PV[[#This Row],[Notional Value Local Cur]])</f>
        <v>0</v>
      </c>
    </row>
    <row r="4618" spans="1:5" x14ac:dyDescent="0.25">
      <c r="A4618" s="36" t="b">
        <v>0</v>
      </c>
      <c r="B4618" s="56" t="b">
        <v>0</v>
      </c>
      <c r="C4618" s="56" t="b">
        <v>0</v>
      </c>
      <c r="D4618" s="56" t="b">
        <v>0</v>
      </c>
      <c r="E4618" s="56">
        <f ca="1">IF(PV[[#This Row],[Business Date]]=Control!$C$6, PV[[#This Row],[Notional Value Local Cur]], -PV[[#This Row],[Notional Value Local Cur]])</f>
        <v>0</v>
      </c>
    </row>
    <row r="4619" spans="1:5" x14ac:dyDescent="0.25">
      <c r="A4619" s="36" t="b">
        <v>0</v>
      </c>
      <c r="B4619" s="56" t="b">
        <v>0</v>
      </c>
      <c r="C4619" s="56" t="b">
        <v>0</v>
      </c>
      <c r="D4619" s="56" t="b">
        <v>0</v>
      </c>
      <c r="E4619" s="56">
        <f ca="1">IF(PV[[#This Row],[Business Date]]=Control!$C$6, PV[[#This Row],[Notional Value Local Cur]], -PV[[#This Row],[Notional Value Local Cur]])</f>
        <v>0</v>
      </c>
    </row>
    <row r="4620" spans="1:5" x14ac:dyDescent="0.25">
      <c r="A4620" s="36" t="b">
        <v>0</v>
      </c>
      <c r="B4620" s="56" t="b">
        <v>0</v>
      </c>
      <c r="C4620" s="56" t="b">
        <v>0</v>
      </c>
      <c r="D4620" s="56" t="b">
        <v>0</v>
      </c>
      <c r="E4620" s="56">
        <f ca="1">IF(PV[[#This Row],[Business Date]]=Control!$C$6, PV[[#This Row],[Notional Value Local Cur]], -PV[[#This Row],[Notional Value Local Cur]])</f>
        <v>0</v>
      </c>
    </row>
    <row r="4621" spans="1:5" x14ac:dyDescent="0.25">
      <c r="A4621" s="36" t="b">
        <v>0</v>
      </c>
      <c r="B4621" s="56" t="b">
        <v>0</v>
      </c>
      <c r="C4621" s="56" t="b">
        <v>0</v>
      </c>
      <c r="D4621" s="56" t="b">
        <v>0</v>
      </c>
      <c r="E4621" s="56">
        <f ca="1">IF(PV[[#This Row],[Business Date]]=Control!$C$6, PV[[#This Row],[Notional Value Local Cur]], -PV[[#This Row],[Notional Value Local Cur]])</f>
        <v>0</v>
      </c>
    </row>
    <row r="4622" spans="1:5" x14ac:dyDescent="0.25">
      <c r="A4622" s="36" t="b">
        <v>0</v>
      </c>
      <c r="B4622" s="56" t="b">
        <v>0</v>
      </c>
      <c r="C4622" s="56" t="b">
        <v>0</v>
      </c>
      <c r="D4622" s="56" t="b">
        <v>0</v>
      </c>
      <c r="E4622" s="56">
        <f ca="1">IF(PV[[#This Row],[Business Date]]=Control!$C$6, PV[[#This Row],[Notional Value Local Cur]], -PV[[#This Row],[Notional Value Local Cur]])</f>
        <v>0</v>
      </c>
    </row>
    <row r="4623" spans="1:5" x14ac:dyDescent="0.25">
      <c r="A4623" s="36" t="b">
        <v>0</v>
      </c>
      <c r="B4623" s="56" t="b">
        <v>0</v>
      </c>
      <c r="C4623" s="56" t="b">
        <v>0</v>
      </c>
      <c r="D4623" s="56" t="b">
        <v>0</v>
      </c>
      <c r="E4623" s="56">
        <f ca="1">IF(PV[[#This Row],[Business Date]]=Control!$C$6, PV[[#This Row],[Notional Value Local Cur]], -PV[[#This Row],[Notional Value Local Cur]])</f>
        <v>0</v>
      </c>
    </row>
    <row r="4624" spans="1:5" x14ac:dyDescent="0.25">
      <c r="A4624" s="36" t="b">
        <v>0</v>
      </c>
      <c r="B4624" s="56" t="b">
        <v>0</v>
      </c>
      <c r="C4624" s="56" t="b">
        <v>0</v>
      </c>
      <c r="D4624" s="56" t="b">
        <v>0</v>
      </c>
      <c r="E4624" s="56">
        <f ca="1">IF(PV[[#This Row],[Business Date]]=Control!$C$6, PV[[#This Row],[Notional Value Local Cur]], -PV[[#This Row],[Notional Value Local Cur]])</f>
        <v>0</v>
      </c>
    </row>
    <row r="4625" spans="1:5" x14ac:dyDescent="0.25">
      <c r="A4625" s="36" t="b">
        <v>0</v>
      </c>
      <c r="B4625" s="56" t="b">
        <v>0</v>
      </c>
      <c r="C4625" s="56" t="b">
        <v>0</v>
      </c>
      <c r="D4625" s="56" t="b">
        <v>0</v>
      </c>
      <c r="E4625" s="56">
        <f ca="1">IF(PV[[#This Row],[Business Date]]=Control!$C$6, PV[[#This Row],[Notional Value Local Cur]], -PV[[#This Row],[Notional Value Local Cur]])</f>
        <v>0</v>
      </c>
    </row>
    <row r="4626" spans="1:5" x14ac:dyDescent="0.25">
      <c r="A4626" s="36" t="b">
        <v>0</v>
      </c>
      <c r="B4626" s="56" t="b">
        <v>0</v>
      </c>
      <c r="C4626" s="56" t="b">
        <v>0</v>
      </c>
      <c r="D4626" s="56" t="b">
        <v>0</v>
      </c>
      <c r="E4626" s="56">
        <f ca="1">IF(PV[[#This Row],[Business Date]]=Control!$C$6, PV[[#This Row],[Notional Value Local Cur]], -PV[[#This Row],[Notional Value Local Cur]])</f>
        <v>0</v>
      </c>
    </row>
    <row r="4627" spans="1:5" x14ac:dyDescent="0.25">
      <c r="A4627" s="36" t="b">
        <v>0</v>
      </c>
      <c r="B4627" s="56" t="b">
        <v>0</v>
      </c>
      <c r="C4627" s="56" t="b">
        <v>0</v>
      </c>
      <c r="D4627" s="56" t="b">
        <v>0</v>
      </c>
      <c r="E4627" s="56">
        <f ca="1">IF(PV[[#This Row],[Business Date]]=Control!$C$6, PV[[#This Row],[Notional Value Local Cur]], -PV[[#This Row],[Notional Value Local Cur]])</f>
        <v>0</v>
      </c>
    </row>
    <row r="4628" spans="1:5" x14ac:dyDescent="0.25">
      <c r="A4628" s="36" t="b">
        <v>0</v>
      </c>
      <c r="B4628" s="56" t="b">
        <v>0</v>
      </c>
      <c r="C4628" s="56" t="b">
        <v>0</v>
      </c>
      <c r="D4628" s="56" t="b">
        <v>0</v>
      </c>
      <c r="E4628" s="56">
        <f ca="1">IF(PV[[#This Row],[Business Date]]=Control!$C$6, PV[[#This Row],[Notional Value Local Cur]], -PV[[#This Row],[Notional Value Local Cur]])</f>
        <v>0</v>
      </c>
    </row>
    <row r="4629" spans="1:5" x14ac:dyDescent="0.25">
      <c r="A4629" s="36" t="b">
        <v>0</v>
      </c>
      <c r="B4629" s="56" t="b">
        <v>0</v>
      </c>
      <c r="C4629" s="56" t="b">
        <v>0</v>
      </c>
      <c r="D4629" s="56" t="b">
        <v>0</v>
      </c>
      <c r="E4629" s="56">
        <f ca="1">IF(PV[[#This Row],[Business Date]]=Control!$C$6, PV[[#This Row],[Notional Value Local Cur]], -PV[[#This Row],[Notional Value Local Cur]])</f>
        <v>0</v>
      </c>
    </row>
    <row r="4630" spans="1:5" x14ac:dyDescent="0.25">
      <c r="A4630" s="36" t="b">
        <v>0</v>
      </c>
      <c r="B4630" s="56" t="b">
        <v>0</v>
      </c>
      <c r="C4630" s="56" t="b">
        <v>0</v>
      </c>
      <c r="D4630" s="56" t="b">
        <v>0</v>
      </c>
      <c r="E4630" s="56">
        <f ca="1">IF(PV[[#This Row],[Business Date]]=Control!$C$6, PV[[#This Row],[Notional Value Local Cur]], -PV[[#This Row],[Notional Value Local Cur]])</f>
        <v>0</v>
      </c>
    </row>
    <row r="4631" spans="1:5" x14ac:dyDescent="0.25">
      <c r="A4631" s="36" t="b">
        <v>0</v>
      </c>
      <c r="B4631" s="56" t="b">
        <v>0</v>
      </c>
      <c r="C4631" s="56" t="b">
        <v>0</v>
      </c>
      <c r="D4631" s="56" t="b">
        <v>0</v>
      </c>
      <c r="E4631" s="56">
        <f ca="1">IF(PV[[#This Row],[Business Date]]=Control!$C$6, PV[[#This Row],[Notional Value Local Cur]], -PV[[#This Row],[Notional Value Local Cur]])</f>
        <v>0</v>
      </c>
    </row>
    <row r="4632" spans="1:5" x14ac:dyDescent="0.25">
      <c r="A4632" s="36" t="b">
        <v>0</v>
      </c>
      <c r="B4632" s="56" t="b">
        <v>0</v>
      </c>
      <c r="C4632" s="56" t="b">
        <v>0</v>
      </c>
      <c r="D4632" s="56" t="b">
        <v>0</v>
      </c>
      <c r="E4632" s="56">
        <f ca="1">IF(PV[[#This Row],[Business Date]]=Control!$C$6, PV[[#This Row],[Notional Value Local Cur]], -PV[[#This Row],[Notional Value Local Cur]])</f>
        <v>0</v>
      </c>
    </row>
    <row r="4633" spans="1:5" x14ac:dyDescent="0.25">
      <c r="A4633" s="36" t="b">
        <v>0</v>
      </c>
      <c r="B4633" s="56" t="b">
        <v>0</v>
      </c>
      <c r="C4633" s="56" t="b">
        <v>0</v>
      </c>
      <c r="D4633" s="56" t="b">
        <v>0</v>
      </c>
      <c r="E4633" s="56">
        <f ca="1">IF(PV[[#This Row],[Business Date]]=Control!$C$6, PV[[#This Row],[Notional Value Local Cur]], -PV[[#This Row],[Notional Value Local Cur]])</f>
        <v>0</v>
      </c>
    </row>
    <row r="4634" spans="1:5" x14ac:dyDescent="0.25">
      <c r="A4634" s="36" t="b">
        <v>0</v>
      </c>
      <c r="B4634" s="56" t="b">
        <v>0</v>
      </c>
      <c r="C4634" s="56" t="b">
        <v>0</v>
      </c>
      <c r="D4634" s="56" t="b">
        <v>0</v>
      </c>
      <c r="E4634" s="56">
        <f ca="1">IF(PV[[#This Row],[Business Date]]=Control!$C$6, PV[[#This Row],[Notional Value Local Cur]], -PV[[#This Row],[Notional Value Local Cur]])</f>
        <v>0</v>
      </c>
    </row>
    <row r="4635" spans="1:5" x14ac:dyDescent="0.25">
      <c r="A4635" s="36" t="b">
        <v>0</v>
      </c>
      <c r="B4635" s="56" t="b">
        <v>0</v>
      </c>
      <c r="C4635" s="56" t="b">
        <v>0</v>
      </c>
      <c r="D4635" s="56" t="b">
        <v>0</v>
      </c>
      <c r="E4635" s="56">
        <f ca="1">IF(PV[[#This Row],[Business Date]]=Control!$C$6, PV[[#This Row],[Notional Value Local Cur]], -PV[[#This Row],[Notional Value Local Cur]])</f>
        <v>0</v>
      </c>
    </row>
    <row r="4636" spans="1:5" x14ac:dyDescent="0.25">
      <c r="A4636" s="36" t="b">
        <v>0</v>
      </c>
      <c r="B4636" s="56" t="b">
        <v>0</v>
      </c>
      <c r="C4636" s="56" t="b">
        <v>0</v>
      </c>
      <c r="D4636" s="56" t="b">
        <v>0</v>
      </c>
      <c r="E4636" s="56">
        <f ca="1">IF(PV[[#This Row],[Business Date]]=Control!$C$6, PV[[#This Row],[Notional Value Local Cur]], -PV[[#This Row],[Notional Value Local Cur]])</f>
        <v>0</v>
      </c>
    </row>
    <row r="4637" spans="1:5" x14ac:dyDescent="0.25">
      <c r="A4637" s="36" t="b">
        <v>0</v>
      </c>
      <c r="B4637" s="56" t="b">
        <v>0</v>
      </c>
      <c r="C4637" s="56" t="b">
        <v>0</v>
      </c>
      <c r="D4637" s="56" t="b">
        <v>0</v>
      </c>
      <c r="E4637" s="56">
        <f ca="1">IF(PV[[#This Row],[Business Date]]=Control!$C$6, PV[[#This Row],[Notional Value Local Cur]], -PV[[#This Row],[Notional Value Local Cur]])</f>
        <v>0</v>
      </c>
    </row>
    <row r="4638" spans="1:5" x14ac:dyDescent="0.25">
      <c r="A4638" s="36" t="b">
        <v>0</v>
      </c>
      <c r="B4638" s="56" t="b">
        <v>0</v>
      </c>
      <c r="C4638" s="56" t="b">
        <v>0</v>
      </c>
      <c r="D4638" s="56" t="b">
        <v>0</v>
      </c>
      <c r="E4638" s="56">
        <f ca="1">IF(PV[[#This Row],[Business Date]]=Control!$C$6, PV[[#This Row],[Notional Value Local Cur]], -PV[[#This Row],[Notional Value Local Cur]])</f>
        <v>0</v>
      </c>
    </row>
    <row r="4639" spans="1:5" x14ac:dyDescent="0.25">
      <c r="A4639" s="36" t="b">
        <v>0</v>
      </c>
      <c r="B4639" s="56" t="b">
        <v>0</v>
      </c>
      <c r="C4639" s="56" t="b">
        <v>0</v>
      </c>
      <c r="D4639" s="56" t="b">
        <v>0</v>
      </c>
      <c r="E4639" s="56">
        <f ca="1">IF(PV[[#This Row],[Business Date]]=Control!$C$6, PV[[#This Row],[Notional Value Local Cur]], -PV[[#This Row],[Notional Value Local Cur]])</f>
        <v>0</v>
      </c>
    </row>
    <row r="4640" spans="1:5" x14ac:dyDescent="0.25">
      <c r="A4640" s="36" t="b">
        <v>0</v>
      </c>
      <c r="B4640" s="56" t="b">
        <v>0</v>
      </c>
      <c r="C4640" s="56" t="b">
        <v>0</v>
      </c>
      <c r="D4640" s="56" t="b">
        <v>0</v>
      </c>
      <c r="E4640" s="56">
        <f ca="1">IF(PV[[#This Row],[Business Date]]=Control!$C$6, PV[[#This Row],[Notional Value Local Cur]], -PV[[#This Row],[Notional Value Local Cur]])</f>
        <v>0</v>
      </c>
    </row>
    <row r="4641" spans="1:5" x14ac:dyDescent="0.25">
      <c r="A4641" s="36" t="b">
        <v>0</v>
      </c>
      <c r="B4641" s="56" t="b">
        <v>0</v>
      </c>
      <c r="C4641" s="56" t="b">
        <v>0</v>
      </c>
      <c r="D4641" s="56" t="b">
        <v>0</v>
      </c>
      <c r="E4641" s="56">
        <f ca="1">IF(PV[[#This Row],[Business Date]]=Control!$C$6, PV[[#This Row],[Notional Value Local Cur]], -PV[[#This Row],[Notional Value Local Cur]])</f>
        <v>0</v>
      </c>
    </row>
    <row r="4642" spans="1:5" x14ac:dyDescent="0.25">
      <c r="A4642" s="36" t="b">
        <v>0</v>
      </c>
      <c r="B4642" s="56" t="b">
        <v>0</v>
      </c>
      <c r="C4642" s="56" t="b">
        <v>0</v>
      </c>
      <c r="D4642" s="56" t="b">
        <v>0</v>
      </c>
      <c r="E4642" s="56">
        <f ca="1">IF(PV[[#This Row],[Business Date]]=Control!$C$6, PV[[#This Row],[Notional Value Local Cur]], -PV[[#This Row],[Notional Value Local Cur]])</f>
        <v>0</v>
      </c>
    </row>
    <row r="4643" spans="1:5" x14ac:dyDescent="0.25">
      <c r="A4643" s="36" t="b">
        <v>0</v>
      </c>
      <c r="B4643" s="56" t="b">
        <v>0</v>
      </c>
      <c r="C4643" s="56" t="b">
        <v>0</v>
      </c>
      <c r="D4643" s="56" t="b">
        <v>0</v>
      </c>
      <c r="E4643" s="56">
        <f ca="1">IF(PV[[#This Row],[Business Date]]=Control!$C$6, PV[[#This Row],[Notional Value Local Cur]], -PV[[#This Row],[Notional Value Local Cur]])</f>
        <v>0</v>
      </c>
    </row>
    <row r="4644" spans="1:5" x14ac:dyDescent="0.25">
      <c r="A4644" s="36" t="b">
        <v>0</v>
      </c>
      <c r="B4644" s="56" t="b">
        <v>0</v>
      </c>
      <c r="C4644" s="56" t="b">
        <v>0</v>
      </c>
      <c r="D4644" s="56" t="b">
        <v>0</v>
      </c>
      <c r="E4644" s="56">
        <f ca="1">IF(PV[[#This Row],[Business Date]]=Control!$C$6, PV[[#This Row],[Notional Value Local Cur]], -PV[[#This Row],[Notional Value Local Cur]])</f>
        <v>0</v>
      </c>
    </row>
    <row r="4645" spans="1:5" x14ac:dyDescent="0.25">
      <c r="A4645" s="36" t="b">
        <v>0</v>
      </c>
      <c r="B4645" s="56" t="b">
        <v>0</v>
      </c>
      <c r="C4645" s="56" t="b">
        <v>0</v>
      </c>
      <c r="D4645" s="56" t="b">
        <v>0</v>
      </c>
      <c r="E4645" s="56">
        <f ca="1">IF(PV[[#This Row],[Business Date]]=Control!$C$6, PV[[#This Row],[Notional Value Local Cur]], -PV[[#This Row],[Notional Value Local Cur]])</f>
        <v>0</v>
      </c>
    </row>
    <row r="4646" spans="1:5" x14ac:dyDescent="0.25">
      <c r="A4646" s="36" t="b">
        <v>0</v>
      </c>
      <c r="B4646" s="56" t="b">
        <v>0</v>
      </c>
      <c r="C4646" s="56" t="b">
        <v>0</v>
      </c>
      <c r="D4646" s="56" t="b">
        <v>0</v>
      </c>
      <c r="E4646" s="56">
        <f ca="1">IF(PV[[#This Row],[Business Date]]=Control!$C$6, PV[[#This Row],[Notional Value Local Cur]], -PV[[#This Row],[Notional Value Local Cur]])</f>
        <v>0</v>
      </c>
    </row>
    <row r="4647" spans="1:5" x14ac:dyDescent="0.25">
      <c r="A4647" s="36" t="b">
        <v>0</v>
      </c>
      <c r="B4647" s="56" t="b">
        <v>0</v>
      </c>
      <c r="C4647" s="56" t="b">
        <v>0</v>
      </c>
      <c r="D4647" s="56" t="b">
        <v>0</v>
      </c>
      <c r="E4647" s="56">
        <f ca="1">IF(PV[[#This Row],[Business Date]]=Control!$C$6, PV[[#This Row],[Notional Value Local Cur]], -PV[[#This Row],[Notional Value Local Cur]])</f>
        <v>0</v>
      </c>
    </row>
    <row r="4648" spans="1:5" x14ac:dyDescent="0.25">
      <c r="A4648" s="36" t="b">
        <v>0</v>
      </c>
      <c r="B4648" s="56" t="b">
        <v>0</v>
      </c>
      <c r="C4648" s="56" t="b">
        <v>0</v>
      </c>
      <c r="D4648" s="56" t="b">
        <v>0</v>
      </c>
      <c r="E4648" s="56">
        <f ca="1">IF(PV[[#This Row],[Business Date]]=Control!$C$6, PV[[#This Row],[Notional Value Local Cur]], -PV[[#This Row],[Notional Value Local Cur]])</f>
        <v>0</v>
      </c>
    </row>
    <row r="4649" spans="1:5" x14ac:dyDescent="0.25">
      <c r="A4649" s="36" t="b">
        <v>0</v>
      </c>
      <c r="B4649" s="56" t="b">
        <v>0</v>
      </c>
      <c r="C4649" s="56" t="b">
        <v>0</v>
      </c>
      <c r="D4649" s="56" t="b">
        <v>0</v>
      </c>
      <c r="E4649" s="56">
        <f ca="1">IF(PV[[#This Row],[Business Date]]=Control!$C$6, PV[[#This Row],[Notional Value Local Cur]], -PV[[#This Row],[Notional Value Local Cur]])</f>
        <v>0</v>
      </c>
    </row>
    <row r="4650" spans="1:5" x14ac:dyDescent="0.25">
      <c r="A4650" s="36" t="b">
        <v>0</v>
      </c>
      <c r="B4650" s="56" t="b">
        <v>0</v>
      </c>
      <c r="C4650" s="56" t="b">
        <v>0</v>
      </c>
      <c r="D4650" s="56" t="b">
        <v>0</v>
      </c>
      <c r="E4650" s="56">
        <f ca="1">IF(PV[[#This Row],[Business Date]]=Control!$C$6, PV[[#This Row],[Notional Value Local Cur]], -PV[[#This Row],[Notional Value Local Cur]])</f>
        <v>0</v>
      </c>
    </row>
    <row r="4651" spans="1:5" x14ac:dyDescent="0.25">
      <c r="A4651" s="36" t="b">
        <v>0</v>
      </c>
      <c r="B4651" s="56" t="b">
        <v>0</v>
      </c>
      <c r="C4651" s="56" t="b">
        <v>0</v>
      </c>
      <c r="D4651" s="56" t="b">
        <v>0</v>
      </c>
      <c r="E4651" s="56">
        <f ca="1">IF(PV[[#This Row],[Business Date]]=Control!$C$6, PV[[#This Row],[Notional Value Local Cur]], -PV[[#This Row],[Notional Value Local Cur]])</f>
        <v>0</v>
      </c>
    </row>
    <row r="4652" spans="1:5" x14ac:dyDescent="0.25">
      <c r="A4652" s="36" t="b">
        <v>0</v>
      </c>
      <c r="B4652" s="56" t="b">
        <v>0</v>
      </c>
      <c r="C4652" s="56" t="b">
        <v>0</v>
      </c>
      <c r="D4652" s="56" t="b">
        <v>0</v>
      </c>
      <c r="E4652" s="56">
        <f ca="1">IF(PV[[#This Row],[Business Date]]=Control!$C$6, PV[[#This Row],[Notional Value Local Cur]], -PV[[#This Row],[Notional Value Local Cur]])</f>
        <v>0</v>
      </c>
    </row>
    <row r="4653" spans="1:5" x14ac:dyDescent="0.25">
      <c r="A4653" s="36" t="b">
        <v>0</v>
      </c>
      <c r="B4653" s="56" t="b">
        <v>0</v>
      </c>
      <c r="C4653" s="56" t="b">
        <v>0</v>
      </c>
      <c r="D4653" s="56" t="b">
        <v>0</v>
      </c>
      <c r="E4653" s="56">
        <f ca="1">IF(PV[[#This Row],[Business Date]]=Control!$C$6, PV[[#This Row],[Notional Value Local Cur]], -PV[[#This Row],[Notional Value Local Cur]])</f>
        <v>0</v>
      </c>
    </row>
    <row r="4654" spans="1:5" x14ac:dyDescent="0.25">
      <c r="A4654" s="36" t="b">
        <v>0</v>
      </c>
      <c r="B4654" s="56" t="b">
        <v>0</v>
      </c>
      <c r="C4654" s="56" t="b">
        <v>0</v>
      </c>
      <c r="D4654" s="56" t="b">
        <v>0</v>
      </c>
      <c r="E4654" s="56">
        <f ca="1">IF(PV[[#This Row],[Business Date]]=Control!$C$6, PV[[#This Row],[Notional Value Local Cur]], -PV[[#This Row],[Notional Value Local Cur]])</f>
        <v>0</v>
      </c>
    </row>
    <row r="4655" spans="1:5" x14ac:dyDescent="0.25">
      <c r="A4655" s="36" t="b">
        <v>0</v>
      </c>
      <c r="B4655" s="56" t="b">
        <v>0</v>
      </c>
      <c r="C4655" s="56" t="b">
        <v>0</v>
      </c>
      <c r="D4655" s="56" t="b">
        <v>0</v>
      </c>
      <c r="E4655" s="56">
        <f ca="1">IF(PV[[#This Row],[Business Date]]=Control!$C$6, PV[[#This Row],[Notional Value Local Cur]], -PV[[#This Row],[Notional Value Local Cur]])</f>
        <v>0</v>
      </c>
    </row>
    <row r="4656" spans="1:5" x14ac:dyDescent="0.25">
      <c r="A4656" s="36" t="b">
        <v>0</v>
      </c>
      <c r="B4656" s="56" t="b">
        <v>0</v>
      </c>
      <c r="C4656" s="56" t="b">
        <v>0</v>
      </c>
      <c r="D4656" s="56" t="b">
        <v>0</v>
      </c>
      <c r="E4656" s="56">
        <f ca="1">IF(PV[[#This Row],[Business Date]]=Control!$C$6, PV[[#This Row],[Notional Value Local Cur]], -PV[[#This Row],[Notional Value Local Cur]])</f>
        <v>0</v>
      </c>
    </row>
    <row r="4657" spans="1:5" x14ac:dyDescent="0.25">
      <c r="A4657" s="36" t="b">
        <v>0</v>
      </c>
      <c r="B4657" s="56" t="b">
        <v>0</v>
      </c>
      <c r="C4657" s="56" t="b">
        <v>0</v>
      </c>
      <c r="D4657" s="56" t="b">
        <v>0</v>
      </c>
      <c r="E4657" s="56">
        <f ca="1">IF(PV[[#This Row],[Business Date]]=Control!$C$6, PV[[#This Row],[Notional Value Local Cur]], -PV[[#This Row],[Notional Value Local Cur]])</f>
        <v>0</v>
      </c>
    </row>
    <row r="4658" spans="1:5" x14ac:dyDescent="0.25">
      <c r="A4658" s="36" t="b">
        <v>0</v>
      </c>
      <c r="B4658" s="56" t="b">
        <v>0</v>
      </c>
      <c r="C4658" s="56" t="b">
        <v>0</v>
      </c>
      <c r="D4658" s="56" t="b">
        <v>0</v>
      </c>
      <c r="E4658" s="56">
        <f ca="1">IF(PV[[#This Row],[Business Date]]=Control!$C$6, PV[[#This Row],[Notional Value Local Cur]], -PV[[#This Row],[Notional Value Local Cur]])</f>
        <v>0</v>
      </c>
    </row>
    <row r="4659" spans="1:5" x14ac:dyDescent="0.25">
      <c r="A4659" s="36" t="b">
        <v>0</v>
      </c>
      <c r="B4659" s="56" t="b">
        <v>0</v>
      </c>
      <c r="C4659" s="56" t="b">
        <v>0</v>
      </c>
      <c r="D4659" s="56" t="b">
        <v>0</v>
      </c>
      <c r="E4659" s="56">
        <f ca="1">IF(PV[[#This Row],[Business Date]]=Control!$C$6, PV[[#This Row],[Notional Value Local Cur]], -PV[[#This Row],[Notional Value Local Cur]])</f>
        <v>0</v>
      </c>
    </row>
    <row r="4660" spans="1:5" x14ac:dyDescent="0.25">
      <c r="A4660" s="36" t="b">
        <v>0</v>
      </c>
      <c r="B4660" s="56" t="b">
        <v>0</v>
      </c>
      <c r="C4660" s="56" t="b">
        <v>0</v>
      </c>
      <c r="D4660" s="56" t="b">
        <v>0</v>
      </c>
      <c r="E4660" s="56">
        <f ca="1">IF(PV[[#This Row],[Business Date]]=Control!$C$6, PV[[#This Row],[Notional Value Local Cur]], -PV[[#This Row],[Notional Value Local Cur]])</f>
        <v>0</v>
      </c>
    </row>
    <row r="4661" spans="1:5" x14ac:dyDescent="0.25">
      <c r="A4661" s="36" t="b">
        <v>0</v>
      </c>
      <c r="B4661" s="56" t="b">
        <v>0</v>
      </c>
      <c r="C4661" s="56" t="b">
        <v>0</v>
      </c>
      <c r="D4661" s="56" t="b">
        <v>0</v>
      </c>
      <c r="E4661" s="56">
        <f ca="1">IF(PV[[#This Row],[Business Date]]=Control!$C$6, PV[[#This Row],[Notional Value Local Cur]], -PV[[#This Row],[Notional Value Local Cur]])</f>
        <v>0</v>
      </c>
    </row>
    <row r="4662" spans="1:5" x14ac:dyDescent="0.25">
      <c r="A4662" s="36" t="b">
        <v>0</v>
      </c>
      <c r="B4662" s="56" t="b">
        <v>0</v>
      </c>
      <c r="C4662" s="56" t="b">
        <v>0</v>
      </c>
      <c r="D4662" s="56" t="b">
        <v>0</v>
      </c>
      <c r="E4662" s="56">
        <f ca="1">IF(PV[[#This Row],[Business Date]]=Control!$C$6, PV[[#This Row],[Notional Value Local Cur]], -PV[[#This Row],[Notional Value Local Cur]])</f>
        <v>0</v>
      </c>
    </row>
    <row r="4663" spans="1:5" x14ac:dyDescent="0.25">
      <c r="A4663" s="36" t="b">
        <v>0</v>
      </c>
      <c r="B4663" s="56" t="b">
        <v>0</v>
      </c>
      <c r="C4663" s="56" t="b">
        <v>0</v>
      </c>
      <c r="D4663" s="56" t="b">
        <v>0</v>
      </c>
      <c r="E4663" s="56">
        <f ca="1">IF(PV[[#This Row],[Business Date]]=Control!$C$6, PV[[#This Row],[Notional Value Local Cur]], -PV[[#This Row],[Notional Value Local Cur]])</f>
        <v>0</v>
      </c>
    </row>
    <row r="4664" spans="1:5" x14ac:dyDescent="0.25">
      <c r="A4664" s="36" t="b">
        <v>0</v>
      </c>
      <c r="B4664" s="56" t="b">
        <v>0</v>
      </c>
      <c r="C4664" s="56" t="b">
        <v>0</v>
      </c>
      <c r="D4664" s="56" t="b">
        <v>0</v>
      </c>
      <c r="E4664" s="56">
        <f ca="1">IF(PV[[#This Row],[Business Date]]=Control!$C$6, PV[[#This Row],[Notional Value Local Cur]], -PV[[#This Row],[Notional Value Local Cur]])</f>
        <v>0</v>
      </c>
    </row>
    <row r="4665" spans="1:5" x14ac:dyDescent="0.25">
      <c r="A4665" s="36" t="b">
        <v>0</v>
      </c>
      <c r="B4665" s="56" t="b">
        <v>0</v>
      </c>
      <c r="C4665" s="56" t="b">
        <v>0</v>
      </c>
      <c r="D4665" s="56" t="b">
        <v>0</v>
      </c>
      <c r="E4665" s="56">
        <f ca="1">IF(PV[[#This Row],[Business Date]]=Control!$C$6, PV[[#This Row],[Notional Value Local Cur]], -PV[[#This Row],[Notional Value Local Cur]])</f>
        <v>0</v>
      </c>
    </row>
    <row r="4666" spans="1:5" x14ac:dyDescent="0.25">
      <c r="A4666" s="36" t="b">
        <v>0</v>
      </c>
      <c r="B4666" s="56" t="b">
        <v>0</v>
      </c>
      <c r="C4666" s="56" t="b">
        <v>0</v>
      </c>
      <c r="D4666" s="56" t="b">
        <v>0</v>
      </c>
      <c r="E4666" s="56">
        <f ca="1">IF(PV[[#This Row],[Business Date]]=Control!$C$6, PV[[#This Row],[Notional Value Local Cur]], -PV[[#This Row],[Notional Value Local Cur]])</f>
        <v>0</v>
      </c>
    </row>
    <row r="4667" spans="1:5" x14ac:dyDescent="0.25">
      <c r="A4667" s="36" t="b">
        <v>0</v>
      </c>
      <c r="B4667" s="56" t="b">
        <v>0</v>
      </c>
      <c r="C4667" s="56" t="b">
        <v>0</v>
      </c>
      <c r="D4667" s="56" t="b">
        <v>0</v>
      </c>
      <c r="E4667" s="56">
        <f ca="1">IF(PV[[#This Row],[Business Date]]=Control!$C$6, PV[[#This Row],[Notional Value Local Cur]], -PV[[#This Row],[Notional Value Local Cur]])</f>
        <v>0</v>
      </c>
    </row>
    <row r="4668" spans="1:5" x14ac:dyDescent="0.25">
      <c r="A4668" s="36" t="b">
        <v>0</v>
      </c>
      <c r="B4668" s="56" t="b">
        <v>0</v>
      </c>
      <c r="C4668" s="56" t="b">
        <v>0</v>
      </c>
      <c r="D4668" s="56" t="b">
        <v>0</v>
      </c>
      <c r="E4668" s="56">
        <f ca="1">IF(PV[[#This Row],[Business Date]]=Control!$C$6, PV[[#This Row],[Notional Value Local Cur]], -PV[[#This Row],[Notional Value Local Cur]])</f>
        <v>0</v>
      </c>
    </row>
    <row r="4669" spans="1:5" x14ac:dyDescent="0.25">
      <c r="A4669" s="36" t="b">
        <v>0</v>
      </c>
      <c r="B4669" s="56" t="b">
        <v>0</v>
      </c>
      <c r="C4669" s="56" t="b">
        <v>0</v>
      </c>
      <c r="D4669" s="56" t="b">
        <v>0</v>
      </c>
      <c r="E4669" s="56">
        <f ca="1">IF(PV[[#This Row],[Business Date]]=Control!$C$6, PV[[#This Row],[Notional Value Local Cur]], -PV[[#This Row],[Notional Value Local Cur]])</f>
        <v>0</v>
      </c>
    </row>
    <row r="4670" spans="1:5" x14ac:dyDescent="0.25">
      <c r="A4670" s="36" t="b">
        <v>0</v>
      </c>
      <c r="B4670" s="56" t="b">
        <v>0</v>
      </c>
      <c r="C4670" s="56" t="b">
        <v>0</v>
      </c>
      <c r="D4670" s="56" t="b">
        <v>0</v>
      </c>
      <c r="E4670" s="56">
        <f ca="1">IF(PV[[#This Row],[Business Date]]=Control!$C$6, PV[[#This Row],[Notional Value Local Cur]], -PV[[#This Row],[Notional Value Local Cur]])</f>
        <v>0</v>
      </c>
    </row>
    <row r="4671" spans="1:5" x14ac:dyDescent="0.25">
      <c r="A4671" s="36" t="b">
        <v>0</v>
      </c>
      <c r="B4671" s="56" t="b">
        <v>0</v>
      </c>
      <c r="C4671" s="56" t="b">
        <v>0</v>
      </c>
      <c r="D4671" s="56" t="b">
        <v>0</v>
      </c>
      <c r="E4671" s="56">
        <f ca="1">IF(PV[[#This Row],[Business Date]]=Control!$C$6, PV[[#This Row],[Notional Value Local Cur]], -PV[[#This Row],[Notional Value Local Cur]])</f>
        <v>0</v>
      </c>
    </row>
    <row r="4672" spans="1:5" x14ac:dyDescent="0.25">
      <c r="A4672" s="36" t="b">
        <v>0</v>
      </c>
      <c r="B4672" s="56" t="b">
        <v>0</v>
      </c>
      <c r="C4672" s="56" t="b">
        <v>0</v>
      </c>
      <c r="D4672" s="56" t="b">
        <v>0</v>
      </c>
      <c r="E4672" s="56">
        <f ca="1">IF(PV[[#This Row],[Business Date]]=Control!$C$6, PV[[#This Row],[Notional Value Local Cur]], -PV[[#This Row],[Notional Value Local Cur]])</f>
        <v>0</v>
      </c>
    </row>
    <row r="4673" spans="1:5" x14ac:dyDescent="0.25">
      <c r="A4673" s="36" t="b">
        <v>0</v>
      </c>
      <c r="B4673" s="56" t="b">
        <v>0</v>
      </c>
      <c r="C4673" s="56" t="b">
        <v>0</v>
      </c>
      <c r="D4673" s="56" t="b">
        <v>0</v>
      </c>
      <c r="E4673" s="56">
        <f ca="1">IF(PV[[#This Row],[Business Date]]=Control!$C$6, PV[[#This Row],[Notional Value Local Cur]], -PV[[#This Row],[Notional Value Local Cur]])</f>
        <v>0</v>
      </c>
    </row>
    <row r="4674" spans="1:5" x14ac:dyDescent="0.25">
      <c r="A4674" s="36" t="b">
        <v>0</v>
      </c>
      <c r="B4674" s="56" t="b">
        <v>0</v>
      </c>
      <c r="C4674" s="56" t="b">
        <v>0</v>
      </c>
      <c r="D4674" s="56" t="b">
        <v>0</v>
      </c>
      <c r="E4674" s="56">
        <f ca="1">IF(PV[[#This Row],[Business Date]]=Control!$C$6, PV[[#This Row],[Notional Value Local Cur]], -PV[[#This Row],[Notional Value Local Cur]])</f>
        <v>0</v>
      </c>
    </row>
    <row r="4675" spans="1:5" x14ac:dyDescent="0.25">
      <c r="A4675" s="36" t="b">
        <v>0</v>
      </c>
      <c r="B4675" s="56" t="b">
        <v>0</v>
      </c>
      <c r="C4675" s="56" t="b">
        <v>0</v>
      </c>
      <c r="D4675" s="56" t="b">
        <v>0</v>
      </c>
      <c r="E4675" s="56">
        <f ca="1">IF(PV[[#This Row],[Business Date]]=Control!$C$6, PV[[#This Row],[Notional Value Local Cur]], -PV[[#This Row],[Notional Value Local Cur]])</f>
        <v>0</v>
      </c>
    </row>
    <row r="4676" spans="1:5" x14ac:dyDescent="0.25">
      <c r="A4676" s="36" t="b">
        <v>0</v>
      </c>
      <c r="B4676" s="56" t="b">
        <v>0</v>
      </c>
      <c r="C4676" s="56" t="b">
        <v>0</v>
      </c>
      <c r="D4676" s="56" t="b">
        <v>0</v>
      </c>
      <c r="E4676" s="56">
        <f ca="1">IF(PV[[#This Row],[Business Date]]=Control!$C$6, PV[[#This Row],[Notional Value Local Cur]], -PV[[#This Row],[Notional Value Local Cur]])</f>
        <v>0</v>
      </c>
    </row>
    <row r="4677" spans="1:5" x14ac:dyDescent="0.25">
      <c r="A4677" s="36" t="b">
        <v>0</v>
      </c>
      <c r="B4677" s="56" t="b">
        <v>0</v>
      </c>
      <c r="C4677" s="56" t="b">
        <v>0</v>
      </c>
      <c r="D4677" s="56" t="b">
        <v>0</v>
      </c>
      <c r="E4677" s="56">
        <f ca="1">IF(PV[[#This Row],[Business Date]]=Control!$C$6, PV[[#This Row],[Notional Value Local Cur]], -PV[[#This Row],[Notional Value Local Cur]])</f>
        <v>0</v>
      </c>
    </row>
    <row r="4678" spans="1:5" x14ac:dyDescent="0.25">
      <c r="A4678" s="36" t="b">
        <v>0</v>
      </c>
      <c r="B4678" s="56" t="b">
        <v>0</v>
      </c>
      <c r="C4678" s="56" t="b">
        <v>0</v>
      </c>
      <c r="D4678" s="56" t="b">
        <v>0</v>
      </c>
      <c r="E4678" s="56">
        <f ca="1">IF(PV[[#This Row],[Business Date]]=Control!$C$6, PV[[#This Row],[Notional Value Local Cur]], -PV[[#This Row],[Notional Value Local Cur]])</f>
        <v>0</v>
      </c>
    </row>
    <row r="4679" spans="1:5" x14ac:dyDescent="0.25">
      <c r="A4679" s="36" t="b">
        <v>0</v>
      </c>
      <c r="B4679" s="56" t="b">
        <v>0</v>
      </c>
      <c r="C4679" s="56" t="b">
        <v>0</v>
      </c>
      <c r="D4679" s="56" t="b">
        <v>0</v>
      </c>
      <c r="E4679" s="56">
        <f ca="1">IF(PV[[#This Row],[Business Date]]=Control!$C$6, PV[[#This Row],[Notional Value Local Cur]], -PV[[#This Row],[Notional Value Local Cur]])</f>
        <v>0</v>
      </c>
    </row>
    <row r="4680" spans="1:5" x14ac:dyDescent="0.25">
      <c r="A4680" s="36" t="b">
        <v>0</v>
      </c>
      <c r="B4680" s="56" t="b">
        <v>0</v>
      </c>
      <c r="C4680" s="56" t="b">
        <v>0</v>
      </c>
      <c r="D4680" s="56" t="b">
        <v>0</v>
      </c>
      <c r="E4680" s="56">
        <f ca="1">IF(PV[[#This Row],[Business Date]]=Control!$C$6, PV[[#This Row],[Notional Value Local Cur]], -PV[[#This Row],[Notional Value Local Cur]])</f>
        <v>0</v>
      </c>
    </row>
    <row r="4681" spans="1:5" x14ac:dyDescent="0.25">
      <c r="A4681" s="36" t="b">
        <v>0</v>
      </c>
      <c r="B4681" s="56" t="b">
        <v>0</v>
      </c>
      <c r="C4681" s="56" t="b">
        <v>0</v>
      </c>
      <c r="D4681" s="56" t="b">
        <v>0</v>
      </c>
      <c r="E4681" s="56">
        <f ca="1">IF(PV[[#This Row],[Business Date]]=Control!$C$6, PV[[#This Row],[Notional Value Local Cur]], -PV[[#This Row],[Notional Value Local Cur]])</f>
        <v>0</v>
      </c>
    </row>
    <row r="4682" spans="1:5" x14ac:dyDescent="0.25">
      <c r="A4682" s="36" t="b">
        <v>0</v>
      </c>
      <c r="B4682" s="56" t="b">
        <v>0</v>
      </c>
      <c r="C4682" s="56" t="b">
        <v>0</v>
      </c>
      <c r="D4682" s="56" t="b">
        <v>0</v>
      </c>
      <c r="E4682" s="56">
        <f ca="1">IF(PV[[#This Row],[Business Date]]=Control!$C$6, PV[[#This Row],[Notional Value Local Cur]], -PV[[#This Row],[Notional Value Local Cur]])</f>
        <v>0</v>
      </c>
    </row>
    <row r="4683" spans="1:5" x14ac:dyDescent="0.25">
      <c r="A4683" s="36" t="b">
        <v>0</v>
      </c>
      <c r="B4683" s="56" t="b">
        <v>0</v>
      </c>
      <c r="C4683" s="56" t="b">
        <v>0</v>
      </c>
      <c r="D4683" s="56" t="b">
        <v>0</v>
      </c>
      <c r="E4683" s="56">
        <f ca="1">IF(PV[[#This Row],[Business Date]]=Control!$C$6, PV[[#This Row],[Notional Value Local Cur]], -PV[[#This Row],[Notional Value Local Cur]])</f>
        <v>0</v>
      </c>
    </row>
    <row r="4684" spans="1:5" x14ac:dyDescent="0.25">
      <c r="A4684" s="36" t="b">
        <v>0</v>
      </c>
      <c r="B4684" s="56" t="b">
        <v>0</v>
      </c>
      <c r="C4684" s="56" t="b">
        <v>0</v>
      </c>
      <c r="D4684" s="56" t="b">
        <v>0</v>
      </c>
      <c r="E4684" s="56">
        <f ca="1">IF(PV[[#This Row],[Business Date]]=Control!$C$6, PV[[#This Row],[Notional Value Local Cur]], -PV[[#This Row],[Notional Value Local Cur]])</f>
        <v>0</v>
      </c>
    </row>
    <row r="4685" spans="1:5" x14ac:dyDescent="0.25">
      <c r="A4685" s="36" t="b">
        <v>0</v>
      </c>
      <c r="B4685" s="56" t="b">
        <v>0</v>
      </c>
      <c r="C4685" s="56" t="b">
        <v>0</v>
      </c>
      <c r="D4685" s="56" t="b">
        <v>0</v>
      </c>
      <c r="E4685" s="56">
        <f ca="1">IF(PV[[#This Row],[Business Date]]=Control!$C$6, PV[[#This Row],[Notional Value Local Cur]], -PV[[#This Row],[Notional Value Local Cur]])</f>
        <v>0</v>
      </c>
    </row>
    <row r="4686" spans="1:5" x14ac:dyDescent="0.25">
      <c r="A4686" s="36" t="b">
        <v>0</v>
      </c>
      <c r="B4686" s="56" t="b">
        <v>0</v>
      </c>
      <c r="C4686" s="56" t="b">
        <v>0</v>
      </c>
      <c r="D4686" s="56" t="b">
        <v>0</v>
      </c>
      <c r="E4686" s="56">
        <f ca="1">IF(PV[[#This Row],[Business Date]]=Control!$C$6, PV[[#This Row],[Notional Value Local Cur]], -PV[[#This Row],[Notional Value Local Cur]])</f>
        <v>0</v>
      </c>
    </row>
    <row r="4687" spans="1:5" x14ac:dyDescent="0.25">
      <c r="A4687" s="36" t="b">
        <v>0</v>
      </c>
      <c r="B4687" s="56" t="b">
        <v>0</v>
      </c>
      <c r="C4687" s="56" t="b">
        <v>0</v>
      </c>
      <c r="D4687" s="56" t="b">
        <v>0</v>
      </c>
      <c r="E4687" s="56">
        <f ca="1">IF(PV[[#This Row],[Business Date]]=Control!$C$6, PV[[#This Row],[Notional Value Local Cur]], -PV[[#This Row],[Notional Value Local Cur]])</f>
        <v>0</v>
      </c>
    </row>
    <row r="4688" spans="1:5" x14ac:dyDescent="0.25">
      <c r="A4688" s="36" t="b">
        <v>0</v>
      </c>
      <c r="B4688" s="56" t="b">
        <v>0</v>
      </c>
      <c r="C4688" s="56" t="b">
        <v>0</v>
      </c>
      <c r="D4688" s="56" t="b">
        <v>0</v>
      </c>
      <c r="E4688" s="56">
        <f ca="1">IF(PV[[#This Row],[Business Date]]=Control!$C$6, PV[[#This Row],[Notional Value Local Cur]], -PV[[#This Row],[Notional Value Local Cur]])</f>
        <v>0</v>
      </c>
    </row>
    <row r="4689" spans="1:5" x14ac:dyDescent="0.25">
      <c r="A4689" s="36" t="b">
        <v>0</v>
      </c>
      <c r="B4689" s="56" t="b">
        <v>0</v>
      </c>
      <c r="C4689" s="56" t="b">
        <v>0</v>
      </c>
      <c r="D4689" s="56" t="b">
        <v>0</v>
      </c>
      <c r="E4689" s="56">
        <f ca="1">IF(PV[[#This Row],[Business Date]]=Control!$C$6, PV[[#This Row],[Notional Value Local Cur]], -PV[[#This Row],[Notional Value Local Cur]])</f>
        <v>0</v>
      </c>
    </row>
    <row r="4690" spans="1:5" x14ac:dyDescent="0.25">
      <c r="A4690" s="36" t="b">
        <v>0</v>
      </c>
      <c r="B4690" s="56" t="b">
        <v>0</v>
      </c>
      <c r="C4690" s="56" t="b">
        <v>0</v>
      </c>
      <c r="D4690" s="56" t="b">
        <v>0</v>
      </c>
      <c r="E4690" s="56">
        <f ca="1">IF(PV[[#This Row],[Business Date]]=Control!$C$6, PV[[#This Row],[Notional Value Local Cur]], -PV[[#This Row],[Notional Value Local Cur]])</f>
        <v>0</v>
      </c>
    </row>
    <row r="4691" spans="1:5" x14ac:dyDescent="0.25">
      <c r="A4691" s="36" t="b">
        <v>0</v>
      </c>
      <c r="B4691" s="56" t="b">
        <v>0</v>
      </c>
      <c r="C4691" s="56" t="b">
        <v>0</v>
      </c>
      <c r="D4691" s="56" t="b">
        <v>0</v>
      </c>
      <c r="E4691" s="56">
        <f ca="1">IF(PV[[#This Row],[Business Date]]=Control!$C$6, PV[[#This Row],[Notional Value Local Cur]], -PV[[#This Row],[Notional Value Local Cur]])</f>
        <v>0</v>
      </c>
    </row>
    <row r="4692" spans="1:5" x14ac:dyDescent="0.25">
      <c r="A4692" s="36" t="b">
        <v>0</v>
      </c>
      <c r="B4692" s="56" t="b">
        <v>0</v>
      </c>
      <c r="C4692" s="56" t="b">
        <v>0</v>
      </c>
      <c r="D4692" s="56" t="b">
        <v>0</v>
      </c>
      <c r="E4692" s="56">
        <f ca="1">IF(PV[[#This Row],[Business Date]]=Control!$C$6, PV[[#This Row],[Notional Value Local Cur]], -PV[[#This Row],[Notional Value Local Cur]])</f>
        <v>0</v>
      </c>
    </row>
    <row r="4693" spans="1:5" x14ac:dyDescent="0.25">
      <c r="A4693" s="36" t="b">
        <v>0</v>
      </c>
      <c r="B4693" s="56" t="b">
        <v>0</v>
      </c>
      <c r="C4693" s="56" t="b">
        <v>0</v>
      </c>
      <c r="D4693" s="56" t="b">
        <v>0</v>
      </c>
      <c r="E4693" s="56">
        <f ca="1">IF(PV[[#This Row],[Business Date]]=Control!$C$6, PV[[#This Row],[Notional Value Local Cur]], -PV[[#This Row],[Notional Value Local Cur]])</f>
        <v>0</v>
      </c>
    </row>
    <row r="4694" spans="1:5" x14ac:dyDescent="0.25">
      <c r="A4694" s="36" t="b">
        <v>0</v>
      </c>
      <c r="B4694" s="56" t="b">
        <v>0</v>
      </c>
      <c r="C4694" s="56" t="b">
        <v>0</v>
      </c>
      <c r="D4694" s="56" t="b">
        <v>0</v>
      </c>
      <c r="E4694" s="56">
        <f ca="1">IF(PV[[#This Row],[Business Date]]=Control!$C$6, PV[[#This Row],[Notional Value Local Cur]], -PV[[#This Row],[Notional Value Local Cur]])</f>
        <v>0</v>
      </c>
    </row>
    <row r="4695" spans="1:5" x14ac:dyDescent="0.25">
      <c r="A4695" s="36" t="b">
        <v>0</v>
      </c>
      <c r="B4695" s="56" t="b">
        <v>0</v>
      </c>
      <c r="C4695" s="56" t="b">
        <v>0</v>
      </c>
      <c r="D4695" s="56" t="b">
        <v>0</v>
      </c>
      <c r="E4695" s="56">
        <f ca="1">IF(PV[[#This Row],[Business Date]]=Control!$C$6, PV[[#This Row],[Notional Value Local Cur]], -PV[[#This Row],[Notional Value Local Cur]])</f>
        <v>0</v>
      </c>
    </row>
    <row r="4696" spans="1:5" x14ac:dyDescent="0.25">
      <c r="A4696" s="36" t="b">
        <v>0</v>
      </c>
      <c r="B4696" s="56" t="b">
        <v>0</v>
      </c>
      <c r="C4696" s="56" t="b">
        <v>0</v>
      </c>
      <c r="D4696" s="56" t="b">
        <v>0</v>
      </c>
      <c r="E4696" s="56">
        <f ca="1">IF(PV[[#This Row],[Business Date]]=Control!$C$6, PV[[#This Row],[Notional Value Local Cur]], -PV[[#This Row],[Notional Value Local Cur]])</f>
        <v>0</v>
      </c>
    </row>
    <row r="4697" spans="1:5" x14ac:dyDescent="0.25">
      <c r="A4697" s="36" t="b">
        <v>0</v>
      </c>
      <c r="B4697" s="56" t="b">
        <v>0</v>
      </c>
      <c r="C4697" s="56" t="b">
        <v>0</v>
      </c>
      <c r="D4697" s="56" t="b">
        <v>0</v>
      </c>
      <c r="E4697" s="56">
        <f ca="1">IF(PV[[#This Row],[Business Date]]=Control!$C$6, PV[[#This Row],[Notional Value Local Cur]], -PV[[#This Row],[Notional Value Local Cur]])</f>
        <v>0</v>
      </c>
    </row>
    <row r="4698" spans="1:5" x14ac:dyDescent="0.25">
      <c r="A4698" s="36" t="b">
        <v>0</v>
      </c>
      <c r="B4698" s="56" t="b">
        <v>0</v>
      </c>
      <c r="C4698" s="56" t="b">
        <v>0</v>
      </c>
      <c r="D4698" s="56" t="b">
        <v>0</v>
      </c>
      <c r="E4698" s="56">
        <f ca="1">IF(PV[[#This Row],[Business Date]]=Control!$C$6, PV[[#This Row],[Notional Value Local Cur]], -PV[[#This Row],[Notional Value Local Cur]])</f>
        <v>0</v>
      </c>
    </row>
    <row r="4699" spans="1:5" x14ac:dyDescent="0.25">
      <c r="A4699" s="36" t="b">
        <v>0</v>
      </c>
      <c r="B4699" s="56" t="b">
        <v>0</v>
      </c>
      <c r="C4699" s="56" t="b">
        <v>0</v>
      </c>
      <c r="D4699" s="56" t="b">
        <v>0</v>
      </c>
      <c r="E4699" s="56">
        <f ca="1">IF(PV[[#This Row],[Business Date]]=Control!$C$6, PV[[#This Row],[Notional Value Local Cur]], -PV[[#This Row],[Notional Value Local Cur]])</f>
        <v>0</v>
      </c>
    </row>
    <row r="4700" spans="1:5" x14ac:dyDescent="0.25">
      <c r="A4700" s="36" t="b">
        <v>0</v>
      </c>
      <c r="B4700" s="56" t="b">
        <v>0</v>
      </c>
      <c r="C4700" s="56" t="b">
        <v>0</v>
      </c>
      <c r="D4700" s="56" t="b">
        <v>0</v>
      </c>
      <c r="E4700" s="56">
        <f ca="1">IF(PV[[#This Row],[Business Date]]=Control!$C$6, PV[[#This Row],[Notional Value Local Cur]], -PV[[#This Row],[Notional Value Local Cur]])</f>
        <v>0</v>
      </c>
    </row>
    <row r="4701" spans="1:5" x14ac:dyDescent="0.25">
      <c r="A4701" s="36" t="b">
        <v>0</v>
      </c>
      <c r="B4701" s="56" t="b">
        <v>0</v>
      </c>
      <c r="C4701" s="56" t="b">
        <v>0</v>
      </c>
      <c r="D4701" s="56" t="b">
        <v>0</v>
      </c>
      <c r="E4701" s="56">
        <f ca="1">IF(PV[[#This Row],[Business Date]]=Control!$C$6, PV[[#This Row],[Notional Value Local Cur]], -PV[[#This Row],[Notional Value Local Cur]])</f>
        <v>0</v>
      </c>
    </row>
    <row r="4702" spans="1:5" x14ac:dyDescent="0.25">
      <c r="A4702" s="36" t="b">
        <v>0</v>
      </c>
      <c r="B4702" s="56" t="b">
        <v>0</v>
      </c>
      <c r="C4702" s="56" t="b">
        <v>0</v>
      </c>
      <c r="D4702" s="56" t="b">
        <v>0</v>
      </c>
      <c r="E4702" s="56">
        <f ca="1">IF(PV[[#This Row],[Business Date]]=Control!$C$6, PV[[#This Row],[Notional Value Local Cur]], -PV[[#This Row],[Notional Value Local Cur]])</f>
        <v>0</v>
      </c>
    </row>
    <row r="4703" spans="1:5" x14ac:dyDescent="0.25">
      <c r="A4703" s="36" t="b">
        <v>0</v>
      </c>
      <c r="B4703" s="56" t="b">
        <v>0</v>
      </c>
      <c r="C4703" s="56" t="b">
        <v>0</v>
      </c>
      <c r="D4703" s="56" t="b">
        <v>0</v>
      </c>
      <c r="E4703" s="56">
        <f ca="1">IF(PV[[#This Row],[Business Date]]=Control!$C$6, PV[[#This Row],[Notional Value Local Cur]], -PV[[#This Row],[Notional Value Local Cur]])</f>
        <v>0</v>
      </c>
    </row>
    <row r="4704" spans="1:5" x14ac:dyDescent="0.25">
      <c r="A4704" s="36" t="b">
        <v>0</v>
      </c>
      <c r="B4704" s="56" t="b">
        <v>0</v>
      </c>
      <c r="C4704" s="56" t="b">
        <v>0</v>
      </c>
      <c r="D4704" s="56" t="b">
        <v>0</v>
      </c>
      <c r="E4704" s="56">
        <f ca="1">IF(PV[[#This Row],[Business Date]]=Control!$C$6, PV[[#This Row],[Notional Value Local Cur]], -PV[[#This Row],[Notional Value Local Cur]])</f>
        <v>0</v>
      </c>
    </row>
    <row r="4705" spans="1:5" x14ac:dyDescent="0.25">
      <c r="A4705" s="36" t="b">
        <v>0</v>
      </c>
      <c r="B4705" s="56" t="b">
        <v>0</v>
      </c>
      <c r="C4705" s="56" t="b">
        <v>0</v>
      </c>
      <c r="D4705" s="56" t="b">
        <v>0</v>
      </c>
      <c r="E4705" s="56">
        <f ca="1">IF(PV[[#This Row],[Business Date]]=Control!$C$6, PV[[#This Row],[Notional Value Local Cur]], -PV[[#This Row],[Notional Value Local Cur]])</f>
        <v>0</v>
      </c>
    </row>
    <row r="4706" spans="1:5" x14ac:dyDescent="0.25">
      <c r="A4706" s="36" t="b">
        <v>0</v>
      </c>
      <c r="B4706" s="56" t="b">
        <v>0</v>
      </c>
      <c r="C4706" s="56" t="b">
        <v>0</v>
      </c>
      <c r="D4706" s="56" t="b">
        <v>0</v>
      </c>
      <c r="E4706" s="56">
        <f ca="1">IF(PV[[#This Row],[Business Date]]=Control!$C$6, PV[[#This Row],[Notional Value Local Cur]], -PV[[#This Row],[Notional Value Local Cur]])</f>
        <v>0</v>
      </c>
    </row>
    <row r="4707" spans="1:5" x14ac:dyDescent="0.25">
      <c r="A4707" s="36" t="b">
        <v>0</v>
      </c>
      <c r="B4707" s="56" t="b">
        <v>0</v>
      </c>
      <c r="C4707" s="56" t="b">
        <v>0</v>
      </c>
      <c r="D4707" s="56" t="b">
        <v>0</v>
      </c>
      <c r="E4707" s="56">
        <f ca="1">IF(PV[[#This Row],[Business Date]]=Control!$C$6, PV[[#This Row],[Notional Value Local Cur]], -PV[[#This Row],[Notional Value Local Cur]])</f>
        <v>0</v>
      </c>
    </row>
    <row r="4708" spans="1:5" x14ac:dyDescent="0.25">
      <c r="A4708" s="36" t="b">
        <v>0</v>
      </c>
      <c r="B4708" s="56" t="b">
        <v>0</v>
      </c>
      <c r="C4708" s="56" t="b">
        <v>0</v>
      </c>
      <c r="D4708" s="56" t="b">
        <v>0</v>
      </c>
      <c r="E4708" s="56">
        <f ca="1">IF(PV[[#This Row],[Business Date]]=Control!$C$6, PV[[#This Row],[Notional Value Local Cur]], -PV[[#This Row],[Notional Value Local Cur]])</f>
        <v>0</v>
      </c>
    </row>
    <row r="4709" spans="1:5" x14ac:dyDescent="0.25">
      <c r="A4709" s="36" t="b">
        <v>0</v>
      </c>
      <c r="B4709" s="56" t="b">
        <v>0</v>
      </c>
      <c r="C4709" s="56" t="b">
        <v>0</v>
      </c>
      <c r="D4709" s="56" t="b">
        <v>0</v>
      </c>
      <c r="E4709" s="56">
        <f ca="1">IF(PV[[#This Row],[Business Date]]=Control!$C$6, PV[[#This Row],[Notional Value Local Cur]], -PV[[#This Row],[Notional Value Local Cur]])</f>
        <v>0</v>
      </c>
    </row>
    <row r="4710" spans="1:5" x14ac:dyDescent="0.25">
      <c r="A4710" s="36" t="b">
        <v>0</v>
      </c>
      <c r="B4710" s="56" t="b">
        <v>0</v>
      </c>
      <c r="C4710" s="56" t="b">
        <v>0</v>
      </c>
      <c r="D4710" s="56" t="b">
        <v>0</v>
      </c>
      <c r="E4710" s="56">
        <f ca="1">IF(PV[[#This Row],[Business Date]]=Control!$C$6, PV[[#This Row],[Notional Value Local Cur]], -PV[[#This Row],[Notional Value Local Cur]])</f>
        <v>0</v>
      </c>
    </row>
    <row r="4711" spans="1:5" x14ac:dyDescent="0.25">
      <c r="A4711" s="36" t="b">
        <v>0</v>
      </c>
      <c r="B4711" s="56" t="b">
        <v>0</v>
      </c>
      <c r="C4711" s="56" t="b">
        <v>0</v>
      </c>
      <c r="D4711" s="56" t="b">
        <v>0</v>
      </c>
      <c r="E4711" s="56">
        <f ca="1">IF(PV[[#This Row],[Business Date]]=Control!$C$6, PV[[#This Row],[Notional Value Local Cur]], -PV[[#This Row],[Notional Value Local Cur]])</f>
        <v>0</v>
      </c>
    </row>
    <row r="4712" spans="1:5" x14ac:dyDescent="0.25">
      <c r="A4712" s="36" t="b">
        <v>0</v>
      </c>
      <c r="B4712" s="56" t="b">
        <v>0</v>
      </c>
      <c r="C4712" s="56" t="b">
        <v>0</v>
      </c>
      <c r="D4712" s="56" t="b">
        <v>0</v>
      </c>
      <c r="E4712" s="56">
        <f ca="1">IF(PV[[#This Row],[Business Date]]=Control!$C$6, PV[[#This Row],[Notional Value Local Cur]], -PV[[#This Row],[Notional Value Local Cur]])</f>
        <v>0</v>
      </c>
    </row>
    <row r="4713" spans="1:5" x14ac:dyDescent="0.25">
      <c r="A4713" s="36" t="b">
        <v>0</v>
      </c>
      <c r="B4713" s="56" t="b">
        <v>0</v>
      </c>
      <c r="C4713" s="56" t="b">
        <v>0</v>
      </c>
      <c r="D4713" s="56" t="b">
        <v>0</v>
      </c>
      <c r="E4713" s="56">
        <f ca="1">IF(PV[[#This Row],[Business Date]]=Control!$C$6, PV[[#This Row],[Notional Value Local Cur]], -PV[[#This Row],[Notional Value Local Cur]])</f>
        <v>0</v>
      </c>
    </row>
    <row r="4714" spans="1:5" x14ac:dyDescent="0.25">
      <c r="A4714" s="36" t="b">
        <v>0</v>
      </c>
      <c r="B4714" s="56" t="b">
        <v>0</v>
      </c>
      <c r="C4714" s="56" t="b">
        <v>0</v>
      </c>
      <c r="D4714" s="56" t="b">
        <v>0</v>
      </c>
      <c r="E4714" s="56">
        <f ca="1">IF(PV[[#This Row],[Business Date]]=Control!$C$6, PV[[#This Row],[Notional Value Local Cur]], -PV[[#This Row],[Notional Value Local Cur]])</f>
        <v>0</v>
      </c>
    </row>
    <row r="4715" spans="1:5" x14ac:dyDescent="0.25">
      <c r="A4715" s="36" t="b">
        <v>0</v>
      </c>
      <c r="B4715" s="56" t="b">
        <v>0</v>
      </c>
      <c r="C4715" s="56" t="b">
        <v>0</v>
      </c>
      <c r="D4715" s="56" t="b">
        <v>0</v>
      </c>
      <c r="E4715" s="56">
        <f ca="1">IF(PV[[#This Row],[Business Date]]=Control!$C$6, PV[[#This Row],[Notional Value Local Cur]], -PV[[#This Row],[Notional Value Local Cur]])</f>
        <v>0</v>
      </c>
    </row>
    <row r="4716" spans="1:5" x14ac:dyDescent="0.25">
      <c r="A4716" s="36" t="b">
        <v>0</v>
      </c>
      <c r="B4716" s="56" t="b">
        <v>0</v>
      </c>
      <c r="C4716" s="56" t="b">
        <v>0</v>
      </c>
      <c r="D4716" s="56" t="b">
        <v>0</v>
      </c>
      <c r="E4716" s="56">
        <f ca="1">IF(PV[[#This Row],[Business Date]]=Control!$C$6, PV[[#This Row],[Notional Value Local Cur]], -PV[[#This Row],[Notional Value Local Cur]])</f>
        <v>0</v>
      </c>
    </row>
    <row r="4717" spans="1:5" x14ac:dyDescent="0.25">
      <c r="A4717" s="36" t="b">
        <v>0</v>
      </c>
      <c r="B4717" s="56" t="b">
        <v>0</v>
      </c>
      <c r="C4717" s="56" t="b">
        <v>0</v>
      </c>
      <c r="D4717" s="56" t="b">
        <v>0</v>
      </c>
      <c r="E4717" s="56">
        <f ca="1">IF(PV[[#This Row],[Business Date]]=Control!$C$6, PV[[#This Row],[Notional Value Local Cur]], -PV[[#This Row],[Notional Value Local Cur]])</f>
        <v>0</v>
      </c>
    </row>
    <row r="4718" spans="1:5" x14ac:dyDescent="0.25">
      <c r="A4718" s="36" t="b">
        <v>0</v>
      </c>
      <c r="B4718" s="56" t="b">
        <v>0</v>
      </c>
      <c r="C4718" s="56" t="b">
        <v>0</v>
      </c>
      <c r="D4718" s="56" t="b">
        <v>0</v>
      </c>
      <c r="E4718" s="56">
        <f ca="1">IF(PV[[#This Row],[Business Date]]=Control!$C$6, PV[[#This Row],[Notional Value Local Cur]], -PV[[#This Row],[Notional Value Local Cur]])</f>
        <v>0</v>
      </c>
    </row>
    <row r="4719" spans="1:5" x14ac:dyDescent="0.25">
      <c r="A4719" s="36" t="b">
        <v>0</v>
      </c>
      <c r="B4719" s="56" t="b">
        <v>0</v>
      </c>
      <c r="C4719" s="56" t="b">
        <v>0</v>
      </c>
      <c r="D4719" s="56" t="b">
        <v>0</v>
      </c>
      <c r="E4719" s="56">
        <f ca="1">IF(PV[[#This Row],[Business Date]]=Control!$C$6, PV[[#This Row],[Notional Value Local Cur]], -PV[[#This Row],[Notional Value Local Cur]])</f>
        <v>0</v>
      </c>
    </row>
    <row r="4720" spans="1:5" x14ac:dyDescent="0.25">
      <c r="A4720" s="36" t="b">
        <v>0</v>
      </c>
      <c r="B4720" s="56" t="b">
        <v>0</v>
      </c>
      <c r="C4720" s="56" t="b">
        <v>0</v>
      </c>
      <c r="D4720" s="56" t="b">
        <v>0</v>
      </c>
      <c r="E4720" s="56">
        <f ca="1">IF(PV[[#This Row],[Business Date]]=Control!$C$6, PV[[#This Row],[Notional Value Local Cur]], -PV[[#This Row],[Notional Value Local Cur]])</f>
        <v>0</v>
      </c>
    </row>
    <row r="4721" spans="1:5" x14ac:dyDescent="0.25">
      <c r="A4721" s="36" t="b">
        <v>0</v>
      </c>
      <c r="B4721" s="56" t="b">
        <v>0</v>
      </c>
      <c r="C4721" s="56" t="b">
        <v>0</v>
      </c>
      <c r="D4721" s="56" t="b">
        <v>0</v>
      </c>
      <c r="E4721" s="56">
        <f ca="1">IF(PV[[#This Row],[Business Date]]=Control!$C$6, PV[[#This Row],[Notional Value Local Cur]], -PV[[#This Row],[Notional Value Local Cur]])</f>
        <v>0</v>
      </c>
    </row>
    <row r="4722" spans="1:5" x14ac:dyDescent="0.25">
      <c r="A4722" s="36" t="b">
        <v>0</v>
      </c>
      <c r="B4722" s="56" t="b">
        <v>0</v>
      </c>
      <c r="C4722" s="56" t="b">
        <v>0</v>
      </c>
      <c r="D4722" s="56" t="b">
        <v>0</v>
      </c>
      <c r="E4722" s="56">
        <f ca="1">IF(PV[[#This Row],[Business Date]]=Control!$C$6, PV[[#This Row],[Notional Value Local Cur]], -PV[[#This Row],[Notional Value Local Cur]])</f>
        <v>0</v>
      </c>
    </row>
    <row r="4723" spans="1:5" x14ac:dyDescent="0.25">
      <c r="A4723" s="36" t="b">
        <v>0</v>
      </c>
      <c r="B4723" s="56" t="b">
        <v>0</v>
      </c>
      <c r="C4723" s="56" t="b">
        <v>0</v>
      </c>
      <c r="D4723" s="56" t="b">
        <v>0</v>
      </c>
      <c r="E4723" s="56">
        <f ca="1">IF(PV[[#This Row],[Business Date]]=Control!$C$6, PV[[#This Row],[Notional Value Local Cur]], -PV[[#This Row],[Notional Value Local Cur]])</f>
        <v>0</v>
      </c>
    </row>
    <row r="4724" spans="1:5" x14ac:dyDescent="0.25">
      <c r="A4724" s="36" t="b">
        <v>0</v>
      </c>
      <c r="B4724" s="56" t="b">
        <v>0</v>
      </c>
      <c r="C4724" s="56" t="b">
        <v>0</v>
      </c>
      <c r="D4724" s="56" t="b">
        <v>0</v>
      </c>
      <c r="E4724" s="56">
        <f ca="1">IF(PV[[#This Row],[Business Date]]=Control!$C$6, PV[[#This Row],[Notional Value Local Cur]], -PV[[#This Row],[Notional Value Local Cur]])</f>
        <v>0</v>
      </c>
    </row>
    <row r="4725" spans="1:5" x14ac:dyDescent="0.25">
      <c r="A4725" s="36" t="b">
        <v>0</v>
      </c>
      <c r="B4725" s="56" t="b">
        <v>0</v>
      </c>
      <c r="C4725" s="56" t="b">
        <v>0</v>
      </c>
      <c r="D4725" s="56" t="b">
        <v>0</v>
      </c>
      <c r="E4725" s="56">
        <f ca="1">IF(PV[[#This Row],[Business Date]]=Control!$C$6, PV[[#This Row],[Notional Value Local Cur]], -PV[[#This Row],[Notional Value Local Cur]])</f>
        <v>0</v>
      </c>
    </row>
    <row r="4726" spans="1:5" x14ac:dyDescent="0.25">
      <c r="A4726" s="36" t="b">
        <v>0</v>
      </c>
      <c r="B4726" s="56" t="b">
        <v>0</v>
      </c>
      <c r="C4726" s="56" t="b">
        <v>0</v>
      </c>
      <c r="D4726" s="56" t="b">
        <v>0</v>
      </c>
      <c r="E4726" s="56">
        <f ca="1">IF(PV[[#This Row],[Business Date]]=Control!$C$6, PV[[#This Row],[Notional Value Local Cur]], -PV[[#This Row],[Notional Value Local Cur]])</f>
        <v>0</v>
      </c>
    </row>
    <row r="4727" spans="1:5" x14ac:dyDescent="0.25">
      <c r="A4727" s="36" t="b">
        <v>0</v>
      </c>
      <c r="B4727" s="56" t="b">
        <v>0</v>
      </c>
      <c r="C4727" s="56" t="b">
        <v>0</v>
      </c>
      <c r="D4727" s="56" t="b">
        <v>0</v>
      </c>
      <c r="E4727" s="56">
        <f ca="1">IF(PV[[#This Row],[Business Date]]=Control!$C$6, PV[[#This Row],[Notional Value Local Cur]], -PV[[#This Row],[Notional Value Local Cur]])</f>
        <v>0</v>
      </c>
    </row>
    <row r="4728" spans="1:5" x14ac:dyDescent="0.25">
      <c r="A4728" s="36" t="b">
        <v>0</v>
      </c>
      <c r="B4728" s="56" t="b">
        <v>0</v>
      </c>
      <c r="C4728" s="56" t="b">
        <v>0</v>
      </c>
      <c r="D4728" s="56" t="b">
        <v>0</v>
      </c>
      <c r="E4728" s="56">
        <f ca="1">IF(PV[[#This Row],[Business Date]]=Control!$C$6, PV[[#This Row],[Notional Value Local Cur]], -PV[[#This Row],[Notional Value Local Cur]])</f>
        <v>0</v>
      </c>
    </row>
    <row r="4729" spans="1:5" x14ac:dyDescent="0.25">
      <c r="A4729" s="36" t="b">
        <v>0</v>
      </c>
      <c r="B4729" s="56" t="b">
        <v>0</v>
      </c>
      <c r="C4729" s="56" t="b">
        <v>0</v>
      </c>
      <c r="D4729" s="56" t="b">
        <v>0</v>
      </c>
      <c r="E4729" s="56">
        <f ca="1">IF(PV[[#This Row],[Business Date]]=Control!$C$6, PV[[#This Row],[Notional Value Local Cur]], -PV[[#This Row],[Notional Value Local Cur]])</f>
        <v>0</v>
      </c>
    </row>
    <row r="4730" spans="1:5" x14ac:dyDescent="0.25">
      <c r="A4730" s="36" t="b">
        <v>0</v>
      </c>
      <c r="B4730" s="56" t="b">
        <v>0</v>
      </c>
      <c r="C4730" s="56" t="b">
        <v>0</v>
      </c>
      <c r="D4730" s="56" t="b">
        <v>0</v>
      </c>
      <c r="E4730" s="56">
        <f ca="1">IF(PV[[#This Row],[Business Date]]=Control!$C$6, PV[[#This Row],[Notional Value Local Cur]], -PV[[#This Row],[Notional Value Local Cur]])</f>
        <v>0</v>
      </c>
    </row>
    <row r="4731" spans="1:5" x14ac:dyDescent="0.25">
      <c r="A4731" s="36" t="b">
        <v>0</v>
      </c>
      <c r="B4731" s="56" t="b">
        <v>0</v>
      </c>
      <c r="C4731" s="56" t="b">
        <v>0</v>
      </c>
      <c r="D4731" s="56" t="b">
        <v>0</v>
      </c>
      <c r="E4731" s="56">
        <f ca="1">IF(PV[[#This Row],[Business Date]]=Control!$C$6, PV[[#This Row],[Notional Value Local Cur]], -PV[[#This Row],[Notional Value Local Cur]])</f>
        <v>0</v>
      </c>
    </row>
    <row r="4732" spans="1:5" x14ac:dyDescent="0.25">
      <c r="A4732" s="36" t="b">
        <v>0</v>
      </c>
      <c r="B4732" s="56" t="b">
        <v>0</v>
      </c>
      <c r="C4732" s="56" t="b">
        <v>0</v>
      </c>
      <c r="D4732" s="56" t="b">
        <v>0</v>
      </c>
      <c r="E4732" s="56">
        <f ca="1">IF(PV[[#This Row],[Business Date]]=Control!$C$6, PV[[#This Row],[Notional Value Local Cur]], -PV[[#This Row],[Notional Value Local Cur]])</f>
        <v>0</v>
      </c>
    </row>
    <row r="4733" spans="1:5" x14ac:dyDescent="0.25">
      <c r="A4733" s="36" t="b">
        <v>0</v>
      </c>
      <c r="B4733" s="56" t="b">
        <v>0</v>
      </c>
      <c r="C4733" s="56" t="b">
        <v>0</v>
      </c>
      <c r="D4733" s="56" t="b">
        <v>0</v>
      </c>
      <c r="E4733" s="56">
        <f ca="1">IF(PV[[#This Row],[Business Date]]=Control!$C$6, PV[[#This Row],[Notional Value Local Cur]], -PV[[#This Row],[Notional Value Local Cur]])</f>
        <v>0</v>
      </c>
    </row>
    <row r="4734" spans="1:5" x14ac:dyDescent="0.25">
      <c r="A4734" s="36" t="b">
        <v>0</v>
      </c>
      <c r="B4734" s="56" t="b">
        <v>0</v>
      </c>
      <c r="C4734" s="56" t="b">
        <v>0</v>
      </c>
      <c r="D4734" s="56" t="b">
        <v>0</v>
      </c>
      <c r="E4734" s="56">
        <f ca="1">IF(PV[[#This Row],[Business Date]]=Control!$C$6, PV[[#This Row],[Notional Value Local Cur]], -PV[[#This Row],[Notional Value Local Cur]])</f>
        <v>0</v>
      </c>
    </row>
    <row r="4735" spans="1:5" x14ac:dyDescent="0.25">
      <c r="A4735" s="36" t="b">
        <v>0</v>
      </c>
      <c r="B4735" s="56" t="b">
        <v>0</v>
      </c>
      <c r="C4735" s="56" t="b">
        <v>0</v>
      </c>
      <c r="D4735" s="56" t="b">
        <v>0</v>
      </c>
      <c r="E4735" s="56">
        <f ca="1">IF(PV[[#This Row],[Business Date]]=Control!$C$6, PV[[#This Row],[Notional Value Local Cur]], -PV[[#This Row],[Notional Value Local Cur]])</f>
        <v>0</v>
      </c>
    </row>
    <row r="4736" spans="1:5" x14ac:dyDescent="0.25">
      <c r="A4736" s="36" t="b">
        <v>0</v>
      </c>
      <c r="B4736" s="56" t="b">
        <v>0</v>
      </c>
      <c r="C4736" s="56" t="b">
        <v>0</v>
      </c>
      <c r="D4736" s="56" t="b">
        <v>0</v>
      </c>
      <c r="E4736" s="56">
        <f ca="1">IF(PV[[#This Row],[Business Date]]=Control!$C$6, PV[[#This Row],[Notional Value Local Cur]], -PV[[#This Row],[Notional Value Local Cur]])</f>
        <v>0</v>
      </c>
    </row>
    <row r="4737" spans="1:5" x14ac:dyDescent="0.25">
      <c r="A4737" s="36" t="b">
        <v>0</v>
      </c>
      <c r="B4737" s="56" t="b">
        <v>0</v>
      </c>
      <c r="C4737" s="56" t="b">
        <v>0</v>
      </c>
      <c r="D4737" s="56" t="b">
        <v>0</v>
      </c>
      <c r="E4737" s="56">
        <f ca="1">IF(PV[[#This Row],[Business Date]]=Control!$C$6, PV[[#This Row],[Notional Value Local Cur]], -PV[[#This Row],[Notional Value Local Cur]])</f>
        <v>0</v>
      </c>
    </row>
    <row r="4738" spans="1:5" x14ac:dyDescent="0.25">
      <c r="A4738" s="36" t="b">
        <v>0</v>
      </c>
      <c r="B4738" s="56" t="b">
        <v>0</v>
      </c>
      <c r="C4738" s="56" t="b">
        <v>0</v>
      </c>
      <c r="D4738" s="56" t="b">
        <v>0</v>
      </c>
      <c r="E4738" s="56">
        <f ca="1">IF(PV[[#This Row],[Business Date]]=Control!$C$6, PV[[#This Row],[Notional Value Local Cur]], -PV[[#This Row],[Notional Value Local Cur]])</f>
        <v>0</v>
      </c>
    </row>
    <row r="4739" spans="1:5" x14ac:dyDescent="0.25">
      <c r="A4739" s="36" t="b">
        <v>0</v>
      </c>
      <c r="B4739" s="56" t="b">
        <v>0</v>
      </c>
      <c r="C4739" s="56" t="b">
        <v>0</v>
      </c>
      <c r="D4739" s="56" t="b">
        <v>0</v>
      </c>
      <c r="E4739" s="56">
        <f ca="1">IF(PV[[#This Row],[Business Date]]=Control!$C$6, PV[[#This Row],[Notional Value Local Cur]], -PV[[#This Row],[Notional Value Local Cur]])</f>
        <v>0</v>
      </c>
    </row>
    <row r="4740" spans="1:5" x14ac:dyDescent="0.25">
      <c r="A4740" s="36" t="b">
        <v>0</v>
      </c>
      <c r="B4740" s="56" t="b">
        <v>0</v>
      </c>
      <c r="C4740" s="56" t="b">
        <v>0</v>
      </c>
      <c r="D4740" s="56" t="b">
        <v>0</v>
      </c>
      <c r="E4740" s="56">
        <f ca="1">IF(PV[[#This Row],[Business Date]]=Control!$C$6, PV[[#This Row],[Notional Value Local Cur]], -PV[[#This Row],[Notional Value Local Cur]])</f>
        <v>0</v>
      </c>
    </row>
    <row r="4741" spans="1:5" x14ac:dyDescent="0.25">
      <c r="A4741" s="36" t="b">
        <v>0</v>
      </c>
      <c r="B4741" s="56" t="b">
        <v>0</v>
      </c>
      <c r="C4741" s="56" t="b">
        <v>0</v>
      </c>
      <c r="D4741" s="56" t="b">
        <v>0</v>
      </c>
      <c r="E4741" s="56">
        <f ca="1">IF(PV[[#This Row],[Business Date]]=Control!$C$6, PV[[#This Row],[Notional Value Local Cur]], -PV[[#This Row],[Notional Value Local Cur]])</f>
        <v>0</v>
      </c>
    </row>
    <row r="4742" spans="1:5" x14ac:dyDescent="0.25">
      <c r="A4742" s="36" t="b">
        <v>0</v>
      </c>
      <c r="B4742" s="56" t="b">
        <v>0</v>
      </c>
      <c r="C4742" s="56" t="b">
        <v>0</v>
      </c>
      <c r="D4742" s="56" t="b">
        <v>0</v>
      </c>
      <c r="E4742" s="56">
        <f ca="1">IF(PV[[#This Row],[Business Date]]=Control!$C$6, PV[[#This Row],[Notional Value Local Cur]], -PV[[#This Row],[Notional Value Local Cur]])</f>
        <v>0</v>
      </c>
    </row>
    <row r="4743" spans="1:5" x14ac:dyDescent="0.25">
      <c r="A4743" s="36" t="b">
        <v>0</v>
      </c>
      <c r="B4743" s="56" t="b">
        <v>0</v>
      </c>
      <c r="C4743" s="56" t="b">
        <v>0</v>
      </c>
      <c r="D4743" s="56" t="b">
        <v>0</v>
      </c>
      <c r="E4743" s="56">
        <f ca="1">IF(PV[[#This Row],[Business Date]]=Control!$C$6, PV[[#This Row],[Notional Value Local Cur]], -PV[[#This Row],[Notional Value Local Cur]])</f>
        <v>0</v>
      </c>
    </row>
    <row r="4744" spans="1:5" x14ac:dyDescent="0.25">
      <c r="A4744" s="36" t="b">
        <v>0</v>
      </c>
      <c r="B4744" s="56" t="b">
        <v>0</v>
      </c>
      <c r="C4744" s="56" t="b">
        <v>0</v>
      </c>
      <c r="D4744" s="56" t="b">
        <v>0</v>
      </c>
      <c r="E4744" s="56">
        <f ca="1">IF(PV[[#This Row],[Business Date]]=Control!$C$6, PV[[#This Row],[Notional Value Local Cur]], -PV[[#This Row],[Notional Value Local Cur]])</f>
        <v>0</v>
      </c>
    </row>
    <row r="4745" spans="1:5" x14ac:dyDescent="0.25">
      <c r="A4745" s="36" t="b">
        <v>0</v>
      </c>
      <c r="B4745" s="56" t="b">
        <v>0</v>
      </c>
      <c r="C4745" s="56" t="b">
        <v>0</v>
      </c>
      <c r="D4745" s="56" t="b">
        <v>0</v>
      </c>
      <c r="E4745" s="56">
        <f ca="1">IF(PV[[#This Row],[Business Date]]=Control!$C$6, PV[[#This Row],[Notional Value Local Cur]], -PV[[#This Row],[Notional Value Local Cur]])</f>
        <v>0</v>
      </c>
    </row>
    <row r="4746" spans="1:5" x14ac:dyDescent="0.25">
      <c r="A4746" s="36" t="b">
        <v>0</v>
      </c>
      <c r="B4746" s="56" t="b">
        <v>0</v>
      </c>
      <c r="C4746" s="56" t="b">
        <v>0</v>
      </c>
      <c r="D4746" s="56" t="b">
        <v>0</v>
      </c>
      <c r="E4746" s="56">
        <f ca="1">IF(PV[[#This Row],[Business Date]]=Control!$C$6, PV[[#This Row],[Notional Value Local Cur]], -PV[[#This Row],[Notional Value Local Cur]])</f>
        <v>0</v>
      </c>
    </row>
    <row r="4747" spans="1:5" x14ac:dyDescent="0.25">
      <c r="A4747" s="36" t="b">
        <v>0</v>
      </c>
      <c r="B4747" s="56" t="b">
        <v>0</v>
      </c>
      <c r="C4747" s="56" t="b">
        <v>0</v>
      </c>
      <c r="D4747" s="56" t="b">
        <v>0</v>
      </c>
      <c r="E4747" s="56">
        <f ca="1">IF(PV[[#This Row],[Business Date]]=Control!$C$6, PV[[#This Row],[Notional Value Local Cur]], -PV[[#This Row],[Notional Value Local Cur]])</f>
        <v>0</v>
      </c>
    </row>
    <row r="4748" spans="1:5" x14ac:dyDescent="0.25">
      <c r="A4748" s="36" t="b">
        <v>0</v>
      </c>
      <c r="B4748" s="56" t="b">
        <v>0</v>
      </c>
      <c r="C4748" s="56" t="b">
        <v>0</v>
      </c>
      <c r="D4748" s="56" t="b">
        <v>0</v>
      </c>
      <c r="E4748" s="56">
        <f ca="1">IF(PV[[#This Row],[Business Date]]=Control!$C$6, PV[[#This Row],[Notional Value Local Cur]], -PV[[#This Row],[Notional Value Local Cur]])</f>
        <v>0</v>
      </c>
    </row>
    <row r="4749" spans="1:5" x14ac:dyDescent="0.25">
      <c r="A4749" s="36" t="b">
        <v>0</v>
      </c>
      <c r="B4749" s="56" t="b">
        <v>0</v>
      </c>
      <c r="C4749" s="56" t="b">
        <v>0</v>
      </c>
      <c r="D4749" s="56" t="b">
        <v>0</v>
      </c>
      <c r="E4749" s="56">
        <f ca="1">IF(PV[[#This Row],[Business Date]]=Control!$C$6, PV[[#This Row],[Notional Value Local Cur]], -PV[[#This Row],[Notional Value Local Cur]])</f>
        <v>0</v>
      </c>
    </row>
    <row r="4750" spans="1:5" x14ac:dyDescent="0.25">
      <c r="A4750" s="36" t="b">
        <v>0</v>
      </c>
      <c r="B4750" s="56" t="b">
        <v>0</v>
      </c>
      <c r="C4750" s="56" t="b">
        <v>0</v>
      </c>
      <c r="D4750" s="56" t="b">
        <v>0</v>
      </c>
      <c r="E4750" s="56">
        <f ca="1">IF(PV[[#This Row],[Business Date]]=Control!$C$6, PV[[#This Row],[Notional Value Local Cur]], -PV[[#This Row],[Notional Value Local Cur]])</f>
        <v>0</v>
      </c>
    </row>
    <row r="4751" spans="1:5" x14ac:dyDescent="0.25">
      <c r="A4751" s="36" t="b">
        <v>0</v>
      </c>
      <c r="B4751" s="56" t="b">
        <v>0</v>
      </c>
      <c r="C4751" s="56" t="b">
        <v>0</v>
      </c>
      <c r="D4751" s="56" t="b">
        <v>0</v>
      </c>
      <c r="E4751" s="56">
        <f ca="1">IF(PV[[#This Row],[Business Date]]=Control!$C$6, PV[[#This Row],[Notional Value Local Cur]], -PV[[#This Row],[Notional Value Local Cur]])</f>
        <v>0</v>
      </c>
    </row>
    <row r="4752" spans="1:5" x14ac:dyDescent="0.25">
      <c r="A4752" s="36" t="b">
        <v>0</v>
      </c>
      <c r="B4752" s="56" t="b">
        <v>0</v>
      </c>
      <c r="C4752" s="56" t="b">
        <v>0</v>
      </c>
      <c r="D4752" s="56" t="b">
        <v>0</v>
      </c>
      <c r="E4752" s="56">
        <f ca="1">IF(PV[[#This Row],[Business Date]]=Control!$C$6, PV[[#This Row],[Notional Value Local Cur]], -PV[[#This Row],[Notional Value Local Cur]])</f>
        <v>0</v>
      </c>
    </row>
    <row r="4753" spans="1:5" x14ac:dyDescent="0.25">
      <c r="A4753" s="36" t="b">
        <v>0</v>
      </c>
      <c r="B4753" s="56" t="b">
        <v>0</v>
      </c>
      <c r="C4753" s="56" t="b">
        <v>0</v>
      </c>
      <c r="D4753" s="56" t="b">
        <v>0</v>
      </c>
      <c r="E4753" s="56">
        <f ca="1">IF(PV[[#This Row],[Business Date]]=Control!$C$6, PV[[#This Row],[Notional Value Local Cur]], -PV[[#This Row],[Notional Value Local Cur]])</f>
        <v>0</v>
      </c>
    </row>
    <row r="4754" spans="1:5" x14ac:dyDescent="0.25">
      <c r="A4754" s="36" t="b">
        <v>0</v>
      </c>
      <c r="B4754" s="56" t="b">
        <v>0</v>
      </c>
      <c r="C4754" s="56" t="b">
        <v>0</v>
      </c>
      <c r="D4754" s="56" t="b">
        <v>0</v>
      </c>
      <c r="E4754" s="56">
        <f ca="1">IF(PV[[#This Row],[Business Date]]=Control!$C$6, PV[[#This Row],[Notional Value Local Cur]], -PV[[#This Row],[Notional Value Local Cur]])</f>
        <v>0</v>
      </c>
    </row>
    <row r="4755" spans="1:5" x14ac:dyDescent="0.25">
      <c r="A4755" s="36" t="b">
        <v>0</v>
      </c>
      <c r="B4755" s="56" t="b">
        <v>0</v>
      </c>
      <c r="C4755" s="56" t="b">
        <v>0</v>
      </c>
      <c r="D4755" s="56" t="b">
        <v>0</v>
      </c>
      <c r="E4755" s="56">
        <f ca="1">IF(PV[[#This Row],[Business Date]]=Control!$C$6, PV[[#This Row],[Notional Value Local Cur]], -PV[[#This Row],[Notional Value Local Cur]])</f>
        <v>0</v>
      </c>
    </row>
    <row r="4756" spans="1:5" x14ac:dyDescent="0.25">
      <c r="A4756" s="36" t="b">
        <v>0</v>
      </c>
      <c r="B4756" s="56" t="b">
        <v>0</v>
      </c>
      <c r="C4756" s="56" t="b">
        <v>0</v>
      </c>
      <c r="D4756" s="56" t="b">
        <v>0</v>
      </c>
      <c r="E4756" s="56">
        <f ca="1">IF(PV[[#This Row],[Business Date]]=Control!$C$6, PV[[#This Row],[Notional Value Local Cur]], -PV[[#This Row],[Notional Value Local Cur]])</f>
        <v>0</v>
      </c>
    </row>
    <row r="4757" spans="1:5" x14ac:dyDescent="0.25">
      <c r="A4757" s="36" t="b">
        <v>0</v>
      </c>
      <c r="B4757" s="56" t="b">
        <v>0</v>
      </c>
      <c r="C4757" s="56" t="b">
        <v>0</v>
      </c>
      <c r="D4757" s="56" t="b">
        <v>0</v>
      </c>
      <c r="E4757" s="56">
        <f ca="1">IF(PV[[#This Row],[Business Date]]=Control!$C$6, PV[[#This Row],[Notional Value Local Cur]], -PV[[#This Row],[Notional Value Local Cur]])</f>
        <v>0</v>
      </c>
    </row>
    <row r="4758" spans="1:5" x14ac:dyDescent="0.25">
      <c r="A4758" s="36" t="b">
        <v>0</v>
      </c>
      <c r="B4758" s="56" t="b">
        <v>0</v>
      </c>
      <c r="C4758" s="56" t="b">
        <v>0</v>
      </c>
      <c r="D4758" s="56" t="b">
        <v>0</v>
      </c>
      <c r="E4758" s="56">
        <f ca="1">IF(PV[[#This Row],[Business Date]]=Control!$C$6, PV[[#This Row],[Notional Value Local Cur]], -PV[[#This Row],[Notional Value Local Cur]])</f>
        <v>0</v>
      </c>
    </row>
    <row r="4759" spans="1:5" x14ac:dyDescent="0.25">
      <c r="A4759" s="36" t="b">
        <v>0</v>
      </c>
      <c r="B4759" s="56" t="b">
        <v>0</v>
      </c>
      <c r="C4759" s="56" t="b">
        <v>0</v>
      </c>
      <c r="D4759" s="56" t="b">
        <v>0</v>
      </c>
      <c r="E4759" s="56">
        <f ca="1">IF(PV[[#This Row],[Business Date]]=Control!$C$6, PV[[#This Row],[Notional Value Local Cur]], -PV[[#This Row],[Notional Value Local Cur]])</f>
        <v>0</v>
      </c>
    </row>
    <row r="4760" spans="1:5" x14ac:dyDescent="0.25">
      <c r="A4760" s="36" t="b">
        <v>0</v>
      </c>
      <c r="B4760" s="56" t="b">
        <v>0</v>
      </c>
      <c r="C4760" s="56" t="b">
        <v>0</v>
      </c>
      <c r="D4760" s="56" t="b">
        <v>0</v>
      </c>
      <c r="E4760" s="56">
        <f ca="1">IF(PV[[#This Row],[Business Date]]=Control!$C$6, PV[[#This Row],[Notional Value Local Cur]], -PV[[#This Row],[Notional Value Local Cur]])</f>
        <v>0</v>
      </c>
    </row>
    <row r="4761" spans="1:5" x14ac:dyDescent="0.25">
      <c r="A4761" s="36" t="b">
        <v>0</v>
      </c>
      <c r="B4761" s="56" t="b">
        <v>0</v>
      </c>
      <c r="C4761" s="56" t="b">
        <v>0</v>
      </c>
      <c r="D4761" s="56" t="b">
        <v>0</v>
      </c>
      <c r="E4761" s="56">
        <f ca="1">IF(PV[[#This Row],[Business Date]]=Control!$C$6, PV[[#This Row],[Notional Value Local Cur]], -PV[[#This Row],[Notional Value Local Cur]])</f>
        <v>0</v>
      </c>
    </row>
    <row r="4762" spans="1:5" x14ac:dyDescent="0.25">
      <c r="A4762" s="36" t="b">
        <v>0</v>
      </c>
      <c r="B4762" s="56" t="b">
        <v>0</v>
      </c>
      <c r="C4762" s="56" t="b">
        <v>0</v>
      </c>
      <c r="D4762" s="56" t="b">
        <v>0</v>
      </c>
      <c r="E4762" s="56">
        <f ca="1">IF(PV[[#This Row],[Business Date]]=Control!$C$6, PV[[#This Row],[Notional Value Local Cur]], -PV[[#This Row],[Notional Value Local Cur]])</f>
        <v>0</v>
      </c>
    </row>
    <row r="4763" spans="1:5" x14ac:dyDescent="0.25">
      <c r="A4763" s="36" t="b">
        <v>0</v>
      </c>
      <c r="B4763" s="56" t="b">
        <v>0</v>
      </c>
      <c r="C4763" s="56" t="b">
        <v>0</v>
      </c>
      <c r="D4763" s="56" t="b">
        <v>0</v>
      </c>
      <c r="E4763" s="56">
        <f ca="1">IF(PV[[#This Row],[Business Date]]=Control!$C$6, PV[[#This Row],[Notional Value Local Cur]], -PV[[#This Row],[Notional Value Local Cur]])</f>
        <v>0</v>
      </c>
    </row>
    <row r="4764" spans="1:5" x14ac:dyDescent="0.25">
      <c r="A4764" s="36" t="b">
        <v>0</v>
      </c>
      <c r="B4764" s="56" t="b">
        <v>0</v>
      </c>
      <c r="C4764" s="56" t="b">
        <v>0</v>
      </c>
      <c r="D4764" s="56" t="b">
        <v>0</v>
      </c>
      <c r="E4764" s="56">
        <f ca="1">IF(PV[[#This Row],[Business Date]]=Control!$C$6, PV[[#This Row],[Notional Value Local Cur]], -PV[[#This Row],[Notional Value Local Cur]])</f>
        <v>0</v>
      </c>
    </row>
    <row r="4765" spans="1:5" x14ac:dyDescent="0.25">
      <c r="A4765" s="36" t="b">
        <v>0</v>
      </c>
      <c r="B4765" s="56" t="b">
        <v>0</v>
      </c>
      <c r="C4765" s="56" t="b">
        <v>0</v>
      </c>
      <c r="D4765" s="56" t="b">
        <v>0</v>
      </c>
      <c r="E4765" s="56">
        <f ca="1">IF(PV[[#This Row],[Business Date]]=Control!$C$6, PV[[#This Row],[Notional Value Local Cur]], -PV[[#This Row],[Notional Value Local Cur]])</f>
        <v>0</v>
      </c>
    </row>
    <row r="4766" spans="1:5" x14ac:dyDescent="0.25">
      <c r="A4766" s="36" t="b">
        <v>0</v>
      </c>
      <c r="B4766" s="56" t="b">
        <v>0</v>
      </c>
      <c r="C4766" s="56" t="b">
        <v>0</v>
      </c>
      <c r="D4766" s="56" t="b">
        <v>0</v>
      </c>
      <c r="E4766" s="56">
        <f ca="1">IF(PV[[#This Row],[Business Date]]=Control!$C$6, PV[[#This Row],[Notional Value Local Cur]], -PV[[#This Row],[Notional Value Local Cur]])</f>
        <v>0</v>
      </c>
    </row>
    <row r="4767" spans="1:5" x14ac:dyDescent="0.25">
      <c r="A4767" s="36" t="b">
        <v>0</v>
      </c>
      <c r="B4767" s="56" t="b">
        <v>0</v>
      </c>
      <c r="C4767" s="56" t="b">
        <v>0</v>
      </c>
      <c r="D4767" s="56" t="b">
        <v>0</v>
      </c>
      <c r="E4767" s="56">
        <f ca="1">IF(PV[[#This Row],[Business Date]]=Control!$C$6, PV[[#This Row],[Notional Value Local Cur]], -PV[[#This Row],[Notional Value Local Cur]])</f>
        <v>0</v>
      </c>
    </row>
    <row r="4768" spans="1:5" x14ac:dyDescent="0.25">
      <c r="A4768" s="36" t="b">
        <v>0</v>
      </c>
      <c r="B4768" s="56" t="b">
        <v>0</v>
      </c>
      <c r="C4768" s="56" t="b">
        <v>0</v>
      </c>
      <c r="D4768" s="56" t="b">
        <v>0</v>
      </c>
      <c r="E4768" s="56">
        <f ca="1">IF(PV[[#This Row],[Business Date]]=Control!$C$6, PV[[#This Row],[Notional Value Local Cur]], -PV[[#This Row],[Notional Value Local Cur]])</f>
        <v>0</v>
      </c>
    </row>
    <row r="4769" spans="1:5" x14ac:dyDescent="0.25">
      <c r="A4769" s="36" t="b">
        <v>0</v>
      </c>
      <c r="B4769" s="56" t="b">
        <v>0</v>
      </c>
      <c r="C4769" s="56" t="b">
        <v>0</v>
      </c>
      <c r="D4769" s="56" t="b">
        <v>0</v>
      </c>
      <c r="E4769" s="56">
        <f ca="1">IF(PV[[#This Row],[Business Date]]=Control!$C$6, PV[[#This Row],[Notional Value Local Cur]], -PV[[#This Row],[Notional Value Local Cur]])</f>
        <v>0</v>
      </c>
    </row>
    <row r="4770" spans="1:5" x14ac:dyDescent="0.25">
      <c r="A4770" s="36" t="b">
        <v>0</v>
      </c>
      <c r="B4770" s="56" t="b">
        <v>0</v>
      </c>
      <c r="C4770" s="56" t="b">
        <v>0</v>
      </c>
      <c r="D4770" s="56" t="b">
        <v>0</v>
      </c>
      <c r="E4770" s="56">
        <f ca="1">IF(PV[[#This Row],[Business Date]]=Control!$C$6, PV[[#This Row],[Notional Value Local Cur]], -PV[[#This Row],[Notional Value Local Cur]])</f>
        <v>0</v>
      </c>
    </row>
    <row r="4771" spans="1:5" x14ac:dyDescent="0.25">
      <c r="A4771" s="36" t="b">
        <v>0</v>
      </c>
      <c r="B4771" s="56" t="b">
        <v>0</v>
      </c>
      <c r="C4771" s="56" t="b">
        <v>0</v>
      </c>
      <c r="D4771" s="56" t="b">
        <v>0</v>
      </c>
      <c r="E4771" s="56">
        <f ca="1">IF(PV[[#This Row],[Business Date]]=Control!$C$6, PV[[#This Row],[Notional Value Local Cur]], -PV[[#This Row],[Notional Value Local Cur]])</f>
        <v>0</v>
      </c>
    </row>
    <row r="4772" spans="1:5" x14ac:dyDescent="0.25">
      <c r="A4772" s="36" t="b">
        <v>0</v>
      </c>
      <c r="B4772" s="56" t="b">
        <v>0</v>
      </c>
      <c r="C4772" s="56" t="b">
        <v>0</v>
      </c>
      <c r="D4772" s="56" t="b">
        <v>0</v>
      </c>
      <c r="E4772" s="56">
        <f ca="1">IF(PV[[#This Row],[Business Date]]=Control!$C$6, PV[[#This Row],[Notional Value Local Cur]], -PV[[#This Row],[Notional Value Local Cur]])</f>
        <v>0</v>
      </c>
    </row>
    <row r="4773" spans="1:5" x14ac:dyDescent="0.25">
      <c r="A4773" s="36" t="b">
        <v>0</v>
      </c>
      <c r="B4773" s="56" t="b">
        <v>0</v>
      </c>
      <c r="C4773" s="56" t="b">
        <v>0</v>
      </c>
      <c r="D4773" s="56" t="b">
        <v>0</v>
      </c>
      <c r="E4773" s="56">
        <f ca="1">IF(PV[[#This Row],[Business Date]]=Control!$C$6, PV[[#This Row],[Notional Value Local Cur]], -PV[[#This Row],[Notional Value Local Cur]])</f>
        <v>0</v>
      </c>
    </row>
    <row r="4774" spans="1:5" x14ac:dyDescent="0.25">
      <c r="A4774" s="36" t="b">
        <v>0</v>
      </c>
      <c r="B4774" s="56" t="b">
        <v>0</v>
      </c>
      <c r="C4774" s="56" t="b">
        <v>0</v>
      </c>
      <c r="D4774" s="56" t="b">
        <v>0</v>
      </c>
      <c r="E4774" s="56">
        <f ca="1">IF(PV[[#This Row],[Business Date]]=Control!$C$6, PV[[#This Row],[Notional Value Local Cur]], -PV[[#This Row],[Notional Value Local Cur]])</f>
        <v>0</v>
      </c>
    </row>
    <row r="4775" spans="1:5" x14ac:dyDescent="0.25">
      <c r="A4775" s="36" t="b">
        <v>0</v>
      </c>
      <c r="B4775" s="56" t="b">
        <v>0</v>
      </c>
      <c r="C4775" s="56" t="b">
        <v>0</v>
      </c>
      <c r="D4775" s="56" t="b">
        <v>0</v>
      </c>
      <c r="E4775" s="56">
        <f ca="1">IF(PV[[#This Row],[Business Date]]=Control!$C$6, PV[[#This Row],[Notional Value Local Cur]], -PV[[#This Row],[Notional Value Local Cur]])</f>
        <v>0</v>
      </c>
    </row>
    <row r="4776" spans="1:5" x14ac:dyDescent="0.25">
      <c r="A4776" s="36" t="b">
        <v>0</v>
      </c>
      <c r="B4776" s="56" t="b">
        <v>0</v>
      </c>
      <c r="C4776" s="56" t="b">
        <v>0</v>
      </c>
      <c r="D4776" s="56" t="b">
        <v>0</v>
      </c>
      <c r="E4776" s="56">
        <f ca="1">IF(PV[[#This Row],[Business Date]]=Control!$C$6, PV[[#This Row],[Notional Value Local Cur]], -PV[[#This Row],[Notional Value Local Cur]])</f>
        <v>0</v>
      </c>
    </row>
    <row r="4777" spans="1:5" x14ac:dyDescent="0.25">
      <c r="A4777" s="36" t="b">
        <v>0</v>
      </c>
      <c r="B4777" s="56" t="b">
        <v>0</v>
      </c>
      <c r="C4777" s="56" t="b">
        <v>0</v>
      </c>
      <c r="D4777" s="56" t="b">
        <v>0</v>
      </c>
      <c r="E4777" s="56">
        <f ca="1">IF(PV[[#This Row],[Business Date]]=Control!$C$6, PV[[#This Row],[Notional Value Local Cur]], -PV[[#This Row],[Notional Value Local Cur]])</f>
        <v>0</v>
      </c>
    </row>
    <row r="4778" spans="1:5" x14ac:dyDescent="0.25">
      <c r="A4778" s="36" t="b">
        <v>0</v>
      </c>
      <c r="B4778" s="56" t="b">
        <v>0</v>
      </c>
      <c r="C4778" s="56" t="b">
        <v>0</v>
      </c>
      <c r="D4778" s="56" t="b">
        <v>0</v>
      </c>
      <c r="E4778" s="56">
        <f ca="1">IF(PV[[#This Row],[Business Date]]=Control!$C$6, PV[[#This Row],[Notional Value Local Cur]], -PV[[#This Row],[Notional Value Local Cur]])</f>
        <v>0</v>
      </c>
    </row>
    <row r="4779" spans="1:5" x14ac:dyDescent="0.25">
      <c r="A4779" s="36" t="b">
        <v>0</v>
      </c>
      <c r="B4779" s="56" t="b">
        <v>0</v>
      </c>
      <c r="C4779" s="56" t="b">
        <v>0</v>
      </c>
      <c r="D4779" s="56" t="b">
        <v>0</v>
      </c>
      <c r="E4779" s="56">
        <f ca="1">IF(PV[[#This Row],[Business Date]]=Control!$C$6, PV[[#This Row],[Notional Value Local Cur]], -PV[[#This Row],[Notional Value Local Cur]])</f>
        <v>0</v>
      </c>
    </row>
    <row r="4780" spans="1:5" x14ac:dyDescent="0.25">
      <c r="A4780" s="36" t="b">
        <v>0</v>
      </c>
      <c r="B4780" s="56" t="b">
        <v>0</v>
      </c>
      <c r="C4780" s="56" t="b">
        <v>0</v>
      </c>
      <c r="D4780" s="56" t="b">
        <v>0</v>
      </c>
      <c r="E4780" s="56">
        <f ca="1">IF(PV[[#This Row],[Business Date]]=Control!$C$6, PV[[#This Row],[Notional Value Local Cur]], -PV[[#This Row],[Notional Value Local Cur]])</f>
        <v>0</v>
      </c>
    </row>
    <row r="4781" spans="1:5" x14ac:dyDescent="0.25">
      <c r="A4781" s="36" t="b">
        <v>0</v>
      </c>
      <c r="B4781" s="56" t="b">
        <v>0</v>
      </c>
      <c r="C4781" s="56" t="b">
        <v>0</v>
      </c>
      <c r="D4781" s="56" t="b">
        <v>0</v>
      </c>
      <c r="E4781" s="56">
        <f ca="1">IF(PV[[#This Row],[Business Date]]=Control!$C$6, PV[[#This Row],[Notional Value Local Cur]], -PV[[#This Row],[Notional Value Local Cur]])</f>
        <v>0</v>
      </c>
    </row>
    <row r="4782" spans="1:5" x14ac:dyDescent="0.25">
      <c r="A4782" s="36" t="b">
        <v>0</v>
      </c>
      <c r="B4782" s="56" t="b">
        <v>0</v>
      </c>
      <c r="C4782" s="56" t="b">
        <v>0</v>
      </c>
      <c r="D4782" s="56" t="b">
        <v>0</v>
      </c>
      <c r="E4782" s="56">
        <f ca="1">IF(PV[[#This Row],[Business Date]]=Control!$C$6, PV[[#This Row],[Notional Value Local Cur]], -PV[[#This Row],[Notional Value Local Cur]])</f>
        <v>0</v>
      </c>
    </row>
    <row r="4783" spans="1:5" x14ac:dyDescent="0.25">
      <c r="A4783" s="36" t="b">
        <v>0</v>
      </c>
      <c r="B4783" s="56" t="b">
        <v>0</v>
      </c>
      <c r="C4783" s="56" t="b">
        <v>0</v>
      </c>
      <c r="D4783" s="56" t="b">
        <v>0</v>
      </c>
      <c r="E4783" s="56">
        <f ca="1">IF(PV[[#This Row],[Business Date]]=Control!$C$6, PV[[#This Row],[Notional Value Local Cur]], -PV[[#This Row],[Notional Value Local Cur]])</f>
        <v>0</v>
      </c>
    </row>
    <row r="4784" spans="1:5" x14ac:dyDescent="0.25">
      <c r="A4784" s="36" t="b">
        <v>0</v>
      </c>
      <c r="B4784" s="56" t="b">
        <v>0</v>
      </c>
      <c r="C4784" s="56" t="b">
        <v>0</v>
      </c>
      <c r="D4784" s="56" t="b">
        <v>0</v>
      </c>
      <c r="E4784" s="56">
        <f ca="1">IF(PV[[#This Row],[Business Date]]=Control!$C$6, PV[[#This Row],[Notional Value Local Cur]], -PV[[#This Row],[Notional Value Local Cur]])</f>
        <v>0</v>
      </c>
    </row>
    <row r="4785" spans="1:5" x14ac:dyDescent="0.25">
      <c r="A4785" s="36" t="b">
        <v>0</v>
      </c>
      <c r="B4785" s="56" t="b">
        <v>0</v>
      </c>
      <c r="C4785" s="56" t="b">
        <v>0</v>
      </c>
      <c r="D4785" s="56" t="b">
        <v>0</v>
      </c>
      <c r="E4785" s="56">
        <f ca="1">IF(PV[[#This Row],[Business Date]]=Control!$C$6, PV[[#This Row],[Notional Value Local Cur]], -PV[[#This Row],[Notional Value Local Cur]])</f>
        <v>0</v>
      </c>
    </row>
    <row r="4786" spans="1:5" x14ac:dyDescent="0.25">
      <c r="A4786" s="36" t="b">
        <v>0</v>
      </c>
      <c r="B4786" s="56" t="b">
        <v>0</v>
      </c>
      <c r="C4786" s="56" t="b">
        <v>0</v>
      </c>
      <c r="D4786" s="56" t="b">
        <v>0</v>
      </c>
      <c r="E4786" s="56">
        <f ca="1">IF(PV[[#This Row],[Business Date]]=Control!$C$6, PV[[#This Row],[Notional Value Local Cur]], -PV[[#This Row],[Notional Value Local Cur]])</f>
        <v>0</v>
      </c>
    </row>
    <row r="4787" spans="1:5" x14ac:dyDescent="0.25">
      <c r="A4787" s="36" t="b">
        <v>0</v>
      </c>
      <c r="B4787" s="56" t="b">
        <v>0</v>
      </c>
      <c r="C4787" s="56" t="b">
        <v>0</v>
      </c>
      <c r="D4787" s="56" t="b">
        <v>0</v>
      </c>
      <c r="E4787" s="56">
        <f ca="1">IF(PV[[#This Row],[Business Date]]=Control!$C$6, PV[[#This Row],[Notional Value Local Cur]], -PV[[#This Row],[Notional Value Local Cur]])</f>
        <v>0</v>
      </c>
    </row>
    <row r="4788" spans="1:5" x14ac:dyDescent="0.25">
      <c r="A4788" s="36" t="b">
        <v>0</v>
      </c>
      <c r="B4788" s="56" t="b">
        <v>0</v>
      </c>
      <c r="C4788" s="56" t="b">
        <v>0</v>
      </c>
      <c r="D4788" s="56" t="b">
        <v>0</v>
      </c>
      <c r="E4788" s="56">
        <f ca="1">IF(PV[[#This Row],[Business Date]]=Control!$C$6, PV[[#This Row],[Notional Value Local Cur]], -PV[[#This Row],[Notional Value Local Cur]])</f>
        <v>0</v>
      </c>
    </row>
    <row r="4789" spans="1:5" x14ac:dyDescent="0.25">
      <c r="A4789" s="36" t="b">
        <v>0</v>
      </c>
      <c r="B4789" s="56" t="b">
        <v>0</v>
      </c>
      <c r="C4789" s="56" t="b">
        <v>0</v>
      </c>
      <c r="D4789" s="56" t="b">
        <v>0</v>
      </c>
      <c r="E4789" s="56">
        <f ca="1">IF(PV[[#This Row],[Business Date]]=Control!$C$6, PV[[#This Row],[Notional Value Local Cur]], -PV[[#This Row],[Notional Value Local Cur]])</f>
        <v>0</v>
      </c>
    </row>
    <row r="4790" spans="1:5" x14ac:dyDescent="0.25">
      <c r="A4790" s="36" t="b">
        <v>0</v>
      </c>
      <c r="B4790" s="56" t="b">
        <v>0</v>
      </c>
      <c r="C4790" s="56" t="b">
        <v>0</v>
      </c>
      <c r="D4790" s="56" t="b">
        <v>0</v>
      </c>
      <c r="E4790" s="56">
        <f ca="1">IF(PV[[#This Row],[Business Date]]=Control!$C$6, PV[[#This Row],[Notional Value Local Cur]], -PV[[#This Row],[Notional Value Local Cur]])</f>
        <v>0</v>
      </c>
    </row>
    <row r="4791" spans="1:5" x14ac:dyDescent="0.25">
      <c r="A4791" s="36" t="b">
        <v>0</v>
      </c>
      <c r="B4791" s="56" t="b">
        <v>0</v>
      </c>
      <c r="C4791" s="56" t="b">
        <v>0</v>
      </c>
      <c r="D4791" s="56" t="b">
        <v>0</v>
      </c>
      <c r="E4791" s="56">
        <f ca="1">IF(PV[[#This Row],[Business Date]]=Control!$C$6, PV[[#This Row],[Notional Value Local Cur]], -PV[[#This Row],[Notional Value Local Cur]])</f>
        <v>0</v>
      </c>
    </row>
    <row r="4792" spans="1:5" x14ac:dyDescent="0.25">
      <c r="A4792" s="36" t="b">
        <v>0</v>
      </c>
      <c r="B4792" s="56" t="b">
        <v>0</v>
      </c>
      <c r="C4792" s="56" t="b">
        <v>0</v>
      </c>
      <c r="D4792" s="56" t="b">
        <v>0</v>
      </c>
      <c r="E4792" s="56">
        <f ca="1">IF(PV[[#This Row],[Business Date]]=Control!$C$6, PV[[#This Row],[Notional Value Local Cur]], -PV[[#This Row],[Notional Value Local Cur]])</f>
        <v>0</v>
      </c>
    </row>
    <row r="4793" spans="1:5" x14ac:dyDescent="0.25">
      <c r="A4793" s="36" t="b">
        <v>0</v>
      </c>
      <c r="B4793" s="56" t="b">
        <v>0</v>
      </c>
      <c r="C4793" s="56" t="b">
        <v>0</v>
      </c>
      <c r="D4793" s="56" t="b">
        <v>0</v>
      </c>
      <c r="E4793" s="56">
        <f ca="1">IF(PV[[#This Row],[Business Date]]=Control!$C$6, PV[[#This Row],[Notional Value Local Cur]], -PV[[#This Row],[Notional Value Local Cur]])</f>
        <v>0</v>
      </c>
    </row>
    <row r="4794" spans="1:5" x14ac:dyDescent="0.25">
      <c r="A4794" s="36" t="b">
        <v>0</v>
      </c>
      <c r="B4794" s="56" t="b">
        <v>0</v>
      </c>
      <c r="C4794" s="56" t="b">
        <v>0</v>
      </c>
      <c r="D4794" s="56" t="b">
        <v>0</v>
      </c>
      <c r="E4794" s="56">
        <f ca="1">IF(PV[[#This Row],[Business Date]]=Control!$C$6, PV[[#This Row],[Notional Value Local Cur]], -PV[[#This Row],[Notional Value Local Cur]])</f>
        <v>0</v>
      </c>
    </row>
    <row r="4795" spans="1:5" x14ac:dyDescent="0.25">
      <c r="A4795" s="36" t="b">
        <v>0</v>
      </c>
      <c r="B4795" s="56" t="b">
        <v>0</v>
      </c>
      <c r="C4795" s="56" t="b">
        <v>0</v>
      </c>
      <c r="D4795" s="56" t="b">
        <v>0</v>
      </c>
      <c r="E4795" s="56">
        <f ca="1">IF(PV[[#This Row],[Business Date]]=Control!$C$6, PV[[#This Row],[Notional Value Local Cur]], -PV[[#This Row],[Notional Value Local Cur]])</f>
        <v>0</v>
      </c>
    </row>
    <row r="4796" spans="1:5" x14ac:dyDescent="0.25">
      <c r="A4796" s="36" t="b">
        <v>0</v>
      </c>
      <c r="B4796" s="56" t="b">
        <v>0</v>
      </c>
      <c r="C4796" s="56" t="b">
        <v>0</v>
      </c>
      <c r="D4796" s="56" t="b">
        <v>0</v>
      </c>
      <c r="E4796" s="56">
        <f ca="1">IF(PV[[#This Row],[Business Date]]=Control!$C$6, PV[[#This Row],[Notional Value Local Cur]], -PV[[#This Row],[Notional Value Local Cur]])</f>
        <v>0</v>
      </c>
    </row>
    <row r="4797" spans="1:5" x14ac:dyDescent="0.25">
      <c r="A4797" s="36" t="b">
        <v>0</v>
      </c>
      <c r="B4797" s="56" t="b">
        <v>0</v>
      </c>
      <c r="C4797" s="56" t="b">
        <v>0</v>
      </c>
      <c r="D4797" s="56" t="b">
        <v>0</v>
      </c>
      <c r="E4797" s="56">
        <f ca="1">IF(PV[[#This Row],[Business Date]]=Control!$C$6, PV[[#This Row],[Notional Value Local Cur]], -PV[[#This Row],[Notional Value Local Cur]])</f>
        <v>0</v>
      </c>
    </row>
    <row r="4798" spans="1:5" x14ac:dyDescent="0.25">
      <c r="A4798" s="36" t="b">
        <v>0</v>
      </c>
      <c r="B4798" s="56" t="b">
        <v>0</v>
      </c>
      <c r="C4798" s="56" t="b">
        <v>0</v>
      </c>
      <c r="D4798" s="56" t="b">
        <v>0</v>
      </c>
      <c r="E4798" s="56">
        <f ca="1">IF(PV[[#This Row],[Business Date]]=Control!$C$6, PV[[#This Row],[Notional Value Local Cur]], -PV[[#This Row],[Notional Value Local Cur]])</f>
        <v>0</v>
      </c>
    </row>
    <row r="4799" spans="1:5" x14ac:dyDescent="0.25">
      <c r="A4799" s="36" t="b">
        <v>0</v>
      </c>
      <c r="B4799" s="56" t="b">
        <v>0</v>
      </c>
      <c r="C4799" s="56" t="b">
        <v>0</v>
      </c>
      <c r="D4799" s="56" t="b">
        <v>0</v>
      </c>
      <c r="E4799" s="56">
        <f ca="1">IF(PV[[#This Row],[Business Date]]=Control!$C$6, PV[[#This Row],[Notional Value Local Cur]], -PV[[#This Row],[Notional Value Local Cur]])</f>
        <v>0</v>
      </c>
    </row>
    <row r="4800" spans="1:5" x14ac:dyDescent="0.25">
      <c r="A4800" s="36" t="b">
        <v>0</v>
      </c>
      <c r="B4800" s="56" t="b">
        <v>0</v>
      </c>
      <c r="C4800" s="56" t="b">
        <v>0</v>
      </c>
      <c r="D4800" s="56" t="b">
        <v>0</v>
      </c>
      <c r="E4800" s="56">
        <f ca="1">IF(PV[[#This Row],[Business Date]]=Control!$C$6, PV[[#This Row],[Notional Value Local Cur]], -PV[[#This Row],[Notional Value Local Cur]])</f>
        <v>0</v>
      </c>
    </row>
    <row r="4801" spans="1:5" x14ac:dyDescent="0.25">
      <c r="A4801" s="36" t="b">
        <v>0</v>
      </c>
      <c r="B4801" s="56" t="b">
        <v>0</v>
      </c>
      <c r="C4801" s="56" t="b">
        <v>0</v>
      </c>
      <c r="D4801" s="56" t="b">
        <v>0</v>
      </c>
      <c r="E4801" s="56">
        <f ca="1">IF(PV[[#This Row],[Business Date]]=Control!$C$6, PV[[#This Row],[Notional Value Local Cur]], -PV[[#This Row],[Notional Value Local Cur]])</f>
        <v>0</v>
      </c>
    </row>
    <row r="4802" spans="1:5" x14ac:dyDescent="0.25">
      <c r="A4802" s="36" t="b">
        <v>0</v>
      </c>
      <c r="B4802" s="56" t="b">
        <v>0</v>
      </c>
      <c r="C4802" s="56" t="b">
        <v>0</v>
      </c>
      <c r="D4802" s="56" t="b">
        <v>0</v>
      </c>
      <c r="E4802" s="56">
        <f ca="1">IF(PV[[#This Row],[Business Date]]=Control!$C$6, PV[[#This Row],[Notional Value Local Cur]], -PV[[#This Row],[Notional Value Local Cur]])</f>
        <v>0</v>
      </c>
    </row>
    <row r="4803" spans="1:5" x14ac:dyDescent="0.25">
      <c r="A4803" s="36" t="b">
        <v>0</v>
      </c>
      <c r="B4803" s="56" t="b">
        <v>0</v>
      </c>
      <c r="C4803" s="56" t="b">
        <v>0</v>
      </c>
      <c r="D4803" s="56" t="b">
        <v>0</v>
      </c>
      <c r="E4803" s="56">
        <f ca="1">IF(PV[[#This Row],[Business Date]]=Control!$C$6, PV[[#This Row],[Notional Value Local Cur]], -PV[[#This Row],[Notional Value Local Cur]])</f>
        <v>0</v>
      </c>
    </row>
    <row r="4804" spans="1:5" x14ac:dyDescent="0.25">
      <c r="A4804" s="36" t="b">
        <v>0</v>
      </c>
      <c r="B4804" s="56" t="b">
        <v>0</v>
      </c>
      <c r="C4804" s="56" t="b">
        <v>0</v>
      </c>
      <c r="D4804" s="56" t="b">
        <v>0</v>
      </c>
      <c r="E4804" s="56">
        <f ca="1">IF(PV[[#This Row],[Business Date]]=Control!$C$6, PV[[#This Row],[Notional Value Local Cur]], -PV[[#This Row],[Notional Value Local Cur]])</f>
        <v>0</v>
      </c>
    </row>
    <row r="4805" spans="1:5" x14ac:dyDescent="0.25">
      <c r="A4805" s="36" t="b">
        <v>0</v>
      </c>
      <c r="B4805" s="56" t="b">
        <v>0</v>
      </c>
      <c r="C4805" s="56" t="b">
        <v>0</v>
      </c>
      <c r="D4805" s="56" t="b">
        <v>0</v>
      </c>
      <c r="E4805" s="56">
        <f ca="1">IF(PV[[#This Row],[Business Date]]=Control!$C$6, PV[[#This Row],[Notional Value Local Cur]], -PV[[#This Row],[Notional Value Local Cur]])</f>
        <v>0</v>
      </c>
    </row>
    <row r="4806" spans="1:5" x14ac:dyDescent="0.25">
      <c r="A4806" s="36" t="b">
        <v>0</v>
      </c>
      <c r="B4806" s="56" t="b">
        <v>0</v>
      </c>
      <c r="C4806" s="56" t="b">
        <v>0</v>
      </c>
      <c r="D4806" s="56" t="b">
        <v>0</v>
      </c>
      <c r="E4806" s="56">
        <f ca="1">IF(PV[[#This Row],[Business Date]]=Control!$C$6, PV[[#This Row],[Notional Value Local Cur]], -PV[[#This Row],[Notional Value Local Cur]])</f>
        <v>0</v>
      </c>
    </row>
    <row r="4807" spans="1:5" x14ac:dyDescent="0.25">
      <c r="A4807" s="36" t="b">
        <v>0</v>
      </c>
      <c r="B4807" s="56" t="b">
        <v>0</v>
      </c>
      <c r="C4807" s="56" t="b">
        <v>0</v>
      </c>
      <c r="D4807" s="56" t="b">
        <v>0</v>
      </c>
      <c r="E4807" s="56">
        <f ca="1">IF(PV[[#This Row],[Business Date]]=Control!$C$6, PV[[#This Row],[Notional Value Local Cur]], -PV[[#This Row],[Notional Value Local Cur]])</f>
        <v>0</v>
      </c>
    </row>
    <row r="4808" spans="1:5" x14ac:dyDescent="0.25">
      <c r="A4808" s="36" t="b">
        <v>0</v>
      </c>
      <c r="B4808" s="56" t="b">
        <v>0</v>
      </c>
      <c r="C4808" s="56" t="b">
        <v>0</v>
      </c>
      <c r="D4808" s="56" t="b">
        <v>0</v>
      </c>
      <c r="E4808" s="56">
        <f ca="1">IF(PV[[#This Row],[Business Date]]=Control!$C$6, PV[[#This Row],[Notional Value Local Cur]], -PV[[#This Row],[Notional Value Local Cur]])</f>
        <v>0</v>
      </c>
    </row>
    <row r="4809" spans="1:5" x14ac:dyDescent="0.25">
      <c r="A4809" s="36" t="b">
        <v>0</v>
      </c>
      <c r="B4809" s="56" t="b">
        <v>0</v>
      </c>
      <c r="C4809" s="56" t="b">
        <v>0</v>
      </c>
      <c r="D4809" s="56" t="b">
        <v>0</v>
      </c>
      <c r="E4809" s="56">
        <f ca="1">IF(PV[[#This Row],[Business Date]]=Control!$C$6, PV[[#This Row],[Notional Value Local Cur]], -PV[[#This Row],[Notional Value Local Cur]])</f>
        <v>0</v>
      </c>
    </row>
    <row r="4810" spans="1:5" x14ac:dyDescent="0.25">
      <c r="A4810" s="36" t="b">
        <v>0</v>
      </c>
      <c r="B4810" s="56" t="b">
        <v>0</v>
      </c>
      <c r="C4810" s="56" t="b">
        <v>0</v>
      </c>
      <c r="D4810" s="56" t="b">
        <v>0</v>
      </c>
      <c r="E4810" s="56">
        <f ca="1">IF(PV[[#This Row],[Business Date]]=Control!$C$6, PV[[#This Row],[Notional Value Local Cur]], -PV[[#This Row],[Notional Value Local Cur]])</f>
        <v>0</v>
      </c>
    </row>
    <row r="4811" spans="1:5" x14ac:dyDescent="0.25">
      <c r="A4811" s="36" t="b">
        <v>0</v>
      </c>
      <c r="B4811" s="56" t="b">
        <v>0</v>
      </c>
      <c r="C4811" s="56" t="b">
        <v>0</v>
      </c>
      <c r="D4811" s="56" t="b">
        <v>0</v>
      </c>
      <c r="E4811" s="56">
        <f ca="1">IF(PV[[#This Row],[Business Date]]=Control!$C$6, PV[[#This Row],[Notional Value Local Cur]], -PV[[#This Row],[Notional Value Local Cur]])</f>
        <v>0</v>
      </c>
    </row>
    <row r="4812" spans="1:5" x14ac:dyDescent="0.25">
      <c r="A4812" s="36" t="b">
        <v>0</v>
      </c>
      <c r="B4812" s="56" t="b">
        <v>0</v>
      </c>
      <c r="C4812" s="56" t="b">
        <v>0</v>
      </c>
      <c r="D4812" s="56" t="b">
        <v>0</v>
      </c>
      <c r="E4812" s="56">
        <f ca="1">IF(PV[[#This Row],[Business Date]]=Control!$C$6, PV[[#This Row],[Notional Value Local Cur]], -PV[[#This Row],[Notional Value Local Cur]])</f>
        <v>0</v>
      </c>
    </row>
    <row r="4813" spans="1:5" x14ac:dyDescent="0.25">
      <c r="A4813" s="36" t="b">
        <v>0</v>
      </c>
      <c r="B4813" s="56" t="b">
        <v>0</v>
      </c>
      <c r="C4813" s="56" t="b">
        <v>0</v>
      </c>
      <c r="D4813" s="56" t="b">
        <v>0</v>
      </c>
      <c r="E4813" s="56">
        <f ca="1">IF(PV[[#This Row],[Business Date]]=Control!$C$6, PV[[#This Row],[Notional Value Local Cur]], -PV[[#This Row],[Notional Value Local Cur]])</f>
        <v>0</v>
      </c>
    </row>
    <row r="4814" spans="1:5" x14ac:dyDescent="0.25">
      <c r="A4814" s="36" t="b">
        <v>0</v>
      </c>
      <c r="B4814" s="56" t="b">
        <v>0</v>
      </c>
      <c r="C4814" s="56" t="b">
        <v>0</v>
      </c>
      <c r="D4814" s="56" t="b">
        <v>0</v>
      </c>
      <c r="E4814" s="56">
        <f ca="1">IF(PV[[#This Row],[Business Date]]=Control!$C$6, PV[[#This Row],[Notional Value Local Cur]], -PV[[#This Row],[Notional Value Local Cur]])</f>
        <v>0</v>
      </c>
    </row>
    <row r="4815" spans="1:5" x14ac:dyDescent="0.25">
      <c r="A4815" s="36" t="b">
        <v>0</v>
      </c>
      <c r="B4815" s="56" t="b">
        <v>0</v>
      </c>
      <c r="C4815" s="56" t="b">
        <v>0</v>
      </c>
      <c r="D4815" s="56" t="b">
        <v>0</v>
      </c>
      <c r="E4815" s="56">
        <f ca="1">IF(PV[[#This Row],[Business Date]]=Control!$C$6, PV[[#This Row],[Notional Value Local Cur]], -PV[[#This Row],[Notional Value Local Cur]])</f>
        <v>0</v>
      </c>
    </row>
    <row r="4816" spans="1:5" x14ac:dyDescent="0.25">
      <c r="A4816" s="36" t="b">
        <v>0</v>
      </c>
      <c r="B4816" s="56" t="b">
        <v>0</v>
      </c>
      <c r="C4816" s="56" t="b">
        <v>0</v>
      </c>
      <c r="D4816" s="56" t="b">
        <v>0</v>
      </c>
      <c r="E4816" s="56">
        <f ca="1">IF(PV[[#This Row],[Business Date]]=Control!$C$6, PV[[#This Row],[Notional Value Local Cur]], -PV[[#This Row],[Notional Value Local Cur]])</f>
        <v>0</v>
      </c>
    </row>
    <row r="4817" spans="1:5" x14ac:dyDescent="0.25">
      <c r="A4817" s="36" t="b">
        <v>0</v>
      </c>
      <c r="B4817" s="56" t="b">
        <v>0</v>
      </c>
      <c r="C4817" s="56" t="b">
        <v>0</v>
      </c>
      <c r="D4817" s="56" t="b">
        <v>0</v>
      </c>
      <c r="E4817" s="56">
        <f ca="1">IF(PV[[#This Row],[Business Date]]=Control!$C$6, PV[[#This Row],[Notional Value Local Cur]], -PV[[#This Row],[Notional Value Local Cur]])</f>
        <v>0</v>
      </c>
    </row>
    <row r="4818" spans="1:5" x14ac:dyDescent="0.25">
      <c r="A4818" s="36" t="b">
        <v>0</v>
      </c>
      <c r="B4818" s="56" t="b">
        <v>0</v>
      </c>
      <c r="C4818" s="56" t="b">
        <v>0</v>
      </c>
      <c r="D4818" s="56" t="b">
        <v>0</v>
      </c>
      <c r="E4818" s="56">
        <f ca="1">IF(PV[[#This Row],[Business Date]]=Control!$C$6, PV[[#This Row],[Notional Value Local Cur]], -PV[[#This Row],[Notional Value Local Cur]])</f>
        <v>0</v>
      </c>
    </row>
    <row r="4819" spans="1:5" x14ac:dyDescent="0.25">
      <c r="A4819" s="36" t="b">
        <v>0</v>
      </c>
      <c r="B4819" s="56" t="b">
        <v>0</v>
      </c>
      <c r="C4819" s="56" t="b">
        <v>0</v>
      </c>
      <c r="D4819" s="56" t="b">
        <v>0</v>
      </c>
      <c r="E4819" s="56">
        <f ca="1">IF(PV[[#This Row],[Business Date]]=Control!$C$6, PV[[#This Row],[Notional Value Local Cur]], -PV[[#This Row],[Notional Value Local Cur]])</f>
        <v>0</v>
      </c>
    </row>
    <row r="4820" spans="1:5" x14ac:dyDescent="0.25">
      <c r="A4820" s="36" t="b">
        <v>0</v>
      </c>
      <c r="B4820" s="56" t="b">
        <v>0</v>
      </c>
      <c r="C4820" s="56" t="b">
        <v>0</v>
      </c>
      <c r="D4820" s="56" t="b">
        <v>0</v>
      </c>
      <c r="E4820" s="56">
        <f ca="1">IF(PV[[#This Row],[Business Date]]=Control!$C$6, PV[[#This Row],[Notional Value Local Cur]], -PV[[#This Row],[Notional Value Local Cur]])</f>
        <v>0</v>
      </c>
    </row>
    <row r="4821" spans="1:5" x14ac:dyDescent="0.25">
      <c r="A4821" s="36" t="b">
        <v>0</v>
      </c>
      <c r="B4821" s="56" t="b">
        <v>0</v>
      </c>
      <c r="C4821" s="56" t="b">
        <v>0</v>
      </c>
      <c r="D4821" s="56" t="b">
        <v>0</v>
      </c>
      <c r="E4821" s="56">
        <f ca="1">IF(PV[[#This Row],[Business Date]]=Control!$C$6, PV[[#This Row],[Notional Value Local Cur]], -PV[[#This Row],[Notional Value Local Cur]])</f>
        <v>0</v>
      </c>
    </row>
    <row r="4822" spans="1:5" x14ac:dyDescent="0.25">
      <c r="A4822" s="36" t="b">
        <v>0</v>
      </c>
      <c r="B4822" s="56" t="b">
        <v>0</v>
      </c>
      <c r="C4822" s="56" t="b">
        <v>0</v>
      </c>
      <c r="D4822" s="56" t="b">
        <v>0</v>
      </c>
      <c r="E4822" s="56">
        <f ca="1">IF(PV[[#This Row],[Business Date]]=Control!$C$6, PV[[#This Row],[Notional Value Local Cur]], -PV[[#This Row],[Notional Value Local Cur]])</f>
        <v>0</v>
      </c>
    </row>
    <row r="4823" spans="1:5" x14ac:dyDescent="0.25">
      <c r="A4823" s="36" t="b">
        <v>0</v>
      </c>
      <c r="B4823" s="56" t="b">
        <v>0</v>
      </c>
      <c r="C4823" s="56" t="b">
        <v>0</v>
      </c>
      <c r="D4823" s="56" t="b">
        <v>0</v>
      </c>
      <c r="E4823" s="56">
        <f ca="1">IF(PV[[#This Row],[Business Date]]=Control!$C$6, PV[[#This Row],[Notional Value Local Cur]], -PV[[#This Row],[Notional Value Local Cur]])</f>
        <v>0</v>
      </c>
    </row>
    <row r="4824" spans="1:5" x14ac:dyDescent="0.25">
      <c r="A4824" s="36" t="b">
        <v>0</v>
      </c>
      <c r="B4824" s="56" t="b">
        <v>0</v>
      </c>
      <c r="C4824" s="56" t="b">
        <v>0</v>
      </c>
      <c r="D4824" s="56" t="b">
        <v>0</v>
      </c>
      <c r="E4824" s="56">
        <f ca="1">IF(PV[[#This Row],[Business Date]]=Control!$C$6, PV[[#This Row],[Notional Value Local Cur]], -PV[[#This Row],[Notional Value Local Cur]])</f>
        <v>0</v>
      </c>
    </row>
    <row r="4825" spans="1:5" x14ac:dyDescent="0.25">
      <c r="A4825" s="36" t="b">
        <v>0</v>
      </c>
      <c r="B4825" s="56" t="b">
        <v>0</v>
      </c>
      <c r="C4825" s="56" t="b">
        <v>0</v>
      </c>
      <c r="D4825" s="56" t="b">
        <v>0</v>
      </c>
      <c r="E4825" s="56">
        <f ca="1">IF(PV[[#This Row],[Business Date]]=Control!$C$6, PV[[#This Row],[Notional Value Local Cur]], -PV[[#This Row],[Notional Value Local Cur]])</f>
        <v>0</v>
      </c>
    </row>
    <row r="4826" spans="1:5" x14ac:dyDescent="0.25">
      <c r="A4826" s="36" t="b">
        <v>0</v>
      </c>
      <c r="B4826" s="56" t="b">
        <v>0</v>
      </c>
      <c r="C4826" s="56" t="b">
        <v>0</v>
      </c>
      <c r="D4826" s="56" t="b">
        <v>0</v>
      </c>
      <c r="E4826" s="56">
        <f ca="1">IF(PV[[#This Row],[Business Date]]=Control!$C$6, PV[[#This Row],[Notional Value Local Cur]], -PV[[#This Row],[Notional Value Local Cur]])</f>
        <v>0</v>
      </c>
    </row>
    <row r="4827" spans="1:5" x14ac:dyDescent="0.25">
      <c r="A4827" s="36" t="b">
        <v>0</v>
      </c>
      <c r="B4827" s="56" t="b">
        <v>0</v>
      </c>
      <c r="C4827" s="56" t="b">
        <v>0</v>
      </c>
      <c r="D4827" s="56" t="b">
        <v>0</v>
      </c>
      <c r="E4827" s="56">
        <f ca="1">IF(PV[[#This Row],[Business Date]]=Control!$C$6, PV[[#This Row],[Notional Value Local Cur]], -PV[[#This Row],[Notional Value Local Cur]])</f>
        <v>0</v>
      </c>
    </row>
    <row r="4828" spans="1:5" x14ac:dyDescent="0.25">
      <c r="A4828" s="36" t="b">
        <v>0</v>
      </c>
      <c r="B4828" s="56" t="b">
        <v>0</v>
      </c>
      <c r="C4828" s="56" t="b">
        <v>0</v>
      </c>
      <c r="D4828" s="56" t="b">
        <v>0</v>
      </c>
      <c r="E4828" s="56">
        <f ca="1">IF(PV[[#This Row],[Business Date]]=Control!$C$6, PV[[#This Row],[Notional Value Local Cur]], -PV[[#This Row],[Notional Value Local Cur]])</f>
        <v>0</v>
      </c>
    </row>
    <row r="4829" spans="1:5" x14ac:dyDescent="0.25">
      <c r="A4829" s="36" t="b">
        <v>0</v>
      </c>
      <c r="B4829" s="56" t="b">
        <v>0</v>
      </c>
      <c r="C4829" s="56" t="b">
        <v>0</v>
      </c>
      <c r="D4829" s="56" t="b">
        <v>0</v>
      </c>
      <c r="E4829" s="56">
        <f ca="1">IF(PV[[#This Row],[Business Date]]=Control!$C$6, PV[[#This Row],[Notional Value Local Cur]], -PV[[#This Row],[Notional Value Local Cur]])</f>
        <v>0</v>
      </c>
    </row>
    <row r="4830" spans="1:5" x14ac:dyDescent="0.25">
      <c r="A4830" s="36" t="b">
        <v>0</v>
      </c>
      <c r="B4830" s="56" t="b">
        <v>0</v>
      </c>
      <c r="C4830" s="56" t="b">
        <v>0</v>
      </c>
      <c r="D4830" s="56" t="b">
        <v>0</v>
      </c>
      <c r="E4830" s="56">
        <f ca="1">IF(PV[[#This Row],[Business Date]]=Control!$C$6, PV[[#This Row],[Notional Value Local Cur]], -PV[[#This Row],[Notional Value Local Cur]])</f>
        <v>0</v>
      </c>
    </row>
    <row r="4831" spans="1:5" x14ac:dyDescent="0.25">
      <c r="A4831" s="36" t="b">
        <v>0</v>
      </c>
      <c r="B4831" s="56" t="b">
        <v>0</v>
      </c>
      <c r="C4831" s="56" t="b">
        <v>0</v>
      </c>
      <c r="D4831" s="56" t="b">
        <v>0</v>
      </c>
      <c r="E4831" s="56">
        <f ca="1">IF(PV[[#This Row],[Business Date]]=Control!$C$6, PV[[#This Row],[Notional Value Local Cur]], -PV[[#This Row],[Notional Value Local Cur]])</f>
        <v>0</v>
      </c>
    </row>
    <row r="4832" spans="1:5" x14ac:dyDescent="0.25">
      <c r="A4832" s="36" t="b">
        <v>0</v>
      </c>
      <c r="B4832" s="56" t="b">
        <v>0</v>
      </c>
      <c r="C4832" s="56" t="b">
        <v>0</v>
      </c>
      <c r="D4832" s="56" t="b">
        <v>0</v>
      </c>
      <c r="E4832" s="56">
        <f ca="1">IF(PV[[#This Row],[Business Date]]=Control!$C$6, PV[[#This Row],[Notional Value Local Cur]], -PV[[#This Row],[Notional Value Local Cur]])</f>
        <v>0</v>
      </c>
    </row>
    <row r="4833" spans="1:5" x14ac:dyDescent="0.25">
      <c r="A4833" s="36" t="b">
        <v>0</v>
      </c>
      <c r="B4833" s="56" t="b">
        <v>0</v>
      </c>
      <c r="C4833" s="56" t="b">
        <v>0</v>
      </c>
      <c r="D4833" s="56" t="b">
        <v>0</v>
      </c>
      <c r="E4833" s="56">
        <f ca="1">IF(PV[[#This Row],[Business Date]]=Control!$C$6, PV[[#This Row],[Notional Value Local Cur]], -PV[[#This Row],[Notional Value Local Cur]])</f>
        <v>0</v>
      </c>
    </row>
    <row r="4834" spans="1:5" x14ac:dyDescent="0.25">
      <c r="A4834" s="36" t="b">
        <v>0</v>
      </c>
      <c r="B4834" s="56" t="b">
        <v>0</v>
      </c>
      <c r="C4834" s="56" t="b">
        <v>0</v>
      </c>
      <c r="D4834" s="56" t="b">
        <v>0</v>
      </c>
      <c r="E4834" s="56">
        <f ca="1">IF(PV[[#This Row],[Business Date]]=Control!$C$6, PV[[#This Row],[Notional Value Local Cur]], -PV[[#This Row],[Notional Value Local Cur]])</f>
        <v>0</v>
      </c>
    </row>
    <row r="4835" spans="1:5" x14ac:dyDescent="0.25">
      <c r="A4835" s="36" t="b">
        <v>0</v>
      </c>
      <c r="B4835" s="56" t="b">
        <v>0</v>
      </c>
      <c r="C4835" s="56" t="b">
        <v>0</v>
      </c>
      <c r="D4835" s="56" t="b">
        <v>0</v>
      </c>
      <c r="E4835" s="56">
        <f ca="1">IF(PV[[#This Row],[Business Date]]=Control!$C$6, PV[[#This Row],[Notional Value Local Cur]], -PV[[#This Row],[Notional Value Local Cur]])</f>
        <v>0</v>
      </c>
    </row>
    <row r="4836" spans="1:5" x14ac:dyDescent="0.25">
      <c r="A4836" s="36" t="b">
        <v>0</v>
      </c>
      <c r="B4836" s="56" t="b">
        <v>0</v>
      </c>
      <c r="C4836" s="56" t="b">
        <v>0</v>
      </c>
      <c r="D4836" s="56" t="b">
        <v>0</v>
      </c>
      <c r="E4836" s="56">
        <f ca="1">IF(PV[[#This Row],[Business Date]]=Control!$C$6, PV[[#This Row],[Notional Value Local Cur]], -PV[[#This Row],[Notional Value Local Cur]])</f>
        <v>0</v>
      </c>
    </row>
    <row r="4837" spans="1:5" x14ac:dyDescent="0.25">
      <c r="A4837" s="36" t="b">
        <v>0</v>
      </c>
      <c r="B4837" s="56" t="b">
        <v>0</v>
      </c>
      <c r="C4837" s="56" t="b">
        <v>0</v>
      </c>
      <c r="D4837" s="56" t="b">
        <v>0</v>
      </c>
      <c r="E4837" s="56">
        <f ca="1">IF(PV[[#This Row],[Business Date]]=Control!$C$6, PV[[#This Row],[Notional Value Local Cur]], -PV[[#This Row],[Notional Value Local Cur]])</f>
        <v>0</v>
      </c>
    </row>
    <row r="4838" spans="1:5" x14ac:dyDescent="0.25">
      <c r="A4838" s="36" t="b">
        <v>0</v>
      </c>
      <c r="B4838" s="56" t="b">
        <v>0</v>
      </c>
      <c r="C4838" s="56" t="b">
        <v>0</v>
      </c>
      <c r="D4838" s="56" t="b">
        <v>0</v>
      </c>
      <c r="E4838" s="56">
        <f ca="1">IF(PV[[#This Row],[Business Date]]=Control!$C$6, PV[[#This Row],[Notional Value Local Cur]], -PV[[#This Row],[Notional Value Local Cur]])</f>
        <v>0</v>
      </c>
    </row>
    <row r="4839" spans="1:5" x14ac:dyDescent="0.25">
      <c r="A4839" s="36" t="b">
        <v>0</v>
      </c>
      <c r="B4839" s="56" t="b">
        <v>0</v>
      </c>
      <c r="C4839" s="56" t="b">
        <v>0</v>
      </c>
      <c r="D4839" s="56" t="b">
        <v>0</v>
      </c>
      <c r="E4839" s="56">
        <f ca="1">IF(PV[[#This Row],[Business Date]]=Control!$C$6, PV[[#This Row],[Notional Value Local Cur]], -PV[[#This Row],[Notional Value Local Cur]])</f>
        <v>0</v>
      </c>
    </row>
    <row r="4840" spans="1:5" x14ac:dyDescent="0.25">
      <c r="A4840" s="36" t="b">
        <v>0</v>
      </c>
      <c r="B4840" s="56" t="b">
        <v>0</v>
      </c>
      <c r="C4840" s="56" t="b">
        <v>0</v>
      </c>
      <c r="D4840" s="56" t="b">
        <v>0</v>
      </c>
      <c r="E4840" s="56">
        <f ca="1">IF(PV[[#This Row],[Business Date]]=Control!$C$6, PV[[#This Row],[Notional Value Local Cur]], -PV[[#This Row],[Notional Value Local Cur]])</f>
        <v>0</v>
      </c>
    </row>
    <row r="4841" spans="1:5" x14ac:dyDescent="0.25">
      <c r="A4841" s="36" t="b">
        <v>0</v>
      </c>
      <c r="B4841" s="56" t="b">
        <v>0</v>
      </c>
      <c r="C4841" s="56" t="b">
        <v>0</v>
      </c>
      <c r="D4841" s="56" t="b">
        <v>0</v>
      </c>
      <c r="E4841" s="56">
        <f ca="1">IF(PV[[#This Row],[Business Date]]=Control!$C$6, PV[[#This Row],[Notional Value Local Cur]], -PV[[#This Row],[Notional Value Local Cur]])</f>
        <v>0</v>
      </c>
    </row>
    <row r="4842" spans="1:5" x14ac:dyDescent="0.25">
      <c r="A4842" s="36" t="b">
        <v>0</v>
      </c>
      <c r="B4842" s="56" t="b">
        <v>0</v>
      </c>
      <c r="C4842" s="56" t="b">
        <v>0</v>
      </c>
      <c r="D4842" s="56" t="b">
        <v>0</v>
      </c>
      <c r="E4842" s="56">
        <f ca="1">IF(PV[[#This Row],[Business Date]]=Control!$C$6, PV[[#This Row],[Notional Value Local Cur]], -PV[[#This Row],[Notional Value Local Cur]])</f>
        <v>0</v>
      </c>
    </row>
    <row r="4843" spans="1:5" x14ac:dyDescent="0.25">
      <c r="A4843" s="36" t="b">
        <v>0</v>
      </c>
      <c r="B4843" s="56" t="b">
        <v>0</v>
      </c>
      <c r="C4843" s="56" t="b">
        <v>0</v>
      </c>
      <c r="D4843" s="56" t="b">
        <v>0</v>
      </c>
      <c r="E4843" s="56">
        <f ca="1">IF(PV[[#This Row],[Business Date]]=Control!$C$6, PV[[#This Row],[Notional Value Local Cur]], -PV[[#This Row],[Notional Value Local Cur]])</f>
        <v>0</v>
      </c>
    </row>
    <row r="4844" spans="1:5" x14ac:dyDescent="0.25">
      <c r="A4844" s="36" t="b">
        <v>0</v>
      </c>
      <c r="B4844" s="56" t="b">
        <v>0</v>
      </c>
      <c r="C4844" s="56" t="b">
        <v>0</v>
      </c>
      <c r="D4844" s="56" t="b">
        <v>0</v>
      </c>
      <c r="E4844" s="56">
        <f ca="1">IF(PV[[#This Row],[Business Date]]=Control!$C$6, PV[[#This Row],[Notional Value Local Cur]], -PV[[#This Row],[Notional Value Local Cur]])</f>
        <v>0</v>
      </c>
    </row>
    <row r="4845" spans="1:5" x14ac:dyDescent="0.25">
      <c r="A4845" s="36" t="b">
        <v>0</v>
      </c>
      <c r="B4845" s="56" t="b">
        <v>0</v>
      </c>
      <c r="C4845" s="56" t="b">
        <v>0</v>
      </c>
      <c r="D4845" s="56" t="b">
        <v>0</v>
      </c>
      <c r="E4845" s="56">
        <f ca="1">IF(PV[[#This Row],[Business Date]]=Control!$C$6, PV[[#This Row],[Notional Value Local Cur]], -PV[[#This Row],[Notional Value Local Cur]])</f>
        <v>0</v>
      </c>
    </row>
    <row r="4846" spans="1:5" x14ac:dyDescent="0.25">
      <c r="A4846" s="36" t="b">
        <v>0</v>
      </c>
      <c r="B4846" s="56" t="b">
        <v>0</v>
      </c>
      <c r="C4846" s="56" t="b">
        <v>0</v>
      </c>
      <c r="D4846" s="56" t="b">
        <v>0</v>
      </c>
      <c r="E4846" s="56">
        <f ca="1">IF(PV[[#This Row],[Business Date]]=Control!$C$6, PV[[#This Row],[Notional Value Local Cur]], -PV[[#This Row],[Notional Value Local Cur]])</f>
        <v>0</v>
      </c>
    </row>
    <row r="4847" spans="1:5" x14ac:dyDescent="0.25">
      <c r="A4847" s="36" t="b">
        <v>0</v>
      </c>
      <c r="B4847" s="56" t="b">
        <v>0</v>
      </c>
      <c r="C4847" s="56" t="b">
        <v>0</v>
      </c>
      <c r="D4847" s="56" t="b">
        <v>0</v>
      </c>
      <c r="E4847" s="56">
        <f ca="1">IF(PV[[#This Row],[Business Date]]=Control!$C$6, PV[[#This Row],[Notional Value Local Cur]], -PV[[#This Row],[Notional Value Local Cur]])</f>
        <v>0</v>
      </c>
    </row>
    <row r="4848" spans="1:5" x14ac:dyDescent="0.25">
      <c r="A4848" s="36" t="b">
        <v>0</v>
      </c>
      <c r="B4848" s="56" t="b">
        <v>0</v>
      </c>
      <c r="C4848" s="56" t="b">
        <v>0</v>
      </c>
      <c r="D4848" s="56" t="b">
        <v>0</v>
      </c>
      <c r="E4848" s="56">
        <f ca="1">IF(PV[[#This Row],[Business Date]]=Control!$C$6, PV[[#This Row],[Notional Value Local Cur]], -PV[[#This Row],[Notional Value Local Cur]])</f>
        <v>0</v>
      </c>
    </row>
    <row r="4849" spans="1:5" x14ac:dyDescent="0.25">
      <c r="A4849" s="36" t="b">
        <v>0</v>
      </c>
      <c r="B4849" s="56" t="b">
        <v>0</v>
      </c>
      <c r="C4849" s="56" t="b">
        <v>0</v>
      </c>
      <c r="D4849" s="56" t="b">
        <v>0</v>
      </c>
      <c r="E4849" s="56">
        <f ca="1">IF(PV[[#This Row],[Business Date]]=Control!$C$6, PV[[#This Row],[Notional Value Local Cur]], -PV[[#This Row],[Notional Value Local Cur]])</f>
        <v>0</v>
      </c>
    </row>
    <row r="4850" spans="1:5" x14ac:dyDescent="0.25">
      <c r="A4850" s="36" t="b">
        <v>0</v>
      </c>
      <c r="B4850" s="56" t="b">
        <v>0</v>
      </c>
      <c r="C4850" s="56" t="b">
        <v>0</v>
      </c>
      <c r="D4850" s="56" t="b">
        <v>0</v>
      </c>
      <c r="E4850" s="56">
        <f ca="1">IF(PV[[#This Row],[Business Date]]=Control!$C$6, PV[[#This Row],[Notional Value Local Cur]], -PV[[#This Row],[Notional Value Local Cur]])</f>
        <v>0</v>
      </c>
    </row>
    <row r="4851" spans="1:5" x14ac:dyDescent="0.25">
      <c r="A4851" s="36" t="b">
        <v>0</v>
      </c>
      <c r="B4851" s="56" t="b">
        <v>0</v>
      </c>
      <c r="C4851" s="56" t="b">
        <v>0</v>
      </c>
      <c r="D4851" s="56" t="b">
        <v>0</v>
      </c>
      <c r="E4851" s="56">
        <f ca="1">IF(PV[[#This Row],[Business Date]]=Control!$C$6, PV[[#This Row],[Notional Value Local Cur]], -PV[[#This Row],[Notional Value Local Cur]])</f>
        <v>0</v>
      </c>
    </row>
    <row r="4852" spans="1:5" x14ac:dyDescent="0.25">
      <c r="A4852" s="36" t="b">
        <v>0</v>
      </c>
      <c r="B4852" s="56" t="b">
        <v>0</v>
      </c>
      <c r="C4852" s="56" t="b">
        <v>0</v>
      </c>
      <c r="D4852" s="56" t="b">
        <v>0</v>
      </c>
      <c r="E4852" s="56">
        <f ca="1">IF(PV[[#This Row],[Business Date]]=Control!$C$6, PV[[#This Row],[Notional Value Local Cur]], -PV[[#This Row],[Notional Value Local Cur]])</f>
        <v>0</v>
      </c>
    </row>
    <row r="4853" spans="1:5" x14ac:dyDescent="0.25">
      <c r="A4853" s="36" t="b">
        <v>0</v>
      </c>
      <c r="B4853" s="56" t="b">
        <v>0</v>
      </c>
      <c r="C4853" s="56" t="b">
        <v>0</v>
      </c>
      <c r="D4853" s="56" t="b">
        <v>0</v>
      </c>
      <c r="E4853" s="56">
        <f ca="1">IF(PV[[#This Row],[Business Date]]=Control!$C$6, PV[[#This Row],[Notional Value Local Cur]], -PV[[#This Row],[Notional Value Local Cur]])</f>
        <v>0</v>
      </c>
    </row>
    <row r="4854" spans="1:5" x14ac:dyDescent="0.25">
      <c r="A4854" s="36" t="b">
        <v>0</v>
      </c>
      <c r="B4854" s="56" t="b">
        <v>0</v>
      </c>
      <c r="C4854" s="56" t="b">
        <v>0</v>
      </c>
      <c r="D4854" s="56" t="b">
        <v>0</v>
      </c>
      <c r="E4854" s="56">
        <f ca="1">IF(PV[[#This Row],[Business Date]]=Control!$C$6, PV[[#This Row],[Notional Value Local Cur]], -PV[[#This Row],[Notional Value Local Cur]])</f>
        <v>0</v>
      </c>
    </row>
    <row r="4855" spans="1:5" x14ac:dyDescent="0.25">
      <c r="A4855" s="36" t="b">
        <v>0</v>
      </c>
      <c r="B4855" s="56" t="b">
        <v>0</v>
      </c>
      <c r="C4855" s="56" t="b">
        <v>0</v>
      </c>
      <c r="D4855" s="56" t="b">
        <v>0</v>
      </c>
      <c r="E4855" s="56">
        <f ca="1">IF(PV[[#This Row],[Business Date]]=Control!$C$6, PV[[#This Row],[Notional Value Local Cur]], -PV[[#This Row],[Notional Value Local Cur]])</f>
        <v>0</v>
      </c>
    </row>
    <row r="4856" spans="1:5" x14ac:dyDescent="0.25">
      <c r="A4856" s="36" t="b">
        <v>0</v>
      </c>
      <c r="B4856" s="56" t="b">
        <v>0</v>
      </c>
      <c r="C4856" s="56" t="b">
        <v>0</v>
      </c>
      <c r="D4856" s="56" t="b">
        <v>0</v>
      </c>
      <c r="E4856" s="56">
        <f ca="1">IF(PV[[#This Row],[Business Date]]=Control!$C$6, PV[[#This Row],[Notional Value Local Cur]], -PV[[#This Row],[Notional Value Local Cur]])</f>
        <v>0</v>
      </c>
    </row>
    <row r="4857" spans="1:5" x14ac:dyDescent="0.25">
      <c r="A4857" s="36" t="b">
        <v>0</v>
      </c>
      <c r="B4857" s="56" t="b">
        <v>0</v>
      </c>
      <c r="C4857" s="56" t="b">
        <v>0</v>
      </c>
      <c r="D4857" s="56" t="b">
        <v>0</v>
      </c>
      <c r="E4857" s="56">
        <f ca="1">IF(PV[[#This Row],[Business Date]]=Control!$C$6, PV[[#This Row],[Notional Value Local Cur]], -PV[[#This Row],[Notional Value Local Cur]])</f>
        <v>0</v>
      </c>
    </row>
    <row r="4858" spans="1:5" x14ac:dyDescent="0.25">
      <c r="A4858" s="36" t="b">
        <v>0</v>
      </c>
      <c r="B4858" s="56" t="b">
        <v>0</v>
      </c>
      <c r="C4858" s="56" t="b">
        <v>0</v>
      </c>
      <c r="D4858" s="56" t="b">
        <v>0</v>
      </c>
      <c r="E4858" s="56">
        <f ca="1">IF(PV[[#This Row],[Business Date]]=Control!$C$6, PV[[#This Row],[Notional Value Local Cur]], -PV[[#This Row],[Notional Value Local Cur]])</f>
        <v>0</v>
      </c>
    </row>
    <row r="4859" spans="1:5" x14ac:dyDescent="0.25">
      <c r="A4859" s="36" t="b">
        <v>0</v>
      </c>
      <c r="B4859" s="56" t="b">
        <v>0</v>
      </c>
      <c r="C4859" s="56" t="b">
        <v>0</v>
      </c>
      <c r="D4859" s="56" t="b">
        <v>0</v>
      </c>
      <c r="E4859" s="56">
        <f ca="1">IF(PV[[#This Row],[Business Date]]=Control!$C$6, PV[[#This Row],[Notional Value Local Cur]], -PV[[#This Row],[Notional Value Local Cur]])</f>
        <v>0</v>
      </c>
    </row>
    <row r="4860" spans="1:5" x14ac:dyDescent="0.25">
      <c r="A4860" s="36" t="b">
        <v>0</v>
      </c>
      <c r="B4860" s="56" t="b">
        <v>0</v>
      </c>
      <c r="C4860" s="56" t="b">
        <v>0</v>
      </c>
      <c r="D4860" s="56" t="b">
        <v>0</v>
      </c>
      <c r="E4860" s="56">
        <f ca="1">IF(PV[[#This Row],[Business Date]]=Control!$C$6, PV[[#This Row],[Notional Value Local Cur]], -PV[[#This Row],[Notional Value Local Cur]])</f>
        <v>0</v>
      </c>
    </row>
    <row r="4861" spans="1:5" x14ac:dyDescent="0.25">
      <c r="A4861" s="36" t="b">
        <v>0</v>
      </c>
      <c r="B4861" s="56" t="b">
        <v>0</v>
      </c>
      <c r="C4861" s="56" t="b">
        <v>0</v>
      </c>
      <c r="D4861" s="56" t="b">
        <v>0</v>
      </c>
      <c r="E4861" s="56">
        <f ca="1">IF(PV[[#This Row],[Business Date]]=Control!$C$6, PV[[#This Row],[Notional Value Local Cur]], -PV[[#This Row],[Notional Value Local Cur]])</f>
        <v>0</v>
      </c>
    </row>
    <row r="4862" spans="1:5" x14ac:dyDescent="0.25">
      <c r="A4862" s="36" t="b">
        <v>0</v>
      </c>
      <c r="B4862" s="56" t="b">
        <v>0</v>
      </c>
      <c r="C4862" s="56" t="b">
        <v>0</v>
      </c>
      <c r="D4862" s="56" t="b">
        <v>0</v>
      </c>
      <c r="E4862" s="56">
        <f ca="1">IF(PV[[#This Row],[Business Date]]=Control!$C$6, PV[[#This Row],[Notional Value Local Cur]], -PV[[#This Row],[Notional Value Local Cur]])</f>
        <v>0</v>
      </c>
    </row>
    <row r="4863" spans="1:5" x14ac:dyDescent="0.25">
      <c r="A4863" s="36" t="b">
        <v>0</v>
      </c>
      <c r="B4863" s="56" t="b">
        <v>0</v>
      </c>
      <c r="C4863" s="56" t="b">
        <v>0</v>
      </c>
      <c r="D4863" s="56" t="b">
        <v>0</v>
      </c>
      <c r="E4863" s="56">
        <f ca="1">IF(PV[[#This Row],[Business Date]]=Control!$C$6, PV[[#This Row],[Notional Value Local Cur]], -PV[[#This Row],[Notional Value Local Cur]])</f>
        <v>0</v>
      </c>
    </row>
    <row r="4864" spans="1:5" x14ac:dyDescent="0.25">
      <c r="A4864" s="36" t="b">
        <v>0</v>
      </c>
      <c r="B4864" s="56" t="b">
        <v>0</v>
      </c>
      <c r="C4864" s="56" t="b">
        <v>0</v>
      </c>
      <c r="D4864" s="56" t="b">
        <v>0</v>
      </c>
      <c r="E4864" s="56">
        <f ca="1">IF(PV[[#This Row],[Business Date]]=Control!$C$6, PV[[#This Row],[Notional Value Local Cur]], -PV[[#This Row],[Notional Value Local Cur]])</f>
        <v>0</v>
      </c>
    </row>
    <row r="4865" spans="1:5" x14ac:dyDescent="0.25">
      <c r="A4865" s="36" t="b">
        <v>0</v>
      </c>
      <c r="B4865" s="56" t="b">
        <v>0</v>
      </c>
      <c r="C4865" s="56" t="b">
        <v>0</v>
      </c>
      <c r="D4865" s="56" t="b">
        <v>0</v>
      </c>
      <c r="E4865" s="56">
        <f ca="1">IF(PV[[#This Row],[Business Date]]=Control!$C$6, PV[[#This Row],[Notional Value Local Cur]], -PV[[#This Row],[Notional Value Local Cur]])</f>
        <v>0</v>
      </c>
    </row>
    <row r="4866" spans="1:5" x14ac:dyDescent="0.25">
      <c r="A4866" s="36" t="b">
        <v>0</v>
      </c>
      <c r="B4866" s="56" t="b">
        <v>0</v>
      </c>
      <c r="C4866" s="56" t="b">
        <v>0</v>
      </c>
      <c r="D4866" s="56" t="b">
        <v>0</v>
      </c>
      <c r="E4866" s="56">
        <f ca="1">IF(PV[[#This Row],[Business Date]]=Control!$C$6, PV[[#This Row],[Notional Value Local Cur]], -PV[[#This Row],[Notional Value Local Cur]])</f>
        <v>0</v>
      </c>
    </row>
    <row r="4867" spans="1:5" x14ac:dyDescent="0.25">
      <c r="A4867" s="36" t="b">
        <v>0</v>
      </c>
      <c r="B4867" s="56" t="b">
        <v>0</v>
      </c>
      <c r="C4867" s="56" t="b">
        <v>0</v>
      </c>
      <c r="D4867" s="56" t="b">
        <v>0</v>
      </c>
      <c r="E4867" s="56">
        <f ca="1">IF(PV[[#This Row],[Business Date]]=Control!$C$6, PV[[#This Row],[Notional Value Local Cur]], -PV[[#This Row],[Notional Value Local Cur]])</f>
        <v>0</v>
      </c>
    </row>
    <row r="4868" spans="1:5" x14ac:dyDescent="0.25">
      <c r="A4868" s="36" t="b">
        <v>0</v>
      </c>
      <c r="B4868" s="56" t="b">
        <v>0</v>
      </c>
      <c r="C4868" s="56" t="b">
        <v>0</v>
      </c>
      <c r="D4868" s="56" t="b">
        <v>0</v>
      </c>
      <c r="E4868" s="56">
        <f ca="1">IF(PV[[#This Row],[Business Date]]=Control!$C$6, PV[[#This Row],[Notional Value Local Cur]], -PV[[#This Row],[Notional Value Local Cur]])</f>
        <v>0</v>
      </c>
    </row>
    <row r="4869" spans="1:5" x14ac:dyDescent="0.25">
      <c r="A4869" s="36" t="b">
        <v>0</v>
      </c>
      <c r="B4869" s="56" t="b">
        <v>0</v>
      </c>
      <c r="C4869" s="56" t="b">
        <v>0</v>
      </c>
      <c r="D4869" s="56" t="b">
        <v>0</v>
      </c>
      <c r="E4869" s="56">
        <f ca="1">IF(PV[[#This Row],[Business Date]]=Control!$C$6, PV[[#This Row],[Notional Value Local Cur]], -PV[[#This Row],[Notional Value Local Cur]])</f>
        <v>0</v>
      </c>
    </row>
    <row r="4870" spans="1:5" x14ac:dyDescent="0.25">
      <c r="A4870" s="36" t="b">
        <v>0</v>
      </c>
      <c r="B4870" s="56" t="b">
        <v>0</v>
      </c>
      <c r="C4870" s="56" t="b">
        <v>0</v>
      </c>
      <c r="D4870" s="56" t="b">
        <v>0</v>
      </c>
      <c r="E4870" s="56">
        <f ca="1">IF(PV[[#This Row],[Business Date]]=Control!$C$6, PV[[#This Row],[Notional Value Local Cur]], -PV[[#This Row],[Notional Value Local Cur]])</f>
        <v>0</v>
      </c>
    </row>
    <row r="4871" spans="1:5" x14ac:dyDescent="0.25">
      <c r="A4871" s="36" t="b">
        <v>0</v>
      </c>
      <c r="B4871" s="56" t="b">
        <v>0</v>
      </c>
      <c r="C4871" s="56" t="b">
        <v>0</v>
      </c>
      <c r="D4871" s="56" t="b">
        <v>0</v>
      </c>
      <c r="E4871" s="56">
        <f ca="1">IF(PV[[#This Row],[Business Date]]=Control!$C$6, PV[[#This Row],[Notional Value Local Cur]], -PV[[#This Row],[Notional Value Local Cur]])</f>
        <v>0</v>
      </c>
    </row>
    <row r="4872" spans="1:5" x14ac:dyDescent="0.25">
      <c r="A4872" s="36" t="b">
        <v>0</v>
      </c>
      <c r="B4872" s="56" t="b">
        <v>0</v>
      </c>
      <c r="C4872" s="56" t="b">
        <v>0</v>
      </c>
      <c r="D4872" s="56" t="b">
        <v>0</v>
      </c>
      <c r="E4872" s="56">
        <f ca="1">IF(PV[[#This Row],[Business Date]]=Control!$C$6, PV[[#This Row],[Notional Value Local Cur]], -PV[[#This Row],[Notional Value Local Cur]])</f>
        <v>0</v>
      </c>
    </row>
    <row r="4873" spans="1:5" x14ac:dyDescent="0.25">
      <c r="A4873" s="36" t="b">
        <v>0</v>
      </c>
      <c r="B4873" s="56" t="b">
        <v>0</v>
      </c>
      <c r="C4873" s="56" t="b">
        <v>0</v>
      </c>
      <c r="D4873" s="56" t="b">
        <v>0</v>
      </c>
      <c r="E4873" s="56">
        <f ca="1">IF(PV[[#This Row],[Business Date]]=Control!$C$6, PV[[#This Row],[Notional Value Local Cur]], -PV[[#This Row],[Notional Value Local Cur]])</f>
        <v>0</v>
      </c>
    </row>
    <row r="4874" spans="1:5" x14ac:dyDescent="0.25">
      <c r="A4874" s="36" t="b">
        <v>0</v>
      </c>
      <c r="B4874" s="56" t="b">
        <v>0</v>
      </c>
      <c r="C4874" s="56" t="b">
        <v>0</v>
      </c>
      <c r="D4874" s="56" t="b">
        <v>0</v>
      </c>
      <c r="E4874" s="56">
        <f ca="1">IF(PV[[#This Row],[Business Date]]=Control!$C$6, PV[[#This Row],[Notional Value Local Cur]], -PV[[#This Row],[Notional Value Local Cur]])</f>
        <v>0</v>
      </c>
    </row>
    <row r="4875" spans="1:5" x14ac:dyDescent="0.25">
      <c r="A4875" s="36" t="b">
        <v>0</v>
      </c>
      <c r="B4875" s="56" t="b">
        <v>0</v>
      </c>
      <c r="C4875" s="56" t="b">
        <v>0</v>
      </c>
      <c r="D4875" s="56" t="b">
        <v>0</v>
      </c>
      <c r="E4875" s="56">
        <f ca="1">IF(PV[[#This Row],[Business Date]]=Control!$C$6, PV[[#This Row],[Notional Value Local Cur]], -PV[[#This Row],[Notional Value Local Cur]])</f>
        <v>0</v>
      </c>
    </row>
    <row r="4876" spans="1:5" x14ac:dyDescent="0.25">
      <c r="A4876" s="36" t="b">
        <v>0</v>
      </c>
      <c r="B4876" s="56" t="b">
        <v>0</v>
      </c>
      <c r="C4876" s="56" t="b">
        <v>0</v>
      </c>
      <c r="D4876" s="56" t="b">
        <v>0</v>
      </c>
      <c r="E4876" s="56">
        <f ca="1">IF(PV[[#This Row],[Business Date]]=Control!$C$6, PV[[#This Row],[Notional Value Local Cur]], -PV[[#This Row],[Notional Value Local Cur]])</f>
        <v>0</v>
      </c>
    </row>
    <row r="4877" spans="1:5" x14ac:dyDescent="0.25">
      <c r="A4877" s="36" t="b">
        <v>0</v>
      </c>
      <c r="B4877" s="56" t="b">
        <v>0</v>
      </c>
      <c r="C4877" s="56" t="b">
        <v>0</v>
      </c>
      <c r="D4877" s="56" t="b">
        <v>0</v>
      </c>
      <c r="E4877" s="56">
        <f ca="1">IF(PV[[#This Row],[Business Date]]=Control!$C$6, PV[[#This Row],[Notional Value Local Cur]], -PV[[#This Row],[Notional Value Local Cur]])</f>
        <v>0</v>
      </c>
    </row>
    <row r="4878" spans="1:5" x14ac:dyDescent="0.25">
      <c r="A4878" s="36" t="b">
        <v>0</v>
      </c>
      <c r="B4878" s="56" t="b">
        <v>0</v>
      </c>
      <c r="C4878" s="56" t="b">
        <v>0</v>
      </c>
      <c r="D4878" s="56" t="b">
        <v>0</v>
      </c>
      <c r="E4878" s="56">
        <f ca="1">IF(PV[[#This Row],[Business Date]]=Control!$C$6, PV[[#This Row],[Notional Value Local Cur]], -PV[[#This Row],[Notional Value Local Cur]])</f>
        <v>0</v>
      </c>
    </row>
    <row r="4879" spans="1:5" x14ac:dyDescent="0.25">
      <c r="A4879" s="36" t="b">
        <v>0</v>
      </c>
      <c r="B4879" s="56" t="b">
        <v>0</v>
      </c>
      <c r="C4879" s="56" t="b">
        <v>0</v>
      </c>
      <c r="D4879" s="56" t="b">
        <v>0</v>
      </c>
      <c r="E4879" s="56">
        <f ca="1">IF(PV[[#This Row],[Business Date]]=Control!$C$6, PV[[#This Row],[Notional Value Local Cur]], -PV[[#This Row],[Notional Value Local Cur]])</f>
        <v>0</v>
      </c>
    </row>
    <row r="4880" spans="1:5" x14ac:dyDescent="0.25">
      <c r="A4880" s="36" t="b">
        <v>0</v>
      </c>
      <c r="B4880" s="56" t="b">
        <v>0</v>
      </c>
      <c r="C4880" s="56" t="b">
        <v>0</v>
      </c>
      <c r="D4880" s="56" t="b">
        <v>0</v>
      </c>
      <c r="E4880" s="56">
        <f ca="1">IF(PV[[#This Row],[Business Date]]=Control!$C$6, PV[[#This Row],[Notional Value Local Cur]], -PV[[#This Row],[Notional Value Local Cur]])</f>
        <v>0</v>
      </c>
    </row>
    <row r="4881" spans="1:5" x14ac:dyDescent="0.25">
      <c r="A4881" s="36" t="b">
        <v>0</v>
      </c>
      <c r="B4881" s="56" t="b">
        <v>0</v>
      </c>
      <c r="C4881" s="56" t="b">
        <v>0</v>
      </c>
      <c r="D4881" s="56" t="b">
        <v>0</v>
      </c>
      <c r="E4881" s="56">
        <f ca="1">IF(PV[[#This Row],[Business Date]]=Control!$C$6, PV[[#This Row],[Notional Value Local Cur]], -PV[[#This Row],[Notional Value Local Cur]])</f>
        <v>0</v>
      </c>
    </row>
    <row r="4882" spans="1:5" x14ac:dyDescent="0.25">
      <c r="A4882" s="36" t="b">
        <v>0</v>
      </c>
      <c r="B4882" s="56" t="b">
        <v>0</v>
      </c>
      <c r="C4882" s="56" t="b">
        <v>0</v>
      </c>
      <c r="D4882" s="56" t="b">
        <v>0</v>
      </c>
      <c r="E4882" s="56">
        <f ca="1">IF(PV[[#This Row],[Business Date]]=Control!$C$6, PV[[#This Row],[Notional Value Local Cur]], -PV[[#This Row],[Notional Value Local Cur]])</f>
        <v>0</v>
      </c>
    </row>
    <row r="4883" spans="1:5" x14ac:dyDescent="0.25">
      <c r="A4883" s="36" t="b">
        <v>0</v>
      </c>
      <c r="B4883" s="56" t="b">
        <v>0</v>
      </c>
      <c r="C4883" s="56" t="b">
        <v>0</v>
      </c>
      <c r="D4883" s="56" t="b">
        <v>0</v>
      </c>
      <c r="E4883" s="56">
        <f ca="1">IF(PV[[#This Row],[Business Date]]=Control!$C$6, PV[[#This Row],[Notional Value Local Cur]], -PV[[#This Row],[Notional Value Local Cur]])</f>
        <v>0</v>
      </c>
    </row>
    <row r="4884" spans="1:5" x14ac:dyDescent="0.25">
      <c r="A4884" s="36" t="b">
        <v>0</v>
      </c>
      <c r="B4884" s="56" t="b">
        <v>0</v>
      </c>
      <c r="C4884" s="56" t="b">
        <v>0</v>
      </c>
      <c r="D4884" s="56" t="b">
        <v>0</v>
      </c>
      <c r="E4884" s="56">
        <f ca="1">IF(PV[[#This Row],[Business Date]]=Control!$C$6, PV[[#This Row],[Notional Value Local Cur]], -PV[[#This Row],[Notional Value Local Cur]])</f>
        <v>0</v>
      </c>
    </row>
    <row r="4885" spans="1:5" x14ac:dyDescent="0.25">
      <c r="A4885" s="36" t="b">
        <v>0</v>
      </c>
      <c r="B4885" s="56" t="b">
        <v>0</v>
      </c>
      <c r="C4885" s="56" t="b">
        <v>0</v>
      </c>
      <c r="D4885" s="56" t="b">
        <v>0</v>
      </c>
      <c r="E4885" s="56">
        <f ca="1">IF(PV[[#This Row],[Business Date]]=Control!$C$6, PV[[#This Row],[Notional Value Local Cur]], -PV[[#This Row],[Notional Value Local Cur]])</f>
        <v>0</v>
      </c>
    </row>
    <row r="4886" spans="1:5" x14ac:dyDescent="0.25">
      <c r="A4886" s="36" t="b">
        <v>0</v>
      </c>
      <c r="B4886" s="56" t="b">
        <v>0</v>
      </c>
      <c r="C4886" s="56" t="b">
        <v>0</v>
      </c>
      <c r="D4886" s="56" t="b">
        <v>0</v>
      </c>
      <c r="E4886" s="56">
        <f ca="1">IF(PV[[#This Row],[Business Date]]=Control!$C$6, PV[[#This Row],[Notional Value Local Cur]], -PV[[#This Row],[Notional Value Local Cur]])</f>
        <v>0</v>
      </c>
    </row>
    <row r="4887" spans="1:5" x14ac:dyDescent="0.25">
      <c r="A4887" s="36" t="b">
        <v>0</v>
      </c>
      <c r="B4887" s="56" t="b">
        <v>0</v>
      </c>
      <c r="C4887" s="56" t="b">
        <v>0</v>
      </c>
      <c r="D4887" s="56" t="b">
        <v>0</v>
      </c>
      <c r="E4887" s="56">
        <f ca="1">IF(PV[[#This Row],[Business Date]]=Control!$C$6, PV[[#This Row],[Notional Value Local Cur]], -PV[[#This Row],[Notional Value Local Cur]])</f>
        <v>0</v>
      </c>
    </row>
    <row r="4888" spans="1:5" x14ac:dyDescent="0.25">
      <c r="A4888" s="36" t="b">
        <v>0</v>
      </c>
      <c r="B4888" s="56" t="b">
        <v>0</v>
      </c>
      <c r="C4888" s="56" t="b">
        <v>0</v>
      </c>
      <c r="D4888" s="56" t="b">
        <v>0</v>
      </c>
      <c r="E4888" s="56">
        <f ca="1">IF(PV[[#This Row],[Business Date]]=Control!$C$6, PV[[#This Row],[Notional Value Local Cur]], -PV[[#This Row],[Notional Value Local Cur]])</f>
        <v>0</v>
      </c>
    </row>
    <row r="4889" spans="1:5" x14ac:dyDescent="0.25">
      <c r="A4889" s="36" t="b">
        <v>0</v>
      </c>
      <c r="B4889" s="56" t="b">
        <v>0</v>
      </c>
      <c r="C4889" s="56" t="b">
        <v>0</v>
      </c>
      <c r="D4889" s="56" t="b">
        <v>0</v>
      </c>
      <c r="E4889" s="56">
        <f ca="1">IF(PV[[#This Row],[Business Date]]=Control!$C$6, PV[[#This Row],[Notional Value Local Cur]], -PV[[#This Row],[Notional Value Local Cur]])</f>
        <v>0</v>
      </c>
    </row>
    <row r="4890" spans="1:5" x14ac:dyDescent="0.25">
      <c r="A4890" s="36" t="b">
        <v>0</v>
      </c>
      <c r="B4890" s="56" t="b">
        <v>0</v>
      </c>
      <c r="C4890" s="56" t="b">
        <v>0</v>
      </c>
      <c r="D4890" s="56" t="b">
        <v>0</v>
      </c>
      <c r="E4890" s="56">
        <f ca="1">IF(PV[[#This Row],[Business Date]]=Control!$C$6, PV[[#This Row],[Notional Value Local Cur]], -PV[[#This Row],[Notional Value Local Cur]])</f>
        <v>0</v>
      </c>
    </row>
    <row r="4891" spans="1:5" x14ac:dyDescent="0.25">
      <c r="A4891" s="36" t="b">
        <v>0</v>
      </c>
      <c r="B4891" s="56" t="b">
        <v>0</v>
      </c>
      <c r="C4891" s="56" t="b">
        <v>0</v>
      </c>
      <c r="D4891" s="56" t="b">
        <v>0</v>
      </c>
      <c r="E4891" s="56">
        <f ca="1">IF(PV[[#This Row],[Business Date]]=Control!$C$6, PV[[#This Row],[Notional Value Local Cur]], -PV[[#This Row],[Notional Value Local Cur]])</f>
        <v>0</v>
      </c>
    </row>
    <row r="4892" spans="1:5" x14ac:dyDescent="0.25">
      <c r="A4892" s="36" t="b">
        <v>0</v>
      </c>
      <c r="B4892" s="56" t="b">
        <v>0</v>
      </c>
      <c r="C4892" s="56" t="b">
        <v>0</v>
      </c>
      <c r="D4892" s="56" t="b">
        <v>0</v>
      </c>
      <c r="E4892" s="56">
        <f ca="1">IF(PV[[#This Row],[Business Date]]=Control!$C$6, PV[[#This Row],[Notional Value Local Cur]], -PV[[#This Row],[Notional Value Local Cur]])</f>
        <v>0</v>
      </c>
    </row>
    <row r="4893" spans="1:5" x14ac:dyDescent="0.25">
      <c r="A4893" s="36" t="b">
        <v>0</v>
      </c>
      <c r="B4893" s="56" t="b">
        <v>0</v>
      </c>
      <c r="C4893" s="56" t="b">
        <v>0</v>
      </c>
      <c r="D4893" s="56" t="b">
        <v>0</v>
      </c>
      <c r="E4893" s="56">
        <f ca="1">IF(PV[[#This Row],[Business Date]]=Control!$C$6, PV[[#This Row],[Notional Value Local Cur]], -PV[[#This Row],[Notional Value Local Cur]])</f>
        <v>0</v>
      </c>
    </row>
    <row r="4894" spans="1:5" x14ac:dyDescent="0.25">
      <c r="A4894" s="36" t="b">
        <v>0</v>
      </c>
      <c r="B4894" s="56" t="b">
        <v>0</v>
      </c>
      <c r="C4894" s="56" t="b">
        <v>0</v>
      </c>
      <c r="D4894" s="56" t="b">
        <v>0</v>
      </c>
      <c r="E4894" s="56">
        <f ca="1">IF(PV[[#This Row],[Business Date]]=Control!$C$6, PV[[#This Row],[Notional Value Local Cur]], -PV[[#This Row],[Notional Value Local Cur]])</f>
        <v>0</v>
      </c>
    </row>
    <row r="4895" spans="1:5" x14ac:dyDescent="0.25">
      <c r="A4895" s="36" t="b">
        <v>0</v>
      </c>
      <c r="B4895" s="56" t="b">
        <v>0</v>
      </c>
      <c r="C4895" s="56" t="b">
        <v>0</v>
      </c>
      <c r="D4895" s="56" t="b">
        <v>0</v>
      </c>
      <c r="E4895" s="56">
        <f ca="1">IF(PV[[#This Row],[Business Date]]=Control!$C$6, PV[[#This Row],[Notional Value Local Cur]], -PV[[#This Row],[Notional Value Local Cur]])</f>
        <v>0</v>
      </c>
    </row>
    <row r="4896" spans="1:5" x14ac:dyDescent="0.25">
      <c r="A4896" s="36" t="b">
        <v>0</v>
      </c>
      <c r="B4896" s="56" t="b">
        <v>0</v>
      </c>
      <c r="C4896" s="56" t="b">
        <v>0</v>
      </c>
      <c r="D4896" s="56" t="b">
        <v>0</v>
      </c>
      <c r="E4896" s="56">
        <f ca="1">IF(PV[[#This Row],[Business Date]]=Control!$C$6, PV[[#This Row],[Notional Value Local Cur]], -PV[[#This Row],[Notional Value Local Cur]])</f>
        <v>0</v>
      </c>
    </row>
    <row r="4897" spans="1:5" x14ac:dyDescent="0.25">
      <c r="A4897" s="36" t="b">
        <v>0</v>
      </c>
      <c r="B4897" s="56" t="b">
        <v>0</v>
      </c>
      <c r="C4897" s="56" t="b">
        <v>0</v>
      </c>
      <c r="D4897" s="56" t="b">
        <v>0</v>
      </c>
      <c r="E4897" s="56">
        <f ca="1">IF(PV[[#This Row],[Business Date]]=Control!$C$6, PV[[#This Row],[Notional Value Local Cur]], -PV[[#This Row],[Notional Value Local Cur]])</f>
        <v>0</v>
      </c>
    </row>
    <row r="4898" spans="1:5" x14ac:dyDescent="0.25">
      <c r="A4898" s="36" t="b">
        <v>0</v>
      </c>
      <c r="B4898" s="56" t="b">
        <v>0</v>
      </c>
      <c r="C4898" s="56" t="b">
        <v>0</v>
      </c>
      <c r="D4898" s="56" t="b">
        <v>0</v>
      </c>
      <c r="E4898" s="56">
        <f ca="1">IF(PV[[#This Row],[Business Date]]=Control!$C$6, PV[[#This Row],[Notional Value Local Cur]], -PV[[#This Row],[Notional Value Local Cur]])</f>
        <v>0</v>
      </c>
    </row>
    <row r="4899" spans="1:5" x14ac:dyDescent="0.25">
      <c r="A4899" s="36" t="b">
        <v>0</v>
      </c>
      <c r="B4899" s="56" t="b">
        <v>0</v>
      </c>
      <c r="C4899" s="56" t="b">
        <v>0</v>
      </c>
      <c r="D4899" s="56" t="b">
        <v>0</v>
      </c>
      <c r="E4899" s="56">
        <f ca="1">IF(PV[[#This Row],[Business Date]]=Control!$C$6, PV[[#This Row],[Notional Value Local Cur]], -PV[[#This Row],[Notional Value Local Cur]])</f>
        <v>0</v>
      </c>
    </row>
    <row r="4900" spans="1:5" x14ac:dyDescent="0.25">
      <c r="A4900" s="36" t="b">
        <v>0</v>
      </c>
      <c r="B4900" s="56" t="b">
        <v>0</v>
      </c>
      <c r="C4900" s="56" t="b">
        <v>0</v>
      </c>
      <c r="D4900" s="56" t="b">
        <v>0</v>
      </c>
      <c r="E4900" s="56">
        <f ca="1">IF(PV[[#This Row],[Business Date]]=Control!$C$6, PV[[#This Row],[Notional Value Local Cur]], -PV[[#This Row],[Notional Value Local Cur]])</f>
        <v>0</v>
      </c>
    </row>
    <row r="4901" spans="1:5" x14ac:dyDescent="0.25">
      <c r="A4901" s="36" t="b">
        <v>0</v>
      </c>
      <c r="B4901" s="56" t="b">
        <v>0</v>
      </c>
      <c r="C4901" s="56" t="b">
        <v>0</v>
      </c>
      <c r="D4901" s="56" t="b">
        <v>0</v>
      </c>
      <c r="E4901" s="56">
        <f ca="1">IF(PV[[#This Row],[Business Date]]=Control!$C$6, PV[[#This Row],[Notional Value Local Cur]], -PV[[#This Row],[Notional Value Local Cur]])</f>
        <v>0</v>
      </c>
    </row>
    <row r="4902" spans="1:5" x14ac:dyDescent="0.25">
      <c r="A4902" s="36" t="b">
        <v>0</v>
      </c>
      <c r="B4902" s="56" t="b">
        <v>0</v>
      </c>
      <c r="C4902" s="56" t="b">
        <v>0</v>
      </c>
      <c r="D4902" s="56" t="b">
        <v>0</v>
      </c>
      <c r="E4902" s="56">
        <f ca="1">IF(PV[[#This Row],[Business Date]]=Control!$C$6, PV[[#This Row],[Notional Value Local Cur]], -PV[[#This Row],[Notional Value Local Cur]])</f>
        <v>0</v>
      </c>
    </row>
    <row r="4903" spans="1:5" x14ac:dyDescent="0.25">
      <c r="A4903" s="36" t="b">
        <v>0</v>
      </c>
      <c r="B4903" s="56" t="b">
        <v>0</v>
      </c>
      <c r="C4903" s="56" t="b">
        <v>0</v>
      </c>
      <c r="D4903" s="56" t="b">
        <v>0</v>
      </c>
      <c r="E4903" s="56">
        <f ca="1">IF(PV[[#This Row],[Business Date]]=Control!$C$6, PV[[#This Row],[Notional Value Local Cur]], -PV[[#This Row],[Notional Value Local Cur]])</f>
        <v>0</v>
      </c>
    </row>
    <row r="4904" spans="1:5" x14ac:dyDescent="0.25">
      <c r="A4904" s="36" t="b">
        <v>0</v>
      </c>
      <c r="B4904" s="56" t="b">
        <v>0</v>
      </c>
      <c r="C4904" s="56" t="b">
        <v>0</v>
      </c>
      <c r="D4904" s="56" t="b">
        <v>0</v>
      </c>
      <c r="E4904" s="56">
        <f ca="1">IF(PV[[#This Row],[Business Date]]=Control!$C$6, PV[[#This Row],[Notional Value Local Cur]], -PV[[#This Row],[Notional Value Local Cur]])</f>
        <v>0</v>
      </c>
    </row>
    <row r="4905" spans="1:5" x14ac:dyDescent="0.25">
      <c r="A4905" s="36" t="b">
        <v>0</v>
      </c>
      <c r="B4905" s="56" t="b">
        <v>0</v>
      </c>
      <c r="C4905" s="56" t="b">
        <v>0</v>
      </c>
      <c r="D4905" s="56" t="b">
        <v>0</v>
      </c>
      <c r="E4905" s="56">
        <f ca="1">IF(PV[[#This Row],[Business Date]]=Control!$C$6, PV[[#This Row],[Notional Value Local Cur]], -PV[[#This Row],[Notional Value Local Cur]])</f>
        <v>0</v>
      </c>
    </row>
    <row r="4906" spans="1:5" x14ac:dyDescent="0.25">
      <c r="A4906" s="36" t="b">
        <v>0</v>
      </c>
      <c r="B4906" s="56" t="b">
        <v>0</v>
      </c>
      <c r="C4906" s="56" t="b">
        <v>0</v>
      </c>
      <c r="D4906" s="56" t="b">
        <v>0</v>
      </c>
      <c r="E4906" s="56">
        <f ca="1">IF(PV[[#This Row],[Business Date]]=Control!$C$6, PV[[#This Row],[Notional Value Local Cur]], -PV[[#This Row],[Notional Value Local Cur]])</f>
        <v>0</v>
      </c>
    </row>
    <row r="4907" spans="1:5" x14ac:dyDescent="0.25">
      <c r="A4907" s="36" t="b">
        <v>0</v>
      </c>
      <c r="B4907" s="56" t="b">
        <v>0</v>
      </c>
      <c r="C4907" s="56" t="b">
        <v>0</v>
      </c>
      <c r="D4907" s="56" t="b">
        <v>0</v>
      </c>
      <c r="E4907" s="56">
        <f ca="1">IF(PV[[#This Row],[Business Date]]=Control!$C$6, PV[[#This Row],[Notional Value Local Cur]], -PV[[#This Row],[Notional Value Local Cur]])</f>
        <v>0</v>
      </c>
    </row>
    <row r="4908" spans="1:5" x14ac:dyDescent="0.25">
      <c r="A4908" s="36" t="b">
        <v>0</v>
      </c>
      <c r="B4908" s="56" t="b">
        <v>0</v>
      </c>
      <c r="C4908" s="56" t="b">
        <v>0</v>
      </c>
      <c r="D4908" s="56" t="b">
        <v>0</v>
      </c>
      <c r="E4908" s="56">
        <f ca="1">IF(PV[[#This Row],[Business Date]]=Control!$C$6, PV[[#This Row],[Notional Value Local Cur]], -PV[[#This Row],[Notional Value Local Cur]])</f>
        <v>0</v>
      </c>
    </row>
    <row r="4909" spans="1:5" x14ac:dyDescent="0.25">
      <c r="A4909" s="36" t="b">
        <v>0</v>
      </c>
      <c r="B4909" s="56" t="b">
        <v>0</v>
      </c>
      <c r="C4909" s="56" t="b">
        <v>0</v>
      </c>
      <c r="D4909" s="56" t="b">
        <v>0</v>
      </c>
      <c r="E4909" s="56">
        <f ca="1">IF(PV[[#This Row],[Business Date]]=Control!$C$6, PV[[#This Row],[Notional Value Local Cur]], -PV[[#This Row],[Notional Value Local Cur]])</f>
        <v>0</v>
      </c>
    </row>
    <row r="4910" spans="1:5" x14ac:dyDescent="0.25">
      <c r="A4910" s="36" t="b">
        <v>0</v>
      </c>
      <c r="B4910" s="56" t="b">
        <v>0</v>
      </c>
      <c r="C4910" s="56" t="b">
        <v>0</v>
      </c>
      <c r="D4910" s="56" t="b">
        <v>0</v>
      </c>
      <c r="E4910" s="56">
        <f ca="1">IF(PV[[#This Row],[Business Date]]=Control!$C$6, PV[[#This Row],[Notional Value Local Cur]], -PV[[#This Row],[Notional Value Local Cur]])</f>
        <v>0</v>
      </c>
    </row>
    <row r="4911" spans="1:5" x14ac:dyDescent="0.25">
      <c r="A4911" s="36" t="b">
        <v>0</v>
      </c>
      <c r="B4911" s="56" t="b">
        <v>0</v>
      </c>
      <c r="C4911" s="56" t="b">
        <v>0</v>
      </c>
      <c r="D4911" s="56" t="b">
        <v>0</v>
      </c>
      <c r="E4911" s="56">
        <f ca="1">IF(PV[[#This Row],[Business Date]]=Control!$C$6, PV[[#This Row],[Notional Value Local Cur]], -PV[[#This Row],[Notional Value Local Cur]])</f>
        <v>0</v>
      </c>
    </row>
    <row r="4912" spans="1:5" x14ac:dyDescent="0.25">
      <c r="A4912" s="36" t="b">
        <v>0</v>
      </c>
      <c r="B4912" s="56" t="b">
        <v>0</v>
      </c>
      <c r="C4912" s="56" t="b">
        <v>0</v>
      </c>
      <c r="D4912" s="56" t="b">
        <v>0</v>
      </c>
      <c r="E4912" s="56">
        <f ca="1">IF(PV[[#This Row],[Business Date]]=Control!$C$6, PV[[#This Row],[Notional Value Local Cur]], -PV[[#This Row],[Notional Value Local Cur]])</f>
        <v>0</v>
      </c>
    </row>
    <row r="4913" spans="1:5" x14ac:dyDescent="0.25">
      <c r="A4913" s="36" t="b">
        <v>0</v>
      </c>
      <c r="B4913" s="56" t="b">
        <v>0</v>
      </c>
      <c r="C4913" s="56" t="b">
        <v>0</v>
      </c>
      <c r="D4913" s="56" t="b">
        <v>0</v>
      </c>
      <c r="E4913" s="56">
        <f ca="1">IF(PV[[#This Row],[Business Date]]=Control!$C$6, PV[[#This Row],[Notional Value Local Cur]], -PV[[#This Row],[Notional Value Local Cur]])</f>
        <v>0</v>
      </c>
    </row>
    <row r="4914" spans="1:5" x14ac:dyDescent="0.25">
      <c r="A4914" s="36" t="b">
        <v>0</v>
      </c>
      <c r="B4914" s="56" t="b">
        <v>0</v>
      </c>
      <c r="C4914" s="56" t="b">
        <v>0</v>
      </c>
      <c r="D4914" s="56" t="b">
        <v>0</v>
      </c>
      <c r="E4914" s="56">
        <f ca="1">IF(PV[[#This Row],[Business Date]]=Control!$C$6, PV[[#This Row],[Notional Value Local Cur]], -PV[[#This Row],[Notional Value Local Cur]])</f>
        <v>0</v>
      </c>
    </row>
    <row r="4915" spans="1:5" x14ac:dyDescent="0.25">
      <c r="A4915" s="36" t="b">
        <v>0</v>
      </c>
      <c r="B4915" s="56" t="b">
        <v>0</v>
      </c>
      <c r="C4915" s="56" t="b">
        <v>0</v>
      </c>
      <c r="D4915" s="56" t="b">
        <v>0</v>
      </c>
      <c r="E4915" s="56">
        <f ca="1">IF(PV[[#This Row],[Business Date]]=Control!$C$6, PV[[#This Row],[Notional Value Local Cur]], -PV[[#This Row],[Notional Value Local Cur]])</f>
        <v>0</v>
      </c>
    </row>
    <row r="4916" spans="1:5" x14ac:dyDescent="0.25">
      <c r="A4916" s="36" t="b">
        <v>0</v>
      </c>
      <c r="B4916" s="56" t="b">
        <v>0</v>
      </c>
      <c r="C4916" s="56" t="b">
        <v>0</v>
      </c>
      <c r="D4916" s="56" t="b">
        <v>0</v>
      </c>
      <c r="E4916" s="56">
        <f ca="1">IF(PV[[#This Row],[Business Date]]=Control!$C$6, PV[[#This Row],[Notional Value Local Cur]], -PV[[#This Row],[Notional Value Local Cur]])</f>
        <v>0</v>
      </c>
    </row>
    <row r="4917" spans="1:5" x14ac:dyDescent="0.25">
      <c r="A4917" s="36" t="b">
        <v>0</v>
      </c>
      <c r="B4917" s="56" t="b">
        <v>0</v>
      </c>
      <c r="C4917" s="56" t="b">
        <v>0</v>
      </c>
      <c r="D4917" s="56" t="b">
        <v>0</v>
      </c>
      <c r="E4917" s="56">
        <f ca="1">IF(PV[[#This Row],[Business Date]]=Control!$C$6, PV[[#This Row],[Notional Value Local Cur]], -PV[[#This Row],[Notional Value Local Cur]])</f>
        <v>0</v>
      </c>
    </row>
    <row r="4918" spans="1:5" x14ac:dyDescent="0.25">
      <c r="A4918" s="36" t="b">
        <v>0</v>
      </c>
      <c r="B4918" s="56" t="b">
        <v>0</v>
      </c>
      <c r="C4918" s="56" t="b">
        <v>0</v>
      </c>
      <c r="D4918" s="56" t="b">
        <v>0</v>
      </c>
      <c r="E4918" s="56">
        <f ca="1">IF(PV[[#This Row],[Business Date]]=Control!$C$6, PV[[#This Row],[Notional Value Local Cur]], -PV[[#This Row],[Notional Value Local Cur]])</f>
        <v>0</v>
      </c>
    </row>
    <row r="4919" spans="1:5" x14ac:dyDescent="0.25">
      <c r="A4919" s="36" t="b">
        <v>0</v>
      </c>
      <c r="B4919" s="56" t="b">
        <v>0</v>
      </c>
      <c r="C4919" s="56" t="b">
        <v>0</v>
      </c>
      <c r="D4919" s="56" t="b">
        <v>0</v>
      </c>
      <c r="E4919" s="56">
        <f ca="1">IF(PV[[#This Row],[Business Date]]=Control!$C$6, PV[[#This Row],[Notional Value Local Cur]], -PV[[#This Row],[Notional Value Local Cur]])</f>
        <v>0</v>
      </c>
    </row>
    <row r="4920" spans="1:5" x14ac:dyDescent="0.25">
      <c r="A4920" s="36" t="b">
        <v>0</v>
      </c>
      <c r="B4920" s="56" t="b">
        <v>0</v>
      </c>
      <c r="C4920" s="56" t="b">
        <v>0</v>
      </c>
      <c r="D4920" s="56" t="b">
        <v>0</v>
      </c>
      <c r="E4920" s="56">
        <f ca="1">IF(PV[[#This Row],[Business Date]]=Control!$C$6, PV[[#This Row],[Notional Value Local Cur]], -PV[[#This Row],[Notional Value Local Cur]])</f>
        <v>0</v>
      </c>
    </row>
    <row r="4921" spans="1:5" x14ac:dyDescent="0.25">
      <c r="A4921" s="36" t="b">
        <v>0</v>
      </c>
      <c r="B4921" s="56" t="b">
        <v>0</v>
      </c>
      <c r="C4921" s="56" t="b">
        <v>0</v>
      </c>
      <c r="D4921" s="56" t="b">
        <v>0</v>
      </c>
      <c r="E4921" s="56">
        <f ca="1">IF(PV[[#This Row],[Business Date]]=Control!$C$6, PV[[#This Row],[Notional Value Local Cur]], -PV[[#This Row],[Notional Value Local Cur]])</f>
        <v>0</v>
      </c>
    </row>
    <row r="4922" spans="1:5" x14ac:dyDescent="0.25">
      <c r="A4922" s="36" t="b">
        <v>0</v>
      </c>
      <c r="B4922" s="56" t="b">
        <v>0</v>
      </c>
      <c r="C4922" s="56" t="b">
        <v>0</v>
      </c>
      <c r="D4922" s="56" t="b">
        <v>0</v>
      </c>
      <c r="E4922" s="56">
        <f ca="1">IF(PV[[#This Row],[Business Date]]=Control!$C$6, PV[[#This Row],[Notional Value Local Cur]], -PV[[#This Row],[Notional Value Local Cur]])</f>
        <v>0</v>
      </c>
    </row>
    <row r="4923" spans="1:5" x14ac:dyDescent="0.25">
      <c r="A4923" s="36" t="b">
        <v>0</v>
      </c>
      <c r="B4923" s="56" t="b">
        <v>0</v>
      </c>
      <c r="C4923" s="56" t="b">
        <v>0</v>
      </c>
      <c r="D4923" s="56" t="b">
        <v>0</v>
      </c>
      <c r="E4923" s="56">
        <f ca="1">IF(PV[[#This Row],[Business Date]]=Control!$C$6, PV[[#This Row],[Notional Value Local Cur]], -PV[[#This Row],[Notional Value Local Cur]])</f>
        <v>0</v>
      </c>
    </row>
    <row r="4924" spans="1:5" x14ac:dyDescent="0.25">
      <c r="A4924" s="36" t="b">
        <v>0</v>
      </c>
      <c r="B4924" s="56" t="b">
        <v>0</v>
      </c>
      <c r="C4924" s="56" t="b">
        <v>0</v>
      </c>
      <c r="D4924" s="56" t="b">
        <v>0</v>
      </c>
      <c r="E4924" s="56">
        <f ca="1">IF(PV[[#This Row],[Business Date]]=Control!$C$6, PV[[#This Row],[Notional Value Local Cur]], -PV[[#This Row],[Notional Value Local Cur]])</f>
        <v>0</v>
      </c>
    </row>
    <row r="4925" spans="1:5" x14ac:dyDescent="0.25">
      <c r="A4925" s="36" t="b">
        <v>0</v>
      </c>
      <c r="B4925" s="56" t="b">
        <v>0</v>
      </c>
      <c r="C4925" s="56" t="b">
        <v>0</v>
      </c>
      <c r="D4925" s="56" t="b">
        <v>0</v>
      </c>
      <c r="E4925" s="56">
        <f ca="1">IF(PV[[#This Row],[Business Date]]=Control!$C$6, PV[[#This Row],[Notional Value Local Cur]], -PV[[#This Row],[Notional Value Local Cur]])</f>
        <v>0</v>
      </c>
    </row>
    <row r="4926" spans="1:5" x14ac:dyDescent="0.25">
      <c r="A4926" s="36" t="b">
        <v>0</v>
      </c>
      <c r="B4926" s="56" t="b">
        <v>0</v>
      </c>
      <c r="C4926" s="56" t="b">
        <v>0</v>
      </c>
      <c r="D4926" s="56" t="b">
        <v>0</v>
      </c>
      <c r="E4926" s="56">
        <f ca="1">IF(PV[[#This Row],[Business Date]]=Control!$C$6, PV[[#This Row],[Notional Value Local Cur]], -PV[[#This Row],[Notional Value Local Cur]])</f>
        <v>0</v>
      </c>
    </row>
    <row r="4927" spans="1:5" x14ac:dyDescent="0.25">
      <c r="A4927" s="36" t="b">
        <v>0</v>
      </c>
      <c r="B4927" s="56" t="b">
        <v>0</v>
      </c>
      <c r="C4927" s="56" t="b">
        <v>0</v>
      </c>
      <c r="D4927" s="56" t="b">
        <v>0</v>
      </c>
      <c r="E4927" s="56">
        <f ca="1">IF(PV[[#This Row],[Business Date]]=Control!$C$6, PV[[#This Row],[Notional Value Local Cur]], -PV[[#This Row],[Notional Value Local Cur]])</f>
        <v>0</v>
      </c>
    </row>
    <row r="4928" spans="1:5" x14ac:dyDescent="0.25">
      <c r="A4928" s="36" t="b">
        <v>0</v>
      </c>
      <c r="B4928" s="56" t="b">
        <v>0</v>
      </c>
      <c r="C4928" s="56" t="b">
        <v>0</v>
      </c>
      <c r="D4928" s="56" t="b">
        <v>0</v>
      </c>
      <c r="E4928" s="56">
        <f ca="1">IF(PV[[#This Row],[Business Date]]=Control!$C$6, PV[[#This Row],[Notional Value Local Cur]], -PV[[#This Row],[Notional Value Local Cur]])</f>
        <v>0</v>
      </c>
    </row>
    <row r="4929" spans="1:5" x14ac:dyDescent="0.25">
      <c r="A4929" s="36" t="b">
        <v>0</v>
      </c>
      <c r="B4929" s="56" t="b">
        <v>0</v>
      </c>
      <c r="C4929" s="56" t="b">
        <v>0</v>
      </c>
      <c r="D4929" s="56" t="b">
        <v>0</v>
      </c>
      <c r="E4929" s="56">
        <f ca="1">IF(PV[[#This Row],[Business Date]]=Control!$C$6, PV[[#This Row],[Notional Value Local Cur]], -PV[[#This Row],[Notional Value Local Cur]])</f>
        <v>0</v>
      </c>
    </row>
    <row r="4930" spans="1:5" x14ac:dyDescent="0.25">
      <c r="A4930" s="36" t="b">
        <v>0</v>
      </c>
      <c r="B4930" s="56" t="b">
        <v>0</v>
      </c>
      <c r="C4930" s="56" t="b">
        <v>0</v>
      </c>
      <c r="D4930" s="56" t="b">
        <v>0</v>
      </c>
      <c r="E4930" s="56">
        <f ca="1">IF(PV[[#This Row],[Business Date]]=Control!$C$6, PV[[#This Row],[Notional Value Local Cur]], -PV[[#This Row],[Notional Value Local Cur]])</f>
        <v>0</v>
      </c>
    </row>
    <row r="4931" spans="1:5" x14ac:dyDescent="0.25">
      <c r="A4931" s="36" t="b">
        <v>0</v>
      </c>
      <c r="B4931" s="56" t="b">
        <v>0</v>
      </c>
      <c r="C4931" s="56" t="b">
        <v>0</v>
      </c>
      <c r="D4931" s="56" t="b">
        <v>0</v>
      </c>
      <c r="E4931" s="56">
        <f ca="1">IF(PV[[#This Row],[Business Date]]=Control!$C$6, PV[[#This Row],[Notional Value Local Cur]], -PV[[#This Row],[Notional Value Local Cur]])</f>
        <v>0</v>
      </c>
    </row>
    <row r="4932" spans="1:5" x14ac:dyDescent="0.25">
      <c r="A4932" s="36" t="b">
        <v>0</v>
      </c>
      <c r="B4932" s="56" t="b">
        <v>0</v>
      </c>
      <c r="C4932" s="56" t="b">
        <v>0</v>
      </c>
      <c r="D4932" s="56" t="b">
        <v>0</v>
      </c>
      <c r="E4932" s="56">
        <f ca="1">IF(PV[[#This Row],[Business Date]]=Control!$C$6, PV[[#This Row],[Notional Value Local Cur]], -PV[[#This Row],[Notional Value Local Cur]])</f>
        <v>0</v>
      </c>
    </row>
    <row r="4933" spans="1:5" x14ac:dyDescent="0.25">
      <c r="A4933" s="36" t="b">
        <v>0</v>
      </c>
      <c r="B4933" s="56" t="b">
        <v>0</v>
      </c>
      <c r="C4933" s="56" t="b">
        <v>0</v>
      </c>
      <c r="D4933" s="56" t="b">
        <v>0</v>
      </c>
      <c r="E4933" s="56">
        <f ca="1">IF(PV[[#This Row],[Business Date]]=Control!$C$6, PV[[#This Row],[Notional Value Local Cur]], -PV[[#This Row],[Notional Value Local Cur]])</f>
        <v>0</v>
      </c>
    </row>
    <row r="4934" spans="1:5" x14ac:dyDescent="0.25">
      <c r="A4934" s="36" t="b">
        <v>0</v>
      </c>
      <c r="B4934" s="56" t="b">
        <v>0</v>
      </c>
      <c r="C4934" s="56" t="b">
        <v>0</v>
      </c>
      <c r="D4934" s="56" t="b">
        <v>0</v>
      </c>
      <c r="E4934" s="56">
        <f ca="1">IF(PV[[#This Row],[Business Date]]=Control!$C$6, PV[[#This Row],[Notional Value Local Cur]], -PV[[#This Row],[Notional Value Local Cur]])</f>
        <v>0</v>
      </c>
    </row>
    <row r="4935" spans="1:5" x14ac:dyDescent="0.25">
      <c r="A4935" s="36" t="b">
        <v>0</v>
      </c>
      <c r="B4935" s="56" t="b">
        <v>0</v>
      </c>
      <c r="C4935" s="56" t="b">
        <v>0</v>
      </c>
      <c r="D4935" s="56" t="b">
        <v>0</v>
      </c>
      <c r="E4935" s="56">
        <f ca="1">IF(PV[[#This Row],[Business Date]]=Control!$C$6, PV[[#This Row],[Notional Value Local Cur]], -PV[[#This Row],[Notional Value Local Cur]])</f>
        <v>0</v>
      </c>
    </row>
    <row r="4936" spans="1:5" x14ac:dyDescent="0.25">
      <c r="A4936" s="36" t="b">
        <v>0</v>
      </c>
      <c r="B4936" s="56" t="b">
        <v>0</v>
      </c>
      <c r="C4936" s="56" t="b">
        <v>0</v>
      </c>
      <c r="D4936" s="56" t="b">
        <v>0</v>
      </c>
      <c r="E4936" s="56">
        <f ca="1">IF(PV[[#This Row],[Business Date]]=Control!$C$6, PV[[#This Row],[Notional Value Local Cur]], -PV[[#This Row],[Notional Value Local Cur]])</f>
        <v>0</v>
      </c>
    </row>
    <row r="4937" spans="1:5" x14ac:dyDescent="0.25">
      <c r="A4937" s="36" t="b">
        <v>0</v>
      </c>
      <c r="B4937" s="56" t="b">
        <v>0</v>
      </c>
      <c r="C4937" s="56" t="b">
        <v>0</v>
      </c>
      <c r="D4937" s="56" t="b">
        <v>0</v>
      </c>
      <c r="E4937" s="56">
        <f ca="1">IF(PV[[#This Row],[Business Date]]=Control!$C$6, PV[[#This Row],[Notional Value Local Cur]], -PV[[#This Row],[Notional Value Local Cur]])</f>
        <v>0</v>
      </c>
    </row>
    <row r="4938" spans="1:5" x14ac:dyDescent="0.25">
      <c r="A4938" s="36" t="b">
        <v>0</v>
      </c>
      <c r="B4938" s="56" t="b">
        <v>0</v>
      </c>
      <c r="C4938" s="56" t="b">
        <v>0</v>
      </c>
      <c r="D4938" s="56" t="b">
        <v>0</v>
      </c>
      <c r="E4938" s="56">
        <f ca="1">IF(PV[[#This Row],[Business Date]]=Control!$C$6, PV[[#This Row],[Notional Value Local Cur]], -PV[[#This Row],[Notional Value Local Cur]])</f>
        <v>0</v>
      </c>
    </row>
    <row r="4939" spans="1:5" x14ac:dyDescent="0.25">
      <c r="A4939" s="36" t="b">
        <v>0</v>
      </c>
      <c r="B4939" s="56" t="b">
        <v>0</v>
      </c>
      <c r="C4939" s="56" t="b">
        <v>0</v>
      </c>
      <c r="D4939" s="56" t="b">
        <v>0</v>
      </c>
      <c r="E4939" s="56">
        <f ca="1">IF(PV[[#This Row],[Business Date]]=Control!$C$6, PV[[#This Row],[Notional Value Local Cur]], -PV[[#This Row],[Notional Value Local Cur]])</f>
        <v>0</v>
      </c>
    </row>
    <row r="4940" spans="1:5" x14ac:dyDescent="0.25">
      <c r="A4940" s="36" t="b">
        <v>0</v>
      </c>
      <c r="B4940" s="56" t="b">
        <v>0</v>
      </c>
      <c r="C4940" s="56" t="b">
        <v>0</v>
      </c>
      <c r="D4940" s="56" t="b">
        <v>0</v>
      </c>
      <c r="E4940" s="56">
        <f ca="1">IF(PV[[#This Row],[Business Date]]=Control!$C$6, PV[[#This Row],[Notional Value Local Cur]], -PV[[#This Row],[Notional Value Local Cur]])</f>
        <v>0</v>
      </c>
    </row>
    <row r="4941" spans="1:5" x14ac:dyDescent="0.25">
      <c r="A4941" s="36" t="b">
        <v>0</v>
      </c>
      <c r="B4941" s="56" t="b">
        <v>0</v>
      </c>
      <c r="C4941" s="56" t="b">
        <v>0</v>
      </c>
      <c r="D4941" s="56" t="b">
        <v>0</v>
      </c>
      <c r="E4941" s="56">
        <f ca="1">IF(PV[[#This Row],[Business Date]]=Control!$C$6, PV[[#This Row],[Notional Value Local Cur]], -PV[[#This Row],[Notional Value Local Cur]])</f>
        <v>0</v>
      </c>
    </row>
    <row r="4942" spans="1:5" x14ac:dyDescent="0.25">
      <c r="A4942" s="36" t="b">
        <v>0</v>
      </c>
      <c r="B4942" s="56" t="b">
        <v>0</v>
      </c>
      <c r="C4942" s="56" t="b">
        <v>0</v>
      </c>
      <c r="D4942" s="56" t="b">
        <v>0</v>
      </c>
      <c r="E4942" s="56">
        <f ca="1">IF(PV[[#This Row],[Business Date]]=Control!$C$6, PV[[#This Row],[Notional Value Local Cur]], -PV[[#This Row],[Notional Value Local Cur]])</f>
        <v>0</v>
      </c>
    </row>
    <row r="4943" spans="1:5" x14ac:dyDescent="0.25">
      <c r="A4943" s="36" t="b">
        <v>0</v>
      </c>
      <c r="B4943" s="56" t="b">
        <v>0</v>
      </c>
      <c r="C4943" s="56" t="b">
        <v>0</v>
      </c>
      <c r="D4943" s="56" t="b">
        <v>0</v>
      </c>
      <c r="E4943" s="56">
        <f ca="1">IF(PV[[#This Row],[Business Date]]=Control!$C$6, PV[[#This Row],[Notional Value Local Cur]], -PV[[#This Row],[Notional Value Local Cur]])</f>
        <v>0</v>
      </c>
    </row>
    <row r="4944" spans="1:5" x14ac:dyDescent="0.25">
      <c r="A4944" s="36" t="b">
        <v>0</v>
      </c>
      <c r="B4944" s="56" t="b">
        <v>0</v>
      </c>
      <c r="C4944" s="56" t="b">
        <v>0</v>
      </c>
      <c r="D4944" s="56" t="b">
        <v>0</v>
      </c>
      <c r="E4944" s="56">
        <f ca="1">IF(PV[[#This Row],[Business Date]]=Control!$C$6, PV[[#This Row],[Notional Value Local Cur]], -PV[[#This Row],[Notional Value Local Cur]])</f>
        <v>0</v>
      </c>
    </row>
    <row r="4945" spans="1:5" x14ac:dyDescent="0.25">
      <c r="A4945" s="36" t="b">
        <v>0</v>
      </c>
      <c r="B4945" s="56" t="b">
        <v>0</v>
      </c>
      <c r="C4945" s="56" t="b">
        <v>0</v>
      </c>
      <c r="D4945" s="56" t="b">
        <v>0</v>
      </c>
      <c r="E4945" s="56">
        <f ca="1">IF(PV[[#This Row],[Business Date]]=Control!$C$6, PV[[#This Row],[Notional Value Local Cur]], -PV[[#This Row],[Notional Value Local Cur]])</f>
        <v>0</v>
      </c>
    </row>
    <row r="4946" spans="1:5" x14ac:dyDescent="0.25">
      <c r="A4946" s="36" t="b">
        <v>0</v>
      </c>
      <c r="B4946" s="56" t="b">
        <v>0</v>
      </c>
      <c r="C4946" s="56" t="b">
        <v>0</v>
      </c>
      <c r="D4946" s="56" t="b">
        <v>0</v>
      </c>
      <c r="E4946" s="56">
        <f ca="1">IF(PV[[#This Row],[Business Date]]=Control!$C$6, PV[[#This Row],[Notional Value Local Cur]], -PV[[#This Row],[Notional Value Local Cur]])</f>
        <v>0</v>
      </c>
    </row>
    <row r="4947" spans="1:5" x14ac:dyDescent="0.25">
      <c r="A4947" s="36" t="b">
        <v>0</v>
      </c>
      <c r="B4947" s="56" t="b">
        <v>0</v>
      </c>
      <c r="C4947" s="56" t="b">
        <v>0</v>
      </c>
      <c r="D4947" s="56" t="b">
        <v>0</v>
      </c>
      <c r="E4947" s="56">
        <f ca="1">IF(PV[[#This Row],[Business Date]]=Control!$C$6, PV[[#This Row],[Notional Value Local Cur]], -PV[[#This Row],[Notional Value Local Cur]])</f>
        <v>0</v>
      </c>
    </row>
    <row r="4948" spans="1:5" x14ac:dyDescent="0.25">
      <c r="A4948" s="36" t="b">
        <v>0</v>
      </c>
      <c r="B4948" s="56" t="b">
        <v>0</v>
      </c>
      <c r="C4948" s="56" t="b">
        <v>0</v>
      </c>
      <c r="D4948" s="56" t="b">
        <v>0</v>
      </c>
      <c r="E4948" s="56">
        <f ca="1">IF(PV[[#This Row],[Business Date]]=Control!$C$6, PV[[#This Row],[Notional Value Local Cur]], -PV[[#This Row],[Notional Value Local Cur]])</f>
        <v>0</v>
      </c>
    </row>
    <row r="4949" spans="1:5" x14ac:dyDescent="0.25">
      <c r="A4949" s="36" t="b">
        <v>0</v>
      </c>
      <c r="B4949" s="56" t="b">
        <v>0</v>
      </c>
      <c r="C4949" s="56" t="b">
        <v>0</v>
      </c>
      <c r="D4949" s="56" t="b">
        <v>0</v>
      </c>
      <c r="E4949" s="56">
        <f ca="1">IF(PV[[#This Row],[Business Date]]=Control!$C$6, PV[[#This Row],[Notional Value Local Cur]], -PV[[#This Row],[Notional Value Local Cur]])</f>
        <v>0</v>
      </c>
    </row>
    <row r="4950" spans="1:5" x14ac:dyDescent="0.25">
      <c r="A4950" s="36" t="b">
        <v>0</v>
      </c>
      <c r="B4950" s="56" t="b">
        <v>0</v>
      </c>
      <c r="C4950" s="56" t="b">
        <v>0</v>
      </c>
      <c r="D4950" s="56" t="b">
        <v>0</v>
      </c>
      <c r="E4950" s="56">
        <f ca="1">IF(PV[[#This Row],[Business Date]]=Control!$C$6, PV[[#This Row],[Notional Value Local Cur]], -PV[[#This Row],[Notional Value Local Cur]])</f>
        <v>0</v>
      </c>
    </row>
    <row r="4951" spans="1:5" x14ac:dyDescent="0.25">
      <c r="A4951" s="36" t="b">
        <v>0</v>
      </c>
      <c r="B4951" s="56" t="b">
        <v>0</v>
      </c>
      <c r="C4951" s="56" t="b">
        <v>0</v>
      </c>
      <c r="D4951" s="56" t="b">
        <v>0</v>
      </c>
      <c r="E4951" s="56">
        <f ca="1">IF(PV[[#This Row],[Business Date]]=Control!$C$6, PV[[#This Row],[Notional Value Local Cur]], -PV[[#This Row],[Notional Value Local Cur]])</f>
        <v>0</v>
      </c>
    </row>
    <row r="4952" spans="1:5" x14ac:dyDescent="0.25">
      <c r="A4952" s="36" t="b">
        <v>0</v>
      </c>
      <c r="B4952" s="56" t="b">
        <v>0</v>
      </c>
      <c r="C4952" s="56" t="b">
        <v>0</v>
      </c>
      <c r="D4952" s="56" t="b">
        <v>0</v>
      </c>
      <c r="E4952" s="56">
        <f ca="1">IF(PV[[#This Row],[Business Date]]=Control!$C$6, PV[[#This Row],[Notional Value Local Cur]], -PV[[#This Row],[Notional Value Local Cur]])</f>
        <v>0</v>
      </c>
    </row>
    <row r="4953" spans="1:5" x14ac:dyDescent="0.25">
      <c r="A4953" s="36" t="b">
        <v>0</v>
      </c>
      <c r="B4953" s="56" t="b">
        <v>0</v>
      </c>
      <c r="C4953" s="56" t="b">
        <v>0</v>
      </c>
      <c r="D4953" s="56" t="b">
        <v>0</v>
      </c>
      <c r="E4953" s="56">
        <f ca="1">IF(PV[[#This Row],[Business Date]]=Control!$C$6, PV[[#This Row],[Notional Value Local Cur]], -PV[[#This Row],[Notional Value Local Cur]])</f>
        <v>0</v>
      </c>
    </row>
    <row r="4954" spans="1:5" x14ac:dyDescent="0.25">
      <c r="A4954" s="36" t="b">
        <v>0</v>
      </c>
      <c r="B4954" s="56" t="b">
        <v>0</v>
      </c>
      <c r="C4954" s="56" t="b">
        <v>0</v>
      </c>
      <c r="D4954" s="56" t="b">
        <v>0</v>
      </c>
      <c r="E4954" s="56">
        <f ca="1">IF(PV[[#This Row],[Business Date]]=Control!$C$6, PV[[#This Row],[Notional Value Local Cur]], -PV[[#This Row],[Notional Value Local Cur]])</f>
        <v>0</v>
      </c>
    </row>
    <row r="4955" spans="1:5" x14ac:dyDescent="0.25">
      <c r="A4955" s="36" t="b">
        <v>0</v>
      </c>
      <c r="B4955" s="56" t="b">
        <v>0</v>
      </c>
      <c r="C4955" s="56" t="b">
        <v>0</v>
      </c>
      <c r="D4955" s="56" t="b">
        <v>0</v>
      </c>
      <c r="E4955" s="56">
        <f ca="1">IF(PV[[#This Row],[Business Date]]=Control!$C$6, PV[[#This Row],[Notional Value Local Cur]], -PV[[#This Row],[Notional Value Local Cur]])</f>
        <v>0</v>
      </c>
    </row>
    <row r="4956" spans="1:5" x14ac:dyDescent="0.25">
      <c r="A4956" s="36" t="b">
        <v>0</v>
      </c>
      <c r="B4956" s="56" t="b">
        <v>0</v>
      </c>
      <c r="C4956" s="56" t="b">
        <v>0</v>
      </c>
      <c r="D4956" s="56" t="b">
        <v>0</v>
      </c>
      <c r="E4956" s="56">
        <f ca="1">IF(PV[[#This Row],[Business Date]]=Control!$C$6, PV[[#This Row],[Notional Value Local Cur]], -PV[[#This Row],[Notional Value Local Cur]])</f>
        <v>0</v>
      </c>
    </row>
    <row r="4957" spans="1:5" x14ac:dyDescent="0.25">
      <c r="A4957" s="36" t="b">
        <v>0</v>
      </c>
      <c r="B4957" s="56" t="b">
        <v>0</v>
      </c>
      <c r="C4957" s="56" t="b">
        <v>0</v>
      </c>
      <c r="D4957" s="56" t="b">
        <v>0</v>
      </c>
      <c r="E4957" s="56">
        <f ca="1">IF(PV[[#This Row],[Business Date]]=Control!$C$6, PV[[#This Row],[Notional Value Local Cur]], -PV[[#This Row],[Notional Value Local Cur]])</f>
        <v>0</v>
      </c>
    </row>
    <row r="4958" spans="1:5" x14ac:dyDescent="0.25">
      <c r="A4958" s="36" t="b">
        <v>0</v>
      </c>
      <c r="B4958" s="56" t="b">
        <v>0</v>
      </c>
      <c r="C4958" s="56" t="b">
        <v>0</v>
      </c>
      <c r="D4958" s="56" t="b">
        <v>0</v>
      </c>
      <c r="E4958" s="56">
        <f ca="1">IF(PV[[#This Row],[Business Date]]=Control!$C$6, PV[[#This Row],[Notional Value Local Cur]], -PV[[#This Row],[Notional Value Local Cur]])</f>
        <v>0</v>
      </c>
    </row>
    <row r="4959" spans="1:5" x14ac:dyDescent="0.25">
      <c r="A4959" s="36" t="b">
        <v>0</v>
      </c>
      <c r="B4959" s="56" t="b">
        <v>0</v>
      </c>
      <c r="C4959" s="56" t="b">
        <v>0</v>
      </c>
      <c r="D4959" s="56" t="b">
        <v>0</v>
      </c>
      <c r="E4959" s="56">
        <f ca="1">IF(PV[[#This Row],[Business Date]]=Control!$C$6, PV[[#This Row],[Notional Value Local Cur]], -PV[[#This Row],[Notional Value Local Cur]])</f>
        <v>0</v>
      </c>
    </row>
    <row r="4960" spans="1:5" x14ac:dyDescent="0.25">
      <c r="A4960" s="36" t="b">
        <v>0</v>
      </c>
      <c r="B4960" s="56" t="b">
        <v>0</v>
      </c>
      <c r="C4960" s="56" t="b">
        <v>0</v>
      </c>
      <c r="D4960" s="56" t="b">
        <v>0</v>
      </c>
      <c r="E4960" s="56">
        <f ca="1">IF(PV[[#This Row],[Business Date]]=Control!$C$6, PV[[#This Row],[Notional Value Local Cur]], -PV[[#This Row],[Notional Value Local Cur]])</f>
        <v>0</v>
      </c>
    </row>
    <row r="4961" spans="1:5" x14ac:dyDescent="0.25">
      <c r="A4961" s="36" t="b">
        <v>0</v>
      </c>
      <c r="B4961" s="56" t="b">
        <v>0</v>
      </c>
      <c r="C4961" s="56" t="b">
        <v>0</v>
      </c>
      <c r="D4961" s="56" t="b">
        <v>0</v>
      </c>
      <c r="E4961" s="56">
        <f ca="1">IF(PV[[#This Row],[Business Date]]=Control!$C$6, PV[[#This Row],[Notional Value Local Cur]], -PV[[#This Row],[Notional Value Local Cur]])</f>
        <v>0</v>
      </c>
    </row>
    <row r="4962" spans="1:5" x14ac:dyDescent="0.25">
      <c r="A4962" s="36" t="b">
        <v>0</v>
      </c>
      <c r="B4962" s="56" t="b">
        <v>0</v>
      </c>
      <c r="C4962" s="56" t="b">
        <v>0</v>
      </c>
      <c r="D4962" s="56" t="b">
        <v>0</v>
      </c>
      <c r="E4962" s="56">
        <f ca="1">IF(PV[[#This Row],[Business Date]]=Control!$C$6, PV[[#This Row],[Notional Value Local Cur]], -PV[[#This Row],[Notional Value Local Cur]])</f>
        <v>0</v>
      </c>
    </row>
    <row r="4963" spans="1:5" x14ac:dyDescent="0.25">
      <c r="A4963" s="36" t="b">
        <v>0</v>
      </c>
      <c r="B4963" s="56" t="b">
        <v>0</v>
      </c>
      <c r="C4963" s="56" t="b">
        <v>0</v>
      </c>
      <c r="D4963" s="56" t="b">
        <v>0</v>
      </c>
      <c r="E4963" s="56">
        <f ca="1">IF(PV[[#This Row],[Business Date]]=Control!$C$6, PV[[#This Row],[Notional Value Local Cur]], -PV[[#This Row],[Notional Value Local Cur]])</f>
        <v>0</v>
      </c>
    </row>
    <row r="4964" spans="1:5" x14ac:dyDescent="0.25">
      <c r="A4964" s="36" t="b">
        <v>0</v>
      </c>
      <c r="B4964" s="56" t="b">
        <v>0</v>
      </c>
      <c r="C4964" s="56" t="b">
        <v>0</v>
      </c>
      <c r="D4964" s="56" t="b">
        <v>0</v>
      </c>
      <c r="E4964" s="56">
        <f ca="1">IF(PV[[#This Row],[Business Date]]=Control!$C$6, PV[[#This Row],[Notional Value Local Cur]], -PV[[#This Row],[Notional Value Local Cur]])</f>
        <v>0</v>
      </c>
    </row>
    <row r="4965" spans="1:5" x14ac:dyDescent="0.25">
      <c r="A4965" s="36" t="b">
        <v>0</v>
      </c>
      <c r="B4965" s="56" t="b">
        <v>0</v>
      </c>
      <c r="C4965" s="56" t="b">
        <v>0</v>
      </c>
      <c r="D4965" s="56" t="b">
        <v>0</v>
      </c>
      <c r="E4965" s="56">
        <f ca="1">IF(PV[[#This Row],[Business Date]]=Control!$C$6, PV[[#This Row],[Notional Value Local Cur]], -PV[[#This Row],[Notional Value Local Cur]])</f>
        <v>0</v>
      </c>
    </row>
    <row r="4966" spans="1:5" x14ac:dyDescent="0.25">
      <c r="A4966" s="36" t="b">
        <v>0</v>
      </c>
      <c r="B4966" s="56" t="b">
        <v>0</v>
      </c>
      <c r="C4966" s="56" t="b">
        <v>0</v>
      </c>
      <c r="D4966" s="56" t="b">
        <v>0</v>
      </c>
      <c r="E4966" s="56">
        <f ca="1">IF(PV[[#This Row],[Business Date]]=Control!$C$6, PV[[#This Row],[Notional Value Local Cur]], -PV[[#This Row],[Notional Value Local Cur]])</f>
        <v>0</v>
      </c>
    </row>
    <row r="4967" spans="1:5" x14ac:dyDescent="0.25">
      <c r="A4967" s="36" t="b">
        <v>0</v>
      </c>
      <c r="B4967" s="56" t="b">
        <v>0</v>
      </c>
      <c r="C4967" s="56" t="b">
        <v>0</v>
      </c>
      <c r="D4967" s="56" t="b">
        <v>0</v>
      </c>
      <c r="E4967" s="56">
        <f ca="1">IF(PV[[#This Row],[Business Date]]=Control!$C$6, PV[[#This Row],[Notional Value Local Cur]], -PV[[#This Row],[Notional Value Local Cur]])</f>
        <v>0</v>
      </c>
    </row>
    <row r="4968" spans="1:5" x14ac:dyDescent="0.25">
      <c r="A4968" s="36" t="b">
        <v>0</v>
      </c>
      <c r="B4968" s="56" t="b">
        <v>0</v>
      </c>
      <c r="C4968" s="56" t="b">
        <v>0</v>
      </c>
      <c r="D4968" s="56" t="b">
        <v>0</v>
      </c>
      <c r="E4968" s="56">
        <f ca="1">IF(PV[[#This Row],[Business Date]]=Control!$C$6, PV[[#This Row],[Notional Value Local Cur]], -PV[[#This Row],[Notional Value Local Cur]])</f>
        <v>0</v>
      </c>
    </row>
    <row r="4969" spans="1:5" x14ac:dyDescent="0.25">
      <c r="A4969" s="36" t="b">
        <v>0</v>
      </c>
      <c r="B4969" s="56" t="b">
        <v>0</v>
      </c>
      <c r="C4969" s="56" t="b">
        <v>0</v>
      </c>
      <c r="D4969" s="56" t="b">
        <v>0</v>
      </c>
      <c r="E4969" s="56">
        <f ca="1">IF(PV[[#This Row],[Business Date]]=Control!$C$6, PV[[#This Row],[Notional Value Local Cur]], -PV[[#This Row],[Notional Value Local Cur]])</f>
        <v>0</v>
      </c>
    </row>
    <row r="4970" spans="1:5" x14ac:dyDescent="0.25">
      <c r="A4970" s="36" t="b">
        <v>0</v>
      </c>
      <c r="B4970" s="56" t="b">
        <v>0</v>
      </c>
      <c r="C4970" s="56" t="b">
        <v>0</v>
      </c>
      <c r="D4970" s="56" t="b">
        <v>0</v>
      </c>
      <c r="E4970" s="56">
        <f ca="1">IF(PV[[#This Row],[Business Date]]=Control!$C$6, PV[[#This Row],[Notional Value Local Cur]], -PV[[#This Row],[Notional Value Local Cur]])</f>
        <v>0</v>
      </c>
    </row>
    <row r="4971" spans="1:5" x14ac:dyDescent="0.25">
      <c r="A4971" s="36" t="b">
        <v>0</v>
      </c>
      <c r="B4971" s="56" t="b">
        <v>0</v>
      </c>
      <c r="C4971" s="56" t="b">
        <v>0</v>
      </c>
      <c r="D4971" s="56" t="b">
        <v>0</v>
      </c>
      <c r="E4971" s="56">
        <f ca="1">IF(PV[[#This Row],[Business Date]]=Control!$C$6, PV[[#This Row],[Notional Value Local Cur]], -PV[[#This Row],[Notional Value Local Cur]])</f>
        <v>0</v>
      </c>
    </row>
    <row r="4972" spans="1:5" x14ac:dyDescent="0.25">
      <c r="A4972" s="36" t="b">
        <v>0</v>
      </c>
      <c r="B4972" s="56" t="b">
        <v>0</v>
      </c>
      <c r="C4972" s="56" t="b">
        <v>0</v>
      </c>
      <c r="D4972" s="56" t="b">
        <v>0</v>
      </c>
      <c r="E4972" s="56">
        <f ca="1">IF(PV[[#This Row],[Business Date]]=Control!$C$6, PV[[#This Row],[Notional Value Local Cur]], -PV[[#This Row],[Notional Value Local Cur]])</f>
        <v>0</v>
      </c>
    </row>
    <row r="4973" spans="1:5" x14ac:dyDescent="0.25">
      <c r="A4973" s="36" t="b">
        <v>0</v>
      </c>
      <c r="B4973" s="56" t="b">
        <v>0</v>
      </c>
      <c r="C4973" s="56" t="b">
        <v>0</v>
      </c>
      <c r="D4973" s="56" t="b">
        <v>0</v>
      </c>
      <c r="E4973" s="56">
        <f ca="1">IF(PV[[#This Row],[Business Date]]=Control!$C$6, PV[[#This Row],[Notional Value Local Cur]], -PV[[#This Row],[Notional Value Local Cur]])</f>
        <v>0</v>
      </c>
    </row>
    <row r="4974" spans="1:5" x14ac:dyDescent="0.25">
      <c r="A4974" s="36" t="b">
        <v>0</v>
      </c>
      <c r="B4974" s="56" t="b">
        <v>0</v>
      </c>
      <c r="C4974" s="56" t="b">
        <v>0</v>
      </c>
      <c r="D4974" s="56" t="b">
        <v>0</v>
      </c>
      <c r="E4974" s="56">
        <f ca="1">IF(PV[[#This Row],[Business Date]]=Control!$C$6, PV[[#This Row],[Notional Value Local Cur]], -PV[[#This Row],[Notional Value Local Cur]])</f>
        <v>0</v>
      </c>
    </row>
    <row r="4975" spans="1:5" x14ac:dyDescent="0.25">
      <c r="A4975" s="36" t="b">
        <v>0</v>
      </c>
      <c r="B4975" s="56" t="b">
        <v>0</v>
      </c>
      <c r="C4975" s="56" t="b">
        <v>0</v>
      </c>
      <c r="D4975" s="56" t="b">
        <v>0</v>
      </c>
      <c r="E4975" s="56">
        <f ca="1">IF(PV[[#This Row],[Business Date]]=Control!$C$6, PV[[#This Row],[Notional Value Local Cur]], -PV[[#This Row],[Notional Value Local Cur]])</f>
        <v>0</v>
      </c>
    </row>
    <row r="4976" spans="1:5" x14ac:dyDescent="0.25">
      <c r="A4976" s="36" t="b">
        <v>0</v>
      </c>
      <c r="B4976" s="56" t="b">
        <v>0</v>
      </c>
      <c r="C4976" s="56" t="b">
        <v>0</v>
      </c>
      <c r="D4976" s="56" t="b">
        <v>0</v>
      </c>
      <c r="E4976" s="56">
        <f ca="1">IF(PV[[#This Row],[Business Date]]=Control!$C$6, PV[[#This Row],[Notional Value Local Cur]], -PV[[#This Row],[Notional Value Local Cur]])</f>
        <v>0</v>
      </c>
    </row>
    <row r="4977" spans="1:5" x14ac:dyDescent="0.25">
      <c r="A4977" s="36" t="b">
        <v>0</v>
      </c>
      <c r="B4977" s="56" t="b">
        <v>0</v>
      </c>
      <c r="C4977" s="56" t="b">
        <v>0</v>
      </c>
      <c r="D4977" s="56" t="b">
        <v>0</v>
      </c>
      <c r="E4977" s="56">
        <f ca="1">IF(PV[[#This Row],[Business Date]]=Control!$C$6, PV[[#This Row],[Notional Value Local Cur]], -PV[[#This Row],[Notional Value Local Cur]])</f>
        <v>0</v>
      </c>
    </row>
    <row r="4978" spans="1:5" x14ac:dyDescent="0.25">
      <c r="A4978" s="36" t="b">
        <v>0</v>
      </c>
      <c r="B4978" s="56" t="b">
        <v>0</v>
      </c>
      <c r="C4978" s="56" t="b">
        <v>0</v>
      </c>
      <c r="D4978" s="56" t="b">
        <v>0</v>
      </c>
      <c r="E4978" s="56">
        <f ca="1">IF(PV[[#This Row],[Business Date]]=Control!$C$6, PV[[#This Row],[Notional Value Local Cur]], -PV[[#This Row],[Notional Value Local Cur]])</f>
        <v>0</v>
      </c>
    </row>
    <row r="4979" spans="1:5" x14ac:dyDescent="0.25">
      <c r="A4979" s="36" t="b">
        <v>0</v>
      </c>
      <c r="B4979" s="56" t="b">
        <v>0</v>
      </c>
      <c r="C4979" s="56" t="b">
        <v>0</v>
      </c>
      <c r="D4979" s="56" t="b">
        <v>0</v>
      </c>
      <c r="E4979" s="56">
        <f ca="1">IF(PV[[#This Row],[Business Date]]=Control!$C$6, PV[[#This Row],[Notional Value Local Cur]], -PV[[#This Row],[Notional Value Local Cur]])</f>
        <v>0</v>
      </c>
    </row>
    <row r="4980" spans="1:5" x14ac:dyDescent="0.25">
      <c r="A4980" s="36" t="b">
        <v>0</v>
      </c>
      <c r="B4980" s="56" t="b">
        <v>0</v>
      </c>
      <c r="C4980" s="56" t="b">
        <v>0</v>
      </c>
      <c r="D4980" s="56" t="b">
        <v>0</v>
      </c>
      <c r="E4980" s="56">
        <f ca="1">IF(PV[[#This Row],[Business Date]]=Control!$C$6, PV[[#This Row],[Notional Value Local Cur]], -PV[[#This Row],[Notional Value Local Cur]])</f>
        <v>0</v>
      </c>
    </row>
    <row r="4981" spans="1:5" x14ac:dyDescent="0.25">
      <c r="A4981" s="36" t="b">
        <v>0</v>
      </c>
      <c r="B4981" s="56" t="b">
        <v>0</v>
      </c>
      <c r="C4981" s="56" t="b">
        <v>0</v>
      </c>
      <c r="D4981" s="56" t="b">
        <v>0</v>
      </c>
      <c r="E4981" s="56">
        <f ca="1">IF(PV[[#This Row],[Business Date]]=Control!$C$6, PV[[#This Row],[Notional Value Local Cur]], -PV[[#This Row],[Notional Value Local Cur]])</f>
        <v>0</v>
      </c>
    </row>
    <row r="4982" spans="1:5" x14ac:dyDescent="0.25">
      <c r="A4982" s="36" t="b">
        <v>0</v>
      </c>
      <c r="B4982" s="56" t="b">
        <v>0</v>
      </c>
      <c r="C4982" s="56" t="b">
        <v>0</v>
      </c>
      <c r="D4982" s="56" t="b">
        <v>0</v>
      </c>
      <c r="E4982" s="56">
        <f ca="1">IF(PV[[#This Row],[Business Date]]=Control!$C$6, PV[[#This Row],[Notional Value Local Cur]], -PV[[#This Row],[Notional Value Local Cur]])</f>
        <v>0</v>
      </c>
    </row>
    <row r="4983" spans="1:5" x14ac:dyDescent="0.25">
      <c r="A4983" s="36" t="b">
        <v>0</v>
      </c>
      <c r="B4983" s="56" t="b">
        <v>0</v>
      </c>
      <c r="C4983" s="56" t="b">
        <v>0</v>
      </c>
      <c r="D4983" s="56" t="b">
        <v>0</v>
      </c>
      <c r="E4983" s="56">
        <f ca="1">IF(PV[[#This Row],[Business Date]]=Control!$C$6, PV[[#This Row],[Notional Value Local Cur]], -PV[[#This Row],[Notional Value Local Cur]])</f>
        <v>0</v>
      </c>
    </row>
    <row r="4984" spans="1:5" x14ac:dyDescent="0.25">
      <c r="A4984" s="36" t="b">
        <v>0</v>
      </c>
      <c r="B4984" s="56" t="b">
        <v>0</v>
      </c>
      <c r="C4984" s="56" t="b">
        <v>0</v>
      </c>
      <c r="D4984" s="56" t="b">
        <v>0</v>
      </c>
      <c r="E4984" s="56">
        <f ca="1">IF(PV[[#This Row],[Business Date]]=Control!$C$6, PV[[#This Row],[Notional Value Local Cur]], -PV[[#This Row],[Notional Value Local Cur]])</f>
        <v>0</v>
      </c>
    </row>
    <row r="4985" spans="1:5" x14ac:dyDescent="0.25">
      <c r="A4985" s="36" t="b">
        <v>0</v>
      </c>
      <c r="B4985" s="56" t="b">
        <v>0</v>
      </c>
      <c r="C4985" s="56" t="b">
        <v>0</v>
      </c>
      <c r="D4985" s="56" t="b">
        <v>0</v>
      </c>
      <c r="E4985" s="56">
        <f ca="1">IF(PV[[#This Row],[Business Date]]=Control!$C$6, PV[[#This Row],[Notional Value Local Cur]], -PV[[#This Row],[Notional Value Local Cur]])</f>
        <v>0</v>
      </c>
    </row>
    <row r="4986" spans="1:5" x14ac:dyDescent="0.25">
      <c r="A4986" s="36" t="b">
        <v>0</v>
      </c>
      <c r="B4986" s="56" t="b">
        <v>0</v>
      </c>
      <c r="C4986" s="56" t="b">
        <v>0</v>
      </c>
      <c r="D4986" s="56" t="b">
        <v>0</v>
      </c>
      <c r="E4986" s="56">
        <f ca="1">IF(PV[[#This Row],[Business Date]]=Control!$C$6, PV[[#This Row],[Notional Value Local Cur]], -PV[[#This Row],[Notional Value Local Cur]])</f>
        <v>0</v>
      </c>
    </row>
    <row r="4987" spans="1:5" x14ac:dyDescent="0.25">
      <c r="A4987" s="36" t="b">
        <v>0</v>
      </c>
      <c r="B4987" s="56" t="b">
        <v>0</v>
      </c>
      <c r="C4987" s="56" t="b">
        <v>0</v>
      </c>
      <c r="D4987" s="56" t="b">
        <v>0</v>
      </c>
      <c r="E4987" s="56">
        <f ca="1">IF(PV[[#This Row],[Business Date]]=Control!$C$6, PV[[#This Row],[Notional Value Local Cur]], -PV[[#This Row],[Notional Value Local Cur]])</f>
        <v>0</v>
      </c>
    </row>
    <row r="4988" spans="1:5" x14ac:dyDescent="0.25">
      <c r="A4988" s="36" t="b">
        <v>0</v>
      </c>
      <c r="B4988" s="56" t="b">
        <v>0</v>
      </c>
      <c r="C4988" s="56" t="b">
        <v>0</v>
      </c>
      <c r="D4988" s="56" t="b">
        <v>0</v>
      </c>
      <c r="E4988" s="56">
        <f ca="1">IF(PV[[#This Row],[Business Date]]=Control!$C$6, PV[[#This Row],[Notional Value Local Cur]], -PV[[#This Row],[Notional Value Local Cur]])</f>
        <v>0</v>
      </c>
    </row>
    <row r="4989" spans="1:5" x14ac:dyDescent="0.25">
      <c r="A4989" s="36" t="b">
        <v>0</v>
      </c>
      <c r="B4989" s="56" t="b">
        <v>0</v>
      </c>
      <c r="C4989" s="56" t="b">
        <v>0</v>
      </c>
      <c r="D4989" s="56" t="b">
        <v>0</v>
      </c>
      <c r="E4989" s="56">
        <f ca="1">IF(PV[[#This Row],[Business Date]]=Control!$C$6, PV[[#This Row],[Notional Value Local Cur]], -PV[[#This Row],[Notional Value Local Cur]])</f>
        <v>0</v>
      </c>
    </row>
    <row r="4990" spans="1:5" x14ac:dyDescent="0.25">
      <c r="A4990" s="36" t="b">
        <v>0</v>
      </c>
      <c r="B4990" s="56" t="b">
        <v>0</v>
      </c>
      <c r="C4990" s="56" t="b">
        <v>0</v>
      </c>
      <c r="D4990" s="56" t="b">
        <v>0</v>
      </c>
      <c r="E4990" s="56">
        <f ca="1">IF(PV[[#This Row],[Business Date]]=Control!$C$6, PV[[#This Row],[Notional Value Local Cur]], -PV[[#This Row],[Notional Value Local Cur]])</f>
        <v>0</v>
      </c>
    </row>
    <row r="4991" spans="1:5" x14ac:dyDescent="0.25">
      <c r="A4991" s="36" t="b">
        <v>0</v>
      </c>
      <c r="B4991" s="56" t="b">
        <v>0</v>
      </c>
      <c r="C4991" s="56" t="b">
        <v>0</v>
      </c>
      <c r="D4991" s="56" t="b">
        <v>0</v>
      </c>
      <c r="E4991" s="56">
        <f ca="1">IF(PV[[#This Row],[Business Date]]=Control!$C$6, PV[[#This Row],[Notional Value Local Cur]], -PV[[#This Row],[Notional Value Local Cur]])</f>
        <v>0</v>
      </c>
    </row>
    <row r="4992" spans="1:5" x14ac:dyDescent="0.25">
      <c r="A4992" s="36" t="b">
        <v>0</v>
      </c>
      <c r="B4992" s="56" t="b">
        <v>0</v>
      </c>
      <c r="C4992" s="56" t="b">
        <v>0</v>
      </c>
      <c r="D4992" s="56" t="b">
        <v>0</v>
      </c>
      <c r="E4992" s="56">
        <f ca="1">IF(PV[[#This Row],[Business Date]]=Control!$C$6, PV[[#This Row],[Notional Value Local Cur]], -PV[[#This Row],[Notional Value Local Cur]])</f>
        <v>0</v>
      </c>
    </row>
    <row r="4993" spans="1:5" x14ac:dyDescent="0.25">
      <c r="A4993" s="36" t="b">
        <v>0</v>
      </c>
      <c r="B4993" s="56" t="b">
        <v>0</v>
      </c>
      <c r="C4993" s="56" t="b">
        <v>0</v>
      </c>
      <c r="D4993" s="56" t="b">
        <v>0</v>
      </c>
      <c r="E4993" s="56">
        <f ca="1">IF(PV[[#This Row],[Business Date]]=Control!$C$6, PV[[#This Row],[Notional Value Local Cur]], -PV[[#This Row],[Notional Value Local Cur]])</f>
        <v>0</v>
      </c>
    </row>
    <row r="4994" spans="1:5" x14ac:dyDescent="0.25">
      <c r="A4994" s="36" t="b">
        <v>0</v>
      </c>
      <c r="B4994" s="56" t="b">
        <v>0</v>
      </c>
      <c r="C4994" s="56" t="b">
        <v>0</v>
      </c>
      <c r="D4994" s="56" t="b">
        <v>0</v>
      </c>
      <c r="E4994" s="56">
        <f ca="1">IF(PV[[#This Row],[Business Date]]=Control!$C$6, PV[[#This Row],[Notional Value Local Cur]], -PV[[#This Row],[Notional Value Local Cur]])</f>
        <v>0</v>
      </c>
    </row>
    <row r="4995" spans="1:5" x14ac:dyDescent="0.25">
      <c r="A4995" s="36" t="b">
        <v>0</v>
      </c>
      <c r="B4995" s="56" t="b">
        <v>0</v>
      </c>
      <c r="C4995" s="56" t="b">
        <v>0</v>
      </c>
      <c r="D4995" s="56" t="b">
        <v>0</v>
      </c>
      <c r="E4995" s="56">
        <f ca="1">IF(PV[[#This Row],[Business Date]]=Control!$C$6, PV[[#This Row],[Notional Value Local Cur]], -PV[[#This Row],[Notional Value Local Cur]])</f>
        <v>0</v>
      </c>
    </row>
    <row r="4996" spans="1:5" x14ac:dyDescent="0.25">
      <c r="A4996" s="36" t="b">
        <v>0</v>
      </c>
      <c r="B4996" s="56" t="b">
        <v>0</v>
      </c>
      <c r="C4996" s="56" t="b">
        <v>0</v>
      </c>
      <c r="D4996" s="56" t="b">
        <v>0</v>
      </c>
      <c r="E4996" s="56">
        <f ca="1">IF(PV[[#This Row],[Business Date]]=Control!$C$6, PV[[#This Row],[Notional Value Local Cur]], -PV[[#This Row],[Notional Value Local Cur]])</f>
        <v>0</v>
      </c>
    </row>
    <row r="4997" spans="1:5" x14ac:dyDescent="0.25">
      <c r="A4997" s="36" t="b">
        <v>0</v>
      </c>
      <c r="B4997" s="56" t="b">
        <v>0</v>
      </c>
      <c r="C4997" s="56" t="b">
        <v>0</v>
      </c>
      <c r="D4997" s="56" t="b">
        <v>0</v>
      </c>
      <c r="E4997" s="56">
        <f ca="1">IF(PV[[#This Row],[Business Date]]=Control!$C$6, PV[[#This Row],[Notional Value Local Cur]], -PV[[#This Row],[Notional Value Local Cur]])</f>
        <v>0</v>
      </c>
    </row>
    <row r="4998" spans="1:5" x14ac:dyDescent="0.25">
      <c r="A4998" s="36" t="b">
        <v>0</v>
      </c>
      <c r="B4998" s="56" t="b">
        <v>0</v>
      </c>
      <c r="C4998" s="56" t="b">
        <v>0</v>
      </c>
      <c r="D4998" s="56" t="b">
        <v>0</v>
      </c>
      <c r="E4998" s="56">
        <f ca="1">IF(PV[[#This Row],[Business Date]]=Control!$C$6, PV[[#This Row],[Notional Value Local Cur]], -PV[[#This Row],[Notional Value Local Cur]])</f>
        <v>0</v>
      </c>
    </row>
    <row r="4999" spans="1:5" x14ac:dyDescent="0.25">
      <c r="A4999" s="36" t="b">
        <v>0</v>
      </c>
      <c r="B4999" s="56" t="b">
        <v>0</v>
      </c>
      <c r="C4999" s="56" t="b">
        <v>0</v>
      </c>
      <c r="D4999" s="56" t="b">
        <v>0</v>
      </c>
      <c r="E4999" s="56">
        <f ca="1">IF(PV[[#This Row],[Business Date]]=Control!$C$6, PV[[#This Row],[Notional Value Local Cur]], -PV[[#This Row],[Notional Value Local Cur]])</f>
        <v>0</v>
      </c>
    </row>
    <row r="5000" spans="1:5" x14ac:dyDescent="0.25">
      <c r="A5000" s="36" t="b">
        <v>0</v>
      </c>
      <c r="B5000" s="56" t="b">
        <v>0</v>
      </c>
      <c r="C5000" s="56" t="b">
        <v>0</v>
      </c>
      <c r="D5000" s="56" t="b">
        <v>0</v>
      </c>
      <c r="E5000" s="56">
        <f ca="1">IF(PV[[#This Row],[Business Date]]=Control!$C$6, PV[[#This Row],[Notional Value Local Cur]], -PV[[#This Row],[Notional Value Local Cur]])</f>
        <v>0</v>
      </c>
    </row>
    <row r="5001" spans="1:5" x14ac:dyDescent="0.25">
      <c r="A5001" s="36" t="b">
        <v>0</v>
      </c>
      <c r="B5001" s="56" t="b">
        <v>0</v>
      </c>
      <c r="C5001" s="56" t="b">
        <v>0</v>
      </c>
      <c r="D5001" s="56" t="b">
        <v>0</v>
      </c>
      <c r="E5001" s="56">
        <f ca="1">IF(PV[[#This Row],[Business Date]]=Control!$C$6, PV[[#This Row],[Notional Value Local Cur]], -PV[[#This Row],[Notional Value Local Cur]])</f>
        <v>0</v>
      </c>
    </row>
    <row r="5002" spans="1:5" x14ac:dyDescent="0.25">
      <c r="A5002" s="36" t="b">
        <v>0</v>
      </c>
      <c r="B5002" s="56" t="b">
        <v>0</v>
      </c>
      <c r="C5002" s="56" t="b">
        <v>0</v>
      </c>
      <c r="D5002" s="56" t="b">
        <v>0</v>
      </c>
      <c r="E5002" s="56">
        <f ca="1">IF(PV[[#This Row],[Business Date]]=Control!$C$6, PV[[#This Row],[Notional Value Local Cur]], -PV[[#This Row],[Notional Value Local Cur]])</f>
        <v>0</v>
      </c>
    </row>
    <row r="5003" spans="1:5" x14ac:dyDescent="0.25">
      <c r="A5003" s="36" t="b">
        <v>0</v>
      </c>
      <c r="B5003" s="56" t="b">
        <v>0</v>
      </c>
      <c r="C5003" s="56" t="b">
        <v>0</v>
      </c>
      <c r="D5003" s="56" t="b">
        <v>0</v>
      </c>
      <c r="E5003" s="56">
        <f ca="1">IF(PV[[#This Row],[Business Date]]=Control!$C$6, PV[[#This Row],[Notional Value Local Cur]], -PV[[#This Row],[Notional Value Local Cur]])</f>
        <v>0</v>
      </c>
    </row>
    <row r="5004" spans="1:5" x14ac:dyDescent="0.25">
      <c r="A5004" s="36" t="b">
        <v>0</v>
      </c>
      <c r="B5004" s="56" t="b">
        <v>0</v>
      </c>
      <c r="C5004" s="56" t="b">
        <v>0</v>
      </c>
      <c r="D5004" s="56" t="b">
        <v>0</v>
      </c>
      <c r="E5004" s="56">
        <f ca="1">IF(PV[[#This Row],[Business Date]]=Control!$C$6, PV[[#This Row],[Notional Value Local Cur]], -PV[[#This Row],[Notional Value Local Cur]])</f>
        <v>0</v>
      </c>
    </row>
    <row r="5005" spans="1:5" x14ac:dyDescent="0.25">
      <c r="A5005" s="36" t="b">
        <v>0</v>
      </c>
      <c r="B5005" s="56" t="b">
        <v>0</v>
      </c>
      <c r="C5005" s="56" t="b">
        <v>0</v>
      </c>
      <c r="D5005" s="56" t="b">
        <v>0</v>
      </c>
      <c r="E5005" s="56">
        <f ca="1">IF(PV[[#This Row],[Business Date]]=Control!$C$6, PV[[#This Row],[Notional Value Local Cur]], -PV[[#This Row],[Notional Value Local Cur]])</f>
        <v>0</v>
      </c>
    </row>
    <row r="5006" spans="1:5" x14ac:dyDescent="0.25">
      <c r="A5006" s="36" t="b">
        <v>0</v>
      </c>
      <c r="B5006" s="56" t="b">
        <v>0</v>
      </c>
      <c r="C5006" s="56" t="b">
        <v>0</v>
      </c>
      <c r="D5006" s="56" t="b">
        <v>0</v>
      </c>
      <c r="E5006" s="56">
        <f ca="1">IF(PV[[#This Row],[Business Date]]=Control!$C$6, PV[[#This Row],[Notional Value Local Cur]], -PV[[#This Row],[Notional Value Local Cur]])</f>
        <v>0</v>
      </c>
    </row>
    <row r="5007" spans="1:5" x14ac:dyDescent="0.25">
      <c r="A5007" s="36" t="b">
        <v>0</v>
      </c>
      <c r="B5007" s="56" t="b">
        <v>0</v>
      </c>
      <c r="C5007" s="56" t="b">
        <v>0</v>
      </c>
      <c r="D5007" s="56" t="b">
        <v>0</v>
      </c>
      <c r="E5007" s="56">
        <f ca="1">IF(PV[[#This Row],[Business Date]]=Control!$C$6, PV[[#This Row],[Notional Value Local Cur]], -PV[[#This Row],[Notional Value Local Cur]])</f>
        <v>0</v>
      </c>
    </row>
    <row r="5008" spans="1:5" x14ac:dyDescent="0.25">
      <c r="A5008" s="36" t="b">
        <v>0</v>
      </c>
      <c r="B5008" s="56" t="b">
        <v>0</v>
      </c>
      <c r="C5008" s="56" t="b">
        <v>0</v>
      </c>
      <c r="D5008" s="56" t="b">
        <v>0</v>
      </c>
      <c r="E5008" s="56">
        <f ca="1">IF(PV[[#This Row],[Business Date]]=Control!$C$6, PV[[#This Row],[Notional Value Local Cur]], -PV[[#This Row],[Notional Value Local Cur]])</f>
        <v>0</v>
      </c>
    </row>
    <row r="5009" spans="1:5" x14ac:dyDescent="0.25">
      <c r="A5009" s="36" t="b">
        <v>0</v>
      </c>
      <c r="B5009" s="56" t="b">
        <v>0</v>
      </c>
      <c r="C5009" s="56" t="b">
        <v>0</v>
      </c>
      <c r="D5009" s="56" t="b">
        <v>0</v>
      </c>
      <c r="E5009" s="56">
        <f ca="1">IF(PV[[#This Row],[Business Date]]=Control!$C$6, PV[[#This Row],[Notional Value Local Cur]], -PV[[#This Row],[Notional Value Local Cur]])</f>
        <v>0</v>
      </c>
    </row>
    <row r="5010" spans="1:5" x14ac:dyDescent="0.25">
      <c r="A5010" s="36" t="b">
        <v>0</v>
      </c>
      <c r="B5010" s="56" t="b">
        <v>0</v>
      </c>
      <c r="C5010" s="56" t="b">
        <v>0</v>
      </c>
      <c r="D5010" s="56" t="b">
        <v>0</v>
      </c>
      <c r="E5010" s="56">
        <f ca="1">IF(PV[[#This Row],[Business Date]]=Control!$C$6, PV[[#This Row],[Notional Value Local Cur]], -PV[[#This Row],[Notional Value Local Cur]])</f>
        <v>0</v>
      </c>
    </row>
    <row r="5011" spans="1:5" x14ac:dyDescent="0.25">
      <c r="A5011" s="36" t="b">
        <v>0</v>
      </c>
      <c r="B5011" s="56" t="b">
        <v>0</v>
      </c>
      <c r="C5011" s="56" t="b">
        <v>0</v>
      </c>
      <c r="D5011" s="56" t="b">
        <v>0</v>
      </c>
      <c r="E5011" s="56">
        <f ca="1">IF(PV[[#This Row],[Business Date]]=Control!$C$6, PV[[#This Row],[Notional Value Local Cur]], -PV[[#This Row],[Notional Value Local Cur]])</f>
        <v>0</v>
      </c>
    </row>
    <row r="5012" spans="1:5" x14ac:dyDescent="0.25">
      <c r="A5012" s="36" t="b">
        <v>0</v>
      </c>
      <c r="B5012" s="56" t="b">
        <v>0</v>
      </c>
      <c r="C5012" s="56" t="b">
        <v>0</v>
      </c>
      <c r="D5012" s="56" t="b">
        <v>0</v>
      </c>
      <c r="E5012" s="56">
        <f ca="1">IF(PV[[#This Row],[Business Date]]=Control!$C$6, PV[[#This Row],[Notional Value Local Cur]], -PV[[#This Row],[Notional Value Local Cur]])</f>
        <v>0</v>
      </c>
    </row>
    <row r="5013" spans="1:5" x14ac:dyDescent="0.25">
      <c r="A5013" s="36" t="b">
        <v>0</v>
      </c>
      <c r="B5013" s="56" t="b">
        <v>0</v>
      </c>
      <c r="C5013" s="56" t="b">
        <v>0</v>
      </c>
      <c r="D5013" s="56" t="b">
        <v>0</v>
      </c>
      <c r="E5013" s="56">
        <f ca="1">IF(PV[[#This Row],[Business Date]]=Control!$C$6, PV[[#This Row],[Notional Value Local Cur]], -PV[[#This Row],[Notional Value Local Cur]])</f>
        <v>0</v>
      </c>
    </row>
    <row r="5014" spans="1:5" x14ac:dyDescent="0.25">
      <c r="A5014" s="36" t="b">
        <v>0</v>
      </c>
      <c r="B5014" s="56" t="b">
        <v>0</v>
      </c>
      <c r="C5014" s="56" t="b">
        <v>0</v>
      </c>
      <c r="D5014" s="56" t="b">
        <v>0</v>
      </c>
      <c r="E5014" s="56">
        <f ca="1">IF(PV[[#This Row],[Business Date]]=Control!$C$6, PV[[#This Row],[Notional Value Local Cur]], -PV[[#This Row],[Notional Value Local Cur]])</f>
        <v>0</v>
      </c>
    </row>
    <row r="5015" spans="1:5" x14ac:dyDescent="0.25">
      <c r="A5015" s="36" t="b">
        <v>0</v>
      </c>
      <c r="B5015" s="56" t="b">
        <v>0</v>
      </c>
      <c r="C5015" s="56" t="b">
        <v>0</v>
      </c>
      <c r="D5015" s="56" t="b">
        <v>0</v>
      </c>
      <c r="E5015" s="56">
        <f ca="1">IF(PV[[#This Row],[Business Date]]=Control!$C$6, PV[[#This Row],[Notional Value Local Cur]], -PV[[#This Row],[Notional Value Local Cur]])</f>
        <v>0</v>
      </c>
    </row>
    <row r="5016" spans="1:5" x14ac:dyDescent="0.25">
      <c r="A5016" s="36" t="b">
        <v>0</v>
      </c>
      <c r="B5016" s="56" t="b">
        <v>0</v>
      </c>
      <c r="C5016" s="56" t="b">
        <v>0</v>
      </c>
      <c r="D5016" s="56" t="b">
        <v>0</v>
      </c>
      <c r="E5016" s="56">
        <f ca="1">IF(PV[[#This Row],[Business Date]]=Control!$C$6, PV[[#This Row],[Notional Value Local Cur]], -PV[[#This Row],[Notional Value Local Cur]])</f>
        <v>0</v>
      </c>
    </row>
    <row r="5017" spans="1:5" x14ac:dyDescent="0.25">
      <c r="A5017" s="36" t="b">
        <v>0</v>
      </c>
      <c r="B5017" s="56" t="b">
        <v>0</v>
      </c>
      <c r="C5017" s="56" t="b">
        <v>0</v>
      </c>
      <c r="D5017" s="56" t="b">
        <v>0</v>
      </c>
      <c r="E5017" s="56">
        <f ca="1">IF(PV[[#This Row],[Business Date]]=Control!$C$6, PV[[#This Row],[Notional Value Local Cur]], -PV[[#This Row],[Notional Value Local Cur]])</f>
        <v>0</v>
      </c>
    </row>
    <row r="5018" spans="1:5" x14ac:dyDescent="0.25">
      <c r="A5018" s="36" t="b">
        <v>0</v>
      </c>
      <c r="B5018" s="56" t="b">
        <v>0</v>
      </c>
      <c r="C5018" s="56" t="b">
        <v>0</v>
      </c>
      <c r="D5018" s="56" t="b">
        <v>0</v>
      </c>
      <c r="E5018" s="56">
        <f ca="1">IF(PV[[#This Row],[Business Date]]=Control!$C$6, PV[[#This Row],[Notional Value Local Cur]], -PV[[#This Row],[Notional Value Local Cur]])</f>
        <v>0</v>
      </c>
    </row>
    <row r="5019" spans="1:5" x14ac:dyDescent="0.25">
      <c r="A5019" s="36" t="b">
        <v>0</v>
      </c>
      <c r="B5019" s="56" t="b">
        <v>0</v>
      </c>
      <c r="C5019" s="56" t="b">
        <v>0</v>
      </c>
      <c r="D5019" s="56" t="b">
        <v>0</v>
      </c>
      <c r="E5019" s="56">
        <f ca="1">IF(PV[[#This Row],[Business Date]]=Control!$C$6, PV[[#This Row],[Notional Value Local Cur]], -PV[[#This Row],[Notional Value Local Cur]])</f>
        <v>0</v>
      </c>
    </row>
    <row r="5020" spans="1:5" x14ac:dyDescent="0.25">
      <c r="A5020" s="36" t="b">
        <v>0</v>
      </c>
      <c r="B5020" s="56" t="b">
        <v>0</v>
      </c>
      <c r="C5020" s="56" t="b">
        <v>0</v>
      </c>
      <c r="D5020" s="56" t="b">
        <v>0</v>
      </c>
      <c r="E5020" s="56">
        <f ca="1">IF(PV[[#This Row],[Business Date]]=Control!$C$6, PV[[#This Row],[Notional Value Local Cur]], -PV[[#This Row],[Notional Value Local Cur]])</f>
        <v>0</v>
      </c>
    </row>
    <row r="5021" spans="1:5" x14ac:dyDescent="0.25">
      <c r="A5021" s="36" t="b">
        <v>0</v>
      </c>
      <c r="B5021" s="56" t="b">
        <v>0</v>
      </c>
      <c r="C5021" s="56" t="b">
        <v>0</v>
      </c>
      <c r="D5021" s="56" t="b">
        <v>0</v>
      </c>
      <c r="E5021" s="56">
        <f ca="1">IF(PV[[#This Row],[Business Date]]=Control!$C$6, PV[[#This Row],[Notional Value Local Cur]], -PV[[#This Row],[Notional Value Local Cur]])</f>
        <v>0</v>
      </c>
    </row>
    <row r="5022" spans="1:5" x14ac:dyDescent="0.25">
      <c r="A5022" s="36" t="b">
        <v>0</v>
      </c>
      <c r="B5022" s="56" t="b">
        <v>0</v>
      </c>
      <c r="C5022" s="56" t="b">
        <v>0</v>
      </c>
      <c r="D5022" s="56" t="b">
        <v>0</v>
      </c>
      <c r="E5022" s="56">
        <f ca="1">IF(PV[[#This Row],[Business Date]]=Control!$C$6, PV[[#This Row],[Notional Value Local Cur]], -PV[[#This Row],[Notional Value Local Cur]])</f>
        <v>0</v>
      </c>
    </row>
    <row r="5023" spans="1:5" x14ac:dyDescent="0.25">
      <c r="A5023" s="36" t="b">
        <v>0</v>
      </c>
      <c r="B5023" s="56" t="b">
        <v>0</v>
      </c>
      <c r="C5023" s="56" t="b">
        <v>0</v>
      </c>
      <c r="D5023" s="56" t="b">
        <v>0</v>
      </c>
      <c r="E5023" s="56">
        <f ca="1">IF(PV[[#This Row],[Business Date]]=Control!$C$6, PV[[#This Row],[Notional Value Local Cur]], -PV[[#This Row],[Notional Value Local Cur]])</f>
        <v>0</v>
      </c>
    </row>
    <row r="5024" spans="1:5" x14ac:dyDescent="0.25">
      <c r="A5024" s="36" t="b">
        <v>0</v>
      </c>
      <c r="B5024" s="56" t="b">
        <v>0</v>
      </c>
      <c r="C5024" s="56" t="b">
        <v>0</v>
      </c>
      <c r="D5024" s="56" t="b">
        <v>0</v>
      </c>
      <c r="E5024" s="56">
        <f ca="1">IF(PV[[#This Row],[Business Date]]=Control!$C$6, PV[[#This Row],[Notional Value Local Cur]], -PV[[#This Row],[Notional Value Local Cur]])</f>
        <v>0</v>
      </c>
    </row>
    <row r="5025" spans="1:5" x14ac:dyDescent="0.25">
      <c r="A5025" s="36" t="b">
        <v>0</v>
      </c>
      <c r="B5025" s="56" t="b">
        <v>0</v>
      </c>
      <c r="C5025" s="56" t="b">
        <v>0</v>
      </c>
      <c r="D5025" s="56" t="b">
        <v>0</v>
      </c>
      <c r="E5025" s="56">
        <f ca="1">IF(PV[[#This Row],[Business Date]]=Control!$C$6, PV[[#This Row],[Notional Value Local Cur]], -PV[[#This Row],[Notional Value Local Cur]])</f>
        <v>0</v>
      </c>
    </row>
    <row r="5026" spans="1:5" x14ac:dyDescent="0.25">
      <c r="A5026" s="36" t="b">
        <v>0</v>
      </c>
      <c r="B5026" s="56" t="b">
        <v>0</v>
      </c>
      <c r="C5026" s="56" t="b">
        <v>0</v>
      </c>
      <c r="D5026" s="56" t="b">
        <v>0</v>
      </c>
      <c r="E5026" s="56">
        <f ca="1">IF(PV[[#This Row],[Business Date]]=Control!$C$6, PV[[#This Row],[Notional Value Local Cur]], -PV[[#This Row],[Notional Value Local Cur]])</f>
        <v>0</v>
      </c>
    </row>
    <row r="5027" spans="1:5" x14ac:dyDescent="0.25">
      <c r="A5027" s="36" t="b">
        <v>0</v>
      </c>
      <c r="B5027" s="56" t="b">
        <v>0</v>
      </c>
      <c r="C5027" s="56" t="b">
        <v>0</v>
      </c>
      <c r="D5027" s="56" t="b">
        <v>0</v>
      </c>
      <c r="E5027" s="56">
        <f ca="1">IF(PV[[#This Row],[Business Date]]=Control!$C$6, PV[[#This Row],[Notional Value Local Cur]], -PV[[#This Row],[Notional Value Local Cur]])</f>
        <v>0</v>
      </c>
    </row>
    <row r="5028" spans="1:5" x14ac:dyDescent="0.25">
      <c r="A5028" s="36" t="b">
        <v>0</v>
      </c>
      <c r="B5028" s="56" t="b">
        <v>0</v>
      </c>
      <c r="C5028" s="56" t="b">
        <v>0</v>
      </c>
      <c r="D5028" s="56" t="b">
        <v>0</v>
      </c>
      <c r="E5028" s="56">
        <f ca="1">IF(PV[[#This Row],[Business Date]]=Control!$C$6, PV[[#This Row],[Notional Value Local Cur]], -PV[[#This Row],[Notional Value Local Cur]])</f>
        <v>0</v>
      </c>
    </row>
    <row r="5029" spans="1:5" x14ac:dyDescent="0.25">
      <c r="A5029" s="36" t="b">
        <v>0</v>
      </c>
      <c r="B5029" s="56" t="b">
        <v>0</v>
      </c>
      <c r="C5029" s="56" t="b">
        <v>0</v>
      </c>
      <c r="D5029" s="56" t="b">
        <v>0</v>
      </c>
      <c r="E5029" s="56">
        <f ca="1">IF(PV[[#This Row],[Business Date]]=Control!$C$6, PV[[#This Row],[Notional Value Local Cur]], -PV[[#This Row],[Notional Value Local Cur]])</f>
        <v>0</v>
      </c>
    </row>
    <row r="5030" spans="1:5" x14ac:dyDescent="0.25">
      <c r="A5030" s="36" t="b">
        <v>0</v>
      </c>
      <c r="B5030" s="56" t="b">
        <v>0</v>
      </c>
      <c r="C5030" s="56" t="b">
        <v>0</v>
      </c>
      <c r="D5030" s="56" t="b">
        <v>0</v>
      </c>
      <c r="E5030" s="56">
        <f ca="1">IF(PV[[#This Row],[Business Date]]=Control!$C$6, PV[[#This Row],[Notional Value Local Cur]], -PV[[#This Row],[Notional Value Local Cur]])</f>
        <v>0</v>
      </c>
    </row>
    <row r="5031" spans="1:5" x14ac:dyDescent="0.25">
      <c r="A5031" s="36" t="b">
        <v>0</v>
      </c>
      <c r="B5031" s="56" t="b">
        <v>0</v>
      </c>
      <c r="C5031" s="56" t="b">
        <v>0</v>
      </c>
      <c r="D5031" s="56" t="b">
        <v>0</v>
      </c>
      <c r="E5031" s="56">
        <f ca="1">IF(PV[[#This Row],[Business Date]]=Control!$C$6, PV[[#This Row],[Notional Value Local Cur]], -PV[[#This Row],[Notional Value Local Cur]])</f>
        <v>0</v>
      </c>
    </row>
    <row r="5032" spans="1:5" x14ac:dyDescent="0.25">
      <c r="A5032" s="36" t="b">
        <v>0</v>
      </c>
      <c r="B5032" s="56" t="b">
        <v>0</v>
      </c>
      <c r="C5032" s="56" t="b">
        <v>0</v>
      </c>
      <c r="D5032" s="56" t="b">
        <v>0</v>
      </c>
      <c r="E5032" s="56">
        <f ca="1">IF(PV[[#This Row],[Business Date]]=Control!$C$6, PV[[#This Row],[Notional Value Local Cur]], -PV[[#This Row],[Notional Value Local Cur]])</f>
        <v>0</v>
      </c>
    </row>
    <row r="5033" spans="1:5" x14ac:dyDescent="0.25">
      <c r="A5033" s="36" t="b">
        <v>0</v>
      </c>
      <c r="B5033" s="56" t="b">
        <v>0</v>
      </c>
      <c r="C5033" s="56" t="b">
        <v>0</v>
      </c>
      <c r="D5033" s="56" t="b">
        <v>0</v>
      </c>
      <c r="E5033" s="56">
        <f ca="1">IF(PV[[#This Row],[Business Date]]=Control!$C$6, PV[[#This Row],[Notional Value Local Cur]], -PV[[#This Row],[Notional Value Local Cur]])</f>
        <v>0</v>
      </c>
    </row>
    <row r="5034" spans="1:5" x14ac:dyDescent="0.25">
      <c r="A5034" s="36" t="b">
        <v>0</v>
      </c>
      <c r="B5034" s="56" t="b">
        <v>0</v>
      </c>
      <c r="C5034" s="56" t="b">
        <v>0</v>
      </c>
      <c r="D5034" s="56" t="b">
        <v>0</v>
      </c>
      <c r="E5034" s="56">
        <f ca="1">IF(PV[[#This Row],[Business Date]]=Control!$C$6, PV[[#This Row],[Notional Value Local Cur]], -PV[[#This Row],[Notional Value Local Cur]])</f>
        <v>0</v>
      </c>
    </row>
    <row r="5035" spans="1:5" x14ac:dyDescent="0.25">
      <c r="A5035" s="36" t="b">
        <v>0</v>
      </c>
      <c r="B5035" s="56" t="b">
        <v>0</v>
      </c>
      <c r="C5035" s="56" t="b">
        <v>0</v>
      </c>
      <c r="D5035" s="56" t="b">
        <v>0</v>
      </c>
      <c r="E5035" s="56">
        <f ca="1">IF(PV[[#This Row],[Business Date]]=Control!$C$6, PV[[#This Row],[Notional Value Local Cur]], -PV[[#This Row],[Notional Value Local Cur]])</f>
        <v>0</v>
      </c>
    </row>
    <row r="5036" spans="1:5" x14ac:dyDescent="0.25">
      <c r="A5036" s="36" t="b">
        <v>0</v>
      </c>
      <c r="B5036" s="56" t="b">
        <v>0</v>
      </c>
      <c r="C5036" s="56" t="b">
        <v>0</v>
      </c>
      <c r="D5036" s="56" t="b">
        <v>0</v>
      </c>
      <c r="E5036" s="56">
        <f ca="1">IF(PV[[#This Row],[Business Date]]=Control!$C$6, PV[[#This Row],[Notional Value Local Cur]], -PV[[#This Row],[Notional Value Local Cur]])</f>
        <v>0</v>
      </c>
    </row>
    <row r="5037" spans="1:5" x14ac:dyDescent="0.25">
      <c r="A5037" s="36" t="b">
        <v>0</v>
      </c>
      <c r="B5037" s="56" t="b">
        <v>0</v>
      </c>
      <c r="C5037" s="56" t="b">
        <v>0</v>
      </c>
      <c r="D5037" s="56" t="b">
        <v>0</v>
      </c>
      <c r="E5037" s="56">
        <f ca="1">IF(PV[[#This Row],[Business Date]]=Control!$C$6, PV[[#This Row],[Notional Value Local Cur]], -PV[[#This Row],[Notional Value Local Cur]])</f>
        <v>0</v>
      </c>
    </row>
    <row r="5038" spans="1:5" x14ac:dyDescent="0.25">
      <c r="A5038" s="36" t="b">
        <v>0</v>
      </c>
      <c r="B5038" s="56" t="b">
        <v>0</v>
      </c>
      <c r="C5038" s="56" t="b">
        <v>0</v>
      </c>
      <c r="D5038" s="56" t="b">
        <v>0</v>
      </c>
      <c r="E5038" s="56">
        <f ca="1">IF(PV[[#This Row],[Business Date]]=Control!$C$6, PV[[#This Row],[Notional Value Local Cur]], -PV[[#This Row],[Notional Value Local Cur]])</f>
        <v>0</v>
      </c>
    </row>
    <row r="5039" spans="1:5" x14ac:dyDescent="0.25">
      <c r="A5039" s="36" t="b">
        <v>0</v>
      </c>
      <c r="B5039" s="56" t="b">
        <v>0</v>
      </c>
      <c r="C5039" s="56" t="b">
        <v>0</v>
      </c>
      <c r="D5039" s="56" t="b">
        <v>0</v>
      </c>
      <c r="E5039" s="56">
        <f ca="1">IF(PV[[#This Row],[Business Date]]=Control!$C$6, PV[[#This Row],[Notional Value Local Cur]], -PV[[#This Row],[Notional Value Local Cur]])</f>
        <v>0</v>
      </c>
    </row>
    <row r="5040" spans="1:5" x14ac:dyDescent="0.25">
      <c r="A5040" s="36" t="b">
        <v>0</v>
      </c>
      <c r="B5040" s="56" t="b">
        <v>0</v>
      </c>
      <c r="C5040" s="56" t="b">
        <v>0</v>
      </c>
      <c r="D5040" s="56" t="b">
        <v>0</v>
      </c>
      <c r="E5040" s="56">
        <f ca="1">IF(PV[[#This Row],[Business Date]]=Control!$C$6, PV[[#This Row],[Notional Value Local Cur]], -PV[[#This Row],[Notional Value Local Cur]])</f>
        <v>0</v>
      </c>
    </row>
    <row r="5041" spans="1:5" x14ac:dyDescent="0.25">
      <c r="A5041" s="36" t="b">
        <v>0</v>
      </c>
      <c r="B5041" s="56" t="b">
        <v>0</v>
      </c>
      <c r="C5041" s="56" t="b">
        <v>0</v>
      </c>
      <c r="D5041" s="56" t="b">
        <v>0</v>
      </c>
      <c r="E5041" s="56">
        <f ca="1">IF(PV[[#This Row],[Business Date]]=Control!$C$6, PV[[#This Row],[Notional Value Local Cur]], -PV[[#This Row],[Notional Value Local Cur]])</f>
        <v>0</v>
      </c>
    </row>
    <row r="5042" spans="1:5" x14ac:dyDescent="0.25">
      <c r="A5042" s="36" t="b">
        <v>0</v>
      </c>
      <c r="B5042" s="56" t="b">
        <v>0</v>
      </c>
      <c r="C5042" s="56" t="b">
        <v>0</v>
      </c>
      <c r="D5042" s="56" t="b">
        <v>0</v>
      </c>
      <c r="E5042" s="56">
        <f ca="1">IF(PV[[#This Row],[Business Date]]=Control!$C$6, PV[[#This Row],[Notional Value Local Cur]], -PV[[#This Row],[Notional Value Local Cur]])</f>
        <v>0</v>
      </c>
    </row>
    <row r="5043" spans="1:5" x14ac:dyDescent="0.25">
      <c r="A5043" s="36" t="b">
        <v>0</v>
      </c>
      <c r="B5043" s="56" t="b">
        <v>0</v>
      </c>
      <c r="C5043" s="56" t="b">
        <v>0</v>
      </c>
      <c r="D5043" s="56" t="b">
        <v>0</v>
      </c>
      <c r="E5043" s="56">
        <f ca="1">IF(PV[[#This Row],[Business Date]]=Control!$C$6, PV[[#This Row],[Notional Value Local Cur]], -PV[[#This Row],[Notional Value Local Cur]])</f>
        <v>0</v>
      </c>
    </row>
    <row r="5044" spans="1:5" x14ac:dyDescent="0.25">
      <c r="A5044" s="36" t="b">
        <v>0</v>
      </c>
      <c r="B5044" s="56" t="b">
        <v>0</v>
      </c>
      <c r="C5044" s="56" t="b">
        <v>0</v>
      </c>
      <c r="D5044" s="56" t="b">
        <v>0</v>
      </c>
      <c r="E5044" s="56">
        <f ca="1">IF(PV[[#This Row],[Business Date]]=Control!$C$6, PV[[#This Row],[Notional Value Local Cur]], -PV[[#This Row],[Notional Value Local Cur]])</f>
        <v>0</v>
      </c>
    </row>
    <row r="5045" spans="1:5" x14ac:dyDescent="0.25">
      <c r="A5045" s="36" t="b">
        <v>0</v>
      </c>
      <c r="B5045" s="56" t="b">
        <v>0</v>
      </c>
      <c r="C5045" s="56" t="b">
        <v>0</v>
      </c>
      <c r="D5045" s="56" t="b">
        <v>0</v>
      </c>
      <c r="E5045" s="56">
        <f ca="1">IF(PV[[#This Row],[Business Date]]=Control!$C$6, PV[[#This Row],[Notional Value Local Cur]], -PV[[#This Row],[Notional Value Local Cur]])</f>
        <v>0</v>
      </c>
    </row>
    <row r="5046" spans="1:5" x14ac:dyDescent="0.25">
      <c r="A5046" s="36" t="b">
        <v>0</v>
      </c>
      <c r="B5046" s="56" t="b">
        <v>0</v>
      </c>
      <c r="C5046" s="56" t="b">
        <v>0</v>
      </c>
      <c r="D5046" s="56" t="b">
        <v>0</v>
      </c>
      <c r="E5046" s="56">
        <f ca="1">IF(PV[[#This Row],[Business Date]]=Control!$C$6, PV[[#This Row],[Notional Value Local Cur]], -PV[[#This Row],[Notional Value Local Cur]])</f>
        <v>0</v>
      </c>
    </row>
    <row r="5047" spans="1:5" x14ac:dyDescent="0.25">
      <c r="A5047" s="36" t="b">
        <v>0</v>
      </c>
      <c r="B5047" s="56" t="b">
        <v>0</v>
      </c>
      <c r="C5047" s="56" t="b">
        <v>0</v>
      </c>
      <c r="D5047" s="56" t="b">
        <v>0</v>
      </c>
      <c r="E5047" s="56">
        <f ca="1">IF(PV[[#This Row],[Business Date]]=Control!$C$6, PV[[#This Row],[Notional Value Local Cur]], -PV[[#This Row],[Notional Value Local Cur]])</f>
        <v>0</v>
      </c>
    </row>
    <row r="5048" spans="1:5" x14ac:dyDescent="0.25">
      <c r="A5048" s="36" t="b">
        <v>0</v>
      </c>
      <c r="B5048" s="56" t="b">
        <v>0</v>
      </c>
      <c r="C5048" s="56" t="b">
        <v>0</v>
      </c>
      <c r="D5048" s="56" t="b">
        <v>0</v>
      </c>
      <c r="E5048" s="56">
        <f ca="1">IF(PV[[#This Row],[Business Date]]=Control!$C$6, PV[[#This Row],[Notional Value Local Cur]], -PV[[#This Row],[Notional Value Local Cur]])</f>
        <v>0</v>
      </c>
    </row>
    <row r="5049" spans="1:5" x14ac:dyDescent="0.25">
      <c r="A5049" s="36" t="b">
        <v>0</v>
      </c>
      <c r="B5049" s="56" t="b">
        <v>0</v>
      </c>
      <c r="C5049" s="56" t="b">
        <v>0</v>
      </c>
      <c r="D5049" s="56" t="b">
        <v>0</v>
      </c>
      <c r="E5049" s="56">
        <f ca="1">IF(PV[[#This Row],[Business Date]]=Control!$C$6, PV[[#This Row],[Notional Value Local Cur]], -PV[[#This Row],[Notional Value Local Cur]])</f>
        <v>0</v>
      </c>
    </row>
    <row r="5050" spans="1:5" x14ac:dyDescent="0.25">
      <c r="A5050" s="36" t="b">
        <v>0</v>
      </c>
      <c r="B5050" s="56" t="b">
        <v>0</v>
      </c>
      <c r="C5050" s="56" t="b">
        <v>0</v>
      </c>
      <c r="D5050" s="56" t="b">
        <v>0</v>
      </c>
      <c r="E5050" s="56">
        <f ca="1">IF(PV[[#This Row],[Business Date]]=Control!$C$6, PV[[#This Row],[Notional Value Local Cur]], -PV[[#This Row],[Notional Value Local Cur]])</f>
        <v>0</v>
      </c>
    </row>
    <row r="5051" spans="1:5" x14ac:dyDescent="0.25">
      <c r="A5051" s="36" t="b">
        <v>0</v>
      </c>
      <c r="B5051" s="56" t="b">
        <v>0</v>
      </c>
      <c r="C5051" s="56" t="b">
        <v>0</v>
      </c>
      <c r="D5051" s="56" t="b">
        <v>0</v>
      </c>
      <c r="E5051" s="56">
        <f ca="1">IF(PV[[#This Row],[Business Date]]=Control!$C$6, PV[[#This Row],[Notional Value Local Cur]], -PV[[#This Row],[Notional Value Local Cur]])</f>
        <v>0</v>
      </c>
    </row>
    <row r="5052" spans="1:5" x14ac:dyDescent="0.25">
      <c r="A5052" s="36" t="b">
        <v>0</v>
      </c>
      <c r="B5052" s="56" t="b">
        <v>0</v>
      </c>
      <c r="C5052" s="56" t="b">
        <v>0</v>
      </c>
      <c r="D5052" s="56" t="b">
        <v>0</v>
      </c>
      <c r="E5052" s="56">
        <f ca="1">IF(PV[[#This Row],[Business Date]]=Control!$C$6, PV[[#This Row],[Notional Value Local Cur]], -PV[[#This Row],[Notional Value Local Cur]])</f>
        <v>0</v>
      </c>
    </row>
    <row r="5053" spans="1:5" x14ac:dyDescent="0.25">
      <c r="A5053" s="36" t="b">
        <v>0</v>
      </c>
      <c r="B5053" s="56" t="b">
        <v>0</v>
      </c>
      <c r="C5053" s="56" t="b">
        <v>0</v>
      </c>
      <c r="D5053" s="56" t="b">
        <v>0</v>
      </c>
      <c r="E5053" s="56">
        <f ca="1">IF(PV[[#This Row],[Business Date]]=Control!$C$6, PV[[#This Row],[Notional Value Local Cur]], -PV[[#This Row],[Notional Value Local Cur]])</f>
        <v>0</v>
      </c>
    </row>
    <row r="5054" spans="1:5" x14ac:dyDescent="0.25">
      <c r="A5054" s="36" t="b">
        <v>0</v>
      </c>
      <c r="B5054" s="56" t="b">
        <v>0</v>
      </c>
      <c r="C5054" s="56" t="b">
        <v>0</v>
      </c>
      <c r="D5054" s="56" t="b">
        <v>0</v>
      </c>
      <c r="E5054" s="56">
        <f ca="1">IF(PV[[#This Row],[Business Date]]=Control!$C$6, PV[[#This Row],[Notional Value Local Cur]], -PV[[#This Row],[Notional Value Local Cur]])</f>
        <v>0</v>
      </c>
    </row>
    <row r="5055" spans="1:5" x14ac:dyDescent="0.25">
      <c r="A5055" s="36" t="b">
        <v>0</v>
      </c>
      <c r="B5055" s="56" t="b">
        <v>0</v>
      </c>
      <c r="C5055" s="56" t="b">
        <v>0</v>
      </c>
      <c r="D5055" s="56" t="b">
        <v>0</v>
      </c>
      <c r="E5055" s="56">
        <f ca="1">IF(PV[[#This Row],[Business Date]]=Control!$C$6, PV[[#This Row],[Notional Value Local Cur]], -PV[[#This Row],[Notional Value Local Cur]])</f>
        <v>0</v>
      </c>
    </row>
    <row r="5056" spans="1:5" x14ac:dyDescent="0.25">
      <c r="A5056" s="36" t="b">
        <v>0</v>
      </c>
      <c r="B5056" s="56" t="b">
        <v>0</v>
      </c>
      <c r="C5056" s="56" t="b">
        <v>0</v>
      </c>
      <c r="D5056" s="56" t="b">
        <v>0</v>
      </c>
      <c r="E5056" s="56">
        <f ca="1">IF(PV[[#This Row],[Business Date]]=Control!$C$6, PV[[#This Row],[Notional Value Local Cur]], -PV[[#This Row],[Notional Value Local Cur]])</f>
        <v>0</v>
      </c>
    </row>
    <row r="5057" spans="1:5" x14ac:dyDescent="0.25">
      <c r="A5057" s="36" t="b">
        <v>0</v>
      </c>
      <c r="B5057" s="56" t="b">
        <v>0</v>
      </c>
      <c r="C5057" s="56" t="b">
        <v>0</v>
      </c>
      <c r="D5057" s="56" t="b">
        <v>0</v>
      </c>
      <c r="E5057" s="56">
        <f ca="1">IF(PV[[#This Row],[Business Date]]=Control!$C$6, PV[[#This Row],[Notional Value Local Cur]], -PV[[#This Row],[Notional Value Local Cur]])</f>
        <v>0</v>
      </c>
    </row>
    <row r="5058" spans="1:5" x14ac:dyDescent="0.25">
      <c r="A5058" s="36" t="b">
        <v>0</v>
      </c>
      <c r="B5058" s="56" t="b">
        <v>0</v>
      </c>
      <c r="C5058" s="56" t="b">
        <v>0</v>
      </c>
      <c r="D5058" s="56" t="b">
        <v>0</v>
      </c>
      <c r="E5058" s="56">
        <f ca="1">IF(PV[[#This Row],[Business Date]]=Control!$C$6, PV[[#This Row],[Notional Value Local Cur]], -PV[[#This Row],[Notional Value Local Cur]])</f>
        <v>0</v>
      </c>
    </row>
    <row r="5059" spans="1:5" x14ac:dyDescent="0.25">
      <c r="A5059" s="36" t="b">
        <v>0</v>
      </c>
      <c r="B5059" s="56" t="b">
        <v>0</v>
      </c>
      <c r="C5059" s="56" t="b">
        <v>0</v>
      </c>
      <c r="D5059" s="56" t="b">
        <v>0</v>
      </c>
      <c r="E5059" s="56">
        <f ca="1">IF(PV[[#This Row],[Business Date]]=Control!$C$6, PV[[#This Row],[Notional Value Local Cur]], -PV[[#This Row],[Notional Value Local Cur]])</f>
        <v>0</v>
      </c>
    </row>
    <row r="5060" spans="1:5" x14ac:dyDescent="0.25">
      <c r="A5060" s="36" t="b">
        <v>0</v>
      </c>
      <c r="B5060" s="56" t="b">
        <v>0</v>
      </c>
      <c r="C5060" s="56" t="b">
        <v>0</v>
      </c>
      <c r="D5060" s="56" t="b">
        <v>0</v>
      </c>
      <c r="E5060" s="56">
        <f ca="1">IF(PV[[#This Row],[Business Date]]=Control!$C$6, PV[[#This Row],[Notional Value Local Cur]], -PV[[#This Row],[Notional Value Local Cur]])</f>
        <v>0</v>
      </c>
    </row>
    <row r="5061" spans="1:5" x14ac:dyDescent="0.25">
      <c r="A5061" s="36" t="b">
        <v>0</v>
      </c>
      <c r="B5061" s="56" t="b">
        <v>0</v>
      </c>
      <c r="C5061" s="56" t="b">
        <v>0</v>
      </c>
      <c r="D5061" s="56" t="b">
        <v>0</v>
      </c>
      <c r="E5061" s="56">
        <f ca="1">IF(PV[[#This Row],[Business Date]]=Control!$C$6, PV[[#This Row],[Notional Value Local Cur]], -PV[[#This Row],[Notional Value Local Cur]])</f>
        <v>0</v>
      </c>
    </row>
    <row r="5062" spans="1:5" x14ac:dyDescent="0.25">
      <c r="A5062" s="36" t="b">
        <v>0</v>
      </c>
      <c r="B5062" s="56" t="b">
        <v>0</v>
      </c>
      <c r="C5062" s="56" t="b">
        <v>0</v>
      </c>
      <c r="D5062" s="56" t="b">
        <v>0</v>
      </c>
      <c r="E5062" s="56">
        <f ca="1">IF(PV[[#This Row],[Business Date]]=Control!$C$6, PV[[#This Row],[Notional Value Local Cur]], -PV[[#This Row],[Notional Value Local Cur]])</f>
        <v>0</v>
      </c>
    </row>
    <row r="5063" spans="1:5" x14ac:dyDescent="0.25">
      <c r="A5063" s="36" t="b">
        <v>0</v>
      </c>
      <c r="B5063" s="56" t="b">
        <v>0</v>
      </c>
      <c r="C5063" s="56" t="b">
        <v>0</v>
      </c>
      <c r="D5063" s="56" t="b">
        <v>0</v>
      </c>
      <c r="E5063" s="56">
        <f ca="1">IF(PV[[#This Row],[Business Date]]=Control!$C$6, PV[[#This Row],[Notional Value Local Cur]], -PV[[#This Row],[Notional Value Local Cur]])</f>
        <v>0</v>
      </c>
    </row>
    <row r="5064" spans="1:5" x14ac:dyDescent="0.25">
      <c r="A5064" s="36" t="b">
        <v>0</v>
      </c>
      <c r="B5064" s="56" t="b">
        <v>0</v>
      </c>
      <c r="C5064" s="56" t="b">
        <v>0</v>
      </c>
      <c r="D5064" s="56" t="b">
        <v>0</v>
      </c>
      <c r="E5064" s="56">
        <f ca="1">IF(PV[[#This Row],[Business Date]]=Control!$C$6, PV[[#This Row],[Notional Value Local Cur]], -PV[[#This Row],[Notional Value Local Cur]])</f>
        <v>0</v>
      </c>
    </row>
    <row r="5065" spans="1:5" x14ac:dyDescent="0.25">
      <c r="A5065" s="36" t="b">
        <v>0</v>
      </c>
      <c r="B5065" s="56" t="b">
        <v>0</v>
      </c>
      <c r="C5065" s="56" t="b">
        <v>0</v>
      </c>
      <c r="D5065" s="56" t="b">
        <v>0</v>
      </c>
      <c r="E5065" s="56">
        <f ca="1">IF(PV[[#This Row],[Business Date]]=Control!$C$6, PV[[#This Row],[Notional Value Local Cur]], -PV[[#This Row],[Notional Value Local Cur]])</f>
        <v>0</v>
      </c>
    </row>
    <row r="5066" spans="1:5" x14ac:dyDescent="0.25">
      <c r="A5066" s="36" t="b">
        <v>0</v>
      </c>
      <c r="B5066" s="56" t="b">
        <v>0</v>
      </c>
      <c r="C5066" s="56" t="b">
        <v>0</v>
      </c>
      <c r="D5066" s="56" t="b">
        <v>0</v>
      </c>
      <c r="E5066" s="56">
        <f ca="1">IF(PV[[#This Row],[Business Date]]=Control!$C$6, PV[[#This Row],[Notional Value Local Cur]], -PV[[#This Row],[Notional Value Local Cur]])</f>
        <v>0</v>
      </c>
    </row>
    <row r="5067" spans="1:5" x14ac:dyDescent="0.25">
      <c r="A5067" s="36" t="b">
        <v>0</v>
      </c>
      <c r="B5067" s="56" t="b">
        <v>0</v>
      </c>
      <c r="C5067" s="56" t="b">
        <v>0</v>
      </c>
      <c r="D5067" s="56" t="b">
        <v>0</v>
      </c>
      <c r="E5067" s="56">
        <f ca="1">IF(PV[[#This Row],[Business Date]]=Control!$C$6, PV[[#This Row],[Notional Value Local Cur]], -PV[[#This Row],[Notional Value Local Cur]])</f>
        <v>0</v>
      </c>
    </row>
    <row r="5068" spans="1:5" x14ac:dyDescent="0.25">
      <c r="A5068" s="36" t="b">
        <v>0</v>
      </c>
      <c r="B5068" s="56" t="b">
        <v>0</v>
      </c>
      <c r="C5068" s="56" t="b">
        <v>0</v>
      </c>
      <c r="D5068" s="56" t="b">
        <v>0</v>
      </c>
      <c r="E5068" s="56">
        <f ca="1">IF(PV[[#This Row],[Business Date]]=Control!$C$6, PV[[#This Row],[Notional Value Local Cur]], -PV[[#This Row],[Notional Value Local Cur]])</f>
        <v>0</v>
      </c>
    </row>
    <row r="5069" spans="1:5" x14ac:dyDescent="0.25">
      <c r="A5069" s="36" t="b">
        <v>0</v>
      </c>
      <c r="B5069" s="56" t="b">
        <v>0</v>
      </c>
      <c r="C5069" s="56" t="b">
        <v>0</v>
      </c>
      <c r="D5069" s="56" t="b">
        <v>0</v>
      </c>
      <c r="E5069" s="56">
        <f ca="1">IF(PV[[#This Row],[Business Date]]=Control!$C$6, PV[[#This Row],[Notional Value Local Cur]], -PV[[#This Row],[Notional Value Local Cur]])</f>
        <v>0</v>
      </c>
    </row>
    <row r="5070" spans="1:5" x14ac:dyDescent="0.25">
      <c r="A5070" s="36" t="b">
        <v>0</v>
      </c>
      <c r="B5070" s="56" t="b">
        <v>0</v>
      </c>
      <c r="C5070" s="56" t="b">
        <v>0</v>
      </c>
      <c r="D5070" s="56" t="b">
        <v>0</v>
      </c>
      <c r="E5070" s="56">
        <f ca="1">IF(PV[[#This Row],[Business Date]]=Control!$C$6, PV[[#This Row],[Notional Value Local Cur]], -PV[[#This Row],[Notional Value Local Cur]])</f>
        <v>0</v>
      </c>
    </row>
    <row r="5071" spans="1:5" x14ac:dyDescent="0.25">
      <c r="A5071" s="36" t="b">
        <v>0</v>
      </c>
      <c r="B5071" s="56" t="b">
        <v>0</v>
      </c>
      <c r="C5071" s="56" t="b">
        <v>0</v>
      </c>
      <c r="D5071" s="56" t="b">
        <v>0</v>
      </c>
      <c r="E5071" s="56">
        <f ca="1">IF(PV[[#This Row],[Business Date]]=Control!$C$6, PV[[#This Row],[Notional Value Local Cur]], -PV[[#This Row],[Notional Value Local Cur]])</f>
        <v>0</v>
      </c>
    </row>
    <row r="5072" spans="1:5" x14ac:dyDescent="0.25">
      <c r="A5072" s="36" t="b">
        <v>0</v>
      </c>
      <c r="B5072" s="56" t="b">
        <v>0</v>
      </c>
      <c r="C5072" s="56" t="b">
        <v>0</v>
      </c>
      <c r="D5072" s="56" t="b">
        <v>0</v>
      </c>
      <c r="E5072" s="56">
        <f ca="1">IF(PV[[#This Row],[Business Date]]=Control!$C$6, PV[[#This Row],[Notional Value Local Cur]], -PV[[#This Row],[Notional Value Local Cur]])</f>
        <v>0</v>
      </c>
    </row>
    <row r="5073" spans="1:5" x14ac:dyDescent="0.25">
      <c r="A5073" s="36" t="b">
        <v>0</v>
      </c>
      <c r="B5073" s="56" t="b">
        <v>0</v>
      </c>
      <c r="C5073" s="56" t="b">
        <v>0</v>
      </c>
      <c r="D5073" s="56" t="b">
        <v>0</v>
      </c>
      <c r="E5073" s="56">
        <f ca="1">IF(PV[[#This Row],[Business Date]]=Control!$C$6, PV[[#This Row],[Notional Value Local Cur]], -PV[[#This Row],[Notional Value Local Cur]])</f>
        <v>0</v>
      </c>
    </row>
    <row r="5074" spans="1:5" x14ac:dyDescent="0.25">
      <c r="A5074" s="36" t="b">
        <v>0</v>
      </c>
      <c r="B5074" s="56" t="b">
        <v>0</v>
      </c>
      <c r="C5074" s="56" t="b">
        <v>0</v>
      </c>
      <c r="D5074" s="56" t="b">
        <v>0</v>
      </c>
      <c r="E5074" s="56">
        <f ca="1">IF(PV[[#This Row],[Business Date]]=Control!$C$6, PV[[#This Row],[Notional Value Local Cur]], -PV[[#This Row],[Notional Value Local Cur]])</f>
        <v>0</v>
      </c>
    </row>
    <row r="5075" spans="1:5" x14ac:dyDescent="0.25">
      <c r="A5075" s="36" t="b">
        <v>0</v>
      </c>
      <c r="B5075" s="56" t="b">
        <v>0</v>
      </c>
      <c r="C5075" s="56" t="b">
        <v>0</v>
      </c>
      <c r="D5075" s="56" t="b">
        <v>0</v>
      </c>
      <c r="E5075" s="56">
        <f ca="1">IF(PV[[#This Row],[Business Date]]=Control!$C$6, PV[[#This Row],[Notional Value Local Cur]], -PV[[#This Row],[Notional Value Local Cur]])</f>
        <v>0</v>
      </c>
    </row>
    <row r="5076" spans="1:5" x14ac:dyDescent="0.25">
      <c r="A5076" s="36" t="b">
        <v>0</v>
      </c>
      <c r="B5076" s="56" t="b">
        <v>0</v>
      </c>
      <c r="C5076" s="56" t="b">
        <v>0</v>
      </c>
      <c r="D5076" s="56" t="b">
        <v>0</v>
      </c>
      <c r="E5076" s="56">
        <f ca="1">IF(PV[[#This Row],[Business Date]]=Control!$C$6, PV[[#This Row],[Notional Value Local Cur]], -PV[[#This Row],[Notional Value Local Cur]])</f>
        <v>0</v>
      </c>
    </row>
    <row r="5077" spans="1:5" x14ac:dyDescent="0.25">
      <c r="A5077" s="36" t="b">
        <v>0</v>
      </c>
      <c r="B5077" s="56" t="b">
        <v>0</v>
      </c>
      <c r="C5077" s="56" t="b">
        <v>0</v>
      </c>
      <c r="D5077" s="56" t="b">
        <v>0</v>
      </c>
      <c r="E5077" s="56">
        <f ca="1">IF(PV[[#This Row],[Business Date]]=Control!$C$6, PV[[#This Row],[Notional Value Local Cur]], -PV[[#This Row],[Notional Value Local Cur]])</f>
        <v>0</v>
      </c>
    </row>
    <row r="5078" spans="1:5" x14ac:dyDescent="0.25">
      <c r="A5078" s="36" t="b">
        <v>0</v>
      </c>
      <c r="B5078" s="56" t="b">
        <v>0</v>
      </c>
      <c r="C5078" s="56" t="b">
        <v>0</v>
      </c>
      <c r="D5078" s="56" t="b">
        <v>0</v>
      </c>
      <c r="E5078" s="56">
        <f ca="1">IF(PV[[#This Row],[Business Date]]=Control!$C$6, PV[[#This Row],[Notional Value Local Cur]], -PV[[#This Row],[Notional Value Local Cur]])</f>
        <v>0</v>
      </c>
    </row>
    <row r="5079" spans="1:5" x14ac:dyDescent="0.25">
      <c r="A5079" s="36" t="b">
        <v>0</v>
      </c>
      <c r="B5079" s="56" t="b">
        <v>0</v>
      </c>
      <c r="C5079" s="56" t="b">
        <v>0</v>
      </c>
      <c r="D5079" s="56" t="b">
        <v>0</v>
      </c>
      <c r="E5079" s="56">
        <f ca="1">IF(PV[[#This Row],[Business Date]]=Control!$C$6, PV[[#This Row],[Notional Value Local Cur]], -PV[[#This Row],[Notional Value Local Cur]])</f>
        <v>0</v>
      </c>
    </row>
    <row r="5080" spans="1:5" x14ac:dyDescent="0.25">
      <c r="A5080" s="36" t="b">
        <v>0</v>
      </c>
      <c r="B5080" s="56" t="b">
        <v>0</v>
      </c>
      <c r="C5080" s="56" t="b">
        <v>0</v>
      </c>
      <c r="D5080" s="56" t="b">
        <v>0</v>
      </c>
      <c r="E5080" s="56">
        <f ca="1">IF(PV[[#This Row],[Business Date]]=Control!$C$6, PV[[#This Row],[Notional Value Local Cur]], -PV[[#This Row],[Notional Value Local Cur]])</f>
        <v>0</v>
      </c>
    </row>
    <row r="5081" spans="1:5" x14ac:dyDescent="0.25">
      <c r="A5081" s="36" t="b">
        <v>0</v>
      </c>
      <c r="B5081" s="56" t="b">
        <v>0</v>
      </c>
      <c r="C5081" s="56" t="b">
        <v>0</v>
      </c>
      <c r="D5081" s="56" t="b">
        <v>0</v>
      </c>
      <c r="E5081" s="56">
        <f ca="1">IF(PV[[#This Row],[Business Date]]=Control!$C$6, PV[[#This Row],[Notional Value Local Cur]], -PV[[#This Row],[Notional Value Local Cur]])</f>
        <v>0</v>
      </c>
    </row>
    <row r="5082" spans="1:5" x14ac:dyDescent="0.25">
      <c r="A5082" s="36" t="b">
        <v>0</v>
      </c>
      <c r="B5082" s="56" t="b">
        <v>0</v>
      </c>
      <c r="C5082" s="56" t="b">
        <v>0</v>
      </c>
      <c r="D5082" s="56" t="b">
        <v>0</v>
      </c>
      <c r="E5082" s="56">
        <f ca="1">IF(PV[[#This Row],[Business Date]]=Control!$C$6, PV[[#This Row],[Notional Value Local Cur]], -PV[[#This Row],[Notional Value Local Cur]])</f>
        <v>0</v>
      </c>
    </row>
    <row r="5083" spans="1:5" x14ac:dyDescent="0.25">
      <c r="A5083" s="36" t="b">
        <v>0</v>
      </c>
      <c r="B5083" s="56" t="b">
        <v>0</v>
      </c>
      <c r="C5083" s="56" t="b">
        <v>0</v>
      </c>
      <c r="D5083" s="56" t="b">
        <v>0</v>
      </c>
      <c r="E5083" s="56">
        <f ca="1">IF(PV[[#This Row],[Business Date]]=Control!$C$6, PV[[#This Row],[Notional Value Local Cur]], -PV[[#This Row],[Notional Value Local Cur]])</f>
        <v>0</v>
      </c>
    </row>
    <row r="5084" spans="1:5" x14ac:dyDescent="0.25">
      <c r="A5084" s="36" t="b">
        <v>0</v>
      </c>
      <c r="B5084" s="56" t="b">
        <v>0</v>
      </c>
      <c r="C5084" s="56" t="b">
        <v>0</v>
      </c>
      <c r="D5084" s="56" t="b">
        <v>0</v>
      </c>
      <c r="E5084" s="56">
        <f ca="1">IF(PV[[#This Row],[Business Date]]=Control!$C$6, PV[[#This Row],[Notional Value Local Cur]], -PV[[#This Row],[Notional Value Local Cur]])</f>
        <v>0</v>
      </c>
    </row>
    <row r="5085" spans="1:5" x14ac:dyDescent="0.25">
      <c r="A5085" s="36" t="b">
        <v>0</v>
      </c>
      <c r="B5085" s="56" t="b">
        <v>0</v>
      </c>
      <c r="C5085" s="56" t="b">
        <v>0</v>
      </c>
      <c r="D5085" s="56" t="b">
        <v>0</v>
      </c>
      <c r="E5085" s="56">
        <f ca="1">IF(PV[[#This Row],[Business Date]]=Control!$C$6, PV[[#This Row],[Notional Value Local Cur]], -PV[[#This Row],[Notional Value Local Cur]])</f>
        <v>0</v>
      </c>
    </row>
    <row r="5086" spans="1:5" x14ac:dyDescent="0.25">
      <c r="A5086" s="36" t="b">
        <v>0</v>
      </c>
      <c r="B5086" s="56" t="b">
        <v>0</v>
      </c>
      <c r="C5086" s="56" t="b">
        <v>0</v>
      </c>
      <c r="D5086" s="56" t="b">
        <v>0</v>
      </c>
      <c r="E5086" s="56">
        <f ca="1">IF(PV[[#This Row],[Business Date]]=Control!$C$6, PV[[#This Row],[Notional Value Local Cur]], -PV[[#This Row],[Notional Value Local Cur]])</f>
        <v>0</v>
      </c>
    </row>
    <row r="5087" spans="1:5" x14ac:dyDescent="0.25">
      <c r="A5087" s="36" t="b">
        <v>0</v>
      </c>
      <c r="B5087" s="56" t="b">
        <v>0</v>
      </c>
      <c r="C5087" s="56" t="b">
        <v>0</v>
      </c>
      <c r="D5087" s="56" t="b">
        <v>0</v>
      </c>
      <c r="E5087" s="56">
        <f ca="1">IF(PV[[#This Row],[Business Date]]=Control!$C$6, PV[[#This Row],[Notional Value Local Cur]], -PV[[#This Row],[Notional Value Local Cur]])</f>
        <v>0</v>
      </c>
    </row>
    <row r="5088" spans="1:5" x14ac:dyDescent="0.25">
      <c r="A5088" s="36" t="b">
        <v>0</v>
      </c>
      <c r="B5088" s="56" t="b">
        <v>0</v>
      </c>
      <c r="C5088" s="56" t="b">
        <v>0</v>
      </c>
      <c r="D5088" s="56" t="b">
        <v>0</v>
      </c>
      <c r="E5088" s="56">
        <f ca="1">IF(PV[[#This Row],[Business Date]]=Control!$C$6, PV[[#This Row],[Notional Value Local Cur]], -PV[[#This Row],[Notional Value Local Cur]])</f>
        <v>0</v>
      </c>
    </row>
    <row r="5089" spans="1:5" x14ac:dyDescent="0.25">
      <c r="A5089" s="36" t="b">
        <v>0</v>
      </c>
      <c r="B5089" s="56" t="b">
        <v>0</v>
      </c>
      <c r="C5089" s="56" t="b">
        <v>0</v>
      </c>
      <c r="D5089" s="56" t="b">
        <v>0</v>
      </c>
      <c r="E5089" s="56">
        <f ca="1">IF(PV[[#This Row],[Business Date]]=Control!$C$6, PV[[#This Row],[Notional Value Local Cur]], -PV[[#This Row],[Notional Value Local Cur]])</f>
        <v>0</v>
      </c>
    </row>
    <row r="5090" spans="1:5" x14ac:dyDescent="0.25">
      <c r="A5090" s="36" t="b">
        <v>0</v>
      </c>
      <c r="B5090" s="56" t="b">
        <v>0</v>
      </c>
      <c r="C5090" s="56" t="b">
        <v>0</v>
      </c>
      <c r="D5090" s="56" t="b">
        <v>0</v>
      </c>
      <c r="E5090" s="56">
        <f ca="1">IF(PV[[#This Row],[Business Date]]=Control!$C$6, PV[[#This Row],[Notional Value Local Cur]], -PV[[#This Row],[Notional Value Local Cur]])</f>
        <v>0</v>
      </c>
    </row>
    <row r="5091" spans="1:5" x14ac:dyDescent="0.25">
      <c r="A5091" s="36" t="b">
        <v>0</v>
      </c>
      <c r="B5091" s="56" t="b">
        <v>0</v>
      </c>
      <c r="C5091" s="56" t="b">
        <v>0</v>
      </c>
      <c r="D5091" s="56" t="b">
        <v>0</v>
      </c>
      <c r="E5091" s="56">
        <f ca="1">IF(PV[[#This Row],[Business Date]]=Control!$C$6, PV[[#This Row],[Notional Value Local Cur]], -PV[[#This Row],[Notional Value Local Cur]])</f>
        <v>0</v>
      </c>
    </row>
    <row r="5092" spans="1:5" x14ac:dyDescent="0.25">
      <c r="A5092" s="36" t="b">
        <v>0</v>
      </c>
      <c r="B5092" s="56" t="b">
        <v>0</v>
      </c>
      <c r="C5092" s="56" t="b">
        <v>0</v>
      </c>
      <c r="D5092" s="56" t="b">
        <v>0</v>
      </c>
      <c r="E5092" s="56">
        <f ca="1">IF(PV[[#This Row],[Business Date]]=Control!$C$6, PV[[#This Row],[Notional Value Local Cur]], -PV[[#This Row],[Notional Value Local Cur]])</f>
        <v>0</v>
      </c>
    </row>
    <row r="5093" spans="1:5" x14ac:dyDescent="0.25">
      <c r="A5093" s="36" t="b">
        <v>0</v>
      </c>
      <c r="B5093" s="56" t="b">
        <v>0</v>
      </c>
      <c r="C5093" s="56" t="b">
        <v>0</v>
      </c>
      <c r="D5093" s="56" t="b">
        <v>0</v>
      </c>
      <c r="E5093" s="56">
        <f ca="1">IF(PV[[#This Row],[Business Date]]=Control!$C$6, PV[[#This Row],[Notional Value Local Cur]], -PV[[#This Row],[Notional Value Local Cur]])</f>
        <v>0</v>
      </c>
    </row>
    <row r="5094" spans="1:5" x14ac:dyDescent="0.25">
      <c r="A5094" s="36" t="b">
        <v>0</v>
      </c>
      <c r="B5094" s="56" t="b">
        <v>0</v>
      </c>
      <c r="C5094" s="56" t="b">
        <v>0</v>
      </c>
      <c r="D5094" s="56" t="b">
        <v>0</v>
      </c>
      <c r="E5094" s="56">
        <f ca="1">IF(PV[[#This Row],[Business Date]]=Control!$C$6, PV[[#This Row],[Notional Value Local Cur]], -PV[[#This Row],[Notional Value Local Cur]])</f>
        <v>0</v>
      </c>
    </row>
    <row r="5095" spans="1:5" x14ac:dyDescent="0.25">
      <c r="A5095" s="36" t="b">
        <v>0</v>
      </c>
      <c r="B5095" s="56" t="b">
        <v>0</v>
      </c>
      <c r="C5095" s="56" t="b">
        <v>0</v>
      </c>
      <c r="D5095" s="56" t="b">
        <v>0</v>
      </c>
      <c r="E5095" s="56">
        <f ca="1">IF(PV[[#This Row],[Business Date]]=Control!$C$6, PV[[#This Row],[Notional Value Local Cur]], -PV[[#This Row],[Notional Value Local Cur]])</f>
        <v>0</v>
      </c>
    </row>
    <row r="5096" spans="1:5" x14ac:dyDescent="0.25">
      <c r="A5096" s="36" t="b">
        <v>0</v>
      </c>
      <c r="B5096" s="56" t="b">
        <v>0</v>
      </c>
      <c r="C5096" s="56" t="b">
        <v>0</v>
      </c>
      <c r="D5096" s="56" t="b">
        <v>0</v>
      </c>
      <c r="E5096" s="56">
        <f ca="1">IF(PV[[#This Row],[Business Date]]=Control!$C$6, PV[[#This Row],[Notional Value Local Cur]], -PV[[#This Row],[Notional Value Local Cur]])</f>
        <v>0</v>
      </c>
    </row>
    <row r="5097" spans="1:5" x14ac:dyDescent="0.25">
      <c r="A5097" s="36" t="b">
        <v>0</v>
      </c>
      <c r="B5097" s="56" t="b">
        <v>0</v>
      </c>
      <c r="C5097" s="56" t="b">
        <v>0</v>
      </c>
      <c r="D5097" s="56" t="b">
        <v>0</v>
      </c>
      <c r="E5097" s="56">
        <f ca="1">IF(PV[[#This Row],[Business Date]]=Control!$C$6, PV[[#This Row],[Notional Value Local Cur]], -PV[[#This Row],[Notional Value Local Cur]])</f>
        <v>0</v>
      </c>
    </row>
    <row r="5098" spans="1:5" x14ac:dyDescent="0.25">
      <c r="A5098" s="36" t="b">
        <v>0</v>
      </c>
      <c r="B5098" s="56" t="b">
        <v>0</v>
      </c>
      <c r="C5098" s="56" t="b">
        <v>0</v>
      </c>
      <c r="D5098" s="56" t="b">
        <v>0</v>
      </c>
      <c r="E5098" s="56">
        <f ca="1">IF(PV[[#This Row],[Business Date]]=Control!$C$6, PV[[#This Row],[Notional Value Local Cur]], -PV[[#This Row],[Notional Value Local Cur]])</f>
        <v>0</v>
      </c>
    </row>
    <row r="5099" spans="1:5" x14ac:dyDescent="0.25">
      <c r="A5099" s="36" t="b">
        <v>0</v>
      </c>
      <c r="B5099" s="56" t="b">
        <v>0</v>
      </c>
      <c r="C5099" s="56" t="b">
        <v>0</v>
      </c>
      <c r="D5099" s="56" t="b">
        <v>0</v>
      </c>
      <c r="E5099" s="56">
        <f ca="1">IF(PV[[#This Row],[Business Date]]=Control!$C$6, PV[[#This Row],[Notional Value Local Cur]], -PV[[#This Row],[Notional Value Local Cur]])</f>
        <v>0</v>
      </c>
    </row>
    <row r="5100" spans="1:5" x14ac:dyDescent="0.25">
      <c r="A5100" s="36" t="b">
        <v>0</v>
      </c>
      <c r="B5100" s="56" t="b">
        <v>0</v>
      </c>
      <c r="C5100" s="56" t="b">
        <v>0</v>
      </c>
      <c r="D5100" s="56" t="b">
        <v>0</v>
      </c>
      <c r="E5100" s="56">
        <f ca="1">IF(PV[[#This Row],[Business Date]]=Control!$C$6, PV[[#This Row],[Notional Value Local Cur]], -PV[[#This Row],[Notional Value Local Cur]])</f>
        <v>0</v>
      </c>
    </row>
    <row r="5101" spans="1:5" x14ac:dyDescent="0.25">
      <c r="A5101" s="36" t="b">
        <v>0</v>
      </c>
      <c r="B5101" s="56" t="b">
        <v>0</v>
      </c>
      <c r="C5101" s="56" t="b">
        <v>0</v>
      </c>
      <c r="D5101" s="56" t="b">
        <v>0</v>
      </c>
      <c r="E5101" s="56">
        <f ca="1">IF(PV[[#This Row],[Business Date]]=Control!$C$6, PV[[#This Row],[Notional Value Local Cur]], -PV[[#This Row],[Notional Value Local Cur]])</f>
        <v>0</v>
      </c>
    </row>
    <row r="5102" spans="1:5" x14ac:dyDescent="0.25">
      <c r="A5102" s="36" t="b">
        <v>0</v>
      </c>
      <c r="B5102" s="56" t="b">
        <v>0</v>
      </c>
      <c r="C5102" s="56" t="b">
        <v>0</v>
      </c>
      <c r="D5102" s="56" t="b">
        <v>0</v>
      </c>
      <c r="E5102" s="56">
        <f ca="1">IF(PV[[#This Row],[Business Date]]=Control!$C$6, PV[[#This Row],[Notional Value Local Cur]], -PV[[#This Row],[Notional Value Local Cur]])</f>
        <v>0</v>
      </c>
    </row>
    <row r="5103" spans="1:5" x14ac:dyDescent="0.25">
      <c r="A5103" s="36" t="b">
        <v>0</v>
      </c>
      <c r="B5103" s="56" t="b">
        <v>0</v>
      </c>
      <c r="C5103" s="56" t="b">
        <v>0</v>
      </c>
      <c r="D5103" s="56" t="b">
        <v>0</v>
      </c>
      <c r="E5103" s="56">
        <f ca="1">IF(PV[[#This Row],[Business Date]]=Control!$C$6, PV[[#This Row],[Notional Value Local Cur]], -PV[[#This Row],[Notional Value Local Cur]])</f>
        <v>0</v>
      </c>
    </row>
    <row r="5104" spans="1:5" x14ac:dyDescent="0.25">
      <c r="A5104" s="36" t="b">
        <v>0</v>
      </c>
      <c r="B5104" s="56" t="b">
        <v>0</v>
      </c>
      <c r="C5104" s="56" t="b">
        <v>0</v>
      </c>
      <c r="D5104" s="56" t="b">
        <v>0</v>
      </c>
      <c r="E5104" s="56">
        <f ca="1">IF(PV[[#This Row],[Business Date]]=Control!$C$6, PV[[#This Row],[Notional Value Local Cur]], -PV[[#This Row],[Notional Value Local Cur]])</f>
        <v>0</v>
      </c>
    </row>
    <row r="5105" spans="1:5" x14ac:dyDescent="0.25">
      <c r="A5105" s="36" t="b">
        <v>0</v>
      </c>
      <c r="B5105" s="56" t="b">
        <v>0</v>
      </c>
      <c r="C5105" s="56" t="b">
        <v>0</v>
      </c>
      <c r="D5105" s="56" t="b">
        <v>0</v>
      </c>
      <c r="E5105" s="56">
        <f ca="1">IF(PV[[#This Row],[Business Date]]=Control!$C$6, PV[[#This Row],[Notional Value Local Cur]], -PV[[#This Row],[Notional Value Local Cur]])</f>
        <v>0</v>
      </c>
    </row>
    <row r="5106" spans="1:5" x14ac:dyDescent="0.25">
      <c r="A5106" s="36" t="b">
        <v>0</v>
      </c>
      <c r="B5106" s="56" t="b">
        <v>0</v>
      </c>
      <c r="C5106" s="56" t="b">
        <v>0</v>
      </c>
      <c r="D5106" s="56" t="b">
        <v>0</v>
      </c>
      <c r="E5106" s="56">
        <f ca="1">IF(PV[[#This Row],[Business Date]]=Control!$C$6, PV[[#This Row],[Notional Value Local Cur]], -PV[[#This Row],[Notional Value Local Cur]])</f>
        <v>0</v>
      </c>
    </row>
    <row r="5107" spans="1:5" x14ac:dyDescent="0.25">
      <c r="A5107" s="36" t="b">
        <v>0</v>
      </c>
      <c r="B5107" s="56" t="b">
        <v>0</v>
      </c>
      <c r="C5107" s="56" t="b">
        <v>0</v>
      </c>
      <c r="D5107" s="56" t="b">
        <v>0</v>
      </c>
      <c r="E5107" s="56">
        <f ca="1">IF(PV[[#This Row],[Business Date]]=Control!$C$6, PV[[#This Row],[Notional Value Local Cur]], -PV[[#This Row],[Notional Value Local Cur]])</f>
        <v>0</v>
      </c>
    </row>
    <row r="5108" spans="1:5" x14ac:dyDescent="0.25">
      <c r="A5108" s="36" t="b">
        <v>0</v>
      </c>
      <c r="B5108" s="56" t="b">
        <v>0</v>
      </c>
      <c r="C5108" s="56" t="b">
        <v>0</v>
      </c>
      <c r="D5108" s="56" t="b">
        <v>0</v>
      </c>
      <c r="E5108" s="56">
        <f ca="1">IF(PV[[#This Row],[Business Date]]=Control!$C$6, PV[[#This Row],[Notional Value Local Cur]], -PV[[#This Row],[Notional Value Local Cur]])</f>
        <v>0</v>
      </c>
    </row>
    <row r="5109" spans="1:5" x14ac:dyDescent="0.25">
      <c r="A5109" s="36" t="b">
        <v>0</v>
      </c>
      <c r="B5109" s="56" t="b">
        <v>0</v>
      </c>
      <c r="C5109" s="56" t="b">
        <v>0</v>
      </c>
      <c r="D5109" s="56" t="b">
        <v>0</v>
      </c>
      <c r="E5109" s="56">
        <f ca="1">IF(PV[[#This Row],[Business Date]]=Control!$C$6, PV[[#This Row],[Notional Value Local Cur]], -PV[[#This Row],[Notional Value Local Cur]])</f>
        <v>0</v>
      </c>
    </row>
    <row r="5110" spans="1:5" x14ac:dyDescent="0.25">
      <c r="A5110" s="36" t="b">
        <v>0</v>
      </c>
      <c r="B5110" s="56" t="b">
        <v>0</v>
      </c>
      <c r="C5110" s="56" t="b">
        <v>0</v>
      </c>
      <c r="D5110" s="56" t="b">
        <v>0</v>
      </c>
      <c r="E5110" s="56">
        <f ca="1">IF(PV[[#This Row],[Business Date]]=Control!$C$6, PV[[#This Row],[Notional Value Local Cur]], -PV[[#This Row],[Notional Value Local Cur]])</f>
        <v>0</v>
      </c>
    </row>
    <row r="5111" spans="1:5" x14ac:dyDescent="0.25">
      <c r="A5111" s="36" t="b">
        <v>0</v>
      </c>
      <c r="B5111" s="56" t="b">
        <v>0</v>
      </c>
      <c r="C5111" s="56" t="b">
        <v>0</v>
      </c>
      <c r="D5111" s="56" t="b">
        <v>0</v>
      </c>
      <c r="E5111" s="56">
        <f ca="1">IF(PV[[#This Row],[Business Date]]=Control!$C$6, PV[[#This Row],[Notional Value Local Cur]], -PV[[#This Row],[Notional Value Local Cur]])</f>
        <v>0</v>
      </c>
    </row>
    <row r="5112" spans="1:5" x14ac:dyDescent="0.25">
      <c r="A5112" s="36" t="b">
        <v>0</v>
      </c>
      <c r="B5112" s="56" t="b">
        <v>0</v>
      </c>
      <c r="C5112" s="56" t="b">
        <v>0</v>
      </c>
      <c r="D5112" s="56" t="b">
        <v>0</v>
      </c>
      <c r="E5112" s="56">
        <f ca="1">IF(PV[[#This Row],[Business Date]]=Control!$C$6, PV[[#This Row],[Notional Value Local Cur]], -PV[[#This Row],[Notional Value Local Cur]])</f>
        <v>0</v>
      </c>
    </row>
    <row r="5113" spans="1:5" x14ac:dyDescent="0.25">
      <c r="A5113" s="36" t="b">
        <v>0</v>
      </c>
      <c r="B5113" s="56" t="b">
        <v>0</v>
      </c>
      <c r="C5113" s="56" t="b">
        <v>0</v>
      </c>
      <c r="D5113" s="56" t="b">
        <v>0</v>
      </c>
      <c r="E5113" s="56">
        <f ca="1">IF(PV[[#This Row],[Business Date]]=Control!$C$6, PV[[#This Row],[Notional Value Local Cur]], -PV[[#This Row],[Notional Value Local Cur]])</f>
        <v>0</v>
      </c>
    </row>
    <row r="5114" spans="1:5" x14ac:dyDescent="0.25">
      <c r="A5114" s="36" t="b">
        <v>0</v>
      </c>
      <c r="B5114" s="56" t="b">
        <v>0</v>
      </c>
      <c r="C5114" s="56" t="b">
        <v>0</v>
      </c>
      <c r="D5114" s="56" t="b">
        <v>0</v>
      </c>
      <c r="E5114" s="56">
        <f ca="1">IF(PV[[#This Row],[Business Date]]=Control!$C$6, PV[[#This Row],[Notional Value Local Cur]], -PV[[#This Row],[Notional Value Local Cur]])</f>
        <v>0</v>
      </c>
    </row>
    <row r="5115" spans="1:5" x14ac:dyDescent="0.25">
      <c r="A5115" s="36" t="b">
        <v>0</v>
      </c>
      <c r="B5115" s="56" t="b">
        <v>0</v>
      </c>
      <c r="C5115" s="56" t="b">
        <v>0</v>
      </c>
      <c r="D5115" s="56" t="b">
        <v>0</v>
      </c>
      <c r="E5115" s="56">
        <f ca="1">IF(PV[[#This Row],[Business Date]]=Control!$C$6, PV[[#This Row],[Notional Value Local Cur]], -PV[[#This Row],[Notional Value Local Cur]])</f>
        <v>0</v>
      </c>
    </row>
    <row r="5116" spans="1:5" x14ac:dyDescent="0.25">
      <c r="A5116" s="36" t="b">
        <v>0</v>
      </c>
      <c r="B5116" s="56" t="b">
        <v>0</v>
      </c>
      <c r="C5116" s="56" t="b">
        <v>0</v>
      </c>
      <c r="D5116" s="56" t="b">
        <v>0</v>
      </c>
      <c r="E5116" s="56">
        <f ca="1">IF(PV[[#This Row],[Business Date]]=Control!$C$6, PV[[#This Row],[Notional Value Local Cur]], -PV[[#This Row],[Notional Value Local Cur]])</f>
        <v>0</v>
      </c>
    </row>
    <row r="5117" spans="1:5" x14ac:dyDescent="0.25">
      <c r="A5117" s="36" t="b">
        <v>0</v>
      </c>
      <c r="B5117" s="56" t="b">
        <v>0</v>
      </c>
      <c r="C5117" s="56" t="b">
        <v>0</v>
      </c>
      <c r="D5117" s="56" t="b">
        <v>0</v>
      </c>
      <c r="E5117" s="56">
        <f ca="1">IF(PV[[#This Row],[Business Date]]=Control!$C$6, PV[[#This Row],[Notional Value Local Cur]], -PV[[#This Row],[Notional Value Local Cur]])</f>
        <v>0</v>
      </c>
    </row>
    <row r="5118" spans="1:5" x14ac:dyDescent="0.25">
      <c r="A5118" s="36" t="b">
        <v>0</v>
      </c>
      <c r="B5118" s="56" t="b">
        <v>0</v>
      </c>
      <c r="C5118" s="56" t="b">
        <v>0</v>
      </c>
      <c r="D5118" s="56" t="b">
        <v>0</v>
      </c>
      <c r="E5118" s="56">
        <f ca="1">IF(PV[[#This Row],[Business Date]]=Control!$C$6, PV[[#This Row],[Notional Value Local Cur]], -PV[[#This Row],[Notional Value Local Cur]])</f>
        <v>0</v>
      </c>
    </row>
    <row r="5119" spans="1:5" x14ac:dyDescent="0.25">
      <c r="A5119" s="36" t="b">
        <v>0</v>
      </c>
      <c r="B5119" s="56" t="b">
        <v>0</v>
      </c>
      <c r="C5119" s="56" t="b">
        <v>0</v>
      </c>
      <c r="D5119" s="56" t="b">
        <v>0</v>
      </c>
      <c r="E5119" s="56">
        <f ca="1">IF(PV[[#This Row],[Business Date]]=Control!$C$6, PV[[#This Row],[Notional Value Local Cur]], -PV[[#This Row],[Notional Value Local Cur]])</f>
        <v>0</v>
      </c>
    </row>
    <row r="5120" spans="1:5" x14ac:dyDescent="0.25">
      <c r="A5120" s="36" t="b">
        <v>0</v>
      </c>
      <c r="B5120" s="56" t="b">
        <v>0</v>
      </c>
      <c r="C5120" s="56" t="b">
        <v>0</v>
      </c>
      <c r="D5120" s="56" t="b">
        <v>0</v>
      </c>
      <c r="E5120" s="56">
        <f ca="1">IF(PV[[#This Row],[Business Date]]=Control!$C$6, PV[[#This Row],[Notional Value Local Cur]], -PV[[#This Row],[Notional Value Local Cur]])</f>
        <v>0</v>
      </c>
    </row>
    <row r="5121" spans="1:5" x14ac:dyDescent="0.25">
      <c r="A5121" s="36" t="b">
        <v>0</v>
      </c>
      <c r="B5121" s="56" t="b">
        <v>0</v>
      </c>
      <c r="C5121" s="56" t="b">
        <v>0</v>
      </c>
      <c r="D5121" s="56" t="b">
        <v>0</v>
      </c>
      <c r="E5121" s="56">
        <f ca="1">IF(PV[[#This Row],[Business Date]]=Control!$C$6, PV[[#This Row],[Notional Value Local Cur]], -PV[[#This Row],[Notional Value Local Cur]])</f>
        <v>0</v>
      </c>
    </row>
    <row r="5122" spans="1:5" x14ac:dyDescent="0.25">
      <c r="A5122" s="36" t="b">
        <v>0</v>
      </c>
      <c r="B5122" s="56" t="b">
        <v>0</v>
      </c>
      <c r="C5122" s="56" t="b">
        <v>0</v>
      </c>
      <c r="D5122" s="56" t="b">
        <v>0</v>
      </c>
      <c r="E5122" s="56">
        <f ca="1">IF(PV[[#This Row],[Business Date]]=Control!$C$6, PV[[#This Row],[Notional Value Local Cur]], -PV[[#This Row],[Notional Value Local Cur]])</f>
        <v>0</v>
      </c>
    </row>
    <row r="5123" spans="1:5" x14ac:dyDescent="0.25">
      <c r="A5123" s="36" t="b">
        <v>0</v>
      </c>
      <c r="B5123" s="56" t="b">
        <v>0</v>
      </c>
      <c r="C5123" s="56" t="b">
        <v>0</v>
      </c>
      <c r="D5123" s="56" t="b">
        <v>0</v>
      </c>
      <c r="E5123" s="56">
        <f ca="1">IF(PV[[#This Row],[Business Date]]=Control!$C$6, PV[[#This Row],[Notional Value Local Cur]], -PV[[#This Row],[Notional Value Local Cur]])</f>
        <v>0</v>
      </c>
    </row>
    <row r="5124" spans="1:5" x14ac:dyDescent="0.25">
      <c r="A5124" s="36" t="b">
        <v>0</v>
      </c>
      <c r="B5124" s="56" t="b">
        <v>0</v>
      </c>
      <c r="C5124" s="56" t="b">
        <v>0</v>
      </c>
      <c r="D5124" s="56" t="b">
        <v>0</v>
      </c>
      <c r="E5124" s="56">
        <f ca="1">IF(PV[[#This Row],[Business Date]]=Control!$C$6, PV[[#This Row],[Notional Value Local Cur]], -PV[[#This Row],[Notional Value Local Cur]])</f>
        <v>0</v>
      </c>
    </row>
    <row r="5125" spans="1:5" x14ac:dyDescent="0.25">
      <c r="A5125" s="36" t="b">
        <v>0</v>
      </c>
      <c r="B5125" s="56" t="b">
        <v>0</v>
      </c>
      <c r="C5125" s="56" t="b">
        <v>0</v>
      </c>
      <c r="D5125" s="56" t="b">
        <v>0</v>
      </c>
      <c r="E5125" s="56">
        <f ca="1">IF(PV[[#This Row],[Business Date]]=Control!$C$6, PV[[#This Row],[Notional Value Local Cur]], -PV[[#This Row],[Notional Value Local Cur]])</f>
        <v>0</v>
      </c>
    </row>
    <row r="5126" spans="1:5" x14ac:dyDescent="0.25">
      <c r="A5126" s="36" t="b">
        <v>0</v>
      </c>
      <c r="B5126" s="56" t="b">
        <v>0</v>
      </c>
      <c r="C5126" s="56" t="b">
        <v>0</v>
      </c>
      <c r="D5126" s="56" t="b">
        <v>0</v>
      </c>
      <c r="E5126" s="56">
        <f ca="1">IF(PV[[#This Row],[Business Date]]=Control!$C$6, PV[[#This Row],[Notional Value Local Cur]], -PV[[#This Row],[Notional Value Local Cur]])</f>
        <v>0</v>
      </c>
    </row>
    <row r="5127" spans="1:5" x14ac:dyDescent="0.25">
      <c r="A5127" s="36" t="b">
        <v>0</v>
      </c>
      <c r="B5127" s="56" t="b">
        <v>0</v>
      </c>
      <c r="C5127" s="56" t="b">
        <v>0</v>
      </c>
      <c r="D5127" s="56" t="b">
        <v>0</v>
      </c>
      <c r="E5127" s="56">
        <f ca="1">IF(PV[[#This Row],[Business Date]]=Control!$C$6, PV[[#This Row],[Notional Value Local Cur]], -PV[[#This Row],[Notional Value Local Cur]])</f>
        <v>0</v>
      </c>
    </row>
    <row r="5128" spans="1:5" x14ac:dyDescent="0.25">
      <c r="A5128" s="36" t="b">
        <v>0</v>
      </c>
      <c r="B5128" s="56" t="b">
        <v>0</v>
      </c>
      <c r="C5128" s="56" t="b">
        <v>0</v>
      </c>
      <c r="D5128" s="56" t="b">
        <v>0</v>
      </c>
      <c r="E5128" s="56">
        <f ca="1">IF(PV[[#This Row],[Business Date]]=Control!$C$6, PV[[#This Row],[Notional Value Local Cur]], -PV[[#This Row],[Notional Value Local Cur]])</f>
        <v>0</v>
      </c>
    </row>
    <row r="5129" spans="1:5" x14ac:dyDescent="0.25">
      <c r="A5129" s="36" t="b">
        <v>0</v>
      </c>
      <c r="B5129" s="56" t="b">
        <v>0</v>
      </c>
      <c r="C5129" s="56" t="b">
        <v>0</v>
      </c>
      <c r="D5129" s="56" t="b">
        <v>0</v>
      </c>
      <c r="E5129" s="56">
        <f ca="1">IF(PV[[#This Row],[Business Date]]=Control!$C$6, PV[[#This Row],[Notional Value Local Cur]], -PV[[#This Row],[Notional Value Local Cur]])</f>
        <v>0</v>
      </c>
    </row>
    <row r="5130" spans="1:5" x14ac:dyDescent="0.25">
      <c r="A5130" s="36" t="b">
        <v>0</v>
      </c>
      <c r="B5130" s="56" t="b">
        <v>0</v>
      </c>
      <c r="C5130" s="56" t="b">
        <v>0</v>
      </c>
      <c r="D5130" s="56" t="b">
        <v>0</v>
      </c>
      <c r="E5130" s="56">
        <f ca="1">IF(PV[[#This Row],[Business Date]]=Control!$C$6, PV[[#This Row],[Notional Value Local Cur]], -PV[[#This Row],[Notional Value Local Cur]])</f>
        <v>0</v>
      </c>
    </row>
    <row r="5131" spans="1:5" x14ac:dyDescent="0.25">
      <c r="A5131" s="36" t="b">
        <v>0</v>
      </c>
      <c r="B5131" s="56" t="b">
        <v>0</v>
      </c>
      <c r="C5131" s="56" t="b">
        <v>0</v>
      </c>
      <c r="D5131" s="56" t="b">
        <v>0</v>
      </c>
      <c r="E5131" s="56">
        <f ca="1">IF(PV[[#This Row],[Business Date]]=Control!$C$6, PV[[#This Row],[Notional Value Local Cur]], -PV[[#This Row],[Notional Value Local Cur]])</f>
        <v>0</v>
      </c>
    </row>
    <row r="5132" spans="1:5" x14ac:dyDescent="0.25">
      <c r="A5132" s="36" t="b">
        <v>0</v>
      </c>
      <c r="B5132" s="56" t="b">
        <v>0</v>
      </c>
      <c r="C5132" s="56" t="b">
        <v>0</v>
      </c>
      <c r="D5132" s="56" t="b">
        <v>0</v>
      </c>
      <c r="E5132" s="56">
        <f ca="1">IF(PV[[#This Row],[Business Date]]=Control!$C$6, PV[[#This Row],[Notional Value Local Cur]], -PV[[#This Row],[Notional Value Local Cur]])</f>
        <v>0</v>
      </c>
    </row>
    <row r="5133" spans="1:5" x14ac:dyDescent="0.25">
      <c r="A5133" s="36" t="b">
        <v>0</v>
      </c>
      <c r="B5133" s="56" t="b">
        <v>0</v>
      </c>
      <c r="C5133" s="56" t="b">
        <v>0</v>
      </c>
      <c r="D5133" s="56" t="b">
        <v>0</v>
      </c>
      <c r="E5133" s="56">
        <f ca="1">IF(PV[[#This Row],[Business Date]]=Control!$C$6, PV[[#This Row],[Notional Value Local Cur]], -PV[[#This Row],[Notional Value Local Cur]])</f>
        <v>0</v>
      </c>
    </row>
    <row r="5134" spans="1:5" x14ac:dyDescent="0.25">
      <c r="A5134" s="36" t="b">
        <v>0</v>
      </c>
      <c r="B5134" s="56" t="b">
        <v>0</v>
      </c>
      <c r="C5134" s="56" t="b">
        <v>0</v>
      </c>
      <c r="D5134" s="56" t="b">
        <v>0</v>
      </c>
      <c r="E5134" s="56">
        <f ca="1">IF(PV[[#This Row],[Business Date]]=Control!$C$6, PV[[#This Row],[Notional Value Local Cur]], -PV[[#This Row],[Notional Value Local Cur]])</f>
        <v>0</v>
      </c>
    </row>
    <row r="5135" spans="1:5" x14ac:dyDescent="0.25">
      <c r="A5135" s="36" t="b">
        <v>0</v>
      </c>
      <c r="B5135" s="56" t="b">
        <v>0</v>
      </c>
      <c r="C5135" s="56" t="b">
        <v>0</v>
      </c>
      <c r="D5135" s="56" t="b">
        <v>0</v>
      </c>
      <c r="E5135" s="56">
        <f ca="1">IF(PV[[#This Row],[Business Date]]=Control!$C$6, PV[[#This Row],[Notional Value Local Cur]], -PV[[#This Row],[Notional Value Local Cur]])</f>
        <v>0</v>
      </c>
    </row>
    <row r="5136" spans="1:5" x14ac:dyDescent="0.25">
      <c r="A5136" s="36" t="b">
        <v>0</v>
      </c>
      <c r="B5136" s="56" t="b">
        <v>0</v>
      </c>
      <c r="C5136" s="56" t="b">
        <v>0</v>
      </c>
      <c r="D5136" s="56" t="b">
        <v>0</v>
      </c>
      <c r="E5136" s="56">
        <f ca="1">IF(PV[[#This Row],[Business Date]]=Control!$C$6, PV[[#This Row],[Notional Value Local Cur]], -PV[[#This Row],[Notional Value Local Cur]])</f>
        <v>0</v>
      </c>
    </row>
    <row r="5137" spans="1:5" x14ac:dyDescent="0.25">
      <c r="A5137" s="36" t="b">
        <v>0</v>
      </c>
      <c r="B5137" s="56" t="b">
        <v>0</v>
      </c>
      <c r="C5137" s="56" t="b">
        <v>0</v>
      </c>
      <c r="D5137" s="56" t="b">
        <v>0</v>
      </c>
      <c r="E5137" s="56">
        <f ca="1">IF(PV[[#This Row],[Business Date]]=Control!$C$6, PV[[#This Row],[Notional Value Local Cur]], -PV[[#This Row],[Notional Value Local Cur]])</f>
        <v>0</v>
      </c>
    </row>
    <row r="5138" spans="1:5" x14ac:dyDescent="0.25">
      <c r="A5138" s="36" t="b">
        <v>0</v>
      </c>
      <c r="B5138" s="56" t="b">
        <v>0</v>
      </c>
      <c r="C5138" s="56" t="b">
        <v>0</v>
      </c>
      <c r="D5138" s="56" t="b">
        <v>0</v>
      </c>
      <c r="E5138" s="56">
        <f ca="1">IF(PV[[#This Row],[Business Date]]=Control!$C$6, PV[[#This Row],[Notional Value Local Cur]], -PV[[#This Row],[Notional Value Local Cur]])</f>
        <v>0</v>
      </c>
    </row>
    <row r="5139" spans="1:5" x14ac:dyDescent="0.25">
      <c r="A5139" s="36" t="b">
        <v>0</v>
      </c>
      <c r="B5139" s="56" t="b">
        <v>0</v>
      </c>
      <c r="C5139" s="56" t="b">
        <v>0</v>
      </c>
      <c r="D5139" s="56" t="b">
        <v>0</v>
      </c>
      <c r="E5139" s="56">
        <f ca="1">IF(PV[[#This Row],[Business Date]]=Control!$C$6, PV[[#This Row],[Notional Value Local Cur]], -PV[[#This Row],[Notional Value Local Cur]])</f>
        <v>0</v>
      </c>
    </row>
    <row r="5140" spans="1:5" x14ac:dyDescent="0.25">
      <c r="A5140" s="36" t="b">
        <v>0</v>
      </c>
      <c r="B5140" s="56" t="b">
        <v>0</v>
      </c>
      <c r="C5140" s="56" t="b">
        <v>0</v>
      </c>
      <c r="D5140" s="56" t="b">
        <v>0</v>
      </c>
      <c r="E5140" s="56">
        <f ca="1">IF(PV[[#This Row],[Business Date]]=Control!$C$6, PV[[#This Row],[Notional Value Local Cur]], -PV[[#This Row],[Notional Value Local Cur]])</f>
        <v>0</v>
      </c>
    </row>
    <row r="5141" spans="1:5" x14ac:dyDescent="0.25">
      <c r="A5141" s="36" t="b">
        <v>0</v>
      </c>
      <c r="B5141" s="56" t="b">
        <v>0</v>
      </c>
      <c r="C5141" s="56" t="b">
        <v>0</v>
      </c>
      <c r="D5141" s="56" t="b">
        <v>0</v>
      </c>
      <c r="E5141" s="56">
        <f ca="1">IF(PV[[#This Row],[Business Date]]=Control!$C$6, PV[[#This Row],[Notional Value Local Cur]], -PV[[#This Row],[Notional Value Local Cur]])</f>
        <v>0</v>
      </c>
    </row>
    <row r="5142" spans="1:5" x14ac:dyDescent="0.25">
      <c r="A5142" s="36" t="b">
        <v>0</v>
      </c>
      <c r="B5142" s="56" t="b">
        <v>0</v>
      </c>
      <c r="C5142" s="56" t="b">
        <v>0</v>
      </c>
      <c r="D5142" s="56" t="b">
        <v>0</v>
      </c>
      <c r="E5142" s="56">
        <f ca="1">IF(PV[[#This Row],[Business Date]]=Control!$C$6, PV[[#This Row],[Notional Value Local Cur]], -PV[[#This Row],[Notional Value Local Cur]])</f>
        <v>0</v>
      </c>
    </row>
    <row r="5143" spans="1:5" x14ac:dyDescent="0.25">
      <c r="A5143" s="36" t="b">
        <v>0</v>
      </c>
      <c r="B5143" s="56" t="b">
        <v>0</v>
      </c>
      <c r="C5143" s="56" t="b">
        <v>0</v>
      </c>
      <c r="D5143" s="56" t="b">
        <v>0</v>
      </c>
      <c r="E5143" s="56">
        <f ca="1">IF(PV[[#This Row],[Business Date]]=Control!$C$6, PV[[#This Row],[Notional Value Local Cur]], -PV[[#This Row],[Notional Value Local Cur]])</f>
        <v>0</v>
      </c>
    </row>
    <row r="5144" spans="1:5" x14ac:dyDescent="0.25">
      <c r="A5144" s="36" t="b">
        <v>0</v>
      </c>
      <c r="B5144" s="56" t="b">
        <v>0</v>
      </c>
      <c r="C5144" s="56" t="b">
        <v>0</v>
      </c>
      <c r="D5144" s="56" t="b">
        <v>0</v>
      </c>
      <c r="E5144" s="56">
        <f ca="1">IF(PV[[#This Row],[Business Date]]=Control!$C$6, PV[[#This Row],[Notional Value Local Cur]], -PV[[#This Row],[Notional Value Local Cur]])</f>
        <v>0</v>
      </c>
    </row>
    <row r="5145" spans="1:5" x14ac:dyDescent="0.25">
      <c r="A5145" s="36" t="b">
        <v>0</v>
      </c>
      <c r="B5145" s="56" t="b">
        <v>0</v>
      </c>
      <c r="C5145" s="56" t="b">
        <v>0</v>
      </c>
      <c r="D5145" s="56" t="b">
        <v>0</v>
      </c>
      <c r="E5145" s="56">
        <f ca="1">IF(PV[[#This Row],[Business Date]]=Control!$C$6, PV[[#This Row],[Notional Value Local Cur]], -PV[[#This Row],[Notional Value Local Cur]])</f>
        <v>0</v>
      </c>
    </row>
    <row r="5146" spans="1:5" x14ac:dyDescent="0.25">
      <c r="A5146" s="36" t="b">
        <v>0</v>
      </c>
      <c r="B5146" s="56" t="b">
        <v>0</v>
      </c>
      <c r="C5146" s="56" t="b">
        <v>0</v>
      </c>
      <c r="D5146" s="56" t="b">
        <v>0</v>
      </c>
      <c r="E5146" s="56">
        <f ca="1">IF(PV[[#This Row],[Business Date]]=Control!$C$6, PV[[#This Row],[Notional Value Local Cur]], -PV[[#This Row],[Notional Value Local Cur]])</f>
        <v>0</v>
      </c>
    </row>
    <row r="5147" spans="1:5" x14ac:dyDescent="0.25">
      <c r="A5147" s="36" t="b">
        <v>0</v>
      </c>
      <c r="B5147" s="56" t="b">
        <v>0</v>
      </c>
      <c r="C5147" s="56" t="b">
        <v>0</v>
      </c>
      <c r="D5147" s="56" t="b">
        <v>0</v>
      </c>
      <c r="E5147" s="56">
        <f ca="1">IF(PV[[#This Row],[Business Date]]=Control!$C$6, PV[[#This Row],[Notional Value Local Cur]], -PV[[#This Row],[Notional Value Local Cur]])</f>
        <v>0</v>
      </c>
    </row>
    <row r="5148" spans="1:5" x14ac:dyDescent="0.25">
      <c r="A5148" s="36" t="b">
        <v>0</v>
      </c>
      <c r="B5148" s="56" t="b">
        <v>0</v>
      </c>
      <c r="C5148" s="56" t="b">
        <v>0</v>
      </c>
      <c r="D5148" s="56" t="b">
        <v>0</v>
      </c>
      <c r="E5148" s="56">
        <f ca="1">IF(PV[[#This Row],[Business Date]]=Control!$C$6, PV[[#This Row],[Notional Value Local Cur]], -PV[[#This Row],[Notional Value Local Cur]])</f>
        <v>0</v>
      </c>
    </row>
    <row r="5149" spans="1:5" x14ac:dyDescent="0.25">
      <c r="A5149" s="36" t="b">
        <v>0</v>
      </c>
      <c r="B5149" s="56" t="b">
        <v>0</v>
      </c>
      <c r="C5149" s="56" t="b">
        <v>0</v>
      </c>
      <c r="D5149" s="56" t="b">
        <v>0</v>
      </c>
      <c r="E5149" s="56">
        <f ca="1">IF(PV[[#This Row],[Business Date]]=Control!$C$6, PV[[#This Row],[Notional Value Local Cur]], -PV[[#This Row],[Notional Value Local Cur]])</f>
        <v>0</v>
      </c>
    </row>
    <row r="5150" spans="1:5" x14ac:dyDescent="0.25">
      <c r="A5150" s="36" t="b">
        <v>0</v>
      </c>
      <c r="B5150" s="56" t="b">
        <v>0</v>
      </c>
      <c r="C5150" s="56" t="b">
        <v>0</v>
      </c>
      <c r="D5150" s="56" t="b">
        <v>0</v>
      </c>
      <c r="E5150" s="56">
        <f ca="1">IF(PV[[#This Row],[Business Date]]=Control!$C$6, PV[[#This Row],[Notional Value Local Cur]], -PV[[#This Row],[Notional Value Local Cur]])</f>
        <v>0</v>
      </c>
    </row>
    <row r="5151" spans="1:5" x14ac:dyDescent="0.25">
      <c r="A5151" s="36" t="b">
        <v>0</v>
      </c>
      <c r="B5151" s="56" t="b">
        <v>0</v>
      </c>
      <c r="C5151" s="56" t="b">
        <v>0</v>
      </c>
      <c r="D5151" s="56" t="b">
        <v>0</v>
      </c>
      <c r="E5151" s="56">
        <f ca="1">IF(PV[[#This Row],[Business Date]]=Control!$C$6, PV[[#This Row],[Notional Value Local Cur]], -PV[[#This Row],[Notional Value Local Cur]])</f>
        <v>0</v>
      </c>
    </row>
    <row r="5152" spans="1:5" x14ac:dyDescent="0.25">
      <c r="A5152" s="36" t="b">
        <v>0</v>
      </c>
      <c r="B5152" s="56" t="b">
        <v>0</v>
      </c>
      <c r="C5152" s="56" t="b">
        <v>0</v>
      </c>
      <c r="D5152" s="56" t="b">
        <v>0</v>
      </c>
      <c r="E5152" s="56">
        <f ca="1">IF(PV[[#This Row],[Business Date]]=Control!$C$6, PV[[#This Row],[Notional Value Local Cur]], -PV[[#This Row],[Notional Value Local Cur]])</f>
        <v>0</v>
      </c>
    </row>
    <row r="5153" spans="1:5" x14ac:dyDescent="0.25">
      <c r="A5153" s="36" t="b">
        <v>0</v>
      </c>
      <c r="B5153" s="56" t="b">
        <v>0</v>
      </c>
      <c r="C5153" s="56" t="b">
        <v>0</v>
      </c>
      <c r="D5153" s="56" t="b">
        <v>0</v>
      </c>
      <c r="E5153" s="56">
        <f ca="1">IF(PV[[#This Row],[Business Date]]=Control!$C$6, PV[[#This Row],[Notional Value Local Cur]], -PV[[#This Row],[Notional Value Local Cur]])</f>
        <v>0</v>
      </c>
    </row>
    <row r="5154" spans="1:5" x14ac:dyDescent="0.25">
      <c r="A5154" s="36" t="b">
        <v>0</v>
      </c>
      <c r="B5154" s="56" t="b">
        <v>0</v>
      </c>
      <c r="C5154" s="56" t="b">
        <v>0</v>
      </c>
      <c r="D5154" s="56" t="b">
        <v>0</v>
      </c>
      <c r="E5154" s="56">
        <f ca="1">IF(PV[[#This Row],[Business Date]]=Control!$C$6, PV[[#This Row],[Notional Value Local Cur]], -PV[[#This Row],[Notional Value Local Cur]])</f>
        <v>0</v>
      </c>
    </row>
    <row r="5155" spans="1:5" x14ac:dyDescent="0.25">
      <c r="A5155" s="36" t="b">
        <v>0</v>
      </c>
      <c r="B5155" s="56" t="b">
        <v>0</v>
      </c>
      <c r="C5155" s="56" t="b">
        <v>0</v>
      </c>
      <c r="D5155" s="56" t="b">
        <v>0</v>
      </c>
      <c r="E5155" s="56">
        <f ca="1">IF(PV[[#This Row],[Business Date]]=Control!$C$6, PV[[#This Row],[Notional Value Local Cur]], -PV[[#This Row],[Notional Value Local Cur]])</f>
        <v>0</v>
      </c>
    </row>
    <row r="5156" spans="1:5" x14ac:dyDescent="0.25">
      <c r="A5156" s="36" t="b">
        <v>0</v>
      </c>
      <c r="B5156" s="56" t="b">
        <v>0</v>
      </c>
      <c r="C5156" s="56" t="b">
        <v>0</v>
      </c>
      <c r="D5156" s="56" t="b">
        <v>0</v>
      </c>
      <c r="E5156" s="56">
        <f ca="1">IF(PV[[#This Row],[Business Date]]=Control!$C$6, PV[[#This Row],[Notional Value Local Cur]], -PV[[#This Row],[Notional Value Local Cur]])</f>
        <v>0</v>
      </c>
    </row>
    <row r="5157" spans="1:5" x14ac:dyDescent="0.25">
      <c r="A5157" s="36" t="b">
        <v>0</v>
      </c>
      <c r="B5157" s="56" t="b">
        <v>0</v>
      </c>
      <c r="C5157" s="56" t="b">
        <v>0</v>
      </c>
      <c r="D5157" s="56" t="b">
        <v>0</v>
      </c>
      <c r="E5157" s="56">
        <f ca="1">IF(PV[[#This Row],[Business Date]]=Control!$C$6, PV[[#This Row],[Notional Value Local Cur]], -PV[[#This Row],[Notional Value Local Cur]])</f>
        <v>0</v>
      </c>
    </row>
    <row r="5158" spans="1:5" x14ac:dyDescent="0.25">
      <c r="A5158" s="36" t="b">
        <v>0</v>
      </c>
      <c r="B5158" s="56" t="b">
        <v>0</v>
      </c>
      <c r="C5158" s="56" t="b">
        <v>0</v>
      </c>
      <c r="D5158" s="56" t="b">
        <v>0</v>
      </c>
      <c r="E5158" s="56">
        <f ca="1">IF(PV[[#This Row],[Business Date]]=Control!$C$6, PV[[#This Row],[Notional Value Local Cur]], -PV[[#This Row],[Notional Value Local Cur]])</f>
        <v>0</v>
      </c>
    </row>
    <row r="5159" spans="1:5" x14ac:dyDescent="0.25">
      <c r="A5159" s="36" t="b">
        <v>0</v>
      </c>
      <c r="B5159" s="56" t="b">
        <v>0</v>
      </c>
      <c r="C5159" s="56" t="b">
        <v>0</v>
      </c>
      <c r="D5159" s="56" t="b">
        <v>0</v>
      </c>
      <c r="E5159" s="56">
        <f ca="1">IF(PV[[#This Row],[Business Date]]=Control!$C$6, PV[[#This Row],[Notional Value Local Cur]], -PV[[#This Row],[Notional Value Local Cur]])</f>
        <v>0</v>
      </c>
    </row>
    <row r="5160" spans="1:5" x14ac:dyDescent="0.25">
      <c r="A5160" s="36" t="b">
        <v>0</v>
      </c>
      <c r="B5160" s="56" t="b">
        <v>0</v>
      </c>
      <c r="C5160" s="56" t="b">
        <v>0</v>
      </c>
      <c r="D5160" s="56" t="b">
        <v>0</v>
      </c>
      <c r="E5160" s="56">
        <f ca="1">IF(PV[[#This Row],[Business Date]]=Control!$C$6, PV[[#This Row],[Notional Value Local Cur]], -PV[[#This Row],[Notional Value Local Cur]])</f>
        <v>0</v>
      </c>
    </row>
    <row r="5161" spans="1:5" x14ac:dyDescent="0.25">
      <c r="A5161" s="36" t="b">
        <v>0</v>
      </c>
      <c r="B5161" s="56" t="b">
        <v>0</v>
      </c>
      <c r="C5161" s="56" t="b">
        <v>0</v>
      </c>
      <c r="D5161" s="56" t="b">
        <v>0</v>
      </c>
      <c r="E5161" s="56">
        <f ca="1">IF(PV[[#This Row],[Business Date]]=Control!$C$6, PV[[#This Row],[Notional Value Local Cur]], -PV[[#This Row],[Notional Value Local Cur]])</f>
        <v>0</v>
      </c>
    </row>
    <row r="5162" spans="1:5" x14ac:dyDescent="0.25">
      <c r="A5162" s="36" t="b">
        <v>0</v>
      </c>
      <c r="B5162" s="56" t="b">
        <v>0</v>
      </c>
      <c r="C5162" s="56" t="b">
        <v>0</v>
      </c>
      <c r="D5162" s="56" t="b">
        <v>0</v>
      </c>
      <c r="E5162" s="56">
        <f ca="1">IF(PV[[#This Row],[Business Date]]=Control!$C$6, PV[[#This Row],[Notional Value Local Cur]], -PV[[#This Row],[Notional Value Local Cur]])</f>
        <v>0</v>
      </c>
    </row>
    <row r="5163" spans="1:5" x14ac:dyDescent="0.25">
      <c r="A5163" s="36" t="b">
        <v>0</v>
      </c>
      <c r="B5163" s="56" t="b">
        <v>0</v>
      </c>
      <c r="C5163" s="56" t="b">
        <v>0</v>
      </c>
      <c r="D5163" s="56" t="b">
        <v>0</v>
      </c>
      <c r="E5163" s="56">
        <f ca="1">IF(PV[[#This Row],[Business Date]]=Control!$C$6, PV[[#This Row],[Notional Value Local Cur]], -PV[[#This Row],[Notional Value Local Cur]])</f>
        <v>0</v>
      </c>
    </row>
    <row r="5164" spans="1:5" x14ac:dyDescent="0.25">
      <c r="A5164" s="36" t="b">
        <v>0</v>
      </c>
      <c r="B5164" s="56" t="b">
        <v>0</v>
      </c>
      <c r="C5164" s="56" t="b">
        <v>0</v>
      </c>
      <c r="D5164" s="56" t="b">
        <v>0</v>
      </c>
      <c r="E5164" s="56">
        <f ca="1">IF(PV[[#This Row],[Business Date]]=Control!$C$6, PV[[#This Row],[Notional Value Local Cur]], -PV[[#This Row],[Notional Value Local Cur]])</f>
        <v>0</v>
      </c>
    </row>
    <row r="5165" spans="1:5" x14ac:dyDescent="0.25">
      <c r="A5165" s="36" t="b">
        <v>0</v>
      </c>
      <c r="B5165" s="56" t="b">
        <v>0</v>
      </c>
      <c r="C5165" s="56" t="b">
        <v>0</v>
      </c>
      <c r="D5165" s="56" t="b">
        <v>0</v>
      </c>
      <c r="E5165" s="56">
        <f ca="1">IF(PV[[#This Row],[Business Date]]=Control!$C$6, PV[[#This Row],[Notional Value Local Cur]], -PV[[#This Row],[Notional Value Local Cur]])</f>
        <v>0</v>
      </c>
    </row>
    <row r="5166" spans="1:5" x14ac:dyDescent="0.25">
      <c r="A5166" s="36" t="b">
        <v>0</v>
      </c>
      <c r="B5166" s="56" t="b">
        <v>0</v>
      </c>
      <c r="C5166" s="56" t="b">
        <v>0</v>
      </c>
      <c r="D5166" s="56" t="b">
        <v>0</v>
      </c>
      <c r="E5166" s="56">
        <f ca="1">IF(PV[[#This Row],[Business Date]]=Control!$C$6, PV[[#This Row],[Notional Value Local Cur]], -PV[[#This Row],[Notional Value Local Cur]])</f>
        <v>0</v>
      </c>
    </row>
    <row r="5167" spans="1:5" x14ac:dyDescent="0.25">
      <c r="A5167" s="36" t="b">
        <v>0</v>
      </c>
      <c r="B5167" s="56" t="b">
        <v>0</v>
      </c>
      <c r="C5167" s="56" t="b">
        <v>0</v>
      </c>
      <c r="D5167" s="56" t="b">
        <v>0</v>
      </c>
      <c r="E5167" s="56">
        <f ca="1">IF(PV[[#This Row],[Business Date]]=Control!$C$6, PV[[#This Row],[Notional Value Local Cur]], -PV[[#This Row],[Notional Value Local Cur]])</f>
        <v>0</v>
      </c>
    </row>
    <row r="5168" spans="1:5" x14ac:dyDescent="0.25">
      <c r="A5168" s="36" t="b">
        <v>0</v>
      </c>
      <c r="B5168" s="56" t="b">
        <v>0</v>
      </c>
      <c r="C5168" s="56" t="b">
        <v>0</v>
      </c>
      <c r="D5168" s="56" t="b">
        <v>0</v>
      </c>
      <c r="E5168" s="56">
        <f ca="1">IF(PV[[#This Row],[Business Date]]=Control!$C$6, PV[[#This Row],[Notional Value Local Cur]], -PV[[#This Row],[Notional Value Local Cur]])</f>
        <v>0</v>
      </c>
    </row>
    <row r="5169" spans="1:5" x14ac:dyDescent="0.25">
      <c r="A5169" s="36" t="b">
        <v>0</v>
      </c>
      <c r="B5169" s="56" t="b">
        <v>0</v>
      </c>
      <c r="C5169" s="56" t="b">
        <v>0</v>
      </c>
      <c r="D5169" s="56" t="b">
        <v>0</v>
      </c>
      <c r="E5169" s="56">
        <f ca="1">IF(PV[[#This Row],[Business Date]]=Control!$C$6, PV[[#This Row],[Notional Value Local Cur]], -PV[[#This Row],[Notional Value Local Cur]])</f>
        <v>0</v>
      </c>
    </row>
    <row r="5170" spans="1:5" x14ac:dyDescent="0.25">
      <c r="A5170" s="36" t="b">
        <v>0</v>
      </c>
      <c r="B5170" s="56" t="b">
        <v>0</v>
      </c>
      <c r="C5170" s="56" t="b">
        <v>0</v>
      </c>
      <c r="D5170" s="56" t="b">
        <v>0</v>
      </c>
      <c r="E5170" s="56">
        <f ca="1">IF(PV[[#This Row],[Business Date]]=Control!$C$6, PV[[#This Row],[Notional Value Local Cur]], -PV[[#This Row],[Notional Value Local Cur]])</f>
        <v>0</v>
      </c>
    </row>
    <row r="5171" spans="1:5" x14ac:dyDescent="0.25">
      <c r="A5171" s="36" t="b">
        <v>0</v>
      </c>
      <c r="B5171" s="56" t="b">
        <v>0</v>
      </c>
      <c r="C5171" s="56" t="b">
        <v>0</v>
      </c>
      <c r="D5171" s="56" t="b">
        <v>0</v>
      </c>
      <c r="E5171" s="56">
        <f ca="1">IF(PV[[#This Row],[Business Date]]=Control!$C$6, PV[[#This Row],[Notional Value Local Cur]], -PV[[#This Row],[Notional Value Local Cur]])</f>
        <v>0</v>
      </c>
    </row>
    <row r="5172" spans="1:5" x14ac:dyDescent="0.25">
      <c r="A5172" s="36" t="b">
        <v>0</v>
      </c>
      <c r="B5172" s="56" t="b">
        <v>0</v>
      </c>
      <c r="C5172" s="56" t="b">
        <v>0</v>
      </c>
      <c r="D5172" s="56" t="b">
        <v>0</v>
      </c>
      <c r="E5172" s="56">
        <f ca="1">IF(PV[[#This Row],[Business Date]]=Control!$C$6, PV[[#This Row],[Notional Value Local Cur]], -PV[[#This Row],[Notional Value Local Cur]])</f>
        <v>0</v>
      </c>
    </row>
    <row r="5173" spans="1:5" x14ac:dyDescent="0.25">
      <c r="A5173" s="36" t="b">
        <v>0</v>
      </c>
      <c r="B5173" s="56" t="b">
        <v>0</v>
      </c>
      <c r="C5173" s="56" t="b">
        <v>0</v>
      </c>
      <c r="D5173" s="56" t="b">
        <v>0</v>
      </c>
      <c r="E5173" s="56">
        <f ca="1">IF(PV[[#This Row],[Business Date]]=Control!$C$6, PV[[#This Row],[Notional Value Local Cur]], -PV[[#This Row],[Notional Value Local Cur]])</f>
        <v>0</v>
      </c>
    </row>
    <row r="5174" spans="1:5" x14ac:dyDescent="0.25">
      <c r="A5174" s="36" t="b">
        <v>0</v>
      </c>
      <c r="B5174" s="56" t="b">
        <v>0</v>
      </c>
      <c r="C5174" s="56" t="b">
        <v>0</v>
      </c>
      <c r="D5174" s="56" t="b">
        <v>0</v>
      </c>
      <c r="E5174" s="56">
        <f ca="1">IF(PV[[#This Row],[Business Date]]=Control!$C$6, PV[[#This Row],[Notional Value Local Cur]], -PV[[#This Row],[Notional Value Local Cur]])</f>
        <v>0</v>
      </c>
    </row>
    <row r="5175" spans="1:5" x14ac:dyDescent="0.25">
      <c r="A5175" s="36" t="b">
        <v>0</v>
      </c>
      <c r="B5175" s="56" t="b">
        <v>0</v>
      </c>
      <c r="C5175" s="56" t="b">
        <v>0</v>
      </c>
      <c r="D5175" s="56" t="b">
        <v>0</v>
      </c>
      <c r="E5175" s="56">
        <f ca="1">IF(PV[[#This Row],[Business Date]]=Control!$C$6, PV[[#This Row],[Notional Value Local Cur]], -PV[[#This Row],[Notional Value Local Cur]])</f>
        <v>0</v>
      </c>
    </row>
    <row r="5176" spans="1:5" x14ac:dyDescent="0.25">
      <c r="A5176" s="36" t="b">
        <v>0</v>
      </c>
      <c r="B5176" s="56" t="b">
        <v>0</v>
      </c>
      <c r="C5176" s="56" t="b">
        <v>0</v>
      </c>
      <c r="D5176" s="56" t="b">
        <v>0</v>
      </c>
      <c r="E5176" s="56">
        <f ca="1">IF(PV[[#This Row],[Business Date]]=Control!$C$6, PV[[#This Row],[Notional Value Local Cur]], -PV[[#This Row],[Notional Value Local Cur]])</f>
        <v>0</v>
      </c>
    </row>
    <row r="5177" spans="1:5" x14ac:dyDescent="0.25">
      <c r="A5177" s="36" t="b">
        <v>0</v>
      </c>
      <c r="B5177" s="56" t="b">
        <v>0</v>
      </c>
      <c r="C5177" s="56" t="b">
        <v>0</v>
      </c>
      <c r="D5177" s="56" t="b">
        <v>0</v>
      </c>
      <c r="E5177" s="56">
        <f ca="1">IF(PV[[#This Row],[Business Date]]=Control!$C$6, PV[[#This Row],[Notional Value Local Cur]], -PV[[#This Row],[Notional Value Local Cur]])</f>
        <v>0</v>
      </c>
    </row>
    <row r="5178" spans="1:5" x14ac:dyDescent="0.25">
      <c r="A5178" s="36" t="b">
        <v>0</v>
      </c>
      <c r="B5178" s="56" t="b">
        <v>0</v>
      </c>
      <c r="C5178" s="56" t="b">
        <v>0</v>
      </c>
      <c r="D5178" s="56" t="b">
        <v>0</v>
      </c>
      <c r="E5178" s="56">
        <f ca="1">IF(PV[[#This Row],[Business Date]]=Control!$C$6, PV[[#This Row],[Notional Value Local Cur]], -PV[[#This Row],[Notional Value Local Cur]])</f>
        <v>0</v>
      </c>
    </row>
    <row r="5179" spans="1:5" x14ac:dyDescent="0.25">
      <c r="A5179" s="36" t="b">
        <v>0</v>
      </c>
      <c r="B5179" s="56" t="b">
        <v>0</v>
      </c>
      <c r="C5179" s="56" t="b">
        <v>0</v>
      </c>
      <c r="D5179" s="56" t="b">
        <v>0</v>
      </c>
      <c r="E5179" s="56">
        <f ca="1">IF(PV[[#This Row],[Business Date]]=Control!$C$6, PV[[#This Row],[Notional Value Local Cur]], -PV[[#This Row],[Notional Value Local Cur]])</f>
        <v>0</v>
      </c>
    </row>
    <row r="5180" spans="1:5" x14ac:dyDescent="0.25">
      <c r="A5180" s="36" t="b">
        <v>0</v>
      </c>
      <c r="B5180" s="56" t="b">
        <v>0</v>
      </c>
      <c r="C5180" s="56" t="b">
        <v>0</v>
      </c>
      <c r="D5180" s="56" t="b">
        <v>0</v>
      </c>
      <c r="E5180" s="56">
        <f ca="1">IF(PV[[#This Row],[Business Date]]=Control!$C$6, PV[[#This Row],[Notional Value Local Cur]], -PV[[#This Row],[Notional Value Local Cur]])</f>
        <v>0</v>
      </c>
    </row>
    <row r="5181" spans="1:5" x14ac:dyDescent="0.25">
      <c r="A5181" s="36" t="b">
        <v>0</v>
      </c>
      <c r="B5181" s="56" t="b">
        <v>0</v>
      </c>
      <c r="C5181" s="56" t="b">
        <v>0</v>
      </c>
      <c r="D5181" s="56" t="b">
        <v>0</v>
      </c>
      <c r="E5181" s="56">
        <f ca="1">IF(PV[[#This Row],[Business Date]]=Control!$C$6, PV[[#This Row],[Notional Value Local Cur]], -PV[[#This Row],[Notional Value Local Cur]])</f>
        <v>0</v>
      </c>
    </row>
    <row r="5182" spans="1:5" x14ac:dyDescent="0.25">
      <c r="A5182" s="36" t="b">
        <v>0</v>
      </c>
      <c r="B5182" s="56" t="b">
        <v>0</v>
      </c>
      <c r="C5182" s="56" t="b">
        <v>0</v>
      </c>
      <c r="D5182" s="56" t="b">
        <v>0</v>
      </c>
      <c r="E5182" s="56">
        <f ca="1">IF(PV[[#This Row],[Business Date]]=Control!$C$6, PV[[#This Row],[Notional Value Local Cur]], -PV[[#This Row],[Notional Value Local Cur]])</f>
        <v>0</v>
      </c>
    </row>
    <row r="5183" spans="1:5" x14ac:dyDescent="0.25">
      <c r="A5183" s="36" t="b">
        <v>0</v>
      </c>
      <c r="B5183" s="56" t="b">
        <v>0</v>
      </c>
      <c r="C5183" s="56" t="b">
        <v>0</v>
      </c>
      <c r="D5183" s="56" t="b">
        <v>0</v>
      </c>
      <c r="E5183" s="56">
        <f ca="1">IF(PV[[#This Row],[Business Date]]=Control!$C$6, PV[[#This Row],[Notional Value Local Cur]], -PV[[#This Row],[Notional Value Local Cur]])</f>
        <v>0</v>
      </c>
    </row>
    <row r="5184" spans="1:5" x14ac:dyDescent="0.25">
      <c r="A5184" s="36" t="b">
        <v>0</v>
      </c>
      <c r="B5184" s="56" t="b">
        <v>0</v>
      </c>
      <c r="C5184" s="56" t="b">
        <v>0</v>
      </c>
      <c r="D5184" s="56" t="b">
        <v>0</v>
      </c>
      <c r="E5184" s="56">
        <f ca="1">IF(PV[[#This Row],[Business Date]]=Control!$C$6, PV[[#This Row],[Notional Value Local Cur]], -PV[[#This Row],[Notional Value Local Cur]])</f>
        <v>0</v>
      </c>
    </row>
    <row r="5185" spans="1:5" x14ac:dyDescent="0.25">
      <c r="A5185" s="36" t="b">
        <v>0</v>
      </c>
      <c r="B5185" s="56" t="b">
        <v>0</v>
      </c>
      <c r="C5185" s="56" t="b">
        <v>0</v>
      </c>
      <c r="D5185" s="56" t="b">
        <v>0</v>
      </c>
      <c r="E5185" s="56">
        <f ca="1">IF(PV[[#This Row],[Business Date]]=Control!$C$6, PV[[#This Row],[Notional Value Local Cur]], -PV[[#This Row],[Notional Value Local Cur]])</f>
        <v>0</v>
      </c>
    </row>
    <row r="5186" spans="1:5" x14ac:dyDescent="0.25">
      <c r="A5186" s="36" t="b">
        <v>0</v>
      </c>
      <c r="B5186" s="56" t="b">
        <v>0</v>
      </c>
      <c r="C5186" s="56" t="b">
        <v>0</v>
      </c>
      <c r="D5186" s="56" t="b">
        <v>0</v>
      </c>
      <c r="E5186" s="56">
        <f ca="1">IF(PV[[#This Row],[Business Date]]=Control!$C$6, PV[[#This Row],[Notional Value Local Cur]], -PV[[#This Row],[Notional Value Local Cur]])</f>
        <v>0</v>
      </c>
    </row>
    <row r="5187" spans="1:5" x14ac:dyDescent="0.25">
      <c r="A5187" s="36" t="b">
        <v>0</v>
      </c>
      <c r="B5187" s="56" t="b">
        <v>0</v>
      </c>
      <c r="C5187" s="56" t="b">
        <v>0</v>
      </c>
      <c r="D5187" s="56" t="b">
        <v>0</v>
      </c>
      <c r="E5187" s="56">
        <f ca="1">IF(PV[[#This Row],[Business Date]]=Control!$C$6, PV[[#This Row],[Notional Value Local Cur]], -PV[[#This Row],[Notional Value Local Cur]])</f>
        <v>0</v>
      </c>
    </row>
    <row r="5188" spans="1:5" x14ac:dyDescent="0.25">
      <c r="A5188" s="36" t="b">
        <v>0</v>
      </c>
      <c r="B5188" s="56" t="b">
        <v>0</v>
      </c>
      <c r="C5188" s="56" t="b">
        <v>0</v>
      </c>
      <c r="D5188" s="56" t="b">
        <v>0</v>
      </c>
      <c r="E5188" s="56">
        <f ca="1">IF(PV[[#This Row],[Business Date]]=Control!$C$6, PV[[#This Row],[Notional Value Local Cur]], -PV[[#This Row],[Notional Value Local Cur]])</f>
        <v>0</v>
      </c>
    </row>
    <row r="5189" spans="1:5" x14ac:dyDescent="0.25">
      <c r="A5189" s="36" t="b">
        <v>0</v>
      </c>
      <c r="B5189" s="56" t="b">
        <v>0</v>
      </c>
      <c r="C5189" s="56" t="b">
        <v>0</v>
      </c>
      <c r="D5189" s="56" t="b">
        <v>0</v>
      </c>
      <c r="E5189" s="56">
        <f ca="1">IF(PV[[#This Row],[Business Date]]=Control!$C$6, PV[[#This Row],[Notional Value Local Cur]], -PV[[#This Row],[Notional Value Local Cur]])</f>
        <v>0</v>
      </c>
    </row>
    <row r="5190" spans="1:5" x14ac:dyDescent="0.25">
      <c r="A5190" s="36" t="b">
        <v>0</v>
      </c>
      <c r="B5190" s="56" t="b">
        <v>0</v>
      </c>
      <c r="C5190" s="56" t="b">
        <v>0</v>
      </c>
      <c r="D5190" s="56" t="b">
        <v>0</v>
      </c>
      <c r="E5190" s="56">
        <f ca="1">IF(PV[[#This Row],[Business Date]]=Control!$C$6, PV[[#This Row],[Notional Value Local Cur]], -PV[[#This Row],[Notional Value Local Cur]])</f>
        <v>0</v>
      </c>
    </row>
    <row r="5191" spans="1:5" x14ac:dyDescent="0.25">
      <c r="A5191" s="36" t="b">
        <v>0</v>
      </c>
      <c r="B5191" s="56" t="b">
        <v>0</v>
      </c>
      <c r="C5191" s="56" t="b">
        <v>0</v>
      </c>
      <c r="D5191" s="56" t="b">
        <v>0</v>
      </c>
      <c r="E5191" s="56">
        <f ca="1">IF(PV[[#This Row],[Business Date]]=Control!$C$6, PV[[#This Row],[Notional Value Local Cur]], -PV[[#This Row],[Notional Value Local Cur]])</f>
        <v>0</v>
      </c>
    </row>
    <row r="5192" spans="1:5" x14ac:dyDescent="0.25">
      <c r="A5192" s="36" t="b">
        <v>0</v>
      </c>
      <c r="B5192" s="56" t="b">
        <v>0</v>
      </c>
      <c r="C5192" s="56" t="b">
        <v>0</v>
      </c>
      <c r="D5192" s="56" t="b">
        <v>0</v>
      </c>
      <c r="E5192" s="56">
        <f ca="1">IF(PV[[#This Row],[Business Date]]=Control!$C$6, PV[[#This Row],[Notional Value Local Cur]], -PV[[#This Row],[Notional Value Local Cur]])</f>
        <v>0</v>
      </c>
    </row>
    <row r="5193" spans="1:5" x14ac:dyDescent="0.25">
      <c r="A5193" s="36" t="b">
        <v>0</v>
      </c>
      <c r="B5193" s="56" t="b">
        <v>0</v>
      </c>
      <c r="C5193" s="56" t="b">
        <v>0</v>
      </c>
      <c r="D5193" s="56" t="b">
        <v>0</v>
      </c>
      <c r="E5193" s="56">
        <f ca="1">IF(PV[[#This Row],[Business Date]]=Control!$C$6, PV[[#This Row],[Notional Value Local Cur]], -PV[[#This Row],[Notional Value Local Cur]])</f>
        <v>0</v>
      </c>
    </row>
    <row r="5194" spans="1:5" x14ac:dyDescent="0.25">
      <c r="A5194" s="36" t="b">
        <v>0</v>
      </c>
      <c r="B5194" s="56" t="b">
        <v>0</v>
      </c>
      <c r="C5194" s="56" t="b">
        <v>0</v>
      </c>
      <c r="D5194" s="56" t="b">
        <v>0</v>
      </c>
      <c r="E5194" s="56">
        <f ca="1">IF(PV[[#This Row],[Business Date]]=Control!$C$6, PV[[#This Row],[Notional Value Local Cur]], -PV[[#This Row],[Notional Value Local Cur]])</f>
        <v>0</v>
      </c>
    </row>
    <row r="5195" spans="1:5" x14ac:dyDescent="0.25">
      <c r="A5195" s="36" t="b">
        <v>0</v>
      </c>
      <c r="B5195" s="56" t="b">
        <v>0</v>
      </c>
      <c r="C5195" s="56" t="b">
        <v>0</v>
      </c>
      <c r="D5195" s="56" t="b">
        <v>0</v>
      </c>
      <c r="E5195" s="56">
        <f ca="1">IF(PV[[#This Row],[Business Date]]=Control!$C$6, PV[[#This Row],[Notional Value Local Cur]], -PV[[#This Row],[Notional Value Local Cur]])</f>
        <v>0</v>
      </c>
    </row>
    <row r="5196" spans="1:5" x14ac:dyDescent="0.25">
      <c r="A5196" s="36" t="b">
        <v>0</v>
      </c>
      <c r="B5196" s="56" t="b">
        <v>0</v>
      </c>
      <c r="C5196" s="56" t="b">
        <v>0</v>
      </c>
      <c r="D5196" s="56" t="b">
        <v>0</v>
      </c>
      <c r="E5196" s="56">
        <f ca="1">IF(PV[[#This Row],[Business Date]]=Control!$C$6, PV[[#This Row],[Notional Value Local Cur]], -PV[[#This Row],[Notional Value Local Cur]])</f>
        <v>0</v>
      </c>
    </row>
    <row r="5197" spans="1:5" x14ac:dyDescent="0.25">
      <c r="A5197" s="36" t="b">
        <v>0</v>
      </c>
      <c r="B5197" s="56" t="b">
        <v>0</v>
      </c>
      <c r="C5197" s="56" t="b">
        <v>0</v>
      </c>
      <c r="D5197" s="56" t="b">
        <v>0</v>
      </c>
      <c r="E5197" s="56">
        <f ca="1">IF(PV[[#This Row],[Business Date]]=Control!$C$6, PV[[#This Row],[Notional Value Local Cur]], -PV[[#This Row],[Notional Value Local Cur]])</f>
        <v>0</v>
      </c>
    </row>
    <row r="5198" spans="1:5" x14ac:dyDescent="0.25">
      <c r="A5198" s="36" t="b">
        <v>0</v>
      </c>
      <c r="B5198" s="56" t="b">
        <v>0</v>
      </c>
      <c r="C5198" s="56" t="b">
        <v>0</v>
      </c>
      <c r="D5198" s="56" t="b">
        <v>0</v>
      </c>
      <c r="E5198" s="56">
        <f ca="1">IF(PV[[#This Row],[Business Date]]=Control!$C$6, PV[[#This Row],[Notional Value Local Cur]], -PV[[#This Row],[Notional Value Local Cur]])</f>
        <v>0</v>
      </c>
    </row>
    <row r="5199" spans="1:5" x14ac:dyDescent="0.25">
      <c r="A5199" s="36" t="b">
        <v>0</v>
      </c>
      <c r="B5199" s="56" t="b">
        <v>0</v>
      </c>
      <c r="C5199" s="56" t="b">
        <v>0</v>
      </c>
      <c r="D5199" s="56" t="b">
        <v>0</v>
      </c>
      <c r="E5199" s="56">
        <f ca="1">IF(PV[[#This Row],[Business Date]]=Control!$C$6, PV[[#This Row],[Notional Value Local Cur]], -PV[[#This Row],[Notional Value Local Cur]])</f>
        <v>0</v>
      </c>
    </row>
    <row r="5200" spans="1:5" x14ac:dyDescent="0.25">
      <c r="A5200" s="36" t="b">
        <v>0</v>
      </c>
      <c r="B5200" s="56" t="b">
        <v>0</v>
      </c>
      <c r="C5200" s="56" t="b">
        <v>0</v>
      </c>
      <c r="D5200" s="56" t="b">
        <v>0</v>
      </c>
      <c r="E5200" s="56">
        <f ca="1">IF(PV[[#This Row],[Business Date]]=Control!$C$6, PV[[#This Row],[Notional Value Local Cur]], -PV[[#This Row],[Notional Value Local Cur]])</f>
        <v>0</v>
      </c>
    </row>
    <row r="5201" spans="1:5" x14ac:dyDescent="0.25">
      <c r="A5201" s="36" t="b">
        <v>0</v>
      </c>
      <c r="B5201" s="56" t="b">
        <v>0</v>
      </c>
      <c r="C5201" s="56" t="b">
        <v>0</v>
      </c>
      <c r="D5201" s="56" t="b">
        <v>0</v>
      </c>
      <c r="E5201" s="56">
        <f ca="1">IF(PV[[#This Row],[Business Date]]=Control!$C$6, PV[[#This Row],[Notional Value Local Cur]], -PV[[#This Row],[Notional Value Local Cur]])</f>
        <v>0</v>
      </c>
    </row>
    <row r="5202" spans="1:5" x14ac:dyDescent="0.25">
      <c r="A5202" s="36" t="b">
        <v>0</v>
      </c>
      <c r="B5202" s="56" t="b">
        <v>0</v>
      </c>
      <c r="C5202" s="56" t="b">
        <v>0</v>
      </c>
      <c r="D5202" s="56" t="b">
        <v>0</v>
      </c>
      <c r="E5202" s="56">
        <f ca="1">IF(PV[[#This Row],[Business Date]]=Control!$C$6, PV[[#This Row],[Notional Value Local Cur]], -PV[[#This Row],[Notional Value Local Cur]])</f>
        <v>0</v>
      </c>
    </row>
    <row r="5203" spans="1:5" x14ac:dyDescent="0.25">
      <c r="A5203" s="36" t="b">
        <v>0</v>
      </c>
      <c r="B5203" s="56" t="b">
        <v>0</v>
      </c>
      <c r="C5203" s="56" t="b">
        <v>0</v>
      </c>
      <c r="D5203" s="56" t="b">
        <v>0</v>
      </c>
      <c r="E5203" s="56">
        <f ca="1">IF(PV[[#This Row],[Business Date]]=Control!$C$6, PV[[#This Row],[Notional Value Local Cur]], -PV[[#This Row],[Notional Value Local Cur]])</f>
        <v>0</v>
      </c>
    </row>
    <row r="5204" spans="1:5" x14ac:dyDescent="0.25">
      <c r="A5204" s="36" t="b">
        <v>0</v>
      </c>
      <c r="B5204" s="56" t="b">
        <v>0</v>
      </c>
      <c r="C5204" s="56" t="b">
        <v>0</v>
      </c>
      <c r="D5204" s="56" t="b">
        <v>0</v>
      </c>
      <c r="E5204" s="56">
        <f ca="1">IF(PV[[#This Row],[Business Date]]=Control!$C$6, PV[[#This Row],[Notional Value Local Cur]], -PV[[#This Row],[Notional Value Local Cur]])</f>
        <v>0</v>
      </c>
    </row>
    <row r="5205" spans="1:5" x14ac:dyDescent="0.25">
      <c r="A5205" s="36" t="b">
        <v>0</v>
      </c>
      <c r="B5205" s="56" t="b">
        <v>0</v>
      </c>
      <c r="C5205" s="56" t="b">
        <v>0</v>
      </c>
      <c r="D5205" s="56" t="b">
        <v>0</v>
      </c>
      <c r="E5205" s="56">
        <f ca="1">IF(PV[[#This Row],[Business Date]]=Control!$C$6, PV[[#This Row],[Notional Value Local Cur]], -PV[[#This Row],[Notional Value Local Cur]])</f>
        <v>0</v>
      </c>
    </row>
    <row r="5206" spans="1:5" x14ac:dyDescent="0.25">
      <c r="A5206" s="36" t="b">
        <v>0</v>
      </c>
      <c r="B5206" s="56" t="b">
        <v>0</v>
      </c>
      <c r="C5206" s="56" t="b">
        <v>0</v>
      </c>
      <c r="D5206" s="56" t="b">
        <v>0</v>
      </c>
      <c r="E5206" s="56">
        <f ca="1">IF(PV[[#This Row],[Business Date]]=Control!$C$6, PV[[#This Row],[Notional Value Local Cur]], -PV[[#This Row],[Notional Value Local Cur]])</f>
        <v>0</v>
      </c>
    </row>
    <row r="5207" spans="1:5" x14ac:dyDescent="0.25">
      <c r="A5207" s="36" t="b">
        <v>0</v>
      </c>
      <c r="B5207" s="56" t="b">
        <v>0</v>
      </c>
      <c r="C5207" s="56" t="b">
        <v>0</v>
      </c>
      <c r="D5207" s="56" t="b">
        <v>0</v>
      </c>
      <c r="E5207" s="56">
        <f ca="1">IF(PV[[#This Row],[Business Date]]=Control!$C$6, PV[[#This Row],[Notional Value Local Cur]], -PV[[#This Row],[Notional Value Local Cur]])</f>
        <v>0</v>
      </c>
    </row>
    <row r="5208" spans="1:5" x14ac:dyDescent="0.25">
      <c r="A5208" s="36" t="b">
        <v>0</v>
      </c>
      <c r="B5208" s="56" t="b">
        <v>0</v>
      </c>
      <c r="C5208" s="56" t="b">
        <v>0</v>
      </c>
      <c r="D5208" s="56" t="b">
        <v>0</v>
      </c>
      <c r="E5208" s="56">
        <f ca="1">IF(PV[[#This Row],[Business Date]]=Control!$C$6, PV[[#This Row],[Notional Value Local Cur]], -PV[[#This Row],[Notional Value Local Cur]])</f>
        <v>0</v>
      </c>
    </row>
    <row r="5209" spans="1:5" x14ac:dyDescent="0.25">
      <c r="A5209" s="36" t="b">
        <v>0</v>
      </c>
      <c r="B5209" s="56" t="b">
        <v>0</v>
      </c>
      <c r="C5209" s="56" t="b">
        <v>0</v>
      </c>
      <c r="D5209" s="56" t="b">
        <v>0</v>
      </c>
      <c r="E5209" s="56">
        <f ca="1">IF(PV[[#This Row],[Business Date]]=Control!$C$6, PV[[#This Row],[Notional Value Local Cur]], -PV[[#This Row],[Notional Value Local Cur]])</f>
        <v>0</v>
      </c>
    </row>
    <row r="5210" spans="1:5" x14ac:dyDescent="0.25">
      <c r="A5210" s="36" t="b">
        <v>0</v>
      </c>
      <c r="B5210" s="56" t="b">
        <v>0</v>
      </c>
      <c r="C5210" s="56" t="b">
        <v>0</v>
      </c>
      <c r="D5210" s="56" t="b">
        <v>0</v>
      </c>
      <c r="E5210" s="56">
        <f ca="1">IF(PV[[#This Row],[Business Date]]=Control!$C$6, PV[[#This Row],[Notional Value Local Cur]], -PV[[#This Row],[Notional Value Local Cur]])</f>
        <v>0</v>
      </c>
    </row>
    <row r="5211" spans="1:5" x14ac:dyDescent="0.25">
      <c r="A5211" s="36" t="b">
        <v>0</v>
      </c>
      <c r="B5211" s="56" t="b">
        <v>0</v>
      </c>
      <c r="C5211" s="56" t="b">
        <v>0</v>
      </c>
      <c r="D5211" s="56" t="b">
        <v>0</v>
      </c>
      <c r="E5211" s="56">
        <f ca="1">IF(PV[[#This Row],[Business Date]]=Control!$C$6, PV[[#This Row],[Notional Value Local Cur]], -PV[[#This Row],[Notional Value Local Cur]])</f>
        <v>0</v>
      </c>
    </row>
    <row r="5212" spans="1:5" x14ac:dyDescent="0.25">
      <c r="A5212" s="36" t="b">
        <v>0</v>
      </c>
      <c r="B5212" s="56" t="b">
        <v>0</v>
      </c>
      <c r="C5212" s="56" t="b">
        <v>0</v>
      </c>
      <c r="D5212" s="56" t="b">
        <v>0</v>
      </c>
      <c r="E5212" s="56">
        <f ca="1">IF(PV[[#This Row],[Business Date]]=Control!$C$6, PV[[#This Row],[Notional Value Local Cur]], -PV[[#This Row],[Notional Value Local Cur]])</f>
        <v>0</v>
      </c>
    </row>
    <row r="5213" spans="1:5" x14ac:dyDescent="0.25">
      <c r="A5213" s="36" t="b">
        <v>0</v>
      </c>
      <c r="B5213" s="56" t="b">
        <v>0</v>
      </c>
      <c r="C5213" s="56" t="b">
        <v>0</v>
      </c>
      <c r="D5213" s="56" t="b">
        <v>0</v>
      </c>
      <c r="E5213" s="56">
        <f ca="1">IF(PV[[#This Row],[Business Date]]=Control!$C$6, PV[[#This Row],[Notional Value Local Cur]], -PV[[#This Row],[Notional Value Local Cur]])</f>
        <v>0</v>
      </c>
    </row>
    <row r="5214" spans="1:5" x14ac:dyDescent="0.25">
      <c r="A5214" s="36" t="b">
        <v>0</v>
      </c>
      <c r="B5214" s="56" t="b">
        <v>0</v>
      </c>
      <c r="C5214" s="56" t="b">
        <v>0</v>
      </c>
      <c r="D5214" s="56" t="b">
        <v>0</v>
      </c>
      <c r="E5214" s="56">
        <f ca="1">IF(PV[[#This Row],[Business Date]]=Control!$C$6, PV[[#This Row],[Notional Value Local Cur]], -PV[[#This Row],[Notional Value Local Cur]])</f>
        <v>0</v>
      </c>
    </row>
    <row r="5215" spans="1:5" x14ac:dyDescent="0.25">
      <c r="A5215" s="36" t="b">
        <v>0</v>
      </c>
      <c r="B5215" s="56" t="b">
        <v>0</v>
      </c>
      <c r="C5215" s="56" t="b">
        <v>0</v>
      </c>
      <c r="D5215" s="56" t="b">
        <v>0</v>
      </c>
      <c r="E5215" s="56">
        <f ca="1">IF(PV[[#This Row],[Business Date]]=Control!$C$6, PV[[#This Row],[Notional Value Local Cur]], -PV[[#This Row],[Notional Value Local Cur]])</f>
        <v>0</v>
      </c>
    </row>
    <row r="5216" spans="1:5" x14ac:dyDescent="0.25">
      <c r="A5216" s="36" t="b">
        <v>0</v>
      </c>
      <c r="B5216" s="56" t="b">
        <v>0</v>
      </c>
      <c r="C5216" s="56" t="b">
        <v>0</v>
      </c>
      <c r="D5216" s="56" t="b">
        <v>0</v>
      </c>
      <c r="E5216" s="56">
        <f ca="1">IF(PV[[#This Row],[Business Date]]=Control!$C$6, PV[[#This Row],[Notional Value Local Cur]], -PV[[#This Row],[Notional Value Local Cur]])</f>
        <v>0</v>
      </c>
    </row>
    <row r="5217" spans="1:5" x14ac:dyDescent="0.25">
      <c r="A5217" s="36" t="b">
        <v>0</v>
      </c>
      <c r="B5217" s="56" t="b">
        <v>0</v>
      </c>
      <c r="C5217" s="56" t="b">
        <v>0</v>
      </c>
      <c r="D5217" s="56" t="b">
        <v>0</v>
      </c>
      <c r="E5217" s="56">
        <f ca="1">IF(PV[[#This Row],[Business Date]]=Control!$C$6, PV[[#This Row],[Notional Value Local Cur]], -PV[[#This Row],[Notional Value Local Cur]])</f>
        <v>0</v>
      </c>
    </row>
    <row r="5218" spans="1:5" x14ac:dyDescent="0.25">
      <c r="A5218" s="36" t="b">
        <v>0</v>
      </c>
      <c r="B5218" s="56" t="b">
        <v>0</v>
      </c>
      <c r="C5218" s="56" t="b">
        <v>0</v>
      </c>
      <c r="D5218" s="56" t="b">
        <v>0</v>
      </c>
      <c r="E5218" s="56">
        <f ca="1">IF(PV[[#This Row],[Business Date]]=Control!$C$6, PV[[#This Row],[Notional Value Local Cur]], -PV[[#This Row],[Notional Value Local Cur]])</f>
        <v>0</v>
      </c>
    </row>
    <row r="5219" spans="1:5" x14ac:dyDescent="0.25">
      <c r="A5219" s="36" t="b">
        <v>0</v>
      </c>
      <c r="B5219" s="56" t="b">
        <v>0</v>
      </c>
      <c r="C5219" s="56" t="b">
        <v>0</v>
      </c>
      <c r="D5219" s="56" t="b">
        <v>0</v>
      </c>
      <c r="E5219" s="56">
        <f ca="1">IF(PV[[#This Row],[Business Date]]=Control!$C$6, PV[[#This Row],[Notional Value Local Cur]], -PV[[#This Row],[Notional Value Local Cur]])</f>
        <v>0</v>
      </c>
    </row>
    <row r="5220" spans="1:5" x14ac:dyDescent="0.25">
      <c r="A5220" s="36" t="b">
        <v>0</v>
      </c>
      <c r="B5220" s="56" t="b">
        <v>0</v>
      </c>
      <c r="C5220" s="56" t="b">
        <v>0</v>
      </c>
      <c r="D5220" s="56" t="b">
        <v>0</v>
      </c>
      <c r="E5220" s="56">
        <f ca="1">IF(PV[[#This Row],[Business Date]]=Control!$C$6, PV[[#This Row],[Notional Value Local Cur]], -PV[[#This Row],[Notional Value Local Cur]])</f>
        <v>0</v>
      </c>
    </row>
    <row r="5221" spans="1:5" x14ac:dyDescent="0.25">
      <c r="A5221" s="36" t="b">
        <v>0</v>
      </c>
      <c r="B5221" s="56" t="b">
        <v>0</v>
      </c>
      <c r="C5221" s="56" t="b">
        <v>0</v>
      </c>
      <c r="D5221" s="56" t="b">
        <v>0</v>
      </c>
      <c r="E5221" s="56">
        <f ca="1">IF(PV[[#This Row],[Business Date]]=Control!$C$6, PV[[#This Row],[Notional Value Local Cur]], -PV[[#This Row],[Notional Value Local Cur]])</f>
        <v>0</v>
      </c>
    </row>
    <row r="5222" spans="1:5" x14ac:dyDescent="0.25">
      <c r="A5222" s="36" t="b">
        <v>0</v>
      </c>
      <c r="B5222" s="56" t="b">
        <v>0</v>
      </c>
      <c r="C5222" s="56" t="b">
        <v>0</v>
      </c>
      <c r="D5222" s="56" t="b">
        <v>0</v>
      </c>
      <c r="E5222" s="56">
        <f ca="1">IF(PV[[#This Row],[Business Date]]=Control!$C$6, PV[[#This Row],[Notional Value Local Cur]], -PV[[#This Row],[Notional Value Local Cur]])</f>
        <v>0</v>
      </c>
    </row>
    <row r="5223" spans="1:5" x14ac:dyDescent="0.25">
      <c r="A5223" s="36" t="b">
        <v>0</v>
      </c>
      <c r="B5223" s="56" t="b">
        <v>0</v>
      </c>
      <c r="C5223" s="56" t="b">
        <v>0</v>
      </c>
      <c r="D5223" s="56" t="b">
        <v>0</v>
      </c>
      <c r="E5223" s="56">
        <f ca="1">IF(PV[[#This Row],[Business Date]]=Control!$C$6, PV[[#This Row],[Notional Value Local Cur]], -PV[[#This Row],[Notional Value Local Cur]])</f>
        <v>0</v>
      </c>
    </row>
    <row r="5224" spans="1:5" x14ac:dyDescent="0.25">
      <c r="A5224" s="36" t="b">
        <v>0</v>
      </c>
      <c r="B5224" s="56" t="b">
        <v>0</v>
      </c>
      <c r="C5224" s="56" t="b">
        <v>0</v>
      </c>
      <c r="D5224" s="56" t="b">
        <v>0</v>
      </c>
      <c r="E5224" s="56">
        <f ca="1">IF(PV[[#This Row],[Business Date]]=Control!$C$6, PV[[#This Row],[Notional Value Local Cur]], -PV[[#This Row],[Notional Value Local Cur]])</f>
        <v>0</v>
      </c>
    </row>
    <row r="5225" spans="1:5" x14ac:dyDescent="0.25">
      <c r="A5225" s="36" t="b">
        <v>0</v>
      </c>
      <c r="B5225" s="56" t="b">
        <v>0</v>
      </c>
      <c r="C5225" s="56" t="b">
        <v>0</v>
      </c>
      <c r="D5225" s="56" t="b">
        <v>0</v>
      </c>
      <c r="E5225" s="56">
        <f ca="1">IF(PV[[#This Row],[Business Date]]=Control!$C$6, PV[[#This Row],[Notional Value Local Cur]], -PV[[#This Row],[Notional Value Local Cur]])</f>
        <v>0</v>
      </c>
    </row>
    <row r="5226" spans="1:5" x14ac:dyDescent="0.25">
      <c r="A5226" s="36" t="b">
        <v>0</v>
      </c>
      <c r="B5226" s="56" t="b">
        <v>0</v>
      </c>
      <c r="C5226" s="56" t="b">
        <v>0</v>
      </c>
      <c r="D5226" s="56" t="b">
        <v>0</v>
      </c>
      <c r="E5226" s="56">
        <f ca="1">IF(PV[[#This Row],[Business Date]]=Control!$C$6, PV[[#This Row],[Notional Value Local Cur]], -PV[[#This Row],[Notional Value Local Cur]])</f>
        <v>0</v>
      </c>
    </row>
    <row r="5227" spans="1:5" x14ac:dyDescent="0.25">
      <c r="A5227" s="36" t="b">
        <v>0</v>
      </c>
      <c r="B5227" s="56" t="b">
        <v>0</v>
      </c>
      <c r="C5227" s="56" t="b">
        <v>0</v>
      </c>
      <c r="D5227" s="56" t="b">
        <v>0</v>
      </c>
      <c r="E5227" s="56">
        <f ca="1">IF(PV[[#This Row],[Business Date]]=Control!$C$6, PV[[#This Row],[Notional Value Local Cur]], -PV[[#This Row],[Notional Value Local Cur]])</f>
        <v>0</v>
      </c>
    </row>
    <row r="5228" spans="1:5" x14ac:dyDescent="0.25">
      <c r="A5228" s="36" t="b">
        <v>0</v>
      </c>
      <c r="B5228" s="56" t="b">
        <v>0</v>
      </c>
      <c r="C5228" s="56" t="b">
        <v>0</v>
      </c>
      <c r="D5228" s="56" t="b">
        <v>0</v>
      </c>
      <c r="E5228" s="56">
        <f ca="1">IF(PV[[#This Row],[Business Date]]=Control!$C$6, PV[[#This Row],[Notional Value Local Cur]], -PV[[#This Row],[Notional Value Local Cur]])</f>
        <v>0</v>
      </c>
    </row>
    <row r="5229" spans="1:5" x14ac:dyDescent="0.25">
      <c r="A5229" s="36" t="b">
        <v>0</v>
      </c>
      <c r="B5229" s="56" t="b">
        <v>0</v>
      </c>
      <c r="C5229" s="56" t="b">
        <v>0</v>
      </c>
      <c r="D5229" s="56" t="b">
        <v>0</v>
      </c>
      <c r="E5229" s="56">
        <f ca="1">IF(PV[[#This Row],[Business Date]]=Control!$C$6, PV[[#This Row],[Notional Value Local Cur]], -PV[[#This Row],[Notional Value Local Cur]])</f>
        <v>0</v>
      </c>
    </row>
    <row r="5230" spans="1:5" x14ac:dyDescent="0.25">
      <c r="A5230" s="36" t="b">
        <v>0</v>
      </c>
      <c r="B5230" s="56" t="b">
        <v>0</v>
      </c>
      <c r="C5230" s="56" t="b">
        <v>0</v>
      </c>
      <c r="D5230" s="56" t="b">
        <v>0</v>
      </c>
      <c r="E5230" s="56">
        <f ca="1">IF(PV[[#This Row],[Business Date]]=Control!$C$6, PV[[#This Row],[Notional Value Local Cur]], -PV[[#This Row],[Notional Value Local Cur]])</f>
        <v>0</v>
      </c>
    </row>
    <row r="5231" spans="1:5" x14ac:dyDescent="0.25">
      <c r="A5231" s="36" t="b">
        <v>0</v>
      </c>
      <c r="B5231" s="56" t="b">
        <v>0</v>
      </c>
      <c r="C5231" s="56" t="b">
        <v>0</v>
      </c>
      <c r="D5231" s="56" t="b">
        <v>0</v>
      </c>
      <c r="E5231" s="56">
        <f ca="1">IF(PV[[#This Row],[Business Date]]=Control!$C$6, PV[[#This Row],[Notional Value Local Cur]], -PV[[#This Row],[Notional Value Local Cur]])</f>
        <v>0</v>
      </c>
    </row>
    <row r="5232" spans="1:5" x14ac:dyDescent="0.25">
      <c r="A5232" s="36" t="b">
        <v>0</v>
      </c>
      <c r="B5232" s="56" t="b">
        <v>0</v>
      </c>
      <c r="C5232" s="56" t="b">
        <v>0</v>
      </c>
      <c r="D5232" s="56" t="b">
        <v>0</v>
      </c>
      <c r="E5232" s="56">
        <f ca="1">IF(PV[[#This Row],[Business Date]]=Control!$C$6, PV[[#This Row],[Notional Value Local Cur]], -PV[[#This Row],[Notional Value Local Cur]])</f>
        <v>0</v>
      </c>
    </row>
    <row r="5233" spans="1:5" x14ac:dyDescent="0.25">
      <c r="A5233" s="36" t="b">
        <v>0</v>
      </c>
      <c r="B5233" s="56" t="b">
        <v>0</v>
      </c>
      <c r="C5233" s="56" t="b">
        <v>0</v>
      </c>
      <c r="D5233" s="56" t="b">
        <v>0</v>
      </c>
      <c r="E5233" s="56">
        <f ca="1">IF(PV[[#This Row],[Business Date]]=Control!$C$6, PV[[#This Row],[Notional Value Local Cur]], -PV[[#This Row],[Notional Value Local Cur]])</f>
        <v>0</v>
      </c>
    </row>
    <row r="5234" spans="1:5" x14ac:dyDescent="0.25">
      <c r="A5234" s="36" t="b">
        <v>0</v>
      </c>
      <c r="B5234" s="56" t="b">
        <v>0</v>
      </c>
      <c r="C5234" s="56" t="b">
        <v>0</v>
      </c>
      <c r="D5234" s="56" t="b">
        <v>0</v>
      </c>
      <c r="E5234" s="56">
        <f ca="1">IF(PV[[#This Row],[Business Date]]=Control!$C$6, PV[[#This Row],[Notional Value Local Cur]], -PV[[#This Row],[Notional Value Local Cur]])</f>
        <v>0</v>
      </c>
    </row>
    <row r="5235" spans="1:5" x14ac:dyDescent="0.25">
      <c r="A5235" s="36" t="b">
        <v>0</v>
      </c>
      <c r="B5235" s="56" t="b">
        <v>0</v>
      </c>
      <c r="C5235" s="56" t="b">
        <v>0</v>
      </c>
      <c r="D5235" s="56" t="b">
        <v>0</v>
      </c>
      <c r="E5235" s="56">
        <f ca="1">IF(PV[[#This Row],[Business Date]]=Control!$C$6, PV[[#This Row],[Notional Value Local Cur]], -PV[[#This Row],[Notional Value Local Cur]])</f>
        <v>0</v>
      </c>
    </row>
    <row r="5236" spans="1:5" x14ac:dyDescent="0.25">
      <c r="A5236" s="36" t="b">
        <v>0</v>
      </c>
      <c r="B5236" s="56" t="b">
        <v>0</v>
      </c>
      <c r="C5236" s="56" t="b">
        <v>0</v>
      </c>
      <c r="D5236" s="56" t="b">
        <v>0</v>
      </c>
      <c r="E5236" s="56">
        <f ca="1">IF(PV[[#This Row],[Business Date]]=Control!$C$6, PV[[#This Row],[Notional Value Local Cur]], -PV[[#This Row],[Notional Value Local Cur]])</f>
        <v>0</v>
      </c>
    </row>
    <row r="5237" spans="1:5" x14ac:dyDescent="0.25">
      <c r="A5237" s="36" t="b">
        <v>0</v>
      </c>
      <c r="B5237" s="56" t="b">
        <v>0</v>
      </c>
      <c r="C5237" s="56" t="b">
        <v>0</v>
      </c>
      <c r="D5237" s="56" t="b">
        <v>0</v>
      </c>
      <c r="E5237" s="56">
        <f ca="1">IF(PV[[#This Row],[Business Date]]=Control!$C$6, PV[[#This Row],[Notional Value Local Cur]], -PV[[#This Row],[Notional Value Local Cur]])</f>
        <v>0</v>
      </c>
    </row>
    <row r="5238" spans="1:5" x14ac:dyDescent="0.25">
      <c r="A5238" s="36" t="b">
        <v>0</v>
      </c>
      <c r="B5238" s="56" t="b">
        <v>0</v>
      </c>
      <c r="C5238" s="56" t="b">
        <v>0</v>
      </c>
      <c r="D5238" s="56" t="b">
        <v>0</v>
      </c>
      <c r="E5238" s="56">
        <f ca="1">IF(PV[[#This Row],[Business Date]]=Control!$C$6, PV[[#This Row],[Notional Value Local Cur]], -PV[[#This Row],[Notional Value Local Cur]])</f>
        <v>0</v>
      </c>
    </row>
    <row r="5239" spans="1:5" x14ac:dyDescent="0.25">
      <c r="A5239" s="36" t="b">
        <v>0</v>
      </c>
      <c r="B5239" s="56" t="b">
        <v>0</v>
      </c>
      <c r="C5239" s="56" t="b">
        <v>0</v>
      </c>
      <c r="D5239" s="56" t="b">
        <v>0</v>
      </c>
      <c r="E5239" s="56">
        <f ca="1">IF(PV[[#This Row],[Business Date]]=Control!$C$6, PV[[#This Row],[Notional Value Local Cur]], -PV[[#This Row],[Notional Value Local Cur]])</f>
        <v>0</v>
      </c>
    </row>
    <row r="5240" spans="1:5" x14ac:dyDescent="0.25">
      <c r="A5240" s="36" t="b">
        <v>0</v>
      </c>
      <c r="B5240" s="56" t="b">
        <v>0</v>
      </c>
      <c r="C5240" s="56" t="b">
        <v>0</v>
      </c>
      <c r="D5240" s="56" t="b">
        <v>0</v>
      </c>
      <c r="E5240" s="56">
        <f ca="1">IF(PV[[#This Row],[Business Date]]=Control!$C$6, PV[[#This Row],[Notional Value Local Cur]], -PV[[#This Row],[Notional Value Local Cur]])</f>
        <v>0</v>
      </c>
    </row>
    <row r="5241" spans="1:5" x14ac:dyDescent="0.25">
      <c r="A5241" s="36" t="b">
        <v>0</v>
      </c>
      <c r="B5241" s="56" t="b">
        <v>0</v>
      </c>
      <c r="C5241" s="56" t="b">
        <v>0</v>
      </c>
      <c r="D5241" s="56" t="b">
        <v>0</v>
      </c>
      <c r="E5241" s="56">
        <f ca="1">IF(PV[[#This Row],[Business Date]]=Control!$C$6, PV[[#This Row],[Notional Value Local Cur]], -PV[[#This Row],[Notional Value Local Cur]])</f>
        <v>0</v>
      </c>
    </row>
    <row r="5242" spans="1:5" x14ac:dyDescent="0.25">
      <c r="A5242" s="36" t="b">
        <v>0</v>
      </c>
      <c r="B5242" s="56" t="b">
        <v>0</v>
      </c>
      <c r="C5242" s="56" t="b">
        <v>0</v>
      </c>
      <c r="D5242" s="56" t="b">
        <v>0</v>
      </c>
      <c r="E5242" s="56">
        <f ca="1">IF(PV[[#This Row],[Business Date]]=Control!$C$6, PV[[#This Row],[Notional Value Local Cur]], -PV[[#This Row],[Notional Value Local Cur]])</f>
        <v>0</v>
      </c>
    </row>
    <row r="5243" spans="1:5" x14ac:dyDescent="0.25">
      <c r="A5243" s="36" t="b">
        <v>0</v>
      </c>
      <c r="B5243" s="56" t="b">
        <v>0</v>
      </c>
      <c r="C5243" s="56" t="b">
        <v>0</v>
      </c>
      <c r="D5243" s="56" t="b">
        <v>0</v>
      </c>
      <c r="E5243" s="56">
        <f ca="1">IF(PV[[#This Row],[Business Date]]=Control!$C$6, PV[[#This Row],[Notional Value Local Cur]], -PV[[#This Row],[Notional Value Local Cur]])</f>
        <v>0</v>
      </c>
    </row>
    <row r="5244" spans="1:5" x14ac:dyDescent="0.25">
      <c r="A5244" s="36" t="b">
        <v>0</v>
      </c>
      <c r="B5244" s="56" t="b">
        <v>0</v>
      </c>
      <c r="C5244" s="56" t="b">
        <v>0</v>
      </c>
      <c r="D5244" s="56" t="b">
        <v>0</v>
      </c>
      <c r="E5244" s="56">
        <f ca="1">IF(PV[[#This Row],[Business Date]]=Control!$C$6, PV[[#This Row],[Notional Value Local Cur]], -PV[[#This Row],[Notional Value Local Cur]])</f>
        <v>0</v>
      </c>
    </row>
    <row r="5245" spans="1:5" x14ac:dyDescent="0.25">
      <c r="A5245" s="36" t="b">
        <v>0</v>
      </c>
      <c r="B5245" s="56" t="b">
        <v>0</v>
      </c>
      <c r="C5245" s="56" t="b">
        <v>0</v>
      </c>
      <c r="D5245" s="56" t="b">
        <v>0</v>
      </c>
      <c r="E5245" s="56">
        <f ca="1">IF(PV[[#This Row],[Business Date]]=Control!$C$6, PV[[#This Row],[Notional Value Local Cur]], -PV[[#This Row],[Notional Value Local Cur]])</f>
        <v>0</v>
      </c>
    </row>
    <row r="5246" spans="1:5" x14ac:dyDescent="0.25">
      <c r="A5246" s="36" t="b">
        <v>0</v>
      </c>
      <c r="B5246" s="56" t="b">
        <v>0</v>
      </c>
      <c r="C5246" s="56" t="b">
        <v>0</v>
      </c>
      <c r="D5246" s="56" t="b">
        <v>0</v>
      </c>
      <c r="E5246" s="56">
        <f ca="1">IF(PV[[#This Row],[Business Date]]=Control!$C$6, PV[[#This Row],[Notional Value Local Cur]], -PV[[#This Row],[Notional Value Local Cur]])</f>
        <v>0</v>
      </c>
    </row>
    <row r="5247" spans="1:5" x14ac:dyDescent="0.25">
      <c r="A5247" s="36" t="b">
        <v>0</v>
      </c>
      <c r="B5247" s="56" t="b">
        <v>0</v>
      </c>
      <c r="C5247" s="56" t="b">
        <v>0</v>
      </c>
      <c r="D5247" s="56" t="b">
        <v>0</v>
      </c>
      <c r="E5247" s="56">
        <f ca="1">IF(PV[[#This Row],[Business Date]]=Control!$C$6, PV[[#This Row],[Notional Value Local Cur]], -PV[[#This Row],[Notional Value Local Cur]])</f>
        <v>0</v>
      </c>
    </row>
    <row r="5248" spans="1:5" x14ac:dyDescent="0.25">
      <c r="A5248" s="36" t="b">
        <v>0</v>
      </c>
      <c r="B5248" s="56" t="b">
        <v>0</v>
      </c>
      <c r="C5248" s="56" t="b">
        <v>0</v>
      </c>
      <c r="D5248" s="56" t="b">
        <v>0</v>
      </c>
      <c r="E5248" s="56">
        <f ca="1">IF(PV[[#This Row],[Business Date]]=Control!$C$6, PV[[#This Row],[Notional Value Local Cur]], -PV[[#This Row],[Notional Value Local Cur]])</f>
        <v>0</v>
      </c>
    </row>
    <row r="5249" spans="1:5" x14ac:dyDescent="0.25">
      <c r="A5249" s="36" t="b">
        <v>0</v>
      </c>
      <c r="B5249" s="56" t="b">
        <v>0</v>
      </c>
      <c r="C5249" s="56" t="b">
        <v>0</v>
      </c>
      <c r="D5249" s="56" t="b">
        <v>0</v>
      </c>
      <c r="E5249" s="56">
        <f ca="1">IF(PV[[#This Row],[Business Date]]=Control!$C$6, PV[[#This Row],[Notional Value Local Cur]], -PV[[#This Row],[Notional Value Local Cur]])</f>
        <v>0</v>
      </c>
    </row>
    <row r="5250" spans="1:5" x14ac:dyDescent="0.25">
      <c r="A5250" s="36" t="b">
        <v>0</v>
      </c>
      <c r="B5250" s="56" t="b">
        <v>0</v>
      </c>
      <c r="C5250" s="56" t="b">
        <v>0</v>
      </c>
      <c r="D5250" s="56" t="b">
        <v>0</v>
      </c>
      <c r="E5250" s="56">
        <f ca="1">IF(PV[[#This Row],[Business Date]]=Control!$C$6, PV[[#This Row],[Notional Value Local Cur]], -PV[[#This Row],[Notional Value Local Cur]])</f>
        <v>0</v>
      </c>
    </row>
    <row r="5251" spans="1:5" x14ac:dyDescent="0.25">
      <c r="A5251" s="36" t="b">
        <v>0</v>
      </c>
      <c r="B5251" s="56" t="b">
        <v>0</v>
      </c>
      <c r="C5251" s="56" t="b">
        <v>0</v>
      </c>
      <c r="D5251" s="56" t="b">
        <v>0</v>
      </c>
      <c r="E5251" s="56">
        <f ca="1">IF(PV[[#This Row],[Business Date]]=Control!$C$6, PV[[#This Row],[Notional Value Local Cur]], -PV[[#This Row],[Notional Value Local Cur]])</f>
        <v>0</v>
      </c>
    </row>
    <row r="5252" spans="1:5" x14ac:dyDescent="0.25">
      <c r="A5252" s="36" t="b">
        <v>0</v>
      </c>
      <c r="B5252" s="56" t="b">
        <v>0</v>
      </c>
      <c r="C5252" s="56" t="b">
        <v>0</v>
      </c>
      <c r="D5252" s="56" t="b">
        <v>0</v>
      </c>
      <c r="E5252" s="56">
        <f ca="1">IF(PV[[#This Row],[Business Date]]=Control!$C$6, PV[[#This Row],[Notional Value Local Cur]], -PV[[#This Row],[Notional Value Local Cur]])</f>
        <v>0</v>
      </c>
    </row>
    <row r="5253" spans="1:5" x14ac:dyDescent="0.25">
      <c r="A5253" s="36" t="b">
        <v>0</v>
      </c>
      <c r="B5253" s="56" t="b">
        <v>0</v>
      </c>
      <c r="C5253" s="56" t="b">
        <v>0</v>
      </c>
      <c r="D5253" s="56" t="b">
        <v>0</v>
      </c>
      <c r="E5253" s="56">
        <f ca="1">IF(PV[[#This Row],[Business Date]]=Control!$C$6, PV[[#This Row],[Notional Value Local Cur]], -PV[[#This Row],[Notional Value Local Cur]])</f>
        <v>0</v>
      </c>
    </row>
    <row r="5254" spans="1:5" x14ac:dyDescent="0.25">
      <c r="A5254" s="36" t="b">
        <v>0</v>
      </c>
      <c r="B5254" s="56" t="b">
        <v>0</v>
      </c>
      <c r="C5254" s="56" t="b">
        <v>0</v>
      </c>
      <c r="D5254" s="56" t="b">
        <v>0</v>
      </c>
      <c r="E5254" s="56">
        <f ca="1">IF(PV[[#This Row],[Business Date]]=Control!$C$6, PV[[#This Row],[Notional Value Local Cur]], -PV[[#This Row],[Notional Value Local Cur]])</f>
        <v>0</v>
      </c>
    </row>
    <row r="5255" spans="1:5" x14ac:dyDescent="0.25">
      <c r="A5255" s="36" t="b">
        <v>0</v>
      </c>
      <c r="B5255" s="56" t="b">
        <v>0</v>
      </c>
      <c r="C5255" s="56" t="b">
        <v>0</v>
      </c>
      <c r="D5255" s="56" t="b">
        <v>0</v>
      </c>
      <c r="E5255" s="56">
        <f ca="1">IF(PV[[#This Row],[Business Date]]=Control!$C$6, PV[[#This Row],[Notional Value Local Cur]], -PV[[#This Row],[Notional Value Local Cur]])</f>
        <v>0</v>
      </c>
    </row>
    <row r="5256" spans="1:5" x14ac:dyDescent="0.25">
      <c r="A5256" s="36" t="b">
        <v>0</v>
      </c>
      <c r="B5256" s="56" t="b">
        <v>0</v>
      </c>
      <c r="C5256" s="56" t="b">
        <v>0</v>
      </c>
      <c r="D5256" s="56" t="b">
        <v>0</v>
      </c>
      <c r="E5256" s="56">
        <f ca="1">IF(PV[[#This Row],[Business Date]]=Control!$C$6, PV[[#This Row],[Notional Value Local Cur]], -PV[[#This Row],[Notional Value Local Cur]])</f>
        <v>0</v>
      </c>
    </row>
    <row r="5257" spans="1:5" x14ac:dyDescent="0.25">
      <c r="A5257" s="36" t="b">
        <v>0</v>
      </c>
      <c r="B5257" s="56" t="b">
        <v>0</v>
      </c>
      <c r="C5257" s="56" t="b">
        <v>0</v>
      </c>
      <c r="D5257" s="56" t="b">
        <v>0</v>
      </c>
      <c r="E5257" s="56">
        <f ca="1">IF(PV[[#This Row],[Business Date]]=Control!$C$6, PV[[#This Row],[Notional Value Local Cur]], -PV[[#This Row],[Notional Value Local Cur]])</f>
        <v>0</v>
      </c>
    </row>
    <row r="5258" spans="1:5" x14ac:dyDescent="0.25">
      <c r="A5258" s="36" t="b">
        <v>0</v>
      </c>
      <c r="B5258" s="56" t="b">
        <v>0</v>
      </c>
      <c r="C5258" s="56" t="b">
        <v>0</v>
      </c>
      <c r="D5258" s="56" t="b">
        <v>0</v>
      </c>
      <c r="E5258" s="56">
        <f ca="1">IF(PV[[#This Row],[Business Date]]=Control!$C$6, PV[[#This Row],[Notional Value Local Cur]], -PV[[#This Row],[Notional Value Local Cur]])</f>
        <v>0</v>
      </c>
    </row>
    <row r="5259" spans="1:5" x14ac:dyDescent="0.25">
      <c r="A5259" s="36" t="b">
        <v>0</v>
      </c>
      <c r="B5259" s="56" t="b">
        <v>0</v>
      </c>
      <c r="C5259" s="56" t="b">
        <v>0</v>
      </c>
      <c r="D5259" s="56" t="b">
        <v>0</v>
      </c>
      <c r="E5259" s="56">
        <f ca="1">IF(PV[[#This Row],[Business Date]]=Control!$C$6, PV[[#This Row],[Notional Value Local Cur]], -PV[[#This Row],[Notional Value Local Cur]])</f>
        <v>0</v>
      </c>
    </row>
    <row r="5260" spans="1:5" x14ac:dyDescent="0.25">
      <c r="A5260" s="36" t="b">
        <v>0</v>
      </c>
      <c r="B5260" s="56" t="b">
        <v>0</v>
      </c>
      <c r="C5260" s="56" t="b">
        <v>0</v>
      </c>
      <c r="D5260" s="56" t="b">
        <v>0</v>
      </c>
      <c r="E5260" s="56">
        <f ca="1">IF(PV[[#This Row],[Business Date]]=Control!$C$6, PV[[#This Row],[Notional Value Local Cur]], -PV[[#This Row],[Notional Value Local Cur]])</f>
        <v>0</v>
      </c>
    </row>
    <row r="5261" spans="1:5" x14ac:dyDescent="0.25">
      <c r="A5261" s="36" t="b">
        <v>0</v>
      </c>
      <c r="B5261" s="56" t="b">
        <v>0</v>
      </c>
      <c r="C5261" s="56" t="b">
        <v>0</v>
      </c>
      <c r="D5261" s="56" t="b">
        <v>0</v>
      </c>
      <c r="E5261" s="56">
        <f ca="1">IF(PV[[#This Row],[Business Date]]=Control!$C$6, PV[[#This Row],[Notional Value Local Cur]], -PV[[#This Row],[Notional Value Local Cur]])</f>
        <v>0</v>
      </c>
    </row>
    <row r="5262" spans="1:5" x14ac:dyDescent="0.25">
      <c r="A5262" s="36" t="b">
        <v>0</v>
      </c>
      <c r="B5262" s="56" t="b">
        <v>0</v>
      </c>
      <c r="C5262" s="56" t="b">
        <v>0</v>
      </c>
      <c r="D5262" s="56" t="b">
        <v>0</v>
      </c>
      <c r="E5262" s="56">
        <f ca="1">IF(PV[[#This Row],[Business Date]]=Control!$C$6, PV[[#This Row],[Notional Value Local Cur]], -PV[[#This Row],[Notional Value Local Cur]])</f>
        <v>0</v>
      </c>
    </row>
    <row r="5263" spans="1:5" x14ac:dyDescent="0.25">
      <c r="A5263" s="36" t="b">
        <v>0</v>
      </c>
      <c r="B5263" s="56" t="b">
        <v>0</v>
      </c>
      <c r="C5263" s="56" t="b">
        <v>0</v>
      </c>
      <c r="D5263" s="56" t="b">
        <v>0</v>
      </c>
      <c r="E5263" s="56">
        <f ca="1">IF(PV[[#This Row],[Business Date]]=Control!$C$6, PV[[#This Row],[Notional Value Local Cur]], -PV[[#This Row],[Notional Value Local Cur]])</f>
        <v>0</v>
      </c>
    </row>
    <row r="5264" spans="1:5" x14ac:dyDescent="0.25">
      <c r="A5264" s="36" t="b">
        <v>0</v>
      </c>
      <c r="B5264" s="56" t="b">
        <v>0</v>
      </c>
      <c r="C5264" s="56" t="b">
        <v>0</v>
      </c>
      <c r="D5264" s="56" t="b">
        <v>0</v>
      </c>
      <c r="E5264" s="56">
        <f ca="1">IF(PV[[#This Row],[Business Date]]=Control!$C$6, PV[[#This Row],[Notional Value Local Cur]], -PV[[#This Row],[Notional Value Local Cur]])</f>
        <v>0</v>
      </c>
    </row>
    <row r="5265" spans="1:5" x14ac:dyDescent="0.25">
      <c r="A5265" s="36" t="b">
        <v>0</v>
      </c>
      <c r="B5265" s="56" t="b">
        <v>0</v>
      </c>
      <c r="C5265" s="56" t="b">
        <v>0</v>
      </c>
      <c r="D5265" s="56" t="b">
        <v>0</v>
      </c>
      <c r="E5265" s="56">
        <f ca="1">IF(PV[[#This Row],[Business Date]]=Control!$C$6, PV[[#This Row],[Notional Value Local Cur]], -PV[[#This Row],[Notional Value Local Cur]])</f>
        <v>0</v>
      </c>
    </row>
    <row r="5266" spans="1:5" x14ac:dyDescent="0.25">
      <c r="A5266" s="36" t="b">
        <v>0</v>
      </c>
      <c r="B5266" s="56" t="b">
        <v>0</v>
      </c>
      <c r="C5266" s="56" t="b">
        <v>0</v>
      </c>
      <c r="D5266" s="56" t="b">
        <v>0</v>
      </c>
      <c r="E5266" s="56">
        <f ca="1">IF(PV[[#This Row],[Business Date]]=Control!$C$6, PV[[#This Row],[Notional Value Local Cur]], -PV[[#This Row],[Notional Value Local Cur]])</f>
        <v>0</v>
      </c>
    </row>
    <row r="5267" spans="1:5" x14ac:dyDescent="0.25">
      <c r="A5267" s="36" t="b">
        <v>0</v>
      </c>
      <c r="B5267" s="56" t="b">
        <v>0</v>
      </c>
      <c r="C5267" s="56" t="b">
        <v>0</v>
      </c>
      <c r="D5267" s="56" t="b">
        <v>0</v>
      </c>
      <c r="E5267" s="56">
        <f ca="1">IF(PV[[#This Row],[Business Date]]=Control!$C$6, PV[[#This Row],[Notional Value Local Cur]], -PV[[#This Row],[Notional Value Local Cur]])</f>
        <v>0</v>
      </c>
    </row>
    <row r="5268" spans="1:5" x14ac:dyDescent="0.25">
      <c r="A5268" s="36" t="b">
        <v>0</v>
      </c>
      <c r="B5268" s="56" t="b">
        <v>0</v>
      </c>
      <c r="C5268" s="56" t="b">
        <v>0</v>
      </c>
      <c r="D5268" s="56" t="b">
        <v>0</v>
      </c>
      <c r="E5268" s="56">
        <f ca="1">IF(PV[[#This Row],[Business Date]]=Control!$C$6, PV[[#This Row],[Notional Value Local Cur]], -PV[[#This Row],[Notional Value Local Cur]])</f>
        <v>0</v>
      </c>
    </row>
    <row r="5269" spans="1:5" x14ac:dyDescent="0.25">
      <c r="A5269" s="36" t="b">
        <v>0</v>
      </c>
      <c r="B5269" s="56" t="b">
        <v>0</v>
      </c>
      <c r="C5269" s="56" t="b">
        <v>0</v>
      </c>
      <c r="D5269" s="56" t="b">
        <v>0</v>
      </c>
      <c r="E5269" s="56">
        <f ca="1">IF(PV[[#This Row],[Business Date]]=Control!$C$6, PV[[#This Row],[Notional Value Local Cur]], -PV[[#This Row],[Notional Value Local Cur]])</f>
        <v>0</v>
      </c>
    </row>
    <row r="5270" spans="1:5" x14ac:dyDescent="0.25">
      <c r="A5270" s="36" t="b">
        <v>0</v>
      </c>
      <c r="B5270" s="56" t="b">
        <v>0</v>
      </c>
      <c r="C5270" s="56" t="b">
        <v>0</v>
      </c>
      <c r="D5270" s="56" t="b">
        <v>0</v>
      </c>
      <c r="E5270" s="56">
        <f ca="1">IF(PV[[#This Row],[Business Date]]=Control!$C$6, PV[[#This Row],[Notional Value Local Cur]], -PV[[#This Row],[Notional Value Local Cur]])</f>
        <v>0</v>
      </c>
    </row>
    <row r="5271" spans="1:5" x14ac:dyDescent="0.25">
      <c r="A5271" s="36" t="b">
        <v>0</v>
      </c>
      <c r="B5271" s="56" t="b">
        <v>0</v>
      </c>
      <c r="C5271" s="56" t="b">
        <v>0</v>
      </c>
      <c r="D5271" s="56" t="b">
        <v>0</v>
      </c>
      <c r="E5271" s="56">
        <f ca="1">IF(PV[[#This Row],[Business Date]]=Control!$C$6, PV[[#This Row],[Notional Value Local Cur]], -PV[[#This Row],[Notional Value Local Cur]])</f>
        <v>0</v>
      </c>
    </row>
    <row r="5272" spans="1:5" x14ac:dyDescent="0.25">
      <c r="A5272" s="36" t="b">
        <v>0</v>
      </c>
      <c r="B5272" s="56" t="b">
        <v>0</v>
      </c>
      <c r="C5272" s="56" t="b">
        <v>0</v>
      </c>
      <c r="D5272" s="56" t="b">
        <v>0</v>
      </c>
      <c r="E5272" s="56">
        <f ca="1">IF(PV[[#This Row],[Business Date]]=Control!$C$6, PV[[#This Row],[Notional Value Local Cur]], -PV[[#This Row],[Notional Value Local Cur]])</f>
        <v>0</v>
      </c>
    </row>
    <row r="5273" spans="1:5" x14ac:dyDescent="0.25">
      <c r="A5273" s="36" t="b">
        <v>0</v>
      </c>
      <c r="B5273" s="56" t="b">
        <v>0</v>
      </c>
      <c r="C5273" s="56" t="b">
        <v>0</v>
      </c>
      <c r="D5273" s="56" t="b">
        <v>0</v>
      </c>
      <c r="E5273" s="56">
        <f ca="1">IF(PV[[#This Row],[Business Date]]=Control!$C$6, PV[[#This Row],[Notional Value Local Cur]], -PV[[#This Row],[Notional Value Local Cur]])</f>
        <v>0</v>
      </c>
    </row>
    <row r="5274" spans="1:5" x14ac:dyDescent="0.25">
      <c r="A5274" s="36" t="b">
        <v>0</v>
      </c>
      <c r="B5274" s="56" t="b">
        <v>0</v>
      </c>
      <c r="C5274" s="56" t="b">
        <v>0</v>
      </c>
      <c r="D5274" s="56" t="b">
        <v>0</v>
      </c>
      <c r="E5274" s="56">
        <f ca="1">IF(PV[[#This Row],[Business Date]]=Control!$C$6, PV[[#This Row],[Notional Value Local Cur]], -PV[[#This Row],[Notional Value Local Cur]])</f>
        <v>0</v>
      </c>
    </row>
    <row r="5275" spans="1:5" x14ac:dyDescent="0.25">
      <c r="A5275" s="36" t="b">
        <v>0</v>
      </c>
      <c r="B5275" s="56" t="b">
        <v>0</v>
      </c>
      <c r="C5275" s="56" t="b">
        <v>0</v>
      </c>
      <c r="D5275" s="56" t="b">
        <v>0</v>
      </c>
      <c r="E5275" s="56">
        <f ca="1">IF(PV[[#This Row],[Business Date]]=Control!$C$6, PV[[#This Row],[Notional Value Local Cur]], -PV[[#This Row],[Notional Value Local Cur]])</f>
        <v>0</v>
      </c>
    </row>
    <row r="5276" spans="1:5" x14ac:dyDescent="0.25">
      <c r="A5276" s="36" t="b">
        <v>0</v>
      </c>
      <c r="B5276" s="56" t="b">
        <v>0</v>
      </c>
      <c r="C5276" s="56" t="b">
        <v>0</v>
      </c>
      <c r="D5276" s="56" t="b">
        <v>0</v>
      </c>
      <c r="E5276" s="56">
        <f ca="1">IF(PV[[#This Row],[Business Date]]=Control!$C$6, PV[[#This Row],[Notional Value Local Cur]], -PV[[#This Row],[Notional Value Local Cur]])</f>
        <v>0</v>
      </c>
    </row>
    <row r="5277" spans="1:5" x14ac:dyDescent="0.25">
      <c r="A5277" s="36" t="b">
        <v>0</v>
      </c>
      <c r="B5277" s="56" t="b">
        <v>0</v>
      </c>
      <c r="C5277" s="56" t="b">
        <v>0</v>
      </c>
      <c r="D5277" s="56" t="b">
        <v>0</v>
      </c>
      <c r="E5277" s="56">
        <f ca="1">IF(PV[[#This Row],[Business Date]]=Control!$C$6, PV[[#This Row],[Notional Value Local Cur]], -PV[[#This Row],[Notional Value Local Cur]])</f>
        <v>0</v>
      </c>
    </row>
    <row r="5278" spans="1:5" x14ac:dyDescent="0.25">
      <c r="A5278" s="36" t="b">
        <v>0</v>
      </c>
      <c r="B5278" s="56" t="b">
        <v>0</v>
      </c>
      <c r="C5278" s="56" t="b">
        <v>0</v>
      </c>
      <c r="D5278" s="56" t="b">
        <v>0</v>
      </c>
      <c r="E5278" s="56">
        <f ca="1">IF(PV[[#This Row],[Business Date]]=Control!$C$6, PV[[#This Row],[Notional Value Local Cur]], -PV[[#This Row],[Notional Value Local Cur]])</f>
        <v>0</v>
      </c>
    </row>
    <row r="5279" spans="1:5" x14ac:dyDescent="0.25">
      <c r="A5279" s="36" t="b">
        <v>0</v>
      </c>
      <c r="B5279" s="56" t="b">
        <v>0</v>
      </c>
      <c r="C5279" s="56" t="b">
        <v>0</v>
      </c>
      <c r="D5279" s="56" t="b">
        <v>0</v>
      </c>
      <c r="E5279" s="56">
        <f ca="1">IF(PV[[#This Row],[Business Date]]=Control!$C$6, PV[[#This Row],[Notional Value Local Cur]], -PV[[#This Row],[Notional Value Local Cur]])</f>
        <v>0</v>
      </c>
    </row>
    <row r="5280" spans="1:5" x14ac:dyDescent="0.25">
      <c r="A5280" s="36" t="b">
        <v>0</v>
      </c>
      <c r="B5280" s="56" t="b">
        <v>0</v>
      </c>
      <c r="C5280" s="56" t="b">
        <v>0</v>
      </c>
      <c r="D5280" s="56" t="b">
        <v>0</v>
      </c>
      <c r="E5280" s="56">
        <f ca="1">IF(PV[[#This Row],[Business Date]]=Control!$C$6, PV[[#This Row],[Notional Value Local Cur]], -PV[[#This Row],[Notional Value Local Cur]])</f>
        <v>0</v>
      </c>
    </row>
    <row r="5281" spans="1:5" x14ac:dyDescent="0.25">
      <c r="A5281" s="36" t="b">
        <v>0</v>
      </c>
      <c r="B5281" s="56" t="b">
        <v>0</v>
      </c>
      <c r="C5281" s="56" t="b">
        <v>0</v>
      </c>
      <c r="D5281" s="56" t="b">
        <v>0</v>
      </c>
      <c r="E5281" s="56">
        <f ca="1">IF(PV[[#This Row],[Business Date]]=Control!$C$6, PV[[#This Row],[Notional Value Local Cur]], -PV[[#This Row],[Notional Value Local Cur]])</f>
        <v>0</v>
      </c>
    </row>
    <row r="5282" spans="1:5" x14ac:dyDescent="0.25">
      <c r="A5282" s="36" t="b">
        <v>0</v>
      </c>
      <c r="B5282" s="56" t="b">
        <v>0</v>
      </c>
      <c r="C5282" s="56" t="b">
        <v>0</v>
      </c>
      <c r="D5282" s="56" t="b">
        <v>0</v>
      </c>
      <c r="E5282" s="56">
        <f ca="1">IF(PV[[#This Row],[Business Date]]=Control!$C$6, PV[[#This Row],[Notional Value Local Cur]], -PV[[#This Row],[Notional Value Local Cur]])</f>
        <v>0</v>
      </c>
    </row>
    <row r="5283" spans="1:5" x14ac:dyDescent="0.25">
      <c r="A5283" s="36" t="b">
        <v>0</v>
      </c>
      <c r="B5283" s="56" t="b">
        <v>0</v>
      </c>
      <c r="C5283" s="56" t="b">
        <v>0</v>
      </c>
      <c r="D5283" s="56" t="b">
        <v>0</v>
      </c>
      <c r="E5283" s="56">
        <f ca="1">IF(PV[[#This Row],[Business Date]]=Control!$C$6, PV[[#This Row],[Notional Value Local Cur]], -PV[[#This Row],[Notional Value Local Cur]])</f>
        <v>0</v>
      </c>
    </row>
    <row r="5284" spans="1:5" x14ac:dyDescent="0.25">
      <c r="A5284" s="36" t="b">
        <v>0</v>
      </c>
      <c r="B5284" s="56" t="b">
        <v>0</v>
      </c>
      <c r="C5284" s="56" t="b">
        <v>0</v>
      </c>
      <c r="D5284" s="56" t="b">
        <v>0</v>
      </c>
      <c r="E5284" s="56">
        <f ca="1">IF(PV[[#This Row],[Business Date]]=Control!$C$6, PV[[#This Row],[Notional Value Local Cur]], -PV[[#This Row],[Notional Value Local Cur]])</f>
        <v>0</v>
      </c>
    </row>
    <row r="5285" spans="1:5" x14ac:dyDescent="0.25">
      <c r="A5285" s="36" t="b">
        <v>0</v>
      </c>
      <c r="B5285" s="56" t="b">
        <v>0</v>
      </c>
      <c r="C5285" s="56" t="b">
        <v>0</v>
      </c>
      <c r="D5285" s="56" t="b">
        <v>0</v>
      </c>
      <c r="E5285" s="56">
        <f ca="1">IF(PV[[#This Row],[Business Date]]=Control!$C$6, PV[[#This Row],[Notional Value Local Cur]], -PV[[#This Row],[Notional Value Local Cur]])</f>
        <v>0</v>
      </c>
    </row>
    <row r="5286" spans="1:5" x14ac:dyDescent="0.25">
      <c r="A5286" s="36" t="b">
        <v>0</v>
      </c>
      <c r="B5286" s="56" t="b">
        <v>0</v>
      </c>
      <c r="C5286" s="56" t="b">
        <v>0</v>
      </c>
      <c r="D5286" s="56" t="b">
        <v>0</v>
      </c>
      <c r="E5286" s="56">
        <f ca="1">IF(PV[[#This Row],[Business Date]]=Control!$C$6, PV[[#This Row],[Notional Value Local Cur]], -PV[[#This Row],[Notional Value Local Cur]])</f>
        <v>0</v>
      </c>
    </row>
    <row r="5287" spans="1:5" x14ac:dyDescent="0.25">
      <c r="A5287" s="36" t="b">
        <v>0</v>
      </c>
      <c r="B5287" s="56" t="b">
        <v>0</v>
      </c>
      <c r="C5287" s="56" t="b">
        <v>0</v>
      </c>
      <c r="D5287" s="56" t="b">
        <v>0</v>
      </c>
      <c r="E5287" s="56">
        <f ca="1">IF(PV[[#This Row],[Business Date]]=Control!$C$6, PV[[#This Row],[Notional Value Local Cur]], -PV[[#This Row],[Notional Value Local Cur]])</f>
        <v>0</v>
      </c>
    </row>
    <row r="5288" spans="1:5" x14ac:dyDescent="0.25">
      <c r="A5288" s="36" t="b">
        <v>0</v>
      </c>
      <c r="B5288" s="56" t="b">
        <v>0</v>
      </c>
      <c r="C5288" s="56" t="b">
        <v>0</v>
      </c>
      <c r="D5288" s="56" t="b">
        <v>0</v>
      </c>
      <c r="E5288" s="56">
        <f ca="1">IF(PV[[#This Row],[Business Date]]=Control!$C$6, PV[[#This Row],[Notional Value Local Cur]], -PV[[#This Row],[Notional Value Local Cur]])</f>
        <v>0</v>
      </c>
    </row>
    <row r="5289" spans="1:5" x14ac:dyDescent="0.25">
      <c r="A5289" s="36" t="b">
        <v>0</v>
      </c>
      <c r="B5289" s="56" t="b">
        <v>0</v>
      </c>
      <c r="C5289" s="56" t="b">
        <v>0</v>
      </c>
      <c r="D5289" s="56" t="b">
        <v>0</v>
      </c>
      <c r="E5289" s="56">
        <f ca="1">IF(PV[[#This Row],[Business Date]]=Control!$C$6, PV[[#This Row],[Notional Value Local Cur]], -PV[[#This Row],[Notional Value Local Cur]])</f>
        <v>0</v>
      </c>
    </row>
    <row r="5290" spans="1:5" x14ac:dyDescent="0.25">
      <c r="A5290" s="36" t="b">
        <v>0</v>
      </c>
      <c r="B5290" s="56" t="b">
        <v>0</v>
      </c>
      <c r="C5290" s="56" t="b">
        <v>0</v>
      </c>
      <c r="D5290" s="56" t="b">
        <v>0</v>
      </c>
      <c r="E5290" s="56">
        <f ca="1">IF(PV[[#This Row],[Business Date]]=Control!$C$6, PV[[#This Row],[Notional Value Local Cur]], -PV[[#This Row],[Notional Value Local Cur]])</f>
        <v>0</v>
      </c>
    </row>
    <row r="5291" spans="1:5" x14ac:dyDescent="0.25">
      <c r="A5291" s="36" t="b">
        <v>0</v>
      </c>
      <c r="B5291" s="56" t="b">
        <v>0</v>
      </c>
      <c r="C5291" s="56" t="b">
        <v>0</v>
      </c>
      <c r="D5291" s="56" t="b">
        <v>0</v>
      </c>
      <c r="E5291" s="56">
        <f ca="1">IF(PV[[#This Row],[Business Date]]=Control!$C$6, PV[[#This Row],[Notional Value Local Cur]], -PV[[#This Row],[Notional Value Local Cur]])</f>
        <v>0</v>
      </c>
    </row>
    <row r="5292" spans="1:5" x14ac:dyDescent="0.25">
      <c r="A5292" s="36" t="b">
        <v>0</v>
      </c>
      <c r="B5292" s="56" t="b">
        <v>0</v>
      </c>
      <c r="C5292" s="56" t="b">
        <v>0</v>
      </c>
      <c r="D5292" s="56" t="b">
        <v>0</v>
      </c>
      <c r="E5292" s="56">
        <f ca="1">IF(PV[[#This Row],[Business Date]]=Control!$C$6, PV[[#This Row],[Notional Value Local Cur]], -PV[[#This Row],[Notional Value Local Cur]])</f>
        <v>0</v>
      </c>
    </row>
    <row r="5293" spans="1:5" x14ac:dyDescent="0.25">
      <c r="A5293" s="36" t="b">
        <v>0</v>
      </c>
      <c r="B5293" s="56" t="b">
        <v>0</v>
      </c>
      <c r="C5293" s="56" t="b">
        <v>0</v>
      </c>
      <c r="D5293" s="56" t="b">
        <v>0</v>
      </c>
      <c r="E5293" s="56">
        <f ca="1">IF(PV[[#This Row],[Business Date]]=Control!$C$6, PV[[#This Row],[Notional Value Local Cur]], -PV[[#This Row],[Notional Value Local Cur]])</f>
        <v>0</v>
      </c>
    </row>
    <row r="5294" spans="1:5" x14ac:dyDescent="0.25">
      <c r="A5294" s="36" t="b">
        <v>0</v>
      </c>
      <c r="B5294" s="56" t="b">
        <v>0</v>
      </c>
      <c r="C5294" s="56" t="b">
        <v>0</v>
      </c>
      <c r="D5294" s="56" t="b">
        <v>0</v>
      </c>
      <c r="E5294" s="56">
        <f ca="1">IF(PV[[#This Row],[Business Date]]=Control!$C$6, PV[[#This Row],[Notional Value Local Cur]], -PV[[#This Row],[Notional Value Local Cur]])</f>
        <v>0</v>
      </c>
    </row>
    <row r="5295" spans="1:5" x14ac:dyDescent="0.25">
      <c r="A5295" s="36" t="b">
        <v>0</v>
      </c>
      <c r="B5295" s="56" t="b">
        <v>0</v>
      </c>
      <c r="C5295" s="56" t="b">
        <v>0</v>
      </c>
      <c r="D5295" s="56" t="b">
        <v>0</v>
      </c>
      <c r="E5295" s="56">
        <f ca="1">IF(PV[[#This Row],[Business Date]]=Control!$C$6, PV[[#This Row],[Notional Value Local Cur]], -PV[[#This Row],[Notional Value Local Cur]])</f>
        <v>0</v>
      </c>
    </row>
    <row r="5296" spans="1:5" x14ac:dyDescent="0.25">
      <c r="A5296" s="36" t="b">
        <v>0</v>
      </c>
      <c r="B5296" s="56" t="b">
        <v>0</v>
      </c>
      <c r="C5296" s="56" t="b">
        <v>0</v>
      </c>
      <c r="D5296" s="56" t="b">
        <v>0</v>
      </c>
      <c r="E5296" s="56">
        <f ca="1">IF(PV[[#This Row],[Business Date]]=Control!$C$6, PV[[#This Row],[Notional Value Local Cur]], -PV[[#This Row],[Notional Value Local Cur]])</f>
        <v>0</v>
      </c>
    </row>
    <row r="5297" spans="1:5" x14ac:dyDescent="0.25">
      <c r="A5297" s="36" t="b">
        <v>0</v>
      </c>
      <c r="B5297" s="56" t="b">
        <v>0</v>
      </c>
      <c r="C5297" s="56" t="b">
        <v>0</v>
      </c>
      <c r="D5297" s="56" t="b">
        <v>0</v>
      </c>
      <c r="E5297" s="56">
        <f ca="1">IF(PV[[#This Row],[Business Date]]=Control!$C$6, PV[[#This Row],[Notional Value Local Cur]], -PV[[#This Row],[Notional Value Local Cur]])</f>
        <v>0</v>
      </c>
    </row>
    <row r="5298" spans="1:5" x14ac:dyDescent="0.25">
      <c r="A5298" s="36" t="b">
        <v>0</v>
      </c>
      <c r="B5298" s="56" t="b">
        <v>0</v>
      </c>
      <c r="C5298" s="56" t="b">
        <v>0</v>
      </c>
      <c r="D5298" s="56" t="b">
        <v>0</v>
      </c>
      <c r="E5298" s="56">
        <f ca="1">IF(PV[[#This Row],[Business Date]]=Control!$C$6, PV[[#This Row],[Notional Value Local Cur]], -PV[[#This Row],[Notional Value Local Cur]])</f>
        <v>0</v>
      </c>
    </row>
    <row r="5299" spans="1:5" x14ac:dyDescent="0.25">
      <c r="A5299" s="36" t="b">
        <v>0</v>
      </c>
      <c r="B5299" s="56" t="b">
        <v>0</v>
      </c>
      <c r="C5299" s="56" t="b">
        <v>0</v>
      </c>
      <c r="D5299" s="56" t="b">
        <v>0</v>
      </c>
      <c r="E5299" s="56">
        <f ca="1">IF(PV[[#This Row],[Business Date]]=Control!$C$6, PV[[#This Row],[Notional Value Local Cur]], -PV[[#This Row],[Notional Value Local Cur]])</f>
        <v>0</v>
      </c>
    </row>
    <row r="5300" spans="1:5" x14ac:dyDescent="0.25">
      <c r="A5300" s="36" t="b">
        <v>0</v>
      </c>
      <c r="B5300" s="56" t="b">
        <v>0</v>
      </c>
      <c r="C5300" s="56" t="b">
        <v>0</v>
      </c>
      <c r="D5300" s="56" t="b">
        <v>0</v>
      </c>
      <c r="E5300" s="56">
        <f ca="1">IF(PV[[#This Row],[Business Date]]=Control!$C$6, PV[[#This Row],[Notional Value Local Cur]], -PV[[#This Row],[Notional Value Local Cur]])</f>
        <v>0</v>
      </c>
    </row>
    <row r="5301" spans="1:5" x14ac:dyDescent="0.25">
      <c r="A5301" s="36" t="b">
        <v>0</v>
      </c>
      <c r="B5301" s="56" t="b">
        <v>0</v>
      </c>
      <c r="C5301" s="56" t="b">
        <v>0</v>
      </c>
      <c r="D5301" s="56" t="b">
        <v>0</v>
      </c>
      <c r="E5301" s="56">
        <f ca="1">IF(PV[[#This Row],[Business Date]]=Control!$C$6, PV[[#This Row],[Notional Value Local Cur]], -PV[[#This Row],[Notional Value Local Cur]])</f>
        <v>0</v>
      </c>
    </row>
    <row r="5302" spans="1:5" x14ac:dyDescent="0.25">
      <c r="A5302" s="36" t="b">
        <v>0</v>
      </c>
      <c r="B5302" s="56" t="b">
        <v>0</v>
      </c>
      <c r="C5302" s="56" t="b">
        <v>0</v>
      </c>
      <c r="D5302" s="56" t="b">
        <v>0</v>
      </c>
      <c r="E5302" s="56">
        <f ca="1">IF(PV[[#This Row],[Business Date]]=Control!$C$6, PV[[#This Row],[Notional Value Local Cur]], -PV[[#This Row],[Notional Value Local Cur]])</f>
        <v>0</v>
      </c>
    </row>
    <row r="5303" spans="1:5" x14ac:dyDescent="0.25">
      <c r="A5303" s="36" t="b">
        <v>0</v>
      </c>
      <c r="B5303" s="56" t="b">
        <v>0</v>
      </c>
      <c r="C5303" s="56" t="b">
        <v>0</v>
      </c>
      <c r="D5303" s="56" t="b">
        <v>0</v>
      </c>
      <c r="E5303" s="56">
        <f ca="1">IF(PV[[#This Row],[Business Date]]=Control!$C$6, PV[[#This Row],[Notional Value Local Cur]], -PV[[#This Row],[Notional Value Local Cur]])</f>
        <v>0</v>
      </c>
    </row>
    <row r="5304" spans="1:5" x14ac:dyDescent="0.25">
      <c r="A5304" s="36" t="b">
        <v>0</v>
      </c>
      <c r="B5304" s="56" t="b">
        <v>0</v>
      </c>
      <c r="C5304" s="56" t="b">
        <v>0</v>
      </c>
      <c r="D5304" s="56" t="b">
        <v>0</v>
      </c>
      <c r="E5304" s="56">
        <f ca="1">IF(PV[[#This Row],[Business Date]]=Control!$C$6, PV[[#This Row],[Notional Value Local Cur]], -PV[[#This Row],[Notional Value Local Cur]])</f>
        <v>0</v>
      </c>
    </row>
    <row r="5305" spans="1:5" x14ac:dyDescent="0.25">
      <c r="A5305" s="36" t="b">
        <v>0</v>
      </c>
      <c r="B5305" s="56" t="b">
        <v>0</v>
      </c>
      <c r="C5305" s="56" t="b">
        <v>0</v>
      </c>
      <c r="D5305" s="56" t="b">
        <v>0</v>
      </c>
      <c r="E5305" s="56">
        <f ca="1">IF(PV[[#This Row],[Business Date]]=Control!$C$6, PV[[#This Row],[Notional Value Local Cur]], -PV[[#This Row],[Notional Value Local Cur]])</f>
        <v>0</v>
      </c>
    </row>
    <row r="5306" spans="1:5" x14ac:dyDescent="0.25">
      <c r="A5306" s="36" t="b">
        <v>0</v>
      </c>
      <c r="B5306" s="56" t="b">
        <v>0</v>
      </c>
      <c r="C5306" s="56" t="b">
        <v>0</v>
      </c>
      <c r="D5306" s="56" t="b">
        <v>0</v>
      </c>
      <c r="E5306" s="56">
        <f ca="1">IF(PV[[#This Row],[Business Date]]=Control!$C$6, PV[[#This Row],[Notional Value Local Cur]], -PV[[#This Row],[Notional Value Local Cur]])</f>
        <v>0</v>
      </c>
    </row>
    <row r="5307" spans="1:5" x14ac:dyDescent="0.25">
      <c r="A5307" s="36" t="b">
        <v>0</v>
      </c>
      <c r="B5307" s="56" t="b">
        <v>0</v>
      </c>
      <c r="C5307" s="56" t="b">
        <v>0</v>
      </c>
      <c r="D5307" s="56" t="b">
        <v>0</v>
      </c>
      <c r="E5307" s="56">
        <f ca="1">IF(PV[[#This Row],[Business Date]]=Control!$C$6, PV[[#This Row],[Notional Value Local Cur]], -PV[[#This Row],[Notional Value Local Cur]])</f>
        <v>0</v>
      </c>
    </row>
    <row r="5308" spans="1:5" x14ac:dyDescent="0.25">
      <c r="A5308" s="36" t="b">
        <v>0</v>
      </c>
      <c r="B5308" s="56" t="b">
        <v>0</v>
      </c>
      <c r="C5308" s="56" t="b">
        <v>0</v>
      </c>
      <c r="D5308" s="56" t="b">
        <v>0</v>
      </c>
      <c r="E5308" s="56">
        <f ca="1">IF(PV[[#This Row],[Business Date]]=Control!$C$6, PV[[#This Row],[Notional Value Local Cur]], -PV[[#This Row],[Notional Value Local Cur]])</f>
        <v>0</v>
      </c>
    </row>
    <row r="5309" spans="1:5" x14ac:dyDescent="0.25">
      <c r="A5309" s="36" t="b">
        <v>0</v>
      </c>
      <c r="B5309" s="56" t="b">
        <v>0</v>
      </c>
      <c r="C5309" s="56" t="b">
        <v>0</v>
      </c>
      <c r="D5309" s="56" t="b">
        <v>0</v>
      </c>
      <c r="E5309" s="56">
        <f ca="1">IF(PV[[#This Row],[Business Date]]=Control!$C$6, PV[[#This Row],[Notional Value Local Cur]], -PV[[#This Row],[Notional Value Local Cur]])</f>
        <v>0</v>
      </c>
    </row>
    <row r="5310" spans="1:5" x14ac:dyDescent="0.25">
      <c r="A5310" s="36" t="b">
        <v>0</v>
      </c>
      <c r="B5310" s="56" t="b">
        <v>0</v>
      </c>
      <c r="C5310" s="56" t="b">
        <v>0</v>
      </c>
      <c r="D5310" s="56" t="b">
        <v>0</v>
      </c>
      <c r="E5310" s="56">
        <f ca="1">IF(PV[[#This Row],[Business Date]]=Control!$C$6, PV[[#This Row],[Notional Value Local Cur]], -PV[[#This Row],[Notional Value Local Cur]])</f>
        <v>0</v>
      </c>
    </row>
    <row r="5311" spans="1:5" x14ac:dyDescent="0.25">
      <c r="A5311" s="36" t="b">
        <v>0</v>
      </c>
      <c r="B5311" s="56" t="b">
        <v>0</v>
      </c>
      <c r="C5311" s="56" t="b">
        <v>0</v>
      </c>
      <c r="D5311" s="56" t="b">
        <v>0</v>
      </c>
      <c r="E5311" s="56">
        <f ca="1">IF(PV[[#This Row],[Business Date]]=Control!$C$6, PV[[#This Row],[Notional Value Local Cur]], -PV[[#This Row],[Notional Value Local Cur]])</f>
        <v>0</v>
      </c>
    </row>
    <row r="5312" spans="1:5" x14ac:dyDescent="0.25">
      <c r="A5312" s="36" t="b">
        <v>0</v>
      </c>
      <c r="B5312" s="56" t="b">
        <v>0</v>
      </c>
      <c r="C5312" s="56" t="b">
        <v>0</v>
      </c>
      <c r="D5312" s="56" t="b">
        <v>0</v>
      </c>
      <c r="E5312" s="56">
        <f ca="1">IF(PV[[#This Row],[Business Date]]=Control!$C$6, PV[[#This Row],[Notional Value Local Cur]], -PV[[#This Row],[Notional Value Local Cur]])</f>
        <v>0</v>
      </c>
    </row>
    <row r="5313" spans="1:5" x14ac:dyDescent="0.25">
      <c r="A5313" s="36" t="b">
        <v>0</v>
      </c>
      <c r="B5313" s="56" t="b">
        <v>0</v>
      </c>
      <c r="C5313" s="56" t="b">
        <v>0</v>
      </c>
      <c r="D5313" s="56" t="b">
        <v>0</v>
      </c>
      <c r="E5313" s="56">
        <f ca="1">IF(PV[[#This Row],[Business Date]]=Control!$C$6, PV[[#This Row],[Notional Value Local Cur]], -PV[[#This Row],[Notional Value Local Cur]])</f>
        <v>0</v>
      </c>
    </row>
    <row r="5314" spans="1:5" x14ac:dyDescent="0.25">
      <c r="A5314" s="36" t="b">
        <v>0</v>
      </c>
      <c r="B5314" s="56" t="b">
        <v>0</v>
      </c>
      <c r="C5314" s="56" t="b">
        <v>0</v>
      </c>
      <c r="D5314" s="56" t="b">
        <v>0</v>
      </c>
      <c r="E5314" s="56">
        <f ca="1">IF(PV[[#This Row],[Business Date]]=Control!$C$6, PV[[#This Row],[Notional Value Local Cur]], -PV[[#This Row],[Notional Value Local Cur]])</f>
        <v>0</v>
      </c>
    </row>
    <row r="5315" spans="1:5" x14ac:dyDescent="0.25">
      <c r="A5315" s="36" t="b">
        <v>0</v>
      </c>
      <c r="B5315" s="56" t="b">
        <v>0</v>
      </c>
      <c r="C5315" s="56" t="b">
        <v>0</v>
      </c>
      <c r="D5315" s="56" t="b">
        <v>0</v>
      </c>
      <c r="E5315" s="56">
        <f ca="1">IF(PV[[#This Row],[Business Date]]=Control!$C$6, PV[[#This Row],[Notional Value Local Cur]], -PV[[#This Row],[Notional Value Local Cur]])</f>
        <v>0</v>
      </c>
    </row>
    <row r="5316" spans="1:5" x14ac:dyDescent="0.25">
      <c r="A5316" s="36" t="b">
        <v>0</v>
      </c>
      <c r="B5316" s="56" t="b">
        <v>0</v>
      </c>
      <c r="C5316" s="56" t="b">
        <v>0</v>
      </c>
      <c r="D5316" s="56" t="b">
        <v>0</v>
      </c>
      <c r="E5316" s="56">
        <f ca="1">IF(PV[[#This Row],[Business Date]]=Control!$C$6, PV[[#This Row],[Notional Value Local Cur]], -PV[[#This Row],[Notional Value Local Cur]])</f>
        <v>0</v>
      </c>
    </row>
    <row r="5317" spans="1:5" x14ac:dyDescent="0.25">
      <c r="A5317" s="36" t="b">
        <v>0</v>
      </c>
      <c r="B5317" s="56" t="b">
        <v>0</v>
      </c>
      <c r="C5317" s="56" t="b">
        <v>0</v>
      </c>
      <c r="D5317" s="56" t="b">
        <v>0</v>
      </c>
      <c r="E5317" s="56">
        <f ca="1">IF(PV[[#This Row],[Business Date]]=Control!$C$6, PV[[#This Row],[Notional Value Local Cur]], -PV[[#This Row],[Notional Value Local Cur]])</f>
        <v>0</v>
      </c>
    </row>
    <row r="5318" spans="1:5" x14ac:dyDescent="0.25">
      <c r="A5318" s="36" t="b">
        <v>0</v>
      </c>
      <c r="B5318" s="56" t="b">
        <v>0</v>
      </c>
      <c r="C5318" s="56" t="b">
        <v>0</v>
      </c>
      <c r="D5318" s="56" t="b">
        <v>0</v>
      </c>
      <c r="E5318" s="56">
        <f ca="1">IF(PV[[#This Row],[Business Date]]=Control!$C$6, PV[[#This Row],[Notional Value Local Cur]], -PV[[#This Row],[Notional Value Local Cur]])</f>
        <v>0</v>
      </c>
    </row>
    <row r="5319" spans="1:5" x14ac:dyDescent="0.25">
      <c r="A5319" s="36" t="b">
        <v>0</v>
      </c>
      <c r="B5319" s="56" t="b">
        <v>0</v>
      </c>
      <c r="C5319" s="56" t="b">
        <v>0</v>
      </c>
      <c r="D5319" s="56" t="b">
        <v>0</v>
      </c>
      <c r="E5319" s="56">
        <f ca="1">IF(PV[[#This Row],[Business Date]]=Control!$C$6, PV[[#This Row],[Notional Value Local Cur]], -PV[[#This Row],[Notional Value Local Cur]])</f>
        <v>0</v>
      </c>
    </row>
    <row r="5320" spans="1:5" x14ac:dyDescent="0.25">
      <c r="A5320" s="36" t="b">
        <v>0</v>
      </c>
      <c r="B5320" s="56" t="b">
        <v>0</v>
      </c>
      <c r="C5320" s="56" t="b">
        <v>0</v>
      </c>
      <c r="D5320" s="56" t="b">
        <v>0</v>
      </c>
      <c r="E5320" s="56">
        <f ca="1">IF(PV[[#This Row],[Business Date]]=Control!$C$6, PV[[#This Row],[Notional Value Local Cur]], -PV[[#This Row],[Notional Value Local Cur]])</f>
        <v>0</v>
      </c>
    </row>
    <row r="5321" spans="1:5" x14ac:dyDescent="0.25">
      <c r="A5321" s="36" t="b">
        <v>0</v>
      </c>
      <c r="B5321" s="56" t="b">
        <v>0</v>
      </c>
      <c r="C5321" s="56" t="b">
        <v>0</v>
      </c>
      <c r="D5321" s="56" t="b">
        <v>0</v>
      </c>
      <c r="E5321" s="56">
        <f ca="1">IF(PV[[#This Row],[Business Date]]=Control!$C$6, PV[[#This Row],[Notional Value Local Cur]], -PV[[#This Row],[Notional Value Local Cur]])</f>
        <v>0</v>
      </c>
    </row>
    <row r="5322" spans="1:5" x14ac:dyDescent="0.25">
      <c r="A5322" s="36" t="b">
        <v>0</v>
      </c>
      <c r="B5322" s="56" t="b">
        <v>0</v>
      </c>
      <c r="C5322" s="56" t="b">
        <v>0</v>
      </c>
      <c r="D5322" s="56" t="b">
        <v>0</v>
      </c>
      <c r="E5322" s="56">
        <f ca="1">IF(PV[[#This Row],[Business Date]]=Control!$C$6, PV[[#This Row],[Notional Value Local Cur]], -PV[[#This Row],[Notional Value Local Cur]])</f>
        <v>0</v>
      </c>
    </row>
    <row r="5323" spans="1:5" x14ac:dyDescent="0.25">
      <c r="A5323" s="36" t="b">
        <v>0</v>
      </c>
      <c r="B5323" s="56" t="b">
        <v>0</v>
      </c>
      <c r="C5323" s="56" t="b">
        <v>0</v>
      </c>
      <c r="D5323" s="56" t="b">
        <v>0</v>
      </c>
      <c r="E5323" s="56">
        <f ca="1">IF(PV[[#This Row],[Business Date]]=Control!$C$6, PV[[#This Row],[Notional Value Local Cur]], -PV[[#This Row],[Notional Value Local Cur]])</f>
        <v>0</v>
      </c>
    </row>
    <row r="5324" spans="1:5" x14ac:dyDescent="0.25">
      <c r="A5324" s="36" t="b">
        <v>0</v>
      </c>
      <c r="B5324" s="56" t="b">
        <v>0</v>
      </c>
      <c r="C5324" s="56" t="b">
        <v>0</v>
      </c>
      <c r="D5324" s="56" t="b">
        <v>0</v>
      </c>
      <c r="E5324" s="56">
        <f ca="1">IF(PV[[#This Row],[Business Date]]=Control!$C$6, PV[[#This Row],[Notional Value Local Cur]], -PV[[#This Row],[Notional Value Local Cur]])</f>
        <v>0</v>
      </c>
    </row>
    <row r="5325" spans="1:5" x14ac:dyDescent="0.25">
      <c r="A5325" s="36" t="b">
        <v>0</v>
      </c>
      <c r="B5325" s="56" t="b">
        <v>0</v>
      </c>
      <c r="C5325" s="56" t="b">
        <v>0</v>
      </c>
      <c r="D5325" s="56" t="b">
        <v>0</v>
      </c>
      <c r="E5325" s="56">
        <f ca="1">IF(PV[[#This Row],[Business Date]]=Control!$C$6, PV[[#This Row],[Notional Value Local Cur]], -PV[[#This Row],[Notional Value Local Cur]])</f>
        <v>0</v>
      </c>
    </row>
    <row r="5326" spans="1:5" x14ac:dyDescent="0.25">
      <c r="A5326" s="36" t="b">
        <v>0</v>
      </c>
      <c r="B5326" s="56" t="b">
        <v>0</v>
      </c>
      <c r="C5326" s="56" t="b">
        <v>0</v>
      </c>
      <c r="D5326" s="56" t="b">
        <v>0</v>
      </c>
      <c r="E5326" s="56">
        <f ca="1">IF(PV[[#This Row],[Business Date]]=Control!$C$6, PV[[#This Row],[Notional Value Local Cur]], -PV[[#This Row],[Notional Value Local Cur]])</f>
        <v>0</v>
      </c>
    </row>
    <row r="5327" spans="1:5" x14ac:dyDescent="0.25">
      <c r="A5327" s="36" t="b">
        <v>0</v>
      </c>
      <c r="B5327" s="56" t="b">
        <v>0</v>
      </c>
      <c r="C5327" s="56" t="b">
        <v>0</v>
      </c>
      <c r="D5327" s="56" t="b">
        <v>0</v>
      </c>
      <c r="E5327" s="56">
        <f ca="1">IF(PV[[#This Row],[Business Date]]=Control!$C$6, PV[[#This Row],[Notional Value Local Cur]], -PV[[#This Row],[Notional Value Local Cur]])</f>
        <v>0</v>
      </c>
    </row>
    <row r="5328" spans="1:5" x14ac:dyDescent="0.25">
      <c r="A5328" s="36" t="b">
        <v>0</v>
      </c>
      <c r="B5328" s="56" t="b">
        <v>0</v>
      </c>
      <c r="C5328" s="56" t="b">
        <v>0</v>
      </c>
      <c r="D5328" s="56" t="b">
        <v>0</v>
      </c>
      <c r="E5328" s="56">
        <f ca="1">IF(PV[[#This Row],[Business Date]]=Control!$C$6, PV[[#This Row],[Notional Value Local Cur]], -PV[[#This Row],[Notional Value Local Cur]])</f>
        <v>0</v>
      </c>
    </row>
    <row r="5329" spans="1:5" x14ac:dyDescent="0.25">
      <c r="A5329" s="36" t="b">
        <v>0</v>
      </c>
      <c r="B5329" s="56" t="b">
        <v>0</v>
      </c>
      <c r="C5329" s="56" t="b">
        <v>0</v>
      </c>
      <c r="D5329" s="56" t="b">
        <v>0</v>
      </c>
      <c r="E5329" s="56">
        <f ca="1">IF(PV[[#This Row],[Business Date]]=Control!$C$6, PV[[#This Row],[Notional Value Local Cur]], -PV[[#This Row],[Notional Value Local Cur]])</f>
        <v>0</v>
      </c>
    </row>
    <row r="5330" spans="1:5" x14ac:dyDescent="0.25">
      <c r="A5330" s="36" t="b">
        <v>0</v>
      </c>
      <c r="B5330" s="56" t="b">
        <v>0</v>
      </c>
      <c r="C5330" s="56" t="b">
        <v>0</v>
      </c>
      <c r="D5330" s="56" t="b">
        <v>0</v>
      </c>
      <c r="E5330" s="56">
        <f ca="1">IF(PV[[#This Row],[Business Date]]=Control!$C$6, PV[[#This Row],[Notional Value Local Cur]], -PV[[#This Row],[Notional Value Local Cur]])</f>
        <v>0</v>
      </c>
    </row>
    <row r="5331" spans="1:5" x14ac:dyDescent="0.25">
      <c r="A5331" s="36" t="b">
        <v>0</v>
      </c>
      <c r="B5331" s="56" t="b">
        <v>0</v>
      </c>
      <c r="C5331" s="56" t="b">
        <v>0</v>
      </c>
      <c r="D5331" s="56" t="b">
        <v>0</v>
      </c>
      <c r="E5331" s="56">
        <f ca="1">IF(PV[[#This Row],[Business Date]]=Control!$C$6, PV[[#This Row],[Notional Value Local Cur]], -PV[[#This Row],[Notional Value Local Cur]])</f>
        <v>0</v>
      </c>
    </row>
    <row r="5332" spans="1:5" x14ac:dyDescent="0.25">
      <c r="A5332" s="36" t="b">
        <v>0</v>
      </c>
      <c r="B5332" s="56" t="b">
        <v>0</v>
      </c>
      <c r="C5332" s="56" t="b">
        <v>0</v>
      </c>
      <c r="D5332" s="56" t="b">
        <v>0</v>
      </c>
      <c r="E5332" s="56">
        <f ca="1">IF(PV[[#This Row],[Business Date]]=Control!$C$6, PV[[#This Row],[Notional Value Local Cur]], -PV[[#This Row],[Notional Value Local Cur]])</f>
        <v>0</v>
      </c>
    </row>
    <row r="5333" spans="1:5" x14ac:dyDescent="0.25">
      <c r="A5333" s="36" t="b">
        <v>0</v>
      </c>
      <c r="B5333" s="56" t="b">
        <v>0</v>
      </c>
      <c r="C5333" s="56" t="b">
        <v>0</v>
      </c>
      <c r="D5333" s="56" t="b">
        <v>0</v>
      </c>
      <c r="E5333" s="56">
        <f ca="1">IF(PV[[#This Row],[Business Date]]=Control!$C$6, PV[[#This Row],[Notional Value Local Cur]], -PV[[#This Row],[Notional Value Local Cur]])</f>
        <v>0</v>
      </c>
    </row>
    <row r="5334" spans="1:5" x14ac:dyDescent="0.25">
      <c r="A5334" s="36" t="b">
        <v>0</v>
      </c>
      <c r="B5334" s="56" t="b">
        <v>0</v>
      </c>
      <c r="C5334" s="56" t="b">
        <v>0</v>
      </c>
      <c r="D5334" s="56" t="b">
        <v>0</v>
      </c>
      <c r="E5334" s="56">
        <f ca="1">IF(PV[[#This Row],[Business Date]]=Control!$C$6, PV[[#This Row],[Notional Value Local Cur]], -PV[[#This Row],[Notional Value Local Cur]])</f>
        <v>0</v>
      </c>
    </row>
    <row r="5335" spans="1:5" x14ac:dyDescent="0.25">
      <c r="A5335" s="36" t="b">
        <v>0</v>
      </c>
      <c r="B5335" s="56" t="b">
        <v>0</v>
      </c>
      <c r="C5335" s="56" t="b">
        <v>0</v>
      </c>
      <c r="D5335" s="56" t="b">
        <v>0</v>
      </c>
      <c r="E5335" s="56">
        <f ca="1">IF(PV[[#This Row],[Business Date]]=Control!$C$6, PV[[#This Row],[Notional Value Local Cur]], -PV[[#This Row],[Notional Value Local Cur]])</f>
        <v>0</v>
      </c>
    </row>
    <row r="5336" spans="1:5" x14ac:dyDescent="0.25">
      <c r="A5336" s="36" t="b">
        <v>0</v>
      </c>
      <c r="B5336" s="56" t="b">
        <v>0</v>
      </c>
      <c r="C5336" s="56" t="b">
        <v>0</v>
      </c>
      <c r="D5336" s="56" t="b">
        <v>0</v>
      </c>
      <c r="E5336" s="56">
        <f ca="1">IF(PV[[#This Row],[Business Date]]=Control!$C$6, PV[[#This Row],[Notional Value Local Cur]], -PV[[#This Row],[Notional Value Local Cur]])</f>
        <v>0</v>
      </c>
    </row>
    <row r="5337" spans="1:5" x14ac:dyDescent="0.25">
      <c r="A5337" s="36" t="b">
        <v>0</v>
      </c>
      <c r="B5337" s="56" t="b">
        <v>0</v>
      </c>
      <c r="C5337" s="56" t="b">
        <v>0</v>
      </c>
      <c r="D5337" s="56" t="b">
        <v>0</v>
      </c>
      <c r="E5337" s="56">
        <f ca="1">IF(PV[[#This Row],[Business Date]]=Control!$C$6, PV[[#This Row],[Notional Value Local Cur]], -PV[[#This Row],[Notional Value Local Cur]])</f>
        <v>0</v>
      </c>
    </row>
    <row r="5338" spans="1:5" x14ac:dyDescent="0.25">
      <c r="A5338" s="36" t="b">
        <v>0</v>
      </c>
      <c r="B5338" s="56" t="b">
        <v>0</v>
      </c>
      <c r="C5338" s="56" t="b">
        <v>0</v>
      </c>
      <c r="D5338" s="56" t="b">
        <v>0</v>
      </c>
      <c r="E5338" s="56">
        <f ca="1">IF(PV[[#This Row],[Business Date]]=Control!$C$6, PV[[#This Row],[Notional Value Local Cur]], -PV[[#This Row],[Notional Value Local Cur]])</f>
        <v>0</v>
      </c>
    </row>
    <row r="5339" spans="1:5" x14ac:dyDescent="0.25">
      <c r="A5339" s="36" t="b">
        <v>0</v>
      </c>
      <c r="B5339" s="56" t="b">
        <v>0</v>
      </c>
      <c r="C5339" s="56" t="b">
        <v>0</v>
      </c>
      <c r="D5339" s="56" t="b">
        <v>0</v>
      </c>
      <c r="E5339" s="56">
        <f ca="1">IF(PV[[#This Row],[Business Date]]=Control!$C$6, PV[[#This Row],[Notional Value Local Cur]], -PV[[#This Row],[Notional Value Local Cur]])</f>
        <v>0</v>
      </c>
    </row>
    <row r="5340" spans="1:5" x14ac:dyDescent="0.25">
      <c r="A5340" s="36" t="b">
        <v>0</v>
      </c>
      <c r="B5340" s="56" t="b">
        <v>0</v>
      </c>
      <c r="C5340" s="56" t="b">
        <v>0</v>
      </c>
      <c r="D5340" s="56" t="b">
        <v>0</v>
      </c>
      <c r="E5340" s="56">
        <f ca="1">IF(PV[[#This Row],[Business Date]]=Control!$C$6, PV[[#This Row],[Notional Value Local Cur]], -PV[[#This Row],[Notional Value Local Cur]])</f>
        <v>0</v>
      </c>
    </row>
    <row r="5341" spans="1:5" x14ac:dyDescent="0.25">
      <c r="A5341" s="36" t="b">
        <v>0</v>
      </c>
      <c r="B5341" s="56" t="b">
        <v>0</v>
      </c>
      <c r="C5341" s="56" t="b">
        <v>0</v>
      </c>
      <c r="D5341" s="56" t="b">
        <v>0</v>
      </c>
      <c r="E5341" s="56">
        <f ca="1">IF(PV[[#This Row],[Business Date]]=Control!$C$6, PV[[#This Row],[Notional Value Local Cur]], -PV[[#This Row],[Notional Value Local Cur]])</f>
        <v>0</v>
      </c>
    </row>
    <row r="5342" spans="1:5" x14ac:dyDescent="0.25">
      <c r="A5342" s="36" t="b">
        <v>0</v>
      </c>
      <c r="B5342" s="56" t="b">
        <v>0</v>
      </c>
      <c r="C5342" s="56" t="b">
        <v>0</v>
      </c>
      <c r="D5342" s="56" t="b">
        <v>0</v>
      </c>
      <c r="E5342" s="56">
        <f ca="1">IF(PV[[#This Row],[Business Date]]=Control!$C$6, PV[[#This Row],[Notional Value Local Cur]], -PV[[#This Row],[Notional Value Local Cur]])</f>
        <v>0</v>
      </c>
    </row>
    <row r="5343" spans="1:5" x14ac:dyDescent="0.25">
      <c r="A5343" s="36" t="b">
        <v>0</v>
      </c>
      <c r="B5343" s="56" t="b">
        <v>0</v>
      </c>
      <c r="C5343" s="56" t="b">
        <v>0</v>
      </c>
      <c r="D5343" s="56" t="b">
        <v>0</v>
      </c>
      <c r="E5343" s="56">
        <f ca="1">IF(PV[[#This Row],[Business Date]]=Control!$C$6, PV[[#This Row],[Notional Value Local Cur]], -PV[[#This Row],[Notional Value Local Cur]])</f>
        <v>0</v>
      </c>
    </row>
    <row r="5344" spans="1:5" x14ac:dyDescent="0.25">
      <c r="A5344" s="36" t="b">
        <v>0</v>
      </c>
      <c r="B5344" s="56" t="b">
        <v>0</v>
      </c>
      <c r="C5344" s="56" t="b">
        <v>0</v>
      </c>
      <c r="D5344" s="56" t="b">
        <v>0</v>
      </c>
      <c r="E5344" s="56">
        <f ca="1">IF(PV[[#This Row],[Business Date]]=Control!$C$6, PV[[#This Row],[Notional Value Local Cur]], -PV[[#This Row],[Notional Value Local Cur]])</f>
        <v>0</v>
      </c>
    </row>
    <row r="5345" spans="1:5" x14ac:dyDescent="0.25">
      <c r="A5345" s="36" t="b">
        <v>0</v>
      </c>
      <c r="B5345" s="56" t="b">
        <v>0</v>
      </c>
      <c r="C5345" s="56" t="b">
        <v>0</v>
      </c>
      <c r="D5345" s="56" t="b">
        <v>0</v>
      </c>
      <c r="E5345" s="56">
        <f ca="1">IF(PV[[#This Row],[Business Date]]=Control!$C$6, PV[[#This Row],[Notional Value Local Cur]], -PV[[#This Row],[Notional Value Local Cur]])</f>
        <v>0</v>
      </c>
    </row>
    <row r="5346" spans="1:5" x14ac:dyDescent="0.25">
      <c r="A5346" s="36" t="b">
        <v>0</v>
      </c>
      <c r="B5346" s="56" t="b">
        <v>0</v>
      </c>
      <c r="C5346" s="56" t="b">
        <v>0</v>
      </c>
      <c r="D5346" s="56" t="b">
        <v>0</v>
      </c>
      <c r="E5346" s="56">
        <f ca="1">IF(PV[[#This Row],[Business Date]]=Control!$C$6, PV[[#This Row],[Notional Value Local Cur]], -PV[[#This Row],[Notional Value Local Cur]])</f>
        <v>0</v>
      </c>
    </row>
    <row r="5347" spans="1:5" x14ac:dyDescent="0.25">
      <c r="A5347" s="36" t="b">
        <v>0</v>
      </c>
      <c r="B5347" s="56" t="b">
        <v>0</v>
      </c>
      <c r="C5347" s="56" t="b">
        <v>0</v>
      </c>
      <c r="D5347" s="56" t="b">
        <v>0</v>
      </c>
      <c r="E5347" s="56">
        <f ca="1">IF(PV[[#This Row],[Business Date]]=Control!$C$6, PV[[#This Row],[Notional Value Local Cur]], -PV[[#This Row],[Notional Value Local Cur]])</f>
        <v>0</v>
      </c>
    </row>
    <row r="5348" spans="1:5" x14ac:dyDescent="0.25">
      <c r="A5348" s="36" t="b">
        <v>0</v>
      </c>
      <c r="B5348" s="56" t="b">
        <v>0</v>
      </c>
      <c r="C5348" s="56" t="b">
        <v>0</v>
      </c>
      <c r="D5348" s="56" t="b">
        <v>0</v>
      </c>
      <c r="E5348" s="56">
        <f ca="1">IF(PV[[#This Row],[Business Date]]=Control!$C$6, PV[[#This Row],[Notional Value Local Cur]], -PV[[#This Row],[Notional Value Local Cur]])</f>
        <v>0</v>
      </c>
    </row>
    <row r="5349" spans="1:5" x14ac:dyDescent="0.25">
      <c r="A5349" s="36" t="b">
        <v>0</v>
      </c>
      <c r="B5349" s="56" t="b">
        <v>0</v>
      </c>
      <c r="C5349" s="56" t="b">
        <v>0</v>
      </c>
      <c r="D5349" s="56" t="b">
        <v>0</v>
      </c>
      <c r="E5349" s="56">
        <f ca="1">IF(PV[[#This Row],[Business Date]]=Control!$C$6, PV[[#This Row],[Notional Value Local Cur]], -PV[[#This Row],[Notional Value Local Cur]])</f>
        <v>0</v>
      </c>
    </row>
    <row r="5350" spans="1:5" x14ac:dyDescent="0.25">
      <c r="A5350" s="36" t="b">
        <v>0</v>
      </c>
      <c r="B5350" s="56" t="b">
        <v>0</v>
      </c>
      <c r="C5350" s="56" t="b">
        <v>0</v>
      </c>
      <c r="D5350" s="56" t="b">
        <v>0</v>
      </c>
      <c r="E5350" s="56">
        <f ca="1">IF(PV[[#This Row],[Business Date]]=Control!$C$6, PV[[#This Row],[Notional Value Local Cur]], -PV[[#This Row],[Notional Value Local Cur]])</f>
        <v>0</v>
      </c>
    </row>
    <row r="5351" spans="1:5" x14ac:dyDescent="0.25">
      <c r="A5351" s="36" t="b">
        <v>0</v>
      </c>
      <c r="B5351" s="56" t="b">
        <v>0</v>
      </c>
      <c r="C5351" s="56" t="b">
        <v>0</v>
      </c>
      <c r="D5351" s="56" t="b">
        <v>0</v>
      </c>
      <c r="E5351" s="56">
        <f ca="1">IF(PV[[#This Row],[Business Date]]=Control!$C$6, PV[[#This Row],[Notional Value Local Cur]], -PV[[#This Row],[Notional Value Local Cur]])</f>
        <v>0</v>
      </c>
    </row>
    <row r="5352" spans="1:5" x14ac:dyDescent="0.25">
      <c r="A5352" s="36" t="b">
        <v>0</v>
      </c>
      <c r="B5352" s="56" t="b">
        <v>0</v>
      </c>
      <c r="C5352" s="56" t="b">
        <v>0</v>
      </c>
      <c r="D5352" s="56" t="b">
        <v>0</v>
      </c>
      <c r="E5352" s="56">
        <f ca="1">IF(PV[[#This Row],[Business Date]]=Control!$C$6, PV[[#This Row],[Notional Value Local Cur]], -PV[[#This Row],[Notional Value Local Cur]])</f>
        <v>0</v>
      </c>
    </row>
    <row r="5353" spans="1:5" x14ac:dyDescent="0.25">
      <c r="A5353" s="36" t="b">
        <v>0</v>
      </c>
      <c r="B5353" s="56" t="b">
        <v>0</v>
      </c>
      <c r="C5353" s="56" t="b">
        <v>0</v>
      </c>
      <c r="D5353" s="56" t="b">
        <v>0</v>
      </c>
      <c r="E5353" s="56">
        <f ca="1">IF(PV[[#This Row],[Business Date]]=Control!$C$6, PV[[#This Row],[Notional Value Local Cur]], -PV[[#This Row],[Notional Value Local Cur]])</f>
        <v>0</v>
      </c>
    </row>
    <row r="5354" spans="1:5" x14ac:dyDescent="0.25">
      <c r="A5354" s="36" t="b">
        <v>0</v>
      </c>
      <c r="B5354" s="56" t="b">
        <v>0</v>
      </c>
      <c r="C5354" s="56" t="b">
        <v>0</v>
      </c>
      <c r="D5354" s="56" t="b">
        <v>0</v>
      </c>
      <c r="E5354" s="56">
        <f ca="1">IF(PV[[#This Row],[Business Date]]=Control!$C$6, PV[[#This Row],[Notional Value Local Cur]], -PV[[#This Row],[Notional Value Local Cur]])</f>
        <v>0</v>
      </c>
    </row>
    <row r="5355" spans="1:5" x14ac:dyDescent="0.25">
      <c r="A5355" s="36" t="b">
        <v>0</v>
      </c>
      <c r="B5355" s="56" t="b">
        <v>0</v>
      </c>
      <c r="C5355" s="56" t="b">
        <v>0</v>
      </c>
      <c r="D5355" s="56" t="b">
        <v>0</v>
      </c>
      <c r="E5355" s="56">
        <f ca="1">IF(PV[[#This Row],[Business Date]]=Control!$C$6, PV[[#This Row],[Notional Value Local Cur]], -PV[[#This Row],[Notional Value Local Cur]])</f>
        <v>0</v>
      </c>
    </row>
    <row r="5356" spans="1:5" x14ac:dyDescent="0.25">
      <c r="A5356" s="36" t="b">
        <v>0</v>
      </c>
      <c r="B5356" s="56" t="b">
        <v>0</v>
      </c>
      <c r="C5356" s="56" t="b">
        <v>0</v>
      </c>
      <c r="D5356" s="56" t="b">
        <v>0</v>
      </c>
      <c r="E5356" s="56">
        <f ca="1">IF(PV[[#This Row],[Business Date]]=Control!$C$6, PV[[#This Row],[Notional Value Local Cur]], -PV[[#This Row],[Notional Value Local Cur]])</f>
        <v>0</v>
      </c>
    </row>
    <row r="5357" spans="1:5" x14ac:dyDescent="0.25">
      <c r="A5357" s="36" t="b">
        <v>0</v>
      </c>
      <c r="B5357" s="56" t="b">
        <v>0</v>
      </c>
      <c r="C5357" s="56" t="b">
        <v>0</v>
      </c>
      <c r="D5357" s="56" t="b">
        <v>0</v>
      </c>
      <c r="E5357" s="56">
        <f ca="1">IF(PV[[#This Row],[Business Date]]=Control!$C$6, PV[[#This Row],[Notional Value Local Cur]], -PV[[#This Row],[Notional Value Local Cur]])</f>
        <v>0</v>
      </c>
    </row>
    <row r="5358" spans="1:5" x14ac:dyDescent="0.25">
      <c r="A5358" s="36" t="b">
        <v>0</v>
      </c>
      <c r="B5358" s="56" t="b">
        <v>0</v>
      </c>
      <c r="C5358" s="56" t="b">
        <v>0</v>
      </c>
      <c r="D5358" s="56" t="b">
        <v>0</v>
      </c>
      <c r="E5358" s="56">
        <f ca="1">IF(PV[[#This Row],[Business Date]]=Control!$C$6, PV[[#This Row],[Notional Value Local Cur]], -PV[[#This Row],[Notional Value Local Cur]])</f>
        <v>0</v>
      </c>
    </row>
    <row r="5359" spans="1:5" x14ac:dyDescent="0.25">
      <c r="A5359" s="36" t="b">
        <v>0</v>
      </c>
      <c r="B5359" s="56" t="b">
        <v>0</v>
      </c>
      <c r="C5359" s="56" t="b">
        <v>0</v>
      </c>
      <c r="D5359" s="56" t="b">
        <v>0</v>
      </c>
      <c r="E5359" s="56">
        <f ca="1">IF(PV[[#This Row],[Business Date]]=Control!$C$6, PV[[#This Row],[Notional Value Local Cur]], -PV[[#This Row],[Notional Value Local Cur]])</f>
        <v>0</v>
      </c>
    </row>
    <row r="5360" spans="1:5" x14ac:dyDescent="0.25">
      <c r="A5360" s="36" t="b">
        <v>0</v>
      </c>
      <c r="B5360" s="56" t="b">
        <v>0</v>
      </c>
      <c r="C5360" s="56" t="b">
        <v>0</v>
      </c>
      <c r="D5360" s="56" t="b">
        <v>0</v>
      </c>
      <c r="E5360" s="56">
        <f ca="1">IF(PV[[#This Row],[Business Date]]=Control!$C$6, PV[[#This Row],[Notional Value Local Cur]], -PV[[#This Row],[Notional Value Local Cur]])</f>
        <v>0</v>
      </c>
    </row>
    <row r="5361" spans="1:5" x14ac:dyDescent="0.25">
      <c r="A5361" s="36" t="b">
        <v>0</v>
      </c>
      <c r="B5361" s="56" t="b">
        <v>0</v>
      </c>
      <c r="C5361" s="56" t="b">
        <v>0</v>
      </c>
      <c r="D5361" s="56" t="b">
        <v>0</v>
      </c>
      <c r="E5361" s="56">
        <f ca="1">IF(PV[[#This Row],[Business Date]]=Control!$C$6, PV[[#This Row],[Notional Value Local Cur]], -PV[[#This Row],[Notional Value Local Cur]])</f>
        <v>0</v>
      </c>
    </row>
    <row r="5362" spans="1:5" x14ac:dyDescent="0.25">
      <c r="A5362" s="36" t="b">
        <v>0</v>
      </c>
      <c r="B5362" s="56" t="b">
        <v>0</v>
      </c>
      <c r="C5362" s="56" t="b">
        <v>0</v>
      </c>
      <c r="D5362" s="56" t="b">
        <v>0</v>
      </c>
      <c r="E5362" s="56">
        <f ca="1">IF(PV[[#This Row],[Business Date]]=Control!$C$6, PV[[#This Row],[Notional Value Local Cur]], -PV[[#This Row],[Notional Value Local Cur]])</f>
        <v>0</v>
      </c>
    </row>
    <row r="5363" spans="1:5" x14ac:dyDescent="0.25">
      <c r="A5363" s="36" t="b">
        <v>0</v>
      </c>
      <c r="B5363" s="56" t="b">
        <v>0</v>
      </c>
      <c r="C5363" s="56" t="b">
        <v>0</v>
      </c>
      <c r="D5363" s="56" t="b">
        <v>0</v>
      </c>
      <c r="E5363" s="56">
        <f ca="1">IF(PV[[#This Row],[Business Date]]=Control!$C$6, PV[[#This Row],[Notional Value Local Cur]], -PV[[#This Row],[Notional Value Local Cur]])</f>
        <v>0</v>
      </c>
    </row>
    <row r="5364" spans="1:5" x14ac:dyDescent="0.25">
      <c r="A5364" s="36" t="b">
        <v>0</v>
      </c>
      <c r="B5364" s="56" t="b">
        <v>0</v>
      </c>
      <c r="C5364" s="56" t="b">
        <v>0</v>
      </c>
      <c r="D5364" s="56" t="b">
        <v>0</v>
      </c>
      <c r="E5364" s="56">
        <f ca="1">IF(PV[[#This Row],[Business Date]]=Control!$C$6, PV[[#This Row],[Notional Value Local Cur]], -PV[[#This Row],[Notional Value Local Cur]])</f>
        <v>0</v>
      </c>
    </row>
    <row r="5365" spans="1:5" x14ac:dyDescent="0.25">
      <c r="A5365" s="36" t="b">
        <v>0</v>
      </c>
      <c r="B5365" s="56" t="b">
        <v>0</v>
      </c>
      <c r="C5365" s="56" t="b">
        <v>0</v>
      </c>
      <c r="D5365" s="56" t="b">
        <v>0</v>
      </c>
      <c r="E5365" s="56">
        <f ca="1">IF(PV[[#This Row],[Business Date]]=Control!$C$6, PV[[#This Row],[Notional Value Local Cur]], -PV[[#This Row],[Notional Value Local Cur]])</f>
        <v>0</v>
      </c>
    </row>
    <row r="5366" spans="1:5" x14ac:dyDescent="0.25">
      <c r="A5366" s="36" t="b">
        <v>0</v>
      </c>
      <c r="B5366" s="56" t="b">
        <v>0</v>
      </c>
      <c r="C5366" s="56" t="b">
        <v>0</v>
      </c>
      <c r="D5366" s="56" t="b">
        <v>0</v>
      </c>
      <c r="E5366" s="56">
        <f ca="1">IF(PV[[#This Row],[Business Date]]=Control!$C$6, PV[[#This Row],[Notional Value Local Cur]], -PV[[#This Row],[Notional Value Local Cur]])</f>
        <v>0</v>
      </c>
    </row>
    <row r="5367" spans="1:5" x14ac:dyDescent="0.25">
      <c r="A5367" s="36" t="b">
        <v>0</v>
      </c>
      <c r="B5367" s="56" t="b">
        <v>0</v>
      </c>
      <c r="C5367" s="56" t="b">
        <v>0</v>
      </c>
      <c r="D5367" s="56" t="b">
        <v>0</v>
      </c>
      <c r="E5367" s="56">
        <f ca="1">IF(PV[[#This Row],[Business Date]]=Control!$C$6, PV[[#This Row],[Notional Value Local Cur]], -PV[[#This Row],[Notional Value Local Cur]])</f>
        <v>0</v>
      </c>
    </row>
    <row r="5368" spans="1:5" x14ac:dyDescent="0.25">
      <c r="A5368" s="36" t="b">
        <v>0</v>
      </c>
      <c r="B5368" s="56" t="b">
        <v>0</v>
      </c>
      <c r="C5368" s="56" t="b">
        <v>0</v>
      </c>
      <c r="D5368" s="56" t="b">
        <v>0</v>
      </c>
      <c r="E5368" s="56">
        <f ca="1">IF(PV[[#This Row],[Business Date]]=Control!$C$6, PV[[#This Row],[Notional Value Local Cur]], -PV[[#This Row],[Notional Value Local Cur]])</f>
        <v>0</v>
      </c>
    </row>
    <row r="5369" spans="1:5" x14ac:dyDescent="0.25">
      <c r="A5369" s="36" t="b">
        <v>0</v>
      </c>
      <c r="B5369" s="56" t="b">
        <v>0</v>
      </c>
      <c r="C5369" s="56" t="b">
        <v>0</v>
      </c>
      <c r="D5369" s="56" t="b">
        <v>0</v>
      </c>
      <c r="E5369" s="56">
        <f ca="1">IF(PV[[#This Row],[Business Date]]=Control!$C$6, PV[[#This Row],[Notional Value Local Cur]], -PV[[#This Row],[Notional Value Local Cur]])</f>
        <v>0</v>
      </c>
    </row>
    <row r="5370" spans="1:5" x14ac:dyDescent="0.25">
      <c r="A5370" s="36" t="b">
        <v>0</v>
      </c>
      <c r="B5370" s="56" t="b">
        <v>0</v>
      </c>
      <c r="C5370" s="56" t="b">
        <v>0</v>
      </c>
      <c r="D5370" s="56" t="b">
        <v>0</v>
      </c>
      <c r="E5370" s="56">
        <f ca="1">IF(PV[[#This Row],[Business Date]]=Control!$C$6, PV[[#This Row],[Notional Value Local Cur]], -PV[[#This Row],[Notional Value Local Cur]])</f>
        <v>0</v>
      </c>
    </row>
    <row r="5371" spans="1:5" x14ac:dyDescent="0.25">
      <c r="A5371" s="36" t="b">
        <v>0</v>
      </c>
      <c r="B5371" s="56" t="b">
        <v>0</v>
      </c>
      <c r="C5371" s="56" t="b">
        <v>0</v>
      </c>
      <c r="D5371" s="56" t="b">
        <v>0</v>
      </c>
      <c r="E5371" s="56">
        <f ca="1">IF(PV[[#This Row],[Business Date]]=Control!$C$6, PV[[#This Row],[Notional Value Local Cur]], -PV[[#This Row],[Notional Value Local Cur]])</f>
        <v>0</v>
      </c>
    </row>
    <row r="5372" spans="1:5" x14ac:dyDescent="0.25">
      <c r="A5372" s="36" t="b">
        <v>0</v>
      </c>
      <c r="B5372" s="56" t="b">
        <v>0</v>
      </c>
      <c r="C5372" s="56" t="b">
        <v>0</v>
      </c>
      <c r="D5372" s="56" t="b">
        <v>0</v>
      </c>
      <c r="E5372" s="56">
        <f ca="1">IF(PV[[#This Row],[Business Date]]=Control!$C$6, PV[[#This Row],[Notional Value Local Cur]], -PV[[#This Row],[Notional Value Local Cur]])</f>
        <v>0</v>
      </c>
    </row>
    <row r="5373" spans="1:5" x14ac:dyDescent="0.25">
      <c r="A5373" s="36" t="b">
        <v>0</v>
      </c>
      <c r="B5373" s="56" t="b">
        <v>0</v>
      </c>
      <c r="C5373" s="56" t="b">
        <v>0</v>
      </c>
      <c r="D5373" s="56" t="b">
        <v>0</v>
      </c>
      <c r="E5373" s="56">
        <f ca="1">IF(PV[[#This Row],[Business Date]]=Control!$C$6, PV[[#This Row],[Notional Value Local Cur]], -PV[[#This Row],[Notional Value Local Cur]])</f>
        <v>0</v>
      </c>
    </row>
    <row r="5374" spans="1:5" x14ac:dyDescent="0.25">
      <c r="A5374" s="36" t="b">
        <v>0</v>
      </c>
      <c r="B5374" s="56" t="b">
        <v>0</v>
      </c>
      <c r="C5374" s="56" t="b">
        <v>0</v>
      </c>
      <c r="D5374" s="56" t="b">
        <v>0</v>
      </c>
      <c r="E5374" s="56">
        <f ca="1">IF(PV[[#This Row],[Business Date]]=Control!$C$6, PV[[#This Row],[Notional Value Local Cur]], -PV[[#This Row],[Notional Value Local Cur]])</f>
        <v>0</v>
      </c>
    </row>
    <row r="5375" spans="1:5" x14ac:dyDescent="0.25">
      <c r="A5375" s="36" t="b">
        <v>0</v>
      </c>
      <c r="B5375" s="56" t="b">
        <v>0</v>
      </c>
      <c r="C5375" s="56" t="b">
        <v>0</v>
      </c>
      <c r="D5375" s="56" t="b">
        <v>0</v>
      </c>
      <c r="E5375" s="56">
        <f ca="1">IF(PV[[#This Row],[Business Date]]=Control!$C$6, PV[[#This Row],[Notional Value Local Cur]], -PV[[#This Row],[Notional Value Local Cur]])</f>
        <v>0</v>
      </c>
    </row>
    <row r="5376" spans="1:5" x14ac:dyDescent="0.25">
      <c r="A5376" s="36" t="b">
        <v>0</v>
      </c>
      <c r="B5376" s="56" t="b">
        <v>0</v>
      </c>
      <c r="C5376" s="56" t="b">
        <v>0</v>
      </c>
      <c r="D5376" s="56" t="b">
        <v>0</v>
      </c>
      <c r="E5376" s="56">
        <f ca="1">IF(PV[[#This Row],[Business Date]]=Control!$C$6, PV[[#This Row],[Notional Value Local Cur]], -PV[[#This Row],[Notional Value Local Cur]])</f>
        <v>0</v>
      </c>
    </row>
    <row r="5377" spans="1:5" x14ac:dyDescent="0.25">
      <c r="A5377" s="36" t="b">
        <v>0</v>
      </c>
      <c r="B5377" s="56" t="b">
        <v>0</v>
      </c>
      <c r="C5377" s="56" t="b">
        <v>0</v>
      </c>
      <c r="D5377" s="56" t="b">
        <v>0</v>
      </c>
      <c r="E5377" s="56">
        <f ca="1">IF(PV[[#This Row],[Business Date]]=Control!$C$6, PV[[#This Row],[Notional Value Local Cur]], -PV[[#This Row],[Notional Value Local Cur]])</f>
        <v>0</v>
      </c>
    </row>
    <row r="5378" spans="1:5" x14ac:dyDescent="0.25">
      <c r="A5378" s="36" t="b">
        <v>0</v>
      </c>
      <c r="B5378" s="56" t="b">
        <v>0</v>
      </c>
      <c r="C5378" s="56" t="b">
        <v>0</v>
      </c>
      <c r="D5378" s="56" t="b">
        <v>0</v>
      </c>
      <c r="E5378" s="56">
        <f ca="1">IF(PV[[#This Row],[Business Date]]=Control!$C$6, PV[[#This Row],[Notional Value Local Cur]], -PV[[#This Row],[Notional Value Local Cur]])</f>
        <v>0</v>
      </c>
    </row>
    <row r="5379" spans="1:5" x14ac:dyDescent="0.25">
      <c r="A5379" s="36" t="b">
        <v>0</v>
      </c>
      <c r="B5379" s="56" t="b">
        <v>0</v>
      </c>
      <c r="C5379" s="56" t="b">
        <v>0</v>
      </c>
      <c r="D5379" s="56" t="b">
        <v>0</v>
      </c>
      <c r="E5379" s="56">
        <f ca="1">IF(PV[[#This Row],[Business Date]]=Control!$C$6, PV[[#This Row],[Notional Value Local Cur]], -PV[[#This Row],[Notional Value Local Cur]])</f>
        <v>0</v>
      </c>
    </row>
    <row r="5380" spans="1:5" x14ac:dyDescent="0.25">
      <c r="A5380" s="36" t="b">
        <v>0</v>
      </c>
      <c r="B5380" s="56" t="b">
        <v>0</v>
      </c>
      <c r="C5380" s="56" t="b">
        <v>0</v>
      </c>
      <c r="D5380" s="56" t="b">
        <v>0</v>
      </c>
      <c r="E5380" s="56">
        <f ca="1">IF(PV[[#This Row],[Business Date]]=Control!$C$6, PV[[#This Row],[Notional Value Local Cur]], -PV[[#This Row],[Notional Value Local Cur]])</f>
        <v>0</v>
      </c>
    </row>
    <row r="5381" spans="1:5" x14ac:dyDescent="0.25">
      <c r="A5381" s="36" t="b">
        <v>0</v>
      </c>
      <c r="B5381" s="56" t="b">
        <v>0</v>
      </c>
      <c r="C5381" s="56" t="b">
        <v>0</v>
      </c>
      <c r="D5381" s="56" t="b">
        <v>0</v>
      </c>
      <c r="E5381" s="56">
        <f ca="1">IF(PV[[#This Row],[Business Date]]=Control!$C$6, PV[[#This Row],[Notional Value Local Cur]], -PV[[#This Row],[Notional Value Local Cur]])</f>
        <v>0</v>
      </c>
    </row>
    <row r="5382" spans="1:5" x14ac:dyDescent="0.25">
      <c r="A5382" s="36" t="b">
        <v>0</v>
      </c>
      <c r="B5382" s="56" t="b">
        <v>0</v>
      </c>
      <c r="C5382" s="56" t="b">
        <v>0</v>
      </c>
      <c r="D5382" s="56" t="b">
        <v>0</v>
      </c>
      <c r="E5382" s="56">
        <f ca="1">IF(PV[[#This Row],[Business Date]]=Control!$C$6, PV[[#This Row],[Notional Value Local Cur]], -PV[[#This Row],[Notional Value Local Cur]])</f>
        <v>0</v>
      </c>
    </row>
    <row r="5383" spans="1:5" x14ac:dyDescent="0.25">
      <c r="A5383" s="36" t="b">
        <v>0</v>
      </c>
      <c r="B5383" s="56" t="b">
        <v>0</v>
      </c>
      <c r="C5383" s="56" t="b">
        <v>0</v>
      </c>
      <c r="D5383" s="56" t="b">
        <v>0</v>
      </c>
      <c r="E5383" s="56">
        <f ca="1">IF(PV[[#This Row],[Business Date]]=Control!$C$6, PV[[#This Row],[Notional Value Local Cur]], -PV[[#This Row],[Notional Value Local Cur]])</f>
        <v>0</v>
      </c>
    </row>
    <row r="5384" spans="1:5" x14ac:dyDescent="0.25">
      <c r="A5384" s="36" t="b">
        <v>0</v>
      </c>
      <c r="B5384" s="56" t="b">
        <v>0</v>
      </c>
      <c r="C5384" s="56" t="b">
        <v>0</v>
      </c>
      <c r="D5384" s="56" t="b">
        <v>0</v>
      </c>
      <c r="E5384" s="56">
        <f ca="1">IF(PV[[#This Row],[Business Date]]=Control!$C$6, PV[[#This Row],[Notional Value Local Cur]], -PV[[#This Row],[Notional Value Local Cur]])</f>
        <v>0</v>
      </c>
    </row>
    <row r="5385" spans="1:5" x14ac:dyDescent="0.25">
      <c r="A5385" s="36" t="b">
        <v>0</v>
      </c>
      <c r="B5385" s="56" t="b">
        <v>0</v>
      </c>
      <c r="C5385" s="56" t="b">
        <v>0</v>
      </c>
      <c r="D5385" s="56" t="b">
        <v>0</v>
      </c>
      <c r="E5385" s="56">
        <f ca="1">IF(PV[[#This Row],[Business Date]]=Control!$C$6, PV[[#This Row],[Notional Value Local Cur]], -PV[[#This Row],[Notional Value Local Cur]])</f>
        <v>0</v>
      </c>
    </row>
    <row r="5386" spans="1:5" x14ac:dyDescent="0.25">
      <c r="A5386" s="36" t="b">
        <v>0</v>
      </c>
      <c r="B5386" s="56" t="b">
        <v>0</v>
      </c>
      <c r="C5386" s="56" t="b">
        <v>0</v>
      </c>
      <c r="D5386" s="56" t="b">
        <v>0</v>
      </c>
      <c r="E5386" s="56">
        <f ca="1">IF(PV[[#This Row],[Business Date]]=Control!$C$6, PV[[#This Row],[Notional Value Local Cur]], -PV[[#This Row],[Notional Value Local Cur]])</f>
        <v>0</v>
      </c>
    </row>
    <row r="5387" spans="1:5" x14ac:dyDescent="0.25">
      <c r="A5387" s="36" t="b">
        <v>0</v>
      </c>
      <c r="B5387" s="56" t="b">
        <v>0</v>
      </c>
      <c r="C5387" s="56" t="b">
        <v>0</v>
      </c>
      <c r="D5387" s="56" t="b">
        <v>0</v>
      </c>
      <c r="E5387" s="56">
        <f ca="1">IF(PV[[#This Row],[Business Date]]=Control!$C$6, PV[[#This Row],[Notional Value Local Cur]], -PV[[#This Row],[Notional Value Local Cur]])</f>
        <v>0</v>
      </c>
    </row>
    <row r="5388" spans="1:5" x14ac:dyDescent="0.25">
      <c r="A5388" s="36" t="b">
        <v>0</v>
      </c>
      <c r="B5388" s="56" t="b">
        <v>0</v>
      </c>
      <c r="C5388" s="56" t="b">
        <v>0</v>
      </c>
      <c r="D5388" s="56" t="b">
        <v>0</v>
      </c>
      <c r="E5388" s="56">
        <f ca="1">IF(PV[[#This Row],[Business Date]]=Control!$C$6, PV[[#This Row],[Notional Value Local Cur]], -PV[[#This Row],[Notional Value Local Cur]])</f>
        <v>0</v>
      </c>
    </row>
    <row r="5389" spans="1:5" x14ac:dyDescent="0.25">
      <c r="A5389" s="36" t="b">
        <v>0</v>
      </c>
      <c r="B5389" s="56" t="b">
        <v>0</v>
      </c>
      <c r="C5389" s="56" t="b">
        <v>0</v>
      </c>
      <c r="D5389" s="56" t="b">
        <v>0</v>
      </c>
      <c r="E5389" s="56">
        <f ca="1">IF(PV[[#This Row],[Business Date]]=Control!$C$6, PV[[#This Row],[Notional Value Local Cur]], -PV[[#This Row],[Notional Value Local Cur]])</f>
        <v>0</v>
      </c>
    </row>
    <row r="5390" spans="1:5" x14ac:dyDescent="0.25">
      <c r="A5390" s="36" t="b">
        <v>0</v>
      </c>
      <c r="B5390" s="56" t="b">
        <v>0</v>
      </c>
      <c r="C5390" s="56" t="b">
        <v>0</v>
      </c>
      <c r="D5390" s="56" t="b">
        <v>0</v>
      </c>
      <c r="E5390" s="56">
        <f ca="1">IF(PV[[#This Row],[Business Date]]=Control!$C$6, PV[[#This Row],[Notional Value Local Cur]], -PV[[#This Row],[Notional Value Local Cur]])</f>
        <v>0</v>
      </c>
    </row>
    <row r="5391" spans="1:5" x14ac:dyDescent="0.25">
      <c r="A5391" s="36" t="b">
        <v>0</v>
      </c>
      <c r="B5391" s="56" t="b">
        <v>0</v>
      </c>
      <c r="C5391" s="56" t="b">
        <v>0</v>
      </c>
      <c r="D5391" s="56" t="b">
        <v>0</v>
      </c>
      <c r="E5391" s="56">
        <f ca="1">IF(PV[[#This Row],[Business Date]]=Control!$C$6, PV[[#This Row],[Notional Value Local Cur]], -PV[[#This Row],[Notional Value Local Cur]])</f>
        <v>0</v>
      </c>
    </row>
    <row r="5392" spans="1:5" x14ac:dyDescent="0.25">
      <c r="A5392" s="36" t="b">
        <v>0</v>
      </c>
      <c r="B5392" s="56" t="b">
        <v>0</v>
      </c>
      <c r="C5392" s="56" t="b">
        <v>0</v>
      </c>
      <c r="D5392" s="56" t="b">
        <v>0</v>
      </c>
      <c r="E5392" s="56">
        <f ca="1">IF(PV[[#This Row],[Business Date]]=Control!$C$6, PV[[#This Row],[Notional Value Local Cur]], -PV[[#This Row],[Notional Value Local Cur]])</f>
        <v>0</v>
      </c>
    </row>
    <row r="5393" spans="1:5" x14ac:dyDescent="0.25">
      <c r="A5393" s="36" t="b">
        <v>0</v>
      </c>
      <c r="B5393" s="56" t="b">
        <v>0</v>
      </c>
      <c r="C5393" s="56" t="b">
        <v>0</v>
      </c>
      <c r="D5393" s="56" t="b">
        <v>0</v>
      </c>
      <c r="E5393" s="56">
        <f ca="1">IF(PV[[#This Row],[Business Date]]=Control!$C$6, PV[[#This Row],[Notional Value Local Cur]], -PV[[#This Row],[Notional Value Local Cur]])</f>
        <v>0</v>
      </c>
    </row>
    <row r="5394" spans="1:5" x14ac:dyDescent="0.25">
      <c r="A5394" s="36" t="b">
        <v>0</v>
      </c>
      <c r="B5394" s="56" t="b">
        <v>0</v>
      </c>
      <c r="C5394" s="56" t="b">
        <v>0</v>
      </c>
      <c r="D5394" s="56" t="b">
        <v>0</v>
      </c>
      <c r="E5394" s="56">
        <f ca="1">IF(PV[[#This Row],[Business Date]]=Control!$C$6, PV[[#This Row],[Notional Value Local Cur]], -PV[[#This Row],[Notional Value Local Cur]])</f>
        <v>0</v>
      </c>
    </row>
    <row r="5395" spans="1:5" x14ac:dyDescent="0.25">
      <c r="A5395" s="36" t="b">
        <v>0</v>
      </c>
      <c r="B5395" s="56" t="b">
        <v>0</v>
      </c>
      <c r="C5395" s="56" t="b">
        <v>0</v>
      </c>
      <c r="D5395" s="56" t="b">
        <v>0</v>
      </c>
      <c r="E5395" s="56">
        <f ca="1">IF(PV[[#This Row],[Business Date]]=Control!$C$6, PV[[#This Row],[Notional Value Local Cur]], -PV[[#This Row],[Notional Value Local Cur]])</f>
        <v>0</v>
      </c>
    </row>
    <row r="5396" spans="1:5" x14ac:dyDescent="0.25">
      <c r="A5396" s="36" t="b">
        <v>0</v>
      </c>
      <c r="B5396" s="56" t="b">
        <v>0</v>
      </c>
      <c r="C5396" s="56" t="b">
        <v>0</v>
      </c>
      <c r="D5396" s="56" t="b">
        <v>0</v>
      </c>
      <c r="E5396" s="56">
        <f ca="1">IF(PV[[#This Row],[Business Date]]=Control!$C$6, PV[[#This Row],[Notional Value Local Cur]], -PV[[#This Row],[Notional Value Local Cur]])</f>
        <v>0</v>
      </c>
    </row>
    <row r="5397" spans="1:5" x14ac:dyDescent="0.25">
      <c r="A5397" s="36" t="b">
        <v>0</v>
      </c>
      <c r="B5397" s="56" t="b">
        <v>0</v>
      </c>
      <c r="C5397" s="56" t="b">
        <v>0</v>
      </c>
      <c r="D5397" s="56" t="b">
        <v>0</v>
      </c>
      <c r="E5397" s="56">
        <f ca="1">IF(PV[[#This Row],[Business Date]]=Control!$C$6, PV[[#This Row],[Notional Value Local Cur]], -PV[[#This Row],[Notional Value Local Cur]])</f>
        <v>0</v>
      </c>
    </row>
    <row r="5398" spans="1:5" x14ac:dyDescent="0.25">
      <c r="A5398" s="36" t="b">
        <v>0</v>
      </c>
      <c r="B5398" s="56" t="b">
        <v>0</v>
      </c>
      <c r="C5398" s="56" t="b">
        <v>0</v>
      </c>
      <c r="D5398" s="56" t="b">
        <v>0</v>
      </c>
      <c r="E5398" s="56">
        <f ca="1">IF(PV[[#This Row],[Business Date]]=Control!$C$6, PV[[#This Row],[Notional Value Local Cur]], -PV[[#This Row],[Notional Value Local Cur]])</f>
        <v>0</v>
      </c>
    </row>
    <row r="5399" spans="1:5" x14ac:dyDescent="0.25">
      <c r="A5399" s="36" t="b">
        <v>0</v>
      </c>
      <c r="B5399" s="56" t="b">
        <v>0</v>
      </c>
      <c r="C5399" s="56" t="b">
        <v>0</v>
      </c>
      <c r="D5399" s="56" t="b">
        <v>0</v>
      </c>
      <c r="E5399" s="56">
        <f ca="1">IF(PV[[#This Row],[Business Date]]=Control!$C$6, PV[[#This Row],[Notional Value Local Cur]], -PV[[#This Row],[Notional Value Local Cur]])</f>
        <v>0</v>
      </c>
    </row>
    <row r="5400" spans="1:5" x14ac:dyDescent="0.25">
      <c r="A5400" s="36" t="b">
        <v>0</v>
      </c>
      <c r="B5400" s="56" t="b">
        <v>0</v>
      </c>
      <c r="C5400" s="56" t="b">
        <v>0</v>
      </c>
      <c r="D5400" s="56" t="b">
        <v>0</v>
      </c>
      <c r="E5400" s="56">
        <f ca="1">IF(PV[[#This Row],[Business Date]]=Control!$C$6, PV[[#This Row],[Notional Value Local Cur]], -PV[[#This Row],[Notional Value Local Cur]])</f>
        <v>0</v>
      </c>
    </row>
    <row r="5401" spans="1:5" x14ac:dyDescent="0.25">
      <c r="A5401" s="36" t="b">
        <v>0</v>
      </c>
      <c r="B5401" s="56" t="b">
        <v>0</v>
      </c>
      <c r="C5401" s="56" t="b">
        <v>0</v>
      </c>
      <c r="D5401" s="56" t="b">
        <v>0</v>
      </c>
      <c r="E5401" s="56">
        <f ca="1">IF(PV[[#This Row],[Business Date]]=Control!$C$6, PV[[#This Row],[Notional Value Local Cur]], -PV[[#This Row],[Notional Value Local Cur]])</f>
        <v>0</v>
      </c>
    </row>
    <row r="5402" spans="1:5" x14ac:dyDescent="0.25">
      <c r="A5402" s="36" t="b">
        <v>0</v>
      </c>
      <c r="B5402" s="56" t="b">
        <v>0</v>
      </c>
      <c r="C5402" s="56" t="b">
        <v>0</v>
      </c>
      <c r="D5402" s="56" t="b">
        <v>0</v>
      </c>
      <c r="E5402" s="56">
        <f ca="1">IF(PV[[#This Row],[Business Date]]=Control!$C$6, PV[[#This Row],[Notional Value Local Cur]], -PV[[#This Row],[Notional Value Local Cur]])</f>
        <v>0</v>
      </c>
    </row>
    <row r="5403" spans="1:5" x14ac:dyDescent="0.25">
      <c r="A5403" s="36" t="b">
        <v>0</v>
      </c>
      <c r="B5403" s="56" t="b">
        <v>0</v>
      </c>
      <c r="C5403" s="56" t="b">
        <v>0</v>
      </c>
      <c r="D5403" s="56" t="b">
        <v>0</v>
      </c>
      <c r="E5403" s="56">
        <f ca="1">IF(PV[[#This Row],[Business Date]]=Control!$C$6, PV[[#This Row],[Notional Value Local Cur]], -PV[[#This Row],[Notional Value Local Cur]])</f>
        <v>0</v>
      </c>
    </row>
    <row r="5404" spans="1:5" x14ac:dyDescent="0.25">
      <c r="A5404" s="36" t="b">
        <v>0</v>
      </c>
      <c r="B5404" s="56" t="b">
        <v>0</v>
      </c>
      <c r="C5404" s="56" t="b">
        <v>0</v>
      </c>
      <c r="D5404" s="56" t="b">
        <v>0</v>
      </c>
      <c r="E5404" s="56">
        <f ca="1">IF(PV[[#This Row],[Business Date]]=Control!$C$6, PV[[#This Row],[Notional Value Local Cur]], -PV[[#This Row],[Notional Value Local Cur]])</f>
        <v>0</v>
      </c>
    </row>
    <row r="5405" spans="1:5" x14ac:dyDescent="0.25">
      <c r="A5405" s="36" t="b">
        <v>0</v>
      </c>
      <c r="B5405" s="56" t="b">
        <v>0</v>
      </c>
      <c r="C5405" s="56" t="b">
        <v>0</v>
      </c>
      <c r="D5405" s="56" t="b">
        <v>0</v>
      </c>
      <c r="E5405" s="56">
        <f ca="1">IF(PV[[#This Row],[Business Date]]=Control!$C$6, PV[[#This Row],[Notional Value Local Cur]], -PV[[#This Row],[Notional Value Local Cur]])</f>
        <v>0</v>
      </c>
    </row>
    <row r="5406" spans="1:5" x14ac:dyDescent="0.25">
      <c r="A5406" s="36" t="b">
        <v>0</v>
      </c>
      <c r="B5406" s="56" t="b">
        <v>0</v>
      </c>
      <c r="C5406" s="56" t="b">
        <v>0</v>
      </c>
      <c r="D5406" s="56" t="b">
        <v>0</v>
      </c>
      <c r="E5406" s="56">
        <f ca="1">IF(PV[[#This Row],[Business Date]]=Control!$C$6, PV[[#This Row],[Notional Value Local Cur]], -PV[[#This Row],[Notional Value Local Cur]])</f>
        <v>0</v>
      </c>
    </row>
    <row r="5407" spans="1:5" x14ac:dyDescent="0.25">
      <c r="A5407" s="36" t="b">
        <v>0</v>
      </c>
      <c r="B5407" s="56" t="b">
        <v>0</v>
      </c>
      <c r="C5407" s="56" t="b">
        <v>0</v>
      </c>
      <c r="D5407" s="56" t="b">
        <v>0</v>
      </c>
      <c r="E5407" s="56">
        <f ca="1">IF(PV[[#This Row],[Business Date]]=Control!$C$6, PV[[#This Row],[Notional Value Local Cur]], -PV[[#This Row],[Notional Value Local Cur]])</f>
        <v>0</v>
      </c>
    </row>
    <row r="5408" spans="1:5" x14ac:dyDescent="0.25">
      <c r="A5408" s="36" t="b">
        <v>0</v>
      </c>
      <c r="B5408" s="56" t="b">
        <v>0</v>
      </c>
      <c r="C5408" s="56" t="b">
        <v>0</v>
      </c>
      <c r="D5408" s="56" t="b">
        <v>0</v>
      </c>
      <c r="E5408" s="56">
        <f ca="1">IF(PV[[#This Row],[Business Date]]=Control!$C$6, PV[[#This Row],[Notional Value Local Cur]], -PV[[#This Row],[Notional Value Local Cur]])</f>
        <v>0</v>
      </c>
    </row>
    <row r="5409" spans="1:5" x14ac:dyDescent="0.25">
      <c r="A5409" s="36" t="b">
        <v>0</v>
      </c>
      <c r="B5409" s="56" t="b">
        <v>0</v>
      </c>
      <c r="C5409" s="56" t="b">
        <v>0</v>
      </c>
      <c r="D5409" s="56" t="b">
        <v>0</v>
      </c>
      <c r="E5409" s="56">
        <f ca="1">IF(PV[[#This Row],[Business Date]]=Control!$C$6, PV[[#This Row],[Notional Value Local Cur]], -PV[[#This Row],[Notional Value Local Cur]])</f>
        <v>0</v>
      </c>
    </row>
    <row r="5410" spans="1:5" x14ac:dyDescent="0.25">
      <c r="A5410" s="36" t="b">
        <v>0</v>
      </c>
      <c r="B5410" s="56" t="b">
        <v>0</v>
      </c>
      <c r="C5410" s="56" t="b">
        <v>0</v>
      </c>
      <c r="D5410" s="56" t="b">
        <v>0</v>
      </c>
      <c r="E5410" s="56">
        <f ca="1">IF(PV[[#This Row],[Business Date]]=Control!$C$6, PV[[#This Row],[Notional Value Local Cur]], -PV[[#This Row],[Notional Value Local Cur]])</f>
        <v>0</v>
      </c>
    </row>
    <row r="5411" spans="1:5" x14ac:dyDescent="0.25">
      <c r="A5411" s="36" t="b">
        <v>0</v>
      </c>
      <c r="B5411" s="56" t="b">
        <v>0</v>
      </c>
      <c r="C5411" s="56" t="b">
        <v>0</v>
      </c>
      <c r="D5411" s="56" t="b">
        <v>0</v>
      </c>
      <c r="E5411" s="56">
        <f ca="1">IF(PV[[#This Row],[Business Date]]=Control!$C$6, PV[[#This Row],[Notional Value Local Cur]], -PV[[#This Row],[Notional Value Local Cur]])</f>
        <v>0</v>
      </c>
    </row>
    <row r="5412" spans="1:5" x14ac:dyDescent="0.25">
      <c r="A5412" s="36" t="b">
        <v>0</v>
      </c>
      <c r="B5412" s="56" t="b">
        <v>0</v>
      </c>
      <c r="C5412" s="56" t="b">
        <v>0</v>
      </c>
      <c r="D5412" s="56" t="b">
        <v>0</v>
      </c>
      <c r="E5412" s="56">
        <f ca="1">IF(PV[[#This Row],[Business Date]]=Control!$C$6, PV[[#This Row],[Notional Value Local Cur]], -PV[[#This Row],[Notional Value Local Cur]])</f>
        <v>0</v>
      </c>
    </row>
    <row r="5413" spans="1:5" x14ac:dyDescent="0.25">
      <c r="A5413" s="36" t="b">
        <v>0</v>
      </c>
      <c r="B5413" s="56" t="b">
        <v>0</v>
      </c>
      <c r="C5413" s="56" t="b">
        <v>0</v>
      </c>
      <c r="D5413" s="56" t="b">
        <v>0</v>
      </c>
      <c r="E5413" s="56">
        <f ca="1">IF(PV[[#This Row],[Business Date]]=Control!$C$6, PV[[#This Row],[Notional Value Local Cur]], -PV[[#This Row],[Notional Value Local Cur]])</f>
        <v>0</v>
      </c>
    </row>
    <row r="5414" spans="1:5" x14ac:dyDescent="0.25">
      <c r="A5414" s="36" t="b">
        <v>0</v>
      </c>
      <c r="B5414" s="56" t="b">
        <v>0</v>
      </c>
      <c r="C5414" s="56" t="b">
        <v>0</v>
      </c>
      <c r="D5414" s="56" t="b">
        <v>0</v>
      </c>
      <c r="E5414" s="56">
        <f ca="1">IF(PV[[#This Row],[Business Date]]=Control!$C$6, PV[[#This Row],[Notional Value Local Cur]], -PV[[#This Row],[Notional Value Local Cur]])</f>
        <v>0</v>
      </c>
    </row>
    <row r="5415" spans="1:5" x14ac:dyDescent="0.25">
      <c r="A5415" s="36" t="b">
        <v>0</v>
      </c>
      <c r="B5415" s="56" t="b">
        <v>0</v>
      </c>
      <c r="C5415" s="56" t="b">
        <v>0</v>
      </c>
      <c r="D5415" s="56" t="b">
        <v>0</v>
      </c>
      <c r="E5415" s="56">
        <f ca="1">IF(PV[[#This Row],[Business Date]]=Control!$C$6, PV[[#This Row],[Notional Value Local Cur]], -PV[[#This Row],[Notional Value Local Cur]])</f>
        <v>0</v>
      </c>
    </row>
    <row r="5416" spans="1:5" x14ac:dyDescent="0.25">
      <c r="A5416" s="36" t="b">
        <v>0</v>
      </c>
      <c r="B5416" s="56" t="b">
        <v>0</v>
      </c>
      <c r="C5416" s="56" t="b">
        <v>0</v>
      </c>
      <c r="D5416" s="56" t="b">
        <v>0</v>
      </c>
      <c r="E5416" s="56">
        <f ca="1">IF(PV[[#This Row],[Business Date]]=Control!$C$6, PV[[#This Row],[Notional Value Local Cur]], -PV[[#This Row],[Notional Value Local Cur]])</f>
        <v>0</v>
      </c>
    </row>
    <row r="5417" spans="1:5" x14ac:dyDescent="0.25">
      <c r="A5417" s="36" t="b">
        <v>0</v>
      </c>
      <c r="B5417" s="56" t="b">
        <v>0</v>
      </c>
      <c r="C5417" s="56" t="b">
        <v>0</v>
      </c>
      <c r="D5417" s="56" t="b">
        <v>0</v>
      </c>
      <c r="E5417" s="56">
        <f ca="1">IF(PV[[#This Row],[Business Date]]=Control!$C$6, PV[[#This Row],[Notional Value Local Cur]], -PV[[#This Row],[Notional Value Local Cur]])</f>
        <v>0</v>
      </c>
    </row>
    <row r="5418" spans="1:5" x14ac:dyDescent="0.25">
      <c r="A5418" s="36" t="b">
        <v>0</v>
      </c>
      <c r="B5418" s="56" t="b">
        <v>0</v>
      </c>
      <c r="C5418" s="56" t="b">
        <v>0</v>
      </c>
      <c r="D5418" s="56" t="b">
        <v>0</v>
      </c>
      <c r="E5418" s="56">
        <f ca="1">IF(PV[[#This Row],[Business Date]]=Control!$C$6, PV[[#This Row],[Notional Value Local Cur]], -PV[[#This Row],[Notional Value Local Cur]])</f>
        <v>0</v>
      </c>
    </row>
    <row r="5419" spans="1:5" x14ac:dyDescent="0.25">
      <c r="A5419" s="36" t="b">
        <v>0</v>
      </c>
      <c r="B5419" s="56" t="b">
        <v>0</v>
      </c>
      <c r="C5419" s="56" t="b">
        <v>0</v>
      </c>
      <c r="D5419" s="56" t="b">
        <v>0</v>
      </c>
      <c r="E5419" s="56">
        <f ca="1">IF(PV[[#This Row],[Business Date]]=Control!$C$6, PV[[#This Row],[Notional Value Local Cur]], -PV[[#This Row],[Notional Value Local Cur]])</f>
        <v>0</v>
      </c>
    </row>
    <row r="5420" spans="1:5" x14ac:dyDescent="0.25">
      <c r="A5420" s="36" t="b">
        <v>0</v>
      </c>
      <c r="B5420" s="56" t="b">
        <v>0</v>
      </c>
      <c r="C5420" s="56" t="b">
        <v>0</v>
      </c>
      <c r="D5420" s="56" t="b">
        <v>0</v>
      </c>
      <c r="E5420" s="56">
        <f ca="1">IF(PV[[#This Row],[Business Date]]=Control!$C$6, PV[[#This Row],[Notional Value Local Cur]], -PV[[#This Row],[Notional Value Local Cur]])</f>
        <v>0</v>
      </c>
    </row>
    <row r="5421" spans="1:5" x14ac:dyDescent="0.25">
      <c r="A5421" s="36" t="b">
        <v>0</v>
      </c>
      <c r="B5421" s="56" t="b">
        <v>0</v>
      </c>
      <c r="C5421" s="56" t="b">
        <v>0</v>
      </c>
      <c r="D5421" s="56" t="b">
        <v>0</v>
      </c>
      <c r="E5421" s="56">
        <f ca="1">IF(PV[[#This Row],[Business Date]]=Control!$C$6, PV[[#This Row],[Notional Value Local Cur]], -PV[[#This Row],[Notional Value Local Cur]])</f>
        <v>0</v>
      </c>
    </row>
    <row r="5422" spans="1:5" x14ac:dyDescent="0.25">
      <c r="A5422" s="36" t="b">
        <v>0</v>
      </c>
      <c r="B5422" s="56" t="b">
        <v>0</v>
      </c>
      <c r="C5422" s="56" t="b">
        <v>0</v>
      </c>
      <c r="D5422" s="56" t="b">
        <v>0</v>
      </c>
      <c r="E5422" s="56">
        <f ca="1">IF(PV[[#This Row],[Business Date]]=Control!$C$6, PV[[#This Row],[Notional Value Local Cur]], -PV[[#This Row],[Notional Value Local Cur]])</f>
        <v>0</v>
      </c>
    </row>
    <row r="5423" spans="1:5" x14ac:dyDescent="0.25">
      <c r="A5423" s="36" t="b">
        <v>0</v>
      </c>
      <c r="B5423" s="56" t="b">
        <v>0</v>
      </c>
      <c r="C5423" s="56" t="b">
        <v>0</v>
      </c>
      <c r="D5423" s="56" t="b">
        <v>0</v>
      </c>
      <c r="E5423" s="56">
        <f ca="1">IF(PV[[#This Row],[Business Date]]=Control!$C$6, PV[[#This Row],[Notional Value Local Cur]], -PV[[#This Row],[Notional Value Local Cur]])</f>
        <v>0</v>
      </c>
    </row>
    <row r="5424" spans="1:5" x14ac:dyDescent="0.25">
      <c r="A5424" s="36" t="b">
        <v>0</v>
      </c>
      <c r="B5424" s="56" t="b">
        <v>0</v>
      </c>
      <c r="C5424" s="56" t="b">
        <v>0</v>
      </c>
      <c r="D5424" s="56" t="b">
        <v>0</v>
      </c>
      <c r="E5424" s="56">
        <f ca="1">IF(PV[[#This Row],[Business Date]]=Control!$C$6, PV[[#This Row],[Notional Value Local Cur]], -PV[[#This Row],[Notional Value Local Cur]])</f>
        <v>0</v>
      </c>
    </row>
    <row r="5425" spans="1:5" x14ac:dyDescent="0.25">
      <c r="A5425" s="36" t="b">
        <v>0</v>
      </c>
      <c r="B5425" s="56" t="b">
        <v>0</v>
      </c>
      <c r="C5425" s="56" t="b">
        <v>0</v>
      </c>
      <c r="D5425" s="56" t="b">
        <v>0</v>
      </c>
      <c r="E5425" s="56">
        <f ca="1">IF(PV[[#This Row],[Business Date]]=Control!$C$6, PV[[#This Row],[Notional Value Local Cur]], -PV[[#This Row],[Notional Value Local Cur]])</f>
        <v>0</v>
      </c>
    </row>
    <row r="5426" spans="1:5" x14ac:dyDescent="0.25">
      <c r="A5426" s="36" t="b">
        <v>0</v>
      </c>
      <c r="B5426" s="56" t="b">
        <v>0</v>
      </c>
      <c r="C5426" s="56" t="b">
        <v>0</v>
      </c>
      <c r="D5426" s="56" t="b">
        <v>0</v>
      </c>
      <c r="E5426" s="56">
        <f ca="1">IF(PV[[#This Row],[Business Date]]=Control!$C$6, PV[[#This Row],[Notional Value Local Cur]], -PV[[#This Row],[Notional Value Local Cur]])</f>
        <v>0</v>
      </c>
    </row>
    <row r="5427" spans="1:5" x14ac:dyDescent="0.25">
      <c r="A5427" s="36" t="b">
        <v>0</v>
      </c>
      <c r="B5427" s="56" t="b">
        <v>0</v>
      </c>
      <c r="C5427" s="56" t="b">
        <v>0</v>
      </c>
      <c r="D5427" s="56" t="b">
        <v>0</v>
      </c>
      <c r="E5427" s="56">
        <f ca="1">IF(PV[[#This Row],[Business Date]]=Control!$C$6, PV[[#This Row],[Notional Value Local Cur]], -PV[[#This Row],[Notional Value Local Cur]])</f>
        <v>0</v>
      </c>
    </row>
    <row r="5428" spans="1:5" x14ac:dyDescent="0.25">
      <c r="A5428" s="36" t="b">
        <v>0</v>
      </c>
      <c r="B5428" s="56" t="b">
        <v>0</v>
      </c>
      <c r="C5428" s="56" t="b">
        <v>0</v>
      </c>
      <c r="D5428" s="56" t="b">
        <v>0</v>
      </c>
      <c r="E5428" s="56">
        <f ca="1">IF(PV[[#This Row],[Business Date]]=Control!$C$6, PV[[#This Row],[Notional Value Local Cur]], -PV[[#This Row],[Notional Value Local Cur]])</f>
        <v>0</v>
      </c>
    </row>
    <row r="5429" spans="1:5" x14ac:dyDescent="0.25">
      <c r="A5429" s="36" t="b">
        <v>0</v>
      </c>
      <c r="B5429" s="56" t="b">
        <v>0</v>
      </c>
      <c r="C5429" s="56" t="b">
        <v>0</v>
      </c>
      <c r="D5429" s="56" t="b">
        <v>0</v>
      </c>
      <c r="E5429" s="56">
        <f ca="1">IF(PV[[#This Row],[Business Date]]=Control!$C$6, PV[[#This Row],[Notional Value Local Cur]], -PV[[#This Row],[Notional Value Local Cur]])</f>
        <v>0</v>
      </c>
    </row>
    <row r="5430" spans="1:5" x14ac:dyDescent="0.25">
      <c r="A5430" s="36" t="b">
        <v>0</v>
      </c>
      <c r="B5430" s="56" t="b">
        <v>0</v>
      </c>
      <c r="C5430" s="56" t="b">
        <v>0</v>
      </c>
      <c r="D5430" s="56" t="b">
        <v>0</v>
      </c>
      <c r="E5430" s="56">
        <f ca="1">IF(PV[[#This Row],[Business Date]]=Control!$C$6, PV[[#This Row],[Notional Value Local Cur]], -PV[[#This Row],[Notional Value Local Cur]])</f>
        <v>0</v>
      </c>
    </row>
    <row r="5431" spans="1:5" x14ac:dyDescent="0.25">
      <c r="A5431" s="36" t="b">
        <v>0</v>
      </c>
      <c r="B5431" s="56" t="b">
        <v>0</v>
      </c>
      <c r="C5431" s="56" t="b">
        <v>0</v>
      </c>
      <c r="D5431" s="56" t="b">
        <v>0</v>
      </c>
      <c r="E5431" s="56">
        <f ca="1">IF(PV[[#This Row],[Business Date]]=Control!$C$6, PV[[#This Row],[Notional Value Local Cur]], -PV[[#This Row],[Notional Value Local Cur]])</f>
        <v>0</v>
      </c>
    </row>
    <row r="5432" spans="1:5" x14ac:dyDescent="0.25">
      <c r="A5432" s="36" t="b">
        <v>0</v>
      </c>
      <c r="B5432" s="56" t="b">
        <v>0</v>
      </c>
      <c r="C5432" s="56" t="b">
        <v>0</v>
      </c>
      <c r="D5432" s="56" t="b">
        <v>0</v>
      </c>
      <c r="E5432" s="56">
        <f ca="1">IF(PV[[#This Row],[Business Date]]=Control!$C$6, PV[[#This Row],[Notional Value Local Cur]], -PV[[#This Row],[Notional Value Local Cur]])</f>
        <v>0</v>
      </c>
    </row>
    <row r="5433" spans="1:5" x14ac:dyDescent="0.25">
      <c r="A5433" s="36" t="b">
        <v>0</v>
      </c>
      <c r="B5433" s="56" t="b">
        <v>0</v>
      </c>
      <c r="C5433" s="56" t="b">
        <v>0</v>
      </c>
      <c r="D5433" s="56" t="b">
        <v>0</v>
      </c>
      <c r="E5433" s="56">
        <f ca="1">IF(PV[[#This Row],[Business Date]]=Control!$C$6, PV[[#This Row],[Notional Value Local Cur]], -PV[[#This Row],[Notional Value Local Cur]])</f>
        <v>0</v>
      </c>
    </row>
    <row r="5434" spans="1:5" x14ac:dyDescent="0.25">
      <c r="A5434" s="36" t="b">
        <v>0</v>
      </c>
      <c r="B5434" s="56" t="b">
        <v>0</v>
      </c>
      <c r="C5434" s="56" t="b">
        <v>0</v>
      </c>
      <c r="D5434" s="56" t="b">
        <v>0</v>
      </c>
      <c r="E5434" s="56">
        <f ca="1">IF(PV[[#This Row],[Business Date]]=Control!$C$6, PV[[#This Row],[Notional Value Local Cur]], -PV[[#This Row],[Notional Value Local Cur]])</f>
        <v>0</v>
      </c>
    </row>
    <row r="5435" spans="1:5" x14ac:dyDescent="0.25">
      <c r="A5435" s="36" t="b">
        <v>0</v>
      </c>
      <c r="B5435" s="56" t="b">
        <v>0</v>
      </c>
      <c r="C5435" s="56" t="b">
        <v>0</v>
      </c>
      <c r="D5435" s="56" t="b">
        <v>0</v>
      </c>
      <c r="E5435" s="56">
        <f ca="1">IF(PV[[#This Row],[Business Date]]=Control!$C$6, PV[[#This Row],[Notional Value Local Cur]], -PV[[#This Row],[Notional Value Local Cur]])</f>
        <v>0</v>
      </c>
    </row>
    <row r="5436" spans="1:5" x14ac:dyDescent="0.25">
      <c r="A5436" s="36" t="b">
        <v>0</v>
      </c>
      <c r="B5436" s="56" t="b">
        <v>0</v>
      </c>
      <c r="C5436" s="56" t="b">
        <v>0</v>
      </c>
      <c r="D5436" s="56" t="b">
        <v>0</v>
      </c>
      <c r="E5436" s="56">
        <f ca="1">IF(PV[[#This Row],[Business Date]]=Control!$C$6, PV[[#This Row],[Notional Value Local Cur]], -PV[[#This Row],[Notional Value Local Cur]])</f>
        <v>0</v>
      </c>
    </row>
    <row r="5437" spans="1:5" x14ac:dyDescent="0.25">
      <c r="A5437" s="36" t="b">
        <v>0</v>
      </c>
      <c r="B5437" s="56" t="b">
        <v>0</v>
      </c>
      <c r="C5437" s="56" t="b">
        <v>0</v>
      </c>
      <c r="D5437" s="56" t="b">
        <v>0</v>
      </c>
      <c r="E5437" s="56">
        <f ca="1">IF(PV[[#This Row],[Business Date]]=Control!$C$6, PV[[#This Row],[Notional Value Local Cur]], -PV[[#This Row],[Notional Value Local Cur]])</f>
        <v>0</v>
      </c>
    </row>
    <row r="5438" spans="1:5" x14ac:dyDescent="0.25">
      <c r="A5438" s="36" t="b">
        <v>0</v>
      </c>
      <c r="B5438" s="56" t="b">
        <v>0</v>
      </c>
      <c r="C5438" s="56" t="b">
        <v>0</v>
      </c>
      <c r="D5438" s="56" t="b">
        <v>0</v>
      </c>
      <c r="E5438" s="56">
        <f ca="1">IF(PV[[#This Row],[Business Date]]=Control!$C$6, PV[[#This Row],[Notional Value Local Cur]], -PV[[#This Row],[Notional Value Local Cur]])</f>
        <v>0</v>
      </c>
    </row>
    <row r="5439" spans="1:5" x14ac:dyDescent="0.25">
      <c r="A5439" s="36" t="b">
        <v>0</v>
      </c>
      <c r="B5439" s="56" t="b">
        <v>0</v>
      </c>
      <c r="C5439" s="56" t="b">
        <v>0</v>
      </c>
      <c r="D5439" s="56" t="b">
        <v>0</v>
      </c>
      <c r="E5439" s="56">
        <f ca="1">IF(PV[[#This Row],[Business Date]]=Control!$C$6, PV[[#This Row],[Notional Value Local Cur]], -PV[[#This Row],[Notional Value Local Cur]])</f>
        <v>0</v>
      </c>
    </row>
    <row r="5440" spans="1:5" x14ac:dyDescent="0.25">
      <c r="A5440" s="36" t="b">
        <v>0</v>
      </c>
      <c r="B5440" s="56" t="b">
        <v>0</v>
      </c>
      <c r="C5440" s="56" t="b">
        <v>0</v>
      </c>
      <c r="D5440" s="56" t="b">
        <v>0</v>
      </c>
      <c r="E5440" s="56">
        <f ca="1">IF(PV[[#This Row],[Business Date]]=Control!$C$6, PV[[#This Row],[Notional Value Local Cur]], -PV[[#This Row],[Notional Value Local Cur]])</f>
        <v>0</v>
      </c>
    </row>
    <row r="5441" spans="1:5" x14ac:dyDescent="0.25">
      <c r="A5441" s="36" t="b">
        <v>0</v>
      </c>
      <c r="B5441" s="56" t="b">
        <v>0</v>
      </c>
      <c r="C5441" s="56" t="b">
        <v>0</v>
      </c>
      <c r="D5441" s="56" t="b">
        <v>0</v>
      </c>
      <c r="E5441" s="56">
        <f ca="1">IF(PV[[#This Row],[Business Date]]=Control!$C$6, PV[[#This Row],[Notional Value Local Cur]], -PV[[#This Row],[Notional Value Local Cur]])</f>
        <v>0</v>
      </c>
    </row>
    <row r="5442" spans="1:5" x14ac:dyDescent="0.25">
      <c r="A5442" s="36" t="b">
        <v>0</v>
      </c>
      <c r="B5442" s="56" t="b">
        <v>0</v>
      </c>
      <c r="C5442" s="56" t="b">
        <v>0</v>
      </c>
      <c r="D5442" s="56" t="b">
        <v>0</v>
      </c>
      <c r="E5442" s="56">
        <f ca="1">IF(PV[[#This Row],[Business Date]]=Control!$C$6, PV[[#This Row],[Notional Value Local Cur]], -PV[[#This Row],[Notional Value Local Cur]])</f>
        <v>0</v>
      </c>
    </row>
    <row r="5443" spans="1:5" x14ac:dyDescent="0.25">
      <c r="A5443" s="36" t="b">
        <v>0</v>
      </c>
      <c r="B5443" s="56" t="b">
        <v>0</v>
      </c>
      <c r="C5443" s="56" t="b">
        <v>0</v>
      </c>
      <c r="D5443" s="56" t="b">
        <v>0</v>
      </c>
      <c r="E5443" s="56">
        <f ca="1">IF(PV[[#This Row],[Business Date]]=Control!$C$6, PV[[#This Row],[Notional Value Local Cur]], -PV[[#This Row],[Notional Value Local Cur]])</f>
        <v>0</v>
      </c>
    </row>
    <row r="5444" spans="1:5" x14ac:dyDescent="0.25">
      <c r="A5444" s="36" t="b">
        <v>0</v>
      </c>
      <c r="B5444" s="56" t="b">
        <v>0</v>
      </c>
      <c r="C5444" s="56" t="b">
        <v>0</v>
      </c>
      <c r="D5444" s="56" t="b">
        <v>0</v>
      </c>
      <c r="E5444" s="56">
        <f ca="1">IF(PV[[#This Row],[Business Date]]=Control!$C$6, PV[[#This Row],[Notional Value Local Cur]], -PV[[#This Row],[Notional Value Local Cur]])</f>
        <v>0</v>
      </c>
    </row>
    <row r="5445" spans="1:5" x14ac:dyDescent="0.25">
      <c r="A5445" s="36" t="b">
        <v>0</v>
      </c>
      <c r="B5445" s="56" t="b">
        <v>0</v>
      </c>
      <c r="C5445" s="56" t="b">
        <v>0</v>
      </c>
      <c r="D5445" s="56" t="b">
        <v>0</v>
      </c>
      <c r="E5445" s="56">
        <f ca="1">IF(PV[[#This Row],[Business Date]]=Control!$C$6, PV[[#This Row],[Notional Value Local Cur]], -PV[[#This Row],[Notional Value Local Cur]])</f>
        <v>0</v>
      </c>
    </row>
    <row r="5446" spans="1:5" x14ac:dyDescent="0.25">
      <c r="A5446" s="36" t="b">
        <v>0</v>
      </c>
      <c r="B5446" s="56" t="b">
        <v>0</v>
      </c>
      <c r="C5446" s="56" t="b">
        <v>0</v>
      </c>
      <c r="D5446" s="56" t="b">
        <v>0</v>
      </c>
      <c r="E5446" s="56">
        <f ca="1">IF(PV[[#This Row],[Business Date]]=Control!$C$6, PV[[#This Row],[Notional Value Local Cur]], -PV[[#This Row],[Notional Value Local Cur]])</f>
        <v>0</v>
      </c>
    </row>
    <row r="5447" spans="1:5" x14ac:dyDescent="0.25">
      <c r="A5447" s="36" t="b">
        <v>0</v>
      </c>
      <c r="B5447" s="56" t="b">
        <v>0</v>
      </c>
      <c r="C5447" s="56" t="b">
        <v>0</v>
      </c>
      <c r="D5447" s="56" t="b">
        <v>0</v>
      </c>
      <c r="E5447" s="56">
        <f ca="1">IF(PV[[#This Row],[Business Date]]=Control!$C$6, PV[[#This Row],[Notional Value Local Cur]], -PV[[#This Row],[Notional Value Local Cur]])</f>
        <v>0</v>
      </c>
    </row>
    <row r="5448" spans="1:5" x14ac:dyDescent="0.25">
      <c r="A5448" s="36" t="b">
        <v>0</v>
      </c>
      <c r="B5448" s="56" t="b">
        <v>0</v>
      </c>
      <c r="C5448" s="56" t="b">
        <v>0</v>
      </c>
      <c r="D5448" s="56" t="b">
        <v>0</v>
      </c>
      <c r="E5448" s="56">
        <f ca="1">IF(PV[[#This Row],[Business Date]]=Control!$C$6, PV[[#This Row],[Notional Value Local Cur]], -PV[[#This Row],[Notional Value Local Cur]])</f>
        <v>0</v>
      </c>
    </row>
    <row r="5449" spans="1:5" x14ac:dyDescent="0.25">
      <c r="A5449" s="36" t="b">
        <v>0</v>
      </c>
      <c r="B5449" s="56" t="b">
        <v>0</v>
      </c>
      <c r="C5449" s="56" t="b">
        <v>0</v>
      </c>
      <c r="D5449" s="56" t="b">
        <v>0</v>
      </c>
      <c r="E5449" s="56">
        <f ca="1">IF(PV[[#This Row],[Business Date]]=Control!$C$6, PV[[#This Row],[Notional Value Local Cur]], -PV[[#This Row],[Notional Value Local Cur]])</f>
        <v>0</v>
      </c>
    </row>
    <row r="5450" spans="1:5" x14ac:dyDescent="0.25">
      <c r="A5450" s="36" t="b">
        <v>0</v>
      </c>
      <c r="B5450" s="56" t="b">
        <v>0</v>
      </c>
      <c r="C5450" s="56" t="b">
        <v>0</v>
      </c>
      <c r="D5450" s="56" t="b">
        <v>0</v>
      </c>
      <c r="E5450" s="56">
        <f ca="1">IF(PV[[#This Row],[Business Date]]=Control!$C$6, PV[[#This Row],[Notional Value Local Cur]], -PV[[#This Row],[Notional Value Local Cur]])</f>
        <v>0</v>
      </c>
    </row>
    <row r="5451" spans="1:5" x14ac:dyDescent="0.25">
      <c r="A5451" s="36" t="b">
        <v>0</v>
      </c>
      <c r="B5451" s="56" t="b">
        <v>0</v>
      </c>
      <c r="C5451" s="56" t="b">
        <v>0</v>
      </c>
      <c r="D5451" s="56" t="b">
        <v>0</v>
      </c>
      <c r="E5451" s="56">
        <f ca="1">IF(PV[[#This Row],[Business Date]]=Control!$C$6, PV[[#This Row],[Notional Value Local Cur]], -PV[[#This Row],[Notional Value Local Cur]])</f>
        <v>0</v>
      </c>
    </row>
    <row r="5452" spans="1:5" x14ac:dyDescent="0.25">
      <c r="A5452" s="36" t="b">
        <v>0</v>
      </c>
      <c r="B5452" s="56" t="b">
        <v>0</v>
      </c>
      <c r="C5452" s="56" t="b">
        <v>0</v>
      </c>
      <c r="D5452" s="56" t="b">
        <v>0</v>
      </c>
      <c r="E5452" s="56">
        <f ca="1">IF(PV[[#This Row],[Business Date]]=Control!$C$6, PV[[#This Row],[Notional Value Local Cur]], -PV[[#This Row],[Notional Value Local Cur]])</f>
        <v>0</v>
      </c>
    </row>
    <row r="5453" spans="1:5" x14ac:dyDescent="0.25">
      <c r="A5453" s="36" t="b">
        <v>0</v>
      </c>
      <c r="B5453" s="56" t="b">
        <v>0</v>
      </c>
      <c r="C5453" s="56" t="b">
        <v>0</v>
      </c>
      <c r="D5453" s="56" t="b">
        <v>0</v>
      </c>
      <c r="E5453" s="56">
        <f ca="1">IF(PV[[#This Row],[Business Date]]=Control!$C$6, PV[[#This Row],[Notional Value Local Cur]], -PV[[#This Row],[Notional Value Local Cur]])</f>
        <v>0</v>
      </c>
    </row>
    <row r="5454" spans="1:5" x14ac:dyDescent="0.25">
      <c r="A5454" s="36" t="b">
        <v>0</v>
      </c>
      <c r="B5454" s="56" t="b">
        <v>0</v>
      </c>
      <c r="C5454" s="56" t="b">
        <v>0</v>
      </c>
      <c r="D5454" s="56" t="b">
        <v>0</v>
      </c>
      <c r="E5454" s="56">
        <f ca="1">IF(PV[[#This Row],[Business Date]]=Control!$C$6, PV[[#This Row],[Notional Value Local Cur]], -PV[[#This Row],[Notional Value Local Cur]])</f>
        <v>0</v>
      </c>
    </row>
    <row r="5455" spans="1:5" x14ac:dyDescent="0.25">
      <c r="A5455" s="36" t="b">
        <v>0</v>
      </c>
      <c r="B5455" s="56" t="b">
        <v>0</v>
      </c>
      <c r="C5455" s="56" t="b">
        <v>0</v>
      </c>
      <c r="D5455" s="56" t="b">
        <v>0</v>
      </c>
      <c r="E5455" s="56">
        <f ca="1">IF(PV[[#This Row],[Business Date]]=Control!$C$6, PV[[#This Row],[Notional Value Local Cur]], -PV[[#This Row],[Notional Value Local Cur]])</f>
        <v>0</v>
      </c>
    </row>
    <row r="5456" spans="1:5" x14ac:dyDescent="0.25">
      <c r="A5456" s="36" t="b">
        <v>0</v>
      </c>
      <c r="B5456" s="56" t="b">
        <v>0</v>
      </c>
      <c r="C5456" s="56" t="b">
        <v>0</v>
      </c>
      <c r="D5456" s="56" t="b">
        <v>0</v>
      </c>
      <c r="E5456" s="56">
        <f ca="1">IF(PV[[#This Row],[Business Date]]=Control!$C$6, PV[[#This Row],[Notional Value Local Cur]], -PV[[#This Row],[Notional Value Local Cur]])</f>
        <v>0</v>
      </c>
    </row>
    <row r="5457" spans="1:5" x14ac:dyDescent="0.25">
      <c r="A5457" s="36" t="b">
        <v>0</v>
      </c>
      <c r="B5457" s="56" t="b">
        <v>0</v>
      </c>
      <c r="C5457" s="56" t="b">
        <v>0</v>
      </c>
      <c r="D5457" s="56" t="b">
        <v>0</v>
      </c>
      <c r="E5457" s="56">
        <f ca="1">IF(PV[[#This Row],[Business Date]]=Control!$C$6, PV[[#This Row],[Notional Value Local Cur]], -PV[[#This Row],[Notional Value Local Cur]])</f>
        <v>0</v>
      </c>
    </row>
    <row r="5458" spans="1:5" x14ac:dyDescent="0.25">
      <c r="A5458" s="36" t="b">
        <v>0</v>
      </c>
      <c r="B5458" s="56" t="b">
        <v>0</v>
      </c>
      <c r="C5458" s="56" t="b">
        <v>0</v>
      </c>
      <c r="D5458" s="56" t="b">
        <v>0</v>
      </c>
      <c r="E5458" s="56">
        <f ca="1">IF(PV[[#This Row],[Business Date]]=Control!$C$6, PV[[#This Row],[Notional Value Local Cur]], -PV[[#This Row],[Notional Value Local Cur]])</f>
        <v>0</v>
      </c>
    </row>
    <row r="5459" spans="1:5" x14ac:dyDescent="0.25">
      <c r="A5459" s="36" t="b">
        <v>0</v>
      </c>
      <c r="B5459" s="56" t="b">
        <v>0</v>
      </c>
      <c r="C5459" s="56" t="b">
        <v>0</v>
      </c>
      <c r="D5459" s="56" t="b">
        <v>0</v>
      </c>
      <c r="E5459" s="56">
        <f ca="1">IF(PV[[#This Row],[Business Date]]=Control!$C$6, PV[[#This Row],[Notional Value Local Cur]], -PV[[#This Row],[Notional Value Local Cur]])</f>
        <v>0</v>
      </c>
    </row>
    <row r="5460" spans="1:5" x14ac:dyDescent="0.25">
      <c r="A5460" s="36" t="b">
        <v>0</v>
      </c>
      <c r="B5460" s="56" t="b">
        <v>0</v>
      </c>
      <c r="C5460" s="56" t="b">
        <v>0</v>
      </c>
      <c r="D5460" s="56" t="b">
        <v>0</v>
      </c>
      <c r="E5460" s="56">
        <f ca="1">IF(PV[[#This Row],[Business Date]]=Control!$C$6, PV[[#This Row],[Notional Value Local Cur]], -PV[[#This Row],[Notional Value Local Cur]])</f>
        <v>0</v>
      </c>
    </row>
    <row r="5461" spans="1:5" x14ac:dyDescent="0.25">
      <c r="A5461" s="36" t="b">
        <v>0</v>
      </c>
      <c r="B5461" s="56" t="b">
        <v>0</v>
      </c>
      <c r="C5461" s="56" t="b">
        <v>0</v>
      </c>
      <c r="D5461" s="56" t="b">
        <v>0</v>
      </c>
      <c r="E5461" s="56">
        <f ca="1">IF(PV[[#This Row],[Business Date]]=Control!$C$6, PV[[#This Row],[Notional Value Local Cur]], -PV[[#This Row],[Notional Value Local Cur]])</f>
        <v>0</v>
      </c>
    </row>
    <row r="5462" spans="1:5" x14ac:dyDescent="0.25">
      <c r="A5462" s="36" t="b">
        <v>0</v>
      </c>
      <c r="B5462" s="56" t="b">
        <v>0</v>
      </c>
      <c r="C5462" s="56" t="b">
        <v>0</v>
      </c>
      <c r="D5462" s="56" t="b">
        <v>0</v>
      </c>
      <c r="E5462" s="56">
        <f ca="1">IF(PV[[#This Row],[Business Date]]=Control!$C$6, PV[[#This Row],[Notional Value Local Cur]], -PV[[#This Row],[Notional Value Local Cur]])</f>
        <v>0</v>
      </c>
    </row>
    <row r="5463" spans="1:5" x14ac:dyDescent="0.25">
      <c r="A5463" s="36" t="b">
        <v>0</v>
      </c>
      <c r="B5463" s="56" t="b">
        <v>0</v>
      </c>
      <c r="C5463" s="56" t="b">
        <v>0</v>
      </c>
      <c r="D5463" s="56" t="b">
        <v>0</v>
      </c>
      <c r="E5463" s="56">
        <f ca="1">IF(PV[[#This Row],[Business Date]]=Control!$C$6, PV[[#This Row],[Notional Value Local Cur]], -PV[[#This Row],[Notional Value Local Cur]])</f>
        <v>0</v>
      </c>
    </row>
    <row r="5464" spans="1:5" x14ac:dyDescent="0.25">
      <c r="A5464" s="36" t="b">
        <v>0</v>
      </c>
      <c r="B5464" s="56" t="b">
        <v>0</v>
      </c>
      <c r="C5464" s="56" t="b">
        <v>0</v>
      </c>
      <c r="D5464" s="56" t="b">
        <v>0</v>
      </c>
      <c r="E5464" s="56">
        <f ca="1">IF(PV[[#This Row],[Business Date]]=Control!$C$6, PV[[#This Row],[Notional Value Local Cur]], -PV[[#This Row],[Notional Value Local Cur]])</f>
        <v>0</v>
      </c>
    </row>
    <row r="5465" spans="1:5" x14ac:dyDescent="0.25">
      <c r="A5465" s="36" t="b">
        <v>0</v>
      </c>
      <c r="B5465" s="56" t="b">
        <v>0</v>
      </c>
      <c r="C5465" s="56" t="b">
        <v>0</v>
      </c>
      <c r="D5465" s="56" t="b">
        <v>0</v>
      </c>
      <c r="E5465" s="56">
        <f ca="1">IF(PV[[#This Row],[Business Date]]=Control!$C$6, PV[[#This Row],[Notional Value Local Cur]], -PV[[#This Row],[Notional Value Local Cur]])</f>
        <v>0</v>
      </c>
    </row>
    <row r="5466" spans="1:5" x14ac:dyDescent="0.25">
      <c r="A5466" s="36" t="b">
        <v>0</v>
      </c>
      <c r="B5466" s="56" t="b">
        <v>0</v>
      </c>
      <c r="C5466" s="56" t="b">
        <v>0</v>
      </c>
      <c r="D5466" s="56" t="b">
        <v>0</v>
      </c>
      <c r="E5466" s="56">
        <f ca="1">IF(PV[[#This Row],[Business Date]]=Control!$C$6, PV[[#This Row],[Notional Value Local Cur]], -PV[[#This Row],[Notional Value Local Cur]])</f>
        <v>0</v>
      </c>
    </row>
    <row r="5467" spans="1:5" x14ac:dyDescent="0.25">
      <c r="A5467" s="36" t="b">
        <v>0</v>
      </c>
      <c r="B5467" s="56" t="b">
        <v>0</v>
      </c>
      <c r="C5467" s="56" t="b">
        <v>0</v>
      </c>
      <c r="D5467" s="56" t="b">
        <v>0</v>
      </c>
      <c r="E5467" s="56">
        <f ca="1">IF(PV[[#This Row],[Business Date]]=Control!$C$6, PV[[#This Row],[Notional Value Local Cur]], -PV[[#This Row],[Notional Value Local Cur]])</f>
        <v>0</v>
      </c>
    </row>
    <row r="5468" spans="1:5" x14ac:dyDescent="0.25">
      <c r="A5468" s="36" t="b">
        <v>0</v>
      </c>
      <c r="B5468" s="56" t="b">
        <v>0</v>
      </c>
      <c r="C5468" s="56" t="b">
        <v>0</v>
      </c>
      <c r="D5468" s="56" t="b">
        <v>0</v>
      </c>
      <c r="E5468" s="56">
        <f ca="1">IF(PV[[#This Row],[Business Date]]=Control!$C$6, PV[[#This Row],[Notional Value Local Cur]], -PV[[#This Row],[Notional Value Local Cur]])</f>
        <v>0</v>
      </c>
    </row>
    <row r="5469" spans="1:5" x14ac:dyDescent="0.25">
      <c r="A5469" s="36" t="b">
        <v>0</v>
      </c>
      <c r="B5469" s="56" t="b">
        <v>0</v>
      </c>
      <c r="C5469" s="56" t="b">
        <v>0</v>
      </c>
      <c r="D5469" s="56" t="b">
        <v>0</v>
      </c>
      <c r="E5469" s="56">
        <f ca="1">IF(PV[[#This Row],[Business Date]]=Control!$C$6, PV[[#This Row],[Notional Value Local Cur]], -PV[[#This Row],[Notional Value Local Cur]])</f>
        <v>0</v>
      </c>
    </row>
    <row r="5470" spans="1:5" x14ac:dyDescent="0.25">
      <c r="A5470" s="36" t="b">
        <v>0</v>
      </c>
      <c r="B5470" s="56" t="b">
        <v>0</v>
      </c>
      <c r="C5470" s="56" t="b">
        <v>0</v>
      </c>
      <c r="D5470" s="56" t="b">
        <v>0</v>
      </c>
      <c r="E5470" s="56">
        <f ca="1">IF(PV[[#This Row],[Business Date]]=Control!$C$6, PV[[#This Row],[Notional Value Local Cur]], -PV[[#This Row],[Notional Value Local Cur]])</f>
        <v>0</v>
      </c>
    </row>
    <row r="5471" spans="1:5" x14ac:dyDescent="0.25">
      <c r="A5471" s="36" t="b">
        <v>0</v>
      </c>
      <c r="B5471" s="56" t="b">
        <v>0</v>
      </c>
      <c r="C5471" s="56" t="b">
        <v>0</v>
      </c>
      <c r="D5471" s="56" t="b">
        <v>0</v>
      </c>
      <c r="E5471" s="56">
        <f ca="1">IF(PV[[#This Row],[Business Date]]=Control!$C$6, PV[[#This Row],[Notional Value Local Cur]], -PV[[#This Row],[Notional Value Local Cur]])</f>
        <v>0</v>
      </c>
    </row>
    <row r="5472" spans="1:5" x14ac:dyDescent="0.25">
      <c r="A5472" s="36" t="b">
        <v>0</v>
      </c>
      <c r="B5472" s="56" t="b">
        <v>0</v>
      </c>
      <c r="C5472" s="56" t="b">
        <v>0</v>
      </c>
      <c r="D5472" s="56" t="b">
        <v>0</v>
      </c>
      <c r="E5472" s="56">
        <f ca="1">IF(PV[[#This Row],[Business Date]]=Control!$C$6, PV[[#This Row],[Notional Value Local Cur]], -PV[[#This Row],[Notional Value Local Cur]])</f>
        <v>0</v>
      </c>
    </row>
    <row r="5473" spans="1:5" x14ac:dyDescent="0.25">
      <c r="A5473" s="36" t="b">
        <v>0</v>
      </c>
      <c r="B5473" s="56" t="b">
        <v>0</v>
      </c>
      <c r="C5473" s="56" t="b">
        <v>0</v>
      </c>
      <c r="D5473" s="56" t="b">
        <v>0</v>
      </c>
      <c r="E5473" s="56">
        <f ca="1">IF(PV[[#This Row],[Business Date]]=Control!$C$6, PV[[#This Row],[Notional Value Local Cur]], -PV[[#This Row],[Notional Value Local Cur]])</f>
        <v>0</v>
      </c>
    </row>
    <row r="5474" spans="1:5" x14ac:dyDescent="0.25">
      <c r="A5474" s="36" t="b">
        <v>0</v>
      </c>
      <c r="B5474" s="56" t="b">
        <v>0</v>
      </c>
      <c r="C5474" s="56" t="b">
        <v>0</v>
      </c>
      <c r="D5474" s="56" t="b">
        <v>0</v>
      </c>
      <c r="E5474" s="56">
        <f ca="1">IF(PV[[#This Row],[Business Date]]=Control!$C$6, PV[[#This Row],[Notional Value Local Cur]], -PV[[#This Row],[Notional Value Local Cur]])</f>
        <v>0</v>
      </c>
    </row>
    <row r="5475" spans="1:5" x14ac:dyDescent="0.25">
      <c r="A5475" s="36" t="b">
        <v>0</v>
      </c>
      <c r="B5475" s="56" t="b">
        <v>0</v>
      </c>
      <c r="C5475" s="56" t="b">
        <v>0</v>
      </c>
      <c r="D5475" s="56" t="b">
        <v>0</v>
      </c>
      <c r="E5475" s="56">
        <f ca="1">IF(PV[[#This Row],[Business Date]]=Control!$C$6, PV[[#This Row],[Notional Value Local Cur]], -PV[[#This Row],[Notional Value Local Cur]])</f>
        <v>0</v>
      </c>
    </row>
    <row r="5476" spans="1:5" x14ac:dyDescent="0.25">
      <c r="A5476" s="36" t="b">
        <v>0</v>
      </c>
      <c r="B5476" s="56" t="b">
        <v>0</v>
      </c>
      <c r="C5476" s="56" t="b">
        <v>0</v>
      </c>
      <c r="D5476" s="56" t="b">
        <v>0</v>
      </c>
      <c r="E5476" s="56">
        <f ca="1">IF(PV[[#This Row],[Business Date]]=Control!$C$6, PV[[#This Row],[Notional Value Local Cur]], -PV[[#This Row],[Notional Value Local Cur]])</f>
        <v>0</v>
      </c>
    </row>
    <row r="5477" spans="1:5" x14ac:dyDescent="0.25">
      <c r="A5477" s="36" t="b">
        <v>0</v>
      </c>
      <c r="B5477" s="56" t="b">
        <v>0</v>
      </c>
      <c r="C5477" s="56" t="b">
        <v>0</v>
      </c>
      <c r="D5477" s="56" t="b">
        <v>0</v>
      </c>
      <c r="E5477" s="56">
        <f ca="1">IF(PV[[#This Row],[Business Date]]=Control!$C$6, PV[[#This Row],[Notional Value Local Cur]], -PV[[#This Row],[Notional Value Local Cur]])</f>
        <v>0</v>
      </c>
    </row>
    <row r="5478" spans="1:5" x14ac:dyDescent="0.25">
      <c r="A5478" s="36" t="b">
        <v>0</v>
      </c>
      <c r="B5478" s="56" t="b">
        <v>0</v>
      </c>
      <c r="C5478" s="56" t="b">
        <v>0</v>
      </c>
      <c r="D5478" s="56" t="b">
        <v>0</v>
      </c>
      <c r="E5478" s="56">
        <f ca="1">IF(PV[[#This Row],[Business Date]]=Control!$C$6, PV[[#This Row],[Notional Value Local Cur]], -PV[[#This Row],[Notional Value Local Cur]])</f>
        <v>0</v>
      </c>
    </row>
    <row r="5479" spans="1:5" x14ac:dyDescent="0.25">
      <c r="A5479" s="36" t="b">
        <v>0</v>
      </c>
      <c r="B5479" s="56" t="b">
        <v>0</v>
      </c>
      <c r="C5479" s="56" t="b">
        <v>0</v>
      </c>
      <c r="D5479" s="56" t="b">
        <v>0</v>
      </c>
      <c r="E5479" s="56">
        <f ca="1">IF(PV[[#This Row],[Business Date]]=Control!$C$6, PV[[#This Row],[Notional Value Local Cur]], -PV[[#This Row],[Notional Value Local Cur]])</f>
        <v>0</v>
      </c>
    </row>
    <row r="5480" spans="1:5" x14ac:dyDescent="0.25">
      <c r="A5480" s="36" t="b">
        <v>0</v>
      </c>
      <c r="B5480" s="56" t="b">
        <v>0</v>
      </c>
      <c r="C5480" s="56" t="b">
        <v>0</v>
      </c>
      <c r="D5480" s="56" t="b">
        <v>0</v>
      </c>
      <c r="E5480" s="56">
        <f ca="1">IF(PV[[#This Row],[Business Date]]=Control!$C$6, PV[[#This Row],[Notional Value Local Cur]], -PV[[#This Row],[Notional Value Local Cur]])</f>
        <v>0</v>
      </c>
    </row>
    <row r="5481" spans="1:5" x14ac:dyDescent="0.25">
      <c r="A5481" s="36" t="b">
        <v>0</v>
      </c>
      <c r="B5481" s="56" t="b">
        <v>0</v>
      </c>
      <c r="C5481" s="56" t="b">
        <v>0</v>
      </c>
      <c r="D5481" s="56" t="b">
        <v>0</v>
      </c>
      <c r="E5481" s="56">
        <f ca="1">IF(PV[[#This Row],[Business Date]]=Control!$C$6, PV[[#This Row],[Notional Value Local Cur]], -PV[[#This Row],[Notional Value Local Cur]])</f>
        <v>0</v>
      </c>
    </row>
    <row r="5482" spans="1:5" x14ac:dyDescent="0.25">
      <c r="A5482" s="36" t="b">
        <v>0</v>
      </c>
      <c r="B5482" s="56" t="b">
        <v>0</v>
      </c>
      <c r="C5482" s="56" t="b">
        <v>0</v>
      </c>
      <c r="D5482" s="56" t="b">
        <v>0</v>
      </c>
      <c r="E5482" s="56">
        <f ca="1">IF(PV[[#This Row],[Business Date]]=Control!$C$6, PV[[#This Row],[Notional Value Local Cur]], -PV[[#This Row],[Notional Value Local Cur]])</f>
        <v>0</v>
      </c>
    </row>
    <row r="5483" spans="1:5" x14ac:dyDescent="0.25">
      <c r="A5483" s="36" t="b">
        <v>0</v>
      </c>
      <c r="B5483" s="56" t="b">
        <v>0</v>
      </c>
      <c r="C5483" s="56" t="b">
        <v>0</v>
      </c>
      <c r="D5483" s="56" t="b">
        <v>0</v>
      </c>
      <c r="E5483" s="56">
        <f ca="1">IF(PV[[#This Row],[Business Date]]=Control!$C$6, PV[[#This Row],[Notional Value Local Cur]], -PV[[#This Row],[Notional Value Local Cur]])</f>
        <v>0</v>
      </c>
    </row>
    <row r="5484" spans="1:5" x14ac:dyDescent="0.25">
      <c r="A5484" s="36" t="b">
        <v>0</v>
      </c>
      <c r="B5484" s="56" t="b">
        <v>0</v>
      </c>
      <c r="C5484" s="56" t="b">
        <v>0</v>
      </c>
      <c r="D5484" s="56" t="b">
        <v>0</v>
      </c>
      <c r="E5484" s="56">
        <f ca="1">IF(PV[[#This Row],[Business Date]]=Control!$C$6, PV[[#This Row],[Notional Value Local Cur]], -PV[[#This Row],[Notional Value Local Cur]])</f>
        <v>0</v>
      </c>
    </row>
    <row r="5485" spans="1:5" x14ac:dyDescent="0.25">
      <c r="A5485" s="36" t="b">
        <v>0</v>
      </c>
      <c r="B5485" s="56" t="b">
        <v>0</v>
      </c>
      <c r="C5485" s="56" t="b">
        <v>0</v>
      </c>
      <c r="D5485" s="56" t="b">
        <v>0</v>
      </c>
      <c r="E5485" s="56">
        <f ca="1">IF(PV[[#This Row],[Business Date]]=Control!$C$6, PV[[#This Row],[Notional Value Local Cur]], -PV[[#This Row],[Notional Value Local Cur]])</f>
        <v>0</v>
      </c>
    </row>
    <row r="5486" spans="1:5" x14ac:dyDescent="0.25">
      <c r="A5486" s="36" t="b">
        <v>0</v>
      </c>
      <c r="B5486" s="56" t="b">
        <v>0</v>
      </c>
      <c r="C5486" s="56" t="b">
        <v>0</v>
      </c>
      <c r="D5486" s="56" t="b">
        <v>0</v>
      </c>
      <c r="E5486" s="56">
        <f ca="1">IF(PV[[#This Row],[Business Date]]=Control!$C$6, PV[[#This Row],[Notional Value Local Cur]], -PV[[#This Row],[Notional Value Local Cur]])</f>
        <v>0</v>
      </c>
    </row>
    <row r="5487" spans="1:5" x14ac:dyDescent="0.25">
      <c r="A5487" s="36" t="b">
        <v>0</v>
      </c>
      <c r="B5487" s="56" t="b">
        <v>0</v>
      </c>
      <c r="C5487" s="56" t="b">
        <v>0</v>
      </c>
      <c r="D5487" s="56" t="b">
        <v>0</v>
      </c>
      <c r="E5487" s="56">
        <f ca="1">IF(PV[[#This Row],[Business Date]]=Control!$C$6, PV[[#This Row],[Notional Value Local Cur]], -PV[[#This Row],[Notional Value Local Cur]])</f>
        <v>0</v>
      </c>
    </row>
    <row r="5488" spans="1:5" x14ac:dyDescent="0.25">
      <c r="A5488" s="36" t="b">
        <v>0</v>
      </c>
      <c r="B5488" s="56" t="b">
        <v>0</v>
      </c>
      <c r="C5488" s="56" t="b">
        <v>0</v>
      </c>
      <c r="D5488" s="56" t="b">
        <v>0</v>
      </c>
      <c r="E5488" s="56">
        <f ca="1">IF(PV[[#This Row],[Business Date]]=Control!$C$6, PV[[#This Row],[Notional Value Local Cur]], -PV[[#This Row],[Notional Value Local Cur]])</f>
        <v>0</v>
      </c>
    </row>
    <row r="5489" spans="1:5" x14ac:dyDescent="0.25">
      <c r="A5489" s="36" t="b">
        <v>0</v>
      </c>
      <c r="B5489" s="56" t="b">
        <v>0</v>
      </c>
      <c r="C5489" s="56" t="b">
        <v>0</v>
      </c>
      <c r="D5489" s="56" t="b">
        <v>0</v>
      </c>
      <c r="E5489" s="56">
        <f ca="1">IF(PV[[#This Row],[Business Date]]=Control!$C$6, PV[[#This Row],[Notional Value Local Cur]], -PV[[#This Row],[Notional Value Local Cur]])</f>
        <v>0</v>
      </c>
    </row>
    <row r="5490" spans="1:5" x14ac:dyDescent="0.25">
      <c r="A5490" s="36" t="b">
        <v>0</v>
      </c>
      <c r="B5490" s="56" t="b">
        <v>0</v>
      </c>
      <c r="C5490" s="56" t="b">
        <v>0</v>
      </c>
      <c r="D5490" s="56" t="b">
        <v>0</v>
      </c>
      <c r="E5490" s="56">
        <f ca="1">IF(PV[[#This Row],[Business Date]]=Control!$C$6, PV[[#This Row],[Notional Value Local Cur]], -PV[[#This Row],[Notional Value Local Cur]])</f>
        <v>0</v>
      </c>
    </row>
    <row r="5491" spans="1:5" x14ac:dyDescent="0.25">
      <c r="A5491" s="36" t="b">
        <v>0</v>
      </c>
      <c r="B5491" s="56" t="b">
        <v>0</v>
      </c>
      <c r="C5491" s="56" t="b">
        <v>0</v>
      </c>
      <c r="D5491" s="56" t="b">
        <v>0</v>
      </c>
      <c r="E5491" s="56">
        <f ca="1">IF(PV[[#This Row],[Business Date]]=Control!$C$6, PV[[#This Row],[Notional Value Local Cur]], -PV[[#This Row],[Notional Value Local Cur]])</f>
        <v>0</v>
      </c>
    </row>
    <row r="5492" spans="1:5" x14ac:dyDescent="0.25">
      <c r="A5492" s="36" t="b">
        <v>0</v>
      </c>
      <c r="B5492" s="56" t="b">
        <v>0</v>
      </c>
      <c r="C5492" s="56" t="b">
        <v>0</v>
      </c>
      <c r="D5492" s="56" t="b">
        <v>0</v>
      </c>
      <c r="E5492" s="56">
        <f ca="1">IF(PV[[#This Row],[Business Date]]=Control!$C$6, PV[[#This Row],[Notional Value Local Cur]], -PV[[#This Row],[Notional Value Local Cur]])</f>
        <v>0</v>
      </c>
    </row>
    <row r="5493" spans="1:5" x14ac:dyDescent="0.25">
      <c r="A5493" s="36" t="b">
        <v>0</v>
      </c>
      <c r="B5493" s="56" t="b">
        <v>0</v>
      </c>
      <c r="C5493" s="56" t="b">
        <v>0</v>
      </c>
      <c r="D5493" s="56" t="b">
        <v>0</v>
      </c>
      <c r="E5493" s="56">
        <f ca="1">IF(PV[[#This Row],[Business Date]]=Control!$C$6, PV[[#This Row],[Notional Value Local Cur]], -PV[[#This Row],[Notional Value Local Cur]])</f>
        <v>0</v>
      </c>
    </row>
    <row r="5494" spans="1:5" x14ac:dyDescent="0.25">
      <c r="A5494" s="36" t="b">
        <v>0</v>
      </c>
      <c r="B5494" s="56" t="b">
        <v>0</v>
      </c>
      <c r="C5494" s="56" t="b">
        <v>0</v>
      </c>
      <c r="D5494" s="56" t="b">
        <v>0</v>
      </c>
      <c r="E5494" s="56">
        <f ca="1">IF(PV[[#This Row],[Business Date]]=Control!$C$6, PV[[#This Row],[Notional Value Local Cur]], -PV[[#This Row],[Notional Value Local Cur]])</f>
        <v>0</v>
      </c>
    </row>
    <row r="5495" spans="1:5" x14ac:dyDescent="0.25">
      <c r="A5495" s="36" t="b">
        <v>0</v>
      </c>
      <c r="B5495" s="56" t="b">
        <v>0</v>
      </c>
      <c r="C5495" s="56" t="b">
        <v>0</v>
      </c>
      <c r="D5495" s="56" t="b">
        <v>0</v>
      </c>
      <c r="E5495" s="56">
        <f ca="1">IF(PV[[#This Row],[Business Date]]=Control!$C$6, PV[[#This Row],[Notional Value Local Cur]], -PV[[#This Row],[Notional Value Local Cur]])</f>
        <v>0</v>
      </c>
    </row>
    <row r="5496" spans="1:5" x14ac:dyDescent="0.25">
      <c r="A5496" s="36" t="b">
        <v>0</v>
      </c>
      <c r="B5496" s="56" t="b">
        <v>0</v>
      </c>
      <c r="C5496" s="56" t="b">
        <v>0</v>
      </c>
      <c r="D5496" s="56" t="b">
        <v>0</v>
      </c>
      <c r="E5496" s="56">
        <f ca="1">IF(PV[[#This Row],[Business Date]]=Control!$C$6, PV[[#This Row],[Notional Value Local Cur]], -PV[[#This Row],[Notional Value Local Cur]])</f>
        <v>0</v>
      </c>
    </row>
    <row r="5497" spans="1:5" x14ac:dyDescent="0.25">
      <c r="A5497" s="36" t="b">
        <v>0</v>
      </c>
      <c r="B5497" s="56" t="b">
        <v>0</v>
      </c>
      <c r="C5497" s="56" t="b">
        <v>0</v>
      </c>
      <c r="D5497" s="56" t="b">
        <v>0</v>
      </c>
      <c r="E5497" s="56">
        <f ca="1">IF(PV[[#This Row],[Business Date]]=Control!$C$6, PV[[#This Row],[Notional Value Local Cur]], -PV[[#This Row],[Notional Value Local Cur]])</f>
        <v>0</v>
      </c>
    </row>
    <row r="5498" spans="1:5" x14ac:dyDescent="0.25">
      <c r="A5498" s="36" t="b">
        <v>0</v>
      </c>
      <c r="B5498" s="56" t="b">
        <v>0</v>
      </c>
      <c r="C5498" s="56" t="b">
        <v>0</v>
      </c>
      <c r="D5498" s="56" t="b">
        <v>0</v>
      </c>
      <c r="E5498" s="56">
        <f ca="1">IF(PV[[#This Row],[Business Date]]=Control!$C$6, PV[[#This Row],[Notional Value Local Cur]], -PV[[#This Row],[Notional Value Local Cur]])</f>
        <v>0</v>
      </c>
    </row>
    <row r="5499" spans="1:5" x14ac:dyDescent="0.25">
      <c r="A5499" s="36" t="b">
        <v>0</v>
      </c>
      <c r="B5499" s="56" t="b">
        <v>0</v>
      </c>
      <c r="C5499" s="56" t="b">
        <v>0</v>
      </c>
      <c r="D5499" s="56" t="b">
        <v>0</v>
      </c>
      <c r="E5499" s="56">
        <f ca="1">IF(PV[[#This Row],[Business Date]]=Control!$C$6, PV[[#This Row],[Notional Value Local Cur]], -PV[[#This Row],[Notional Value Local Cur]])</f>
        <v>0</v>
      </c>
    </row>
    <row r="5500" spans="1:5" x14ac:dyDescent="0.25">
      <c r="A5500" s="36" t="b">
        <v>0</v>
      </c>
      <c r="B5500" s="56" t="b">
        <v>0</v>
      </c>
      <c r="C5500" s="56" t="b">
        <v>0</v>
      </c>
      <c r="D5500" s="56" t="b">
        <v>0</v>
      </c>
      <c r="E5500" s="56">
        <f ca="1">IF(PV[[#This Row],[Business Date]]=Control!$C$6, PV[[#This Row],[Notional Value Local Cur]], -PV[[#This Row],[Notional Value Local Cur]])</f>
        <v>0</v>
      </c>
    </row>
    <row r="5501" spans="1:5" x14ac:dyDescent="0.25">
      <c r="A5501" s="36" t="b">
        <v>0</v>
      </c>
      <c r="B5501" s="56" t="b">
        <v>0</v>
      </c>
      <c r="C5501" s="56" t="b">
        <v>0</v>
      </c>
      <c r="D5501" s="56" t="b">
        <v>0</v>
      </c>
      <c r="E5501" s="56">
        <f ca="1">IF(PV[[#This Row],[Business Date]]=Control!$C$6, PV[[#This Row],[Notional Value Local Cur]], -PV[[#This Row],[Notional Value Local Cur]])</f>
        <v>0</v>
      </c>
    </row>
    <row r="5502" spans="1:5" x14ac:dyDescent="0.25">
      <c r="A5502" s="36" t="b">
        <v>0</v>
      </c>
      <c r="B5502" s="56" t="b">
        <v>0</v>
      </c>
      <c r="C5502" s="56" t="b">
        <v>0</v>
      </c>
      <c r="D5502" s="56" t="b">
        <v>0</v>
      </c>
      <c r="E5502" s="56">
        <f ca="1">IF(PV[[#This Row],[Business Date]]=Control!$C$6, PV[[#This Row],[Notional Value Local Cur]], -PV[[#This Row],[Notional Value Local Cur]])</f>
        <v>0</v>
      </c>
    </row>
    <row r="5503" spans="1:5" x14ac:dyDescent="0.25">
      <c r="A5503" s="36" t="b">
        <v>0</v>
      </c>
      <c r="B5503" s="56" t="b">
        <v>0</v>
      </c>
      <c r="C5503" s="56" t="b">
        <v>0</v>
      </c>
      <c r="D5503" s="56" t="b">
        <v>0</v>
      </c>
      <c r="E5503" s="56">
        <f ca="1">IF(PV[[#This Row],[Business Date]]=Control!$C$6, PV[[#This Row],[Notional Value Local Cur]], -PV[[#This Row],[Notional Value Local Cur]])</f>
        <v>0</v>
      </c>
    </row>
    <row r="5504" spans="1:5" x14ac:dyDescent="0.25">
      <c r="A5504" s="36" t="b">
        <v>0</v>
      </c>
      <c r="B5504" s="56" t="b">
        <v>0</v>
      </c>
      <c r="C5504" s="56" t="b">
        <v>0</v>
      </c>
      <c r="D5504" s="56" t="b">
        <v>0</v>
      </c>
      <c r="E5504" s="56">
        <f ca="1">IF(PV[[#This Row],[Business Date]]=Control!$C$6, PV[[#This Row],[Notional Value Local Cur]], -PV[[#This Row],[Notional Value Local Cur]])</f>
        <v>0</v>
      </c>
    </row>
    <row r="5505" spans="1:5" x14ac:dyDescent="0.25">
      <c r="A5505" s="36" t="b">
        <v>0</v>
      </c>
      <c r="B5505" s="56" t="b">
        <v>0</v>
      </c>
      <c r="C5505" s="56" t="b">
        <v>0</v>
      </c>
      <c r="D5505" s="56" t="b">
        <v>0</v>
      </c>
      <c r="E5505" s="56">
        <f ca="1">IF(PV[[#This Row],[Business Date]]=Control!$C$6, PV[[#This Row],[Notional Value Local Cur]], -PV[[#This Row],[Notional Value Local Cur]])</f>
        <v>0</v>
      </c>
    </row>
    <row r="5506" spans="1:5" x14ac:dyDescent="0.25">
      <c r="A5506" s="36" t="b">
        <v>0</v>
      </c>
      <c r="B5506" s="56" t="b">
        <v>0</v>
      </c>
      <c r="C5506" s="56" t="b">
        <v>0</v>
      </c>
      <c r="D5506" s="56" t="b">
        <v>0</v>
      </c>
      <c r="E5506" s="56">
        <f ca="1">IF(PV[[#This Row],[Business Date]]=Control!$C$6, PV[[#This Row],[Notional Value Local Cur]], -PV[[#This Row],[Notional Value Local Cur]])</f>
        <v>0</v>
      </c>
    </row>
    <row r="5507" spans="1:5" x14ac:dyDescent="0.25">
      <c r="A5507" s="36" t="b">
        <v>0</v>
      </c>
      <c r="B5507" s="56" t="b">
        <v>0</v>
      </c>
      <c r="C5507" s="56" t="b">
        <v>0</v>
      </c>
      <c r="D5507" s="56" t="b">
        <v>0</v>
      </c>
      <c r="E5507" s="56">
        <f ca="1">IF(PV[[#This Row],[Business Date]]=Control!$C$6, PV[[#This Row],[Notional Value Local Cur]], -PV[[#This Row],[Notional Value Local Cur]])</f>
        <v>0</v>
      </c>
    </row>
    <row r="5508" spans="1:5" x14ac:dyDescent="0.25">
      <c r="A5508" s="36" t="b">
        <v>0</v>
      </c>
      <c r="B5508" s="56" t="b">
        <v>0</v>
      </c>
      <c r="C5508" s="56" t="b">
        <v>0</v>
      </c>
      <c r="D5508" s="56" t="b">
        <v>0</v>
      </c>
      <c r="E5508" s="56">
        <f ca="1">IF(PV[[#This Row],[Business Date]]=Control!$C$6, PV[[#This Row],[Notional Value Local Cur]], -PV[[#This Row],[Notional Value Local Cur]])</f>
        <v>0</v>
      </c>
    </row>
    <row r="5509" spans="1:5" x14ac:dyDescent="0.25">
      <c r="A5509" s="36" t="b">
        <v>0</v>
      </c>
      <c r="B5509" s="56" t="b">
        <v>0</v>
      </c>
      <c r="C5509" s="56" t="b">
        <v>0</v>
      </c>
      <c r="D5509" s="56" t="b">
        <v>0</v>
      </c>
      <c r="E5509" s="56">
        <f ca="1">IF(PV[[#This Row],[Business Date]]=Control!$C$6, PV[[#This Row],[Notional Value Local Cur]], -PV[[#This Row],[Notional Value Local Cur]])</f>
        <v>0</v>
      </c>
    </row>
    <row r="5510" spans="1:5" x14ac:dyDescent="0.25">
      <c r="A5510" s="36" t="b">
        <v>0</v>
      </c>
      <c r="B5510" s="56" t="b">
        <v>0</v>
      </c>
      <c r="C5510" s="56" t="b">
        <v>0</v>
      </c>
      <c r="D5510" s="56" t="b">
        <v>0</v>
      </c>
      <c r="E5510" s="56">
        <f ca="1">IF(PV[[#This Row],[Business Date]]=Control!$C$6, PV[[#This Row],[Notional Value Local Cur]], -PV[[#This Row],[Notional Value Local Cur]])</f>
        <v>0</v>
      </c>
    </row>
    <row r="5511" spans="1:5" x14ac:dyDescent="0.25">
      <c r="A5511" s="36" t="b">
        <v>0</v>
      </c>
      <c r="B5511" s="56" t="b">
        <v>0</v>
      </c>
      <c r="C5511" s="56" t="b">
        <v>0</v>
      </c>
      <c r="D5511" s="56" t="b">
        <v>0</v>
      </c>
      <c r="E5511" s="56">
        <f ca="1">IF(PV[[#This Row],[Business Date]]=Control!$C$6, PV[[#This Row],[Notional Value Local Cur]], -PV[[#This Row],[Notional Value Local Cur]])</f>
        <v>0</v>
      </c>
    </row>
    <row r="5512" spans="1:5" x14ac:dyDescent="0.25">
      <c r="A5512" s="36" t="b">
        <v>0</v>
      </c>
      <c r="B5512" s="56" t="b">
        <v>0</v>
      </c>
      <c r="C5512" s="56" t="b">
        <v>0</v>
      </c>
      <c r="D5512" s="56" t="b">
        <v>0</v>
      </c>
      <c r="E5512" s="56">
        <f ca="1">IF(PV[[#This Row],[Business Date]]=Control!$C$6, PV[[#This Row],[Notional Value Local Cur]], -PV[[#This Row],[Notional Value Local Cur]])</f>
        <v>0</v>
      </c>
    </row>
    <row r="5513" spans="1:5" x14ac:dyDescent="0.25">
      <c r="A5513" s="36" t="b">
        <v>0</v>
      </c>
      <c r="B5513" s="56" t="b">
        <v>0</v>
      </c>
      <c r="C5513" s="56" t="b">
        <v>0</v>
      </c>
      <c r="D5513" s="56" t="b">
        <v>0</v>
      </c>
      <c r="E5513" s="56">
        <f ca="1">IF(PV[[#This Row],[Business Date]]=Control!$C$6, PV[[#This Row],[Notional Value Local Cur]], -PV[[#This Row],[Notional Value Local Cur]])</f>
        <v>0</v>
      </c>
    </row>
    <row r="5514" spans="1:5" x14ac:dyDescent="0.25">
      <c r="A5514" s="36" t="b">
        <v>0</v>
      </c>
      <c r="B5514" s="56" t="b">
        <v>0</v>
      </c>
      <c r="C5514" s="56" t="b">
        <v>0</v>
      </c>
      <c r="D5514" s="56" t="b">
        <v>0</v>
      </c>
      <c r="E5514" s="56">
        <f ca="1">IF(PV[[#This Row],[Business Date]]=Control!$C$6, PV[[#This Row],[Notional Value Local Cur]], -PV[[#This Row],[Notional Value Local Cur]])</f>
        <v>0</v>
      </c>
    </row>
    <row r="5515" spans="1:5" x14ac:dyDescent="0.25">
      <c r="A5515" s="36" t="b">
        <v>0</v>
      </c>
      <c r="B5515" s="56" t="b">
        <v>0</v>
      </c>
      <c r="C5515" s="56" t="b">
        <v>0</v>
      </c>
      <c r="D5515" s="56" t="b">
        <v>0</v>
      </c>
      <c r="E5515" s="56">
        <f ca="1">IF(PV[[#This Row],[Business Date]]=Control!$C$6, PV[[#This Row],[Notional Value Local Cur]], -PV[[#This Row],[Notional Value Local Cur]])</f>
        <v>0</v>
      </c>
    </row>
    <row r="5516" spans="1:5" x14ac:dyDescent="0.25">
      <c r="A5516" s="36" t="b">
        <v>0</v>
      </c>
      <c r="B5516" s="56" t="b">
        <v>0</v>
      </c>
      <c r="C5516" s="56" t="b">
        <v>0</v>
      </c>
      <c r="D5516" s="56" t="b">
        <v>0</v>
      </c>
      <c r="E5516" s="56">
        <f ca="1">IF(PV[[#This Row],[Business Date]]=Control!$C$6, PV[[#This Row],[Notional Value Local Cur]], -PV[[#This Row],[Notional Value Local Cur]])</f>
        <v>0</v>
      </c>
    </row>
    <row r="5517" spans="1:5" x14ac:dyDescent="0.25">
      <c r="A5517" s="36" t="b">
        <v>0</v>
      </c>
      <c r="B5517" s="56" t="b">
        <v>0</v>
      </c>
      <c r="C5517" s="56" t="b">
        <v>0</v>
      </c>
      <c r="D5517" s="56" t="b">
        <v>0</v>
      </c>
      <c r="E5517" s="56">
        <f ca="1">IF(PV[[#This Row],[Business Date]]=Control!$C$6, PV[[#This Row],[Notional Value Local Cur]], -PV[[#This Row],[Notional Value Local Cur]])</f>
        <v>0</v>
      </c>
    </row>
    <row r="5518" spans="1:5" x14ac:dyDescent="0.25">
      <c r="A5518" s="36" t="b">
        <v>0</v>
      </c>
      <c r="B5518" s="56" t="b">
        <v>0</v>
      </c>
      <c r="C5518" s="56" t="b">
        <v>0</v>
      </c>
      <c r="D5518" s="56" t="b">
        <v>0</v>
      </c>
      <c r="E5518" s="56">
        <f ca="1">IF(PV[[#This Row],[Business Date]]=Control!$C$6, PV[[#This Row],[Notional Value Local Cur]], -PV[[#This Row],[Notional Value Local Cur]])</f>
        <v>0</v>
      </c>
    </row>
    <row r="5519" spans="1:5" x14ac:dyDescent="0.25">
      <c r="A5519" s="36" t="b">
        <v>0</v>
      </c>
      <c r="B5519" s="56" t="b">
        <v>0</v>
      </c>
      <c r="C5519" s="56" t="b">
        <v>0</v>
      </c>
      <c r="D5519" s="56" t="b">
        <v>0</v>
      </c>
      <c r="E5519" s="56">
        <f ca="1">IF(PV[[#This Row],[Business Date]]=Control!$C$6, PV[[#This Row],[Notional Value Local Cur]], -PV[[#This Row],[Notional Value Local Cur]])</f>
        <v>0</v>
      </c>
    </row>
    <row r="5520" spans="1:5" x14ac:dyDescent="0.25">
      <c r="A5520" s="36" t="b">
        <v>0</v>
      </c>
      <c r="B5520" s="56" t="b">
        <v>0</v>
      </c>
      <c r="C5520" s="56" t="b">
        <v>0</v>
      </c>
      <c r="D5520" s="56" t="b">
        <v>0</v>
      </c>
      <c r="E5520" s="56">
        <f ca="1">IF(PV[[#This Row],[Business Date]]=Control!$C$6, PV[[#This Row],[Notional Value Local Cur]], -PV[[#This Row],[Notional Value Local Cur]])</f>
        <v>0</v>
      </c>
    </row>
    <row r="5521" spans="1:5" x14ac:dyDescent="0.25">
      <c r="A5521" s="36" t="b">
        <v>0</v>
      </c>
      <c r="B5521" s="56" t="b">
        <v>0</v>
      </c>
      <c r="C5521" s="56" t="b">
        <v>0</v>
      </c>
      <c r="D5521" s="56" t="b">
        <v>0</v>
      </c>
      <c r="E5521" s="56">
        <f ca="1">IF(PV[[#This Row],[Business Date]]=Control!$C$6, PV[[#This Row],[Notional Value Local Cur]], -PV[[#This Row],[Notional Value Local Cur]])</f>
        <v>0</v>
      </c>
    </row>
    <row r="5522" spans="1:5" x14ac:dyDescent="0.25">
      <c r="A5522" s="36" t="b">
        <v>0</v>
      </c>
      <c r="B5522" s="56" t="b">
        <v>0</v>
      </c>
      <c r="C5522" s="56" t="b">
        <v>0</v>
      </c>
      <c r="D5522" s="56" t="b">
        <v>0</v>
      </c>
      <c r="E5522" s="56">
        <f ca="1">IF(PV[[#This Row],[Business Date]]=Control!$C$6, PV[[#This Row],[Notional Value Local Cur]], -PV[[#This Row],[Notional Value Local Cur]])</f>
        <v>0</v>
      </c>
    </row>
    <row r="5523" spans="1:5" x14ac:dyDescent="0.25">
      <c r="A5523" s="36" t="b">
        <v>0</v>
      </c>
      <c r="B5523" s="56" t="b">
        <v>0</v>
      </c>
      <c r="C5523" s="56" t="b">
        <v>0</v>
      </c>
      <c r="D5523" s="56" t="b">
        <v>0</v>
      </c>
      <c r="E5523" s="56">
        <f ca="1">IF(PV[[#This Row],[Business Date]]=Control!$C$6, PV[[#This Row],[Notional Value Local Cur]], -PV[[#This Row],[Notional Value Local Cur]])</f>
        <v>0</v>
      </c>
    </row>
    <row r="5524" spans="1:5" x14ac:dyDescent="0.25">
      <c r="A5524" s="36" t="b">
        <v>0</v>
      </c>
      <c r="B5524" s="56" t="b">
        <v>0</v>
      </c>
      <c r="C5524" s="56" t="b">
        <v>0</v>
      </c>
      <c r="D5524" s="56" t="b">
        <v>0</v>
      </c>
      <c r="E5524" s="56">
        <f ca="1">IF(PV[[#This Row],[Business Date]]=Control!$C$6, PV[[#This Row],[Notional Value Local Cur]], -PV[[#This Row],[Notional Value Local Cur]])</f>
        <v>0</v>
      </c>
    </row>
    <row r="5525" spans="1:5" x14ac:dyDescent="0.25">
      <c r="A5525" s="36" t="b">
        <v>0</v>
      </c>
      <c r="B5525" s="56" t="b">
        <v>0</v>
      </c>
      <c r="C5525" s="56" t="b">
        <v>0</v>
      </c>
      <c r="D5525" s="56" t="b">
        <v>0</v>
      </c>
      <c r="E5525" s="56">
        <f ca="1">IF(PV[[#This Row],[Business Date]]=Control!$C$6, PV[[#This Row],[Notional Value Local Cur]], -PV[[#This Row],[Notional Value Local Cur]])</f>
        <v>0</v>
      </c>
    </row>
    <row r="5526" spans="1:5" x14ac:dyDescent="0.25">
      <c r="A5526" s="36" t="b">
        <v>0</v>
      </c>
      <c r="B5526" s="56" t="b">
        <v>0</v>
      </c>
      <c r="C5526" s="56" t="b">
        <v>0</v>
      </c>
      <c r="D5526" s="56" t="b">
        <v>0</v>
      </c>
      <c r="E5526" s="56">
        <f ca="1">IF(PV[[#This Row],[Business Date]]=Control!$C$6, PV[[#This Row],[Notional Value Local Cur]], -PV[[#This Row],[Notional Value Local Cur]])</f>
        <v>0</v>
      </c>
    </row>
    <row r="5527" spans="1:5" x14ac:dyDescent="0.25">
      <c r="A5527" s="36" t="b">
        <v>0</v>
      </c>
      <c r="B5527" s="56" t="b">
        <v>0</v>
      </c>
      <c r="C5527" s="56" t="b">
        <v>0</v>
      </c>
      <c r="D5527" s="56" t="b">
        <v>0</v>
      </c>
      <c r="E5527" s="56">
        <f ca="1">IF(PV[[#This Row],[Business Date]]=Control!$C$6, PV[[#This Row],[Notional Value Local Cur]], -PV[[#This Row],[Notional Value Local Cur]])</f>
        <v>0</v>
      </c>
    </row>
    <row r="5528" spans="1:5" x14ac:dyDescent="0.25">
      <c r="A5528" s="36" t="b">
        <v>0</v>
      </c>
      <c r="B5528" s="56" t="b">
        <v>0</v>
      </c>
      <c r="C5528" s="56" t="b">
        <v>0</v>
      </c>
      <c r="D5528" s="56" t="b">
        <v>0</v>
      </c>
      <c r="E5528" s="56">
        <f ca="1">IF(PV[[#This Row],[Business Date]]=Control!$C$6, PV[[#This Row],[Notional Value Local Cur]], -PV[[#This Row],[Notional Value Local Cur]])</f>
        <v>0</v>
      </c>
    </row>
    <row r="5529" spans="1:5" x14ac:dyDescent="0.25">
      <c r="A5529" s="36" t="b">
        <v>0</v>
      </c>
      <c r="B5529" s="56" t="b">
        <v>0</v>
      </c>
      <c r="C5529" s="56" t="b">
        <v>0</v>
      </c>
      <c r="D5529" s="56" t="b">
        <v>0</v>
      </c>
      <c r="E5529" s="56">
        <f ca="1">IF(PV[[#This Row],[Business Date]]=Control!$C$6, PV[[#This Row],[Notional Value Local Cur]], -PV[[#This Row],[Notional Value Local Cur]])</f>
        <v>0</v>
      </c>
    </row>
    <row r="5530" spans="1:5" x14ac:dyDescent="0.25">
      <c r="A5530" s="36" t="b">
        <v>0</v>
      </c>
      <c r="B5530" s="56" t="b">
        <v>0</v>
      </c>
      <c r="C5530" s="56" t="b">
        <v>0</v>
      </c>
      <c r="D5530" s="56" t="b">
        <v>0</v>
      </c>
      <c r="E5530" s="56">
        <f ca="1">IF(PV[[#This Row],[Business Date]]=Control!$C$6, PV[[#This Row],[Notional Value Local Cur]], -PV[[#This Row],[Notional Value Local Cur]])</f>
        <v>0</v>
      </c>
    </row>
    <row r="5531" spans="1:5" x14ac:dyDescent="0.25">
      <c r="A5531" s="36" t="b">
        <v>0</v>
      </c>
      <c r="B5531" s="56" t="b">
        <v>0</v>
      </c>
      <c r="C5531" s="56" t="b">
        <v>0</v>
      </c>
      <c r="D5531" s="56" t="b">
        <v>0</v>
      </c>
      <c r="E5531" s="56">
        <f ca="1">IF(PV[[#This Row],[Business Date]]=Control!$C$6, PV[[#This Row],[Notional Value Local Cur]], -PV[[#This Row],[Notional Value Local Cur]])</f>
        <v>0</v>
      </c>
    </row>
    <row r="5532" spans="1:5" x14ac:dyDescent="0.25">
      <c r="A5532" s="36" t="b">
        <v>0</v>
      </c>
      <c r="B5532" s="56" t="b">
        <v>0</v>
      </c>
      <c r="C5532" s="56" t="b">
        <v>0</v>
      </c>
      <c r="D5532" s="56" t="b">
        <v>0</v>
      </c>
      <c r="E5532" s="56">
        <f ca="1">IF(PV[[#This Row],[Business Date]]=Control!$C$6, PV[[#This Row],[Notional Value Local Cur]], -PV[[#This Row],[Notional Value Local Cur]])</f>
        <v>0</v>
      </c>
    </row>
    <row r="5533" spans="1:5" x14ac:dyDescent="0.25">
      <c r="A5533" s="36" t="b">
        <v>0</v>
      </c>
      <c r="B5533" s="56" t="b">
        <v>0</v>
      </c>
      <c r="C5533" s="56" t="b">
        <v>0</v>
      </c>
      <c r="D5533" s="56" t="b">
        <v>0</v>
      </c>
      <c r="E5533" s="56">
        <f ca="1">IF(PV[[#This Row],[Business Date]]=Control!$C$6, PV[[#This Row],[Notional Value Local Cur]], -PV[[#This Row],[Notional Value Local Cur]])</f>
        <v>0</v>
      </c>
    </row>
    <row r="5534" spans="1:5" x14ac:dyDescent="0.25">
      <c r="A5534" s="36" t="b">
        <v>0</v>
      </c>
      <c r="B5534" s="56" t="b">
        <v>0</v>
      </c>
      <c r="C5534" s="56" t="b">
        <v>0</v>
      </c>
      <c r="D5534" s="56" t="b">
        <v>0</v>
      </c>
      <c r="E5534" s="56">
        <f ca="1">IF(PV[[#This Row],[Business Date]]=Control!$C$6, PV[[#This Row],[Notional Value Local Cur]], -PV[[#This Row],[Notional Value Local Cur]])</f>
        <v>0</v>
      </c>
    </row>
    <row r="5535" spans="1:5" x14ac:dyDescent="0.25">
      <c r="A5535" s="36" t="b">
        <v>0</v>
      </c>
      <c r="B5535" s="56" t="b">
        <v>0</v>
      </c>
      <c r="C5535" s="56" t="b">
        <v>0</v>
      </c>
      <c r="D5535" s="56" t="b">
        <v>0</v>
      </c>
      <c r="E5535" s="56">
        <f ca="1">IF(PV[[#This Row],[Business Date]]=Control!$C$6, PV[[#This Row],[Notional Value Local Cur]], -PV[[#This Row],[Notional Value Local Cur]])</f>
        <v>0</v>
      </c>
    </row>
    <row r="5536" spans="1:5" x14ac:dyDescent="0.25">
      <c r="A5536" s="36" t="b">
        <v>0</v>
      </c>
      <c r="B5536" s="56" t="b">
        <v>0</v>
      </c>
      <c r="C5536" s="56" t="b">
        <v>0</v>
      </c>
      <c r="D5536" s="56" t="b">
        <v>0</v>
      </c>
      <c r="E5536" s="56">
        <f ca="1">IF(PV[[#This Row],[Business Date]]=Control!$C$6, PV[[#This Row],[Notional Value Local Cur]], -PV[[#This Row],[Notional Value Local Cur]])</f>
        <v>0</v>
      </c>
    </row>
    <row r="5537" spans="1:5" x14ac:dyDescent="0.25">
      <c r="A5537" s="36" t="b">
        <v>0</v>
      </c>
      <c r="B5537" s="56" t="b">
        <v>0</v>
      </c>
      <c r="C5537" s="56" t="b">
        <v>0</v>
      </c>
      <c r="D5537" s="56" t="b">
        <v>0</v>
      </c>
      <c r="E5537" s="56">
        <f ca="1">IF(PV[[#This Row],[Business Date]]=Control!$C$6, PV[[#This Row],[Notional Value Local Cur]], -PV[[#This Row],[Notional Value Local Cur]])</f>
        <v>0</v>
      </c>
    </row>
    <row r="5538" spans="1:5" x14ac:dyDescent="0.25">
      <c r="A5538" s="36" t="b">
        <v>0</v>
      </c>
      <c r="B5538" s="56" t="b">
        <v>0</v>
      </c>
      <c r="C5538" s="56" t="b">
        <v>0</v>
      </c>
      <c r="D5538" s="56" t="b">
        <v>0</v>
      </c>
      <c r="E5538" s="56">
        <f ca="1">IF(PV[[#This Row],[Business Date]]=Control!$C$6, PV[[#This Row],[Notional Value Local Cur]], -PV[[#This Row],[Notional Value Local Cur]])</f>
        <v>0</v>
      </c>
    </row>
    <row r="5539" spans="1:5" x14ac:dyDescent="0.25">
      <c r="A5539" s="36" t="b">
        <v>0</v>
      </c>
      <c r="B5539" s="56" t="b">
        <v>0</v>
      </c>
      <c r="C5539" s="56" t="b">
        <v>0</v>
      </c>
      <c r="D5539" s="56" t="b">
        <v>0</v>
      </c>
      <c r="E5539" s="56">
        <f ca="1">IF(PV[[#This Row],[Business Date]]=Control!$C$6, PV[[#This Row],[Notional Value Local Cur]], -PV[[#This Row],[Notional Value Local Cur]])</f>
        <v>0</v>
      </c>
    </row>
    <row r="5540" spans="1:5" x14ac:dyDescent="0.25">
      <c r="A5540" s="36" t="b">
        <v>0</v>
      </c>
      <c r="B5540" s="56" t="b">
        <v>0</v>
      </c>
      <c r="C5540" s="56" t="b">
        <v>0</v>
      </c>
      <c r="D5540" s="56" t="b">
        <v>0</v>
      </c>
      <c r="E5540" s="56">
        <f ca="1">IF(PV[[#This Row],[Business Date]]=Control!$C$6, PV[[#This Row],[Notional Value Local Cur]], -PV[[#This Row],[Notional Value Local Cur]])</f>
        <v>0</v>
      </c>
    </row>
    <row r="5541" spans="1:5" x14ac:dyDescent="0.25">
      <c r="A5541" s="36" t="b">
        <v>0</v>
      </c>
      <c r="B5541" s="56" t="b">
        <v>0</v>
      </c>
      <c r="C5541" s="56" t="b">
        <v>0</v>
      </c>
      <c r="D5541" s="56" t="b">
        <v>0</v>
      </c>
      <c r="E5541" s="56">
        <f ca="1">IF(PV[[#This Row],[Business Date]]=Control!$C$6, PV[[#This Row],[Notional Value Local Cur]], -PV[[#This Row],[Notional Value Local Cur]])</f>
        <v>0</v>
      </c>
    </row>
    <row r="5542" spans="1:5" x14ac:dyDescent="0.25">
      <c r="A5542" s="36" t="b">
        <v>0</v>
      </c>
      <c r="B5542" s="56" t="b">
        <v>0</v>
      </c>
      <c r="C5542" s="56" t="b">
        <v>0</v>
      </c>
      <c r="D5542" s="56" t="b">
        <v>0</v>
      </c>
      <c r="E5542" s="56">
        <f ca="1">IF(PV[[#This Row],[Business Date]]=Control!$C$6, PV[[#This Row],[Notional Value Local Cur]], -PV[[#This Row],[Notional Value Local Cur]])</f>
        <v>0</v>
      </c>
    </row>
    <row r="5543" spans="1:5" x14ac:dyDescent="0.25">
      <c r="A5543" s="36" t="b">
        <v>0</v>
      </c>
      <c r="B5543" s="56" t="b">
        <v>0</v>
      </c>
      <c r="C5543" s="56" t="b">
        <v>0</v>
      </c>
      <c r="D5543" s="56" t="b">
        <v>0</v>
      </c>
      <c r="E5543" s="56">
        <f ca="1">IF(PV[[#This Row],[Business Date]]=Control!$C$6, PV[[#This Row],[Notional Value Local Cur]], -PV[[#This Row],[Notional Value Local Cur]])</f>
        <v>0</v>
      </c>
    </row>
    <row r="5544" spans="1:5" x14ac:dyDescent="0.25">
      <c r="A5544" s="36" t="b">
        <v>0</v>
      </c>
      <c r="B5544" s="56" t="b">
        <v>0</v>
      </c>
      <c r="C5544" s="56" t="b">
        <v>0</v>
      </c>
      <c r="D5544" s="56" t="b">
        <v>0</v>
      </c>
      <c r="E5544" s="56">
        <f ca="1">IF(PV[[#This Row],[Business Date]]=Control!$C$6, PV[[#This Row],[Notional Value Local Cur]], -PV[[#This Row],[Notional Value Local Cur]])</f>
        <v>0</v>
      </c>
    </row>
    <row r="5545" spans="1:5" x14ac:dyDescent="0.25">
      <c r="A5545" s="36" t="b">
        <v>0</v>
      </c>
      <c r="B5545" s="56" t="b">
        <v>0</v>
      </c>
      <c r="C5545" s="56" t="b">
        <v>0</v>
      </c>
      <c r="D5545" s="56" t="b">
        <v>0</v>
      </c>
      <c r="E5545" s="56">
        <f ca="1">IF(PV[[#This Row],[Business Date]]=Control!$C$6, PV[[#This Row],[Notional Value Local Cur]], -PV[[#This Row],[Notional Value Local Cur]])</f>
        <v>0</v>
      </c>
    </row>
    <row r="5546" spans="1:5" x14ac:dyDescent="0.25">
      <c r="A5546" s="36" t="b">
        <v>0</v>
      </c>
      <c r="B5546" s="56" t="b">
        <v>0</v>
      </c>
      <c r="C5546" s="56" t="b">
        <v>0</v>
      </c>
      <c r="D5546" s="56" t="b">
        <v>0</v>
      </c>
      <c r="E5546" s="56">
        <f ca="1">IF(PV[[#This Row],[Business Date]]=Control!$C$6, PV[[#This Row],[Notional Value Local Cur]], -PV[[#This Row],[Notional Value Local Cur]])</f>
        <v>0</v>
      </c>
    </row>
    <row r="5547" spans="1:5" x14ac:dyDescent="0.25">
      <c r="A5547" s="36" t="b">
        <v>0</v>
      </c>
      <c r="B5547" s="56" t="b">
        <v>0</v>
      </c>
      <c r="C5547" s="56" t="b">
        <v>0</v>
      </c>
      <c r="D5547" s="56" t="b">
        <v>0</v>
      </c>
      <c r="E5547" s="56">
        <f ca="1">IF(PV[[#This Row],[Business Date]]=Control!$C$6, PV[[#This Row],[Notional Value Local Cur]], -PV[[#This Row],[Notional Value Local Cur]])</f>
        <v>0</v>
      </c>
    </row>
    <row r="5548" spans="1:5" x14ac:dyDescent="0.25">
      <c r="A5548" s="36" t="b">
        <v>0</v>
      </c>
      <c r="B5548" s="56" t="b">
        <v>0</v>
      </c>
      <c r="C5548" s="56" t="b">
        <v>0</v>
      </c>
      <c r="D5548" s="56" t="b">
        <v>0</v>
      </c>
      <c r="E5548" s="56">
        <f ca="1">IF(PV[[#This Row],[Business Date]]=Control!$C$6, PV[[#This Row],[Notional Value Local Cur]], -PV[[#This Row],[Notional Value Local Cur]])</f>
        <v>0</v>
      </c>
    </row>
    <row r="5549" spans="1:5" x14ac:dyDescent="0.25">
      <c r="A5549" s="36" t="b">
        <v>0</v>
      </c>
      <c r="B5549" s="56" t="b">
        <v>0</v>
      </c>
      <c r="C5549" s="56" t="b">
        <v>0</v>
      </c>
      <c r="D5549" s="56" t="b">
        <v>0</v>
      </c>
      <c r="E5549" s="56">
        <f ca="1">IF(PV[[#This Row],[Business Date]]=Control!$C$6, PV[[#This Row],[Notional Value Local Cur]], -PV[[#This Row],[Notional Value Local Cur]])</f>
        <v>0</v>
      </c>
    </row>
    <row r="5550" spans="1:5" x14ac:dyDescent="0.25">
      <c r="A5550" s="36" t="b">
        <v>0</v>
      </c>
      <c r="B5550" s="56" t="b">
        <v>0</v>
      </c>
      <c r="C5550" s="56" t="b">
        <v>0</v>
      </c>
      <c r="D5550" s="56" t="b">
        <v>0</v>
      </c>
      <c r="E5550" s="56">
        <f ca="1">IF(PV[[#This Row],[Business Date]]=Control!$C$6, PV[[#This Row],[Notional Value Local Cur]], -PV[[#This Row],[Notional Value Local Cur]])</f>
        <v>0</v>
      </c>
    </row>
    <row r="5551" spans="1:5" x14ac:dyDescent="0.25">
      <c r="A5551" s="36" t="b">
        <v>0</v>
      </c>
      <c r="B5551" s="56" t="b">
        <v>0</v>
      </c>
      <c r="C5551" s="56" t="b">
        <v>0</v>
      </c>
      <c r="D5551" s="56" t="b">
        <v>0</v>
      </c>
      <c r="E5551" s="56">
        <f ca="1">IF(PV[[#This Row],[Business Date]]=Control!$C$6, PV[[#This Row],[Notional Value Local Cur]], -PV[[#This Row],[Notional Value Local Cur]])</f>
        <v>0</v>
      </c>
    </row>
    <row r="5552" spans="1:5" x14ac:dyDescent="0.25">
      <c r="A5552" s="36" t="b">
        <v>0</v>
      </c>
      <c r="B5552" s="56" t="b">
        <v>0</v>
      </c>
      <c r="C5552" s="56" t="b">
        <v>0</v>
      </c>
      <c r="D5552" s="56" t="b">
        <v>0</v>
      </c>
      <c r="E5552" s="56">
        <f ca="1">IF(PV[[#This Row],[Business Date]]=Control!$C$6, PV[[#This Row],[Notional Value Local Cur]], -PV[[#This Row],[Notional Value Local Cur]])</f>
        <v>0</v>
      </c>
    </row>
    <row r="5553" spans="1:5" x14ac:dyDescent="0.25">
      <c r="A5553" s="36" t="b">
        <v>0</v>
      </c>
      <c r="B5553" s="56" t="b">
        <v>0</v>
      </c>
      <c r="C5553" s="56" t="b">
        <v>0</v>
      </c>
      <c r="D5553" s="56" t="b">
        <v>0</v>
      </c>
      <c r="E5553" s="56">
        <f ca="1">IF(PV[[#This Row],[Business Date]]=Control!$C$6, PV[[#This Row],[Notional Value Local Cur]], -PV[[#This Row],[Notional Value Local Cur]])</f>
        <v>0</v>
      </c>
    </row>
    <row r="5554" spans="1:5" x14ac:dyDescent="0.25">
      <c r="A5554" s="36" t="b">
        <v>0</v>
      </c>
      <c r="B5554" s="56" t="b">
        <v>0</v>
      </c>
      <c r="C5554" s="56" t="b">
        <v>0</v>
      </c>
      <c r="D5554" s="56" t="b">
        <v>0</v>
      </c>
      <c r="E5554" s="56">
        <f ca="1">IF(PV[[#This Row],[Business Date]]=Control!$C$6, PV[[#This Row],[Notional Value Local Cur]], -PV[[#This Row],[Notional Value Local Cur]])</f>
        <v>0</v>
      </c>
    </row>
    <row r="5555" spans="1:5" x14ac:dyDescent="0.25">
      <c r="A5555" s="36" t="b">
        <v>0</v>
      </c>
      <c r="B5555" s="56" t="b">
        <v>0</v>
      </c>
      <c r="C5555" s="56" t="b">
        <v>0</v>
      </c>
      <c r="D5555" s="56" t="b">
        <v>0</v>
      </c>
      <c r="E5555" s="56">
        <f ca="1">IF(PV[[#This Row],[Business Date]]=Control!$C$6, PV[[#This Row],[Notional Value Local Cur]], -PV[[#This Row],[Notional Value Local Cur]])</f>
        <v>0</v>
      </c>
    </row>
    <row r="5556" spans="1:5" x14ac:dyDescent="0.25">
      <c r="A5556" s="36" t="b">
        <v>0</v>
      </c>
      <c r="B5556" s="56" t="b">
        <v>0</v>
      </c>
      <c r="C5556" s="56" t="b">
        <v>0</v>
      </c>
      <c r="D5556" s="56" t="b">
        <v>0</v>
      </c>
      <c r="E5556" s="56">
        <f ca="1">IF(PV[[#This Row],[Business Date]]=Control!$C$6, PV[[#This Row],[Notional Value Local Cur]], -PV[[#This Row],[Notional Value Local Cur]])</f>
        <v>0</v>
      </c>
    </row>
    <row r="5557" spans="1:5" x14ac:dyDescent="0.25">
      <c r="A5557" s="36" t="b">
        <v>0</v>
      </c>
      <c r="B5557" s="56" t="b">
        <v>0</v>
      </c>
      <c r="C5557" s="56" t="b">
        <v>0</v>
      </c>
      <c r="D5557" s="56" t="b">
        <v>0</v>
      </c>
      <c r="E5557" s="56">
        <f ca="1">IF(PV[[#This Row],[Business Date]]=Control!$C$6, PV[[#This Row],[Notional Value Local Cur]], -PV[[#This Row],[Notional Value Local Cur]])</f>
        <v>0</v>
      </c>
    </row>
    <row r="5558" spans="1:5" x14ac:dyDescent="0.25">
      <c r="A5558" s="36" t="b">
        <v>0</v>
      </c>
      <c r="B5558" s="56" t="b">
        <v>0</v>
      </c>
      <c r="C5558" s="56" t="b">
        <v>0</v>
      </c>
      <c r="D5558" s="56" t="b">
        <v>0</v>
      </c>
      <c r="E5558" s="56">
        <f ca="1">IF(PV[[#This Row],[Business Date]]=Control!$C$6, PV[[#This Row],[Notional Value Local Cur]], -PV[[#This Row],[Notional Value Local Cur]])</f>
        <v>0</v>
      </c>
    </row>
    <row r="5559" spans="1:5" x14ac:dyDescent="0.25">
      <c r="A5559" s="36" t="b">
        <v>0</v>
      </c>
      <c r="B5559" s="56" t="b">
        <v>0</v>
      </c>
      <c r="C5559" s="56" t="b">
        <v>0</v>
      </c>
      <c r="D5559" s="56" t="b">
        <v>0</v>
      </c>
      <c r="E5559" s="56">
        <f ca="1">IF(PV[[#This Row],[Business Date]]=Control!$C$6, PV[[#This Row],[Notional Value Local Cur]], -PV[[#This Row],[Notional Value Local Cur]])</f>
        <v>0</v>
      </c>
    </row>
    <row r="5560" spans="1:5" x14ac:dyDescent="0.25">
      <c r="A5560" s="36" t="b">
        <v>0</v>
      </c>
      <c r="B5560" s="56" t="b">
        <v>0</v>
      </c>
      <c r="C5560" s="56" t="b">
        <v>0</v>
      </c>
      <c r="D5560" s="56" t="b">
        <v>0</v>
      </c>
      <c r="E5560" s="56">
        <f ca="1">IF(PV[[#This Row],[Business Date]]=Control!$C$6, PV[[#This Row],[Notional Value Local Cur]], -PV[[#This Row],[Notional Value Local Cur]])</f>
        <v>0</v>
      </c>
    </row>
    <row r="5561" spans="1:5" x14ac:dyDescent="0.25">
      <c r="A5561" s="36" t="b">
        <v>0</v>
      </c>
      <c r="B5561" s="56" t="b">
        <v>0</v>
      </c>
      <c r="C5561" s="56" t="b">
        <v>0</v>
      </c>
      <c r="D5561" s="56" t="b">
        <v>0</v>
      </c>
      <c r="E5561" s="56">
        <f ca="1">IF(PV[[#This Row],[Business Date]]=Control!$C$6, PV[[#This Row],[Notional Value Local Cur]], -PV[[#This Row],[Notional Value Local Cur]])</f>
        <v>0</v>
      </c>
    </row>
    <row r="5562" spans="1:5" x14ac:dyDescent="0.25">
      <c r="A5562" s="36" t="b">
        <v>0</v>
      </c>
      <c r="B5562" s="56" t="b">
        <v>0</v>
      </c>
      <c r="C5562" s="56" t="b">
        <v>0</v>
      </c>
      <c r="D5562" s="56" t="b">
        <v>0</v>
      </c>
      <c r="E5562" s="56">
        <f ca="1">IF(PV[[#This Row],[Business Date]]=Control!$C$6, PV[[#This Row],[Notional Value Local Cur]], -PV[[#This Row],[Notional Value Local Cur]])</f>
        <v>0</v>
      </c>
    </row>
    <row r="5563" spans="1:5" x14ac:dyDescent="0.25">
      <c r="A5563" s="36" t="b">
        <v>0</v>
      </c>
      <c r="B5563" s="56" t="b">
        <v>0</v>
      </c>
      <c r="C5563" s="56" t="b">
        <v>0</v>
      </c>
      <c r="D5563" s="56" t="b">
        <v>0</v>
      </c>
      <c r="E5563" s="56">
        <f ca="1">IF(PV[[#This Row],[Business Date]]=Control!$C$6, PV[[#This Row],[Notional Value Local Cur]], -PV[[#This Row],[Notional Value Local Cur]])</f>
        <v>0</v>
      </c>
    </row>
    <row r="5564" spans="1:5" x14ac:dyDescent="0.25">
      <c r="A5564" s="36" t="b">
        <v>0</v>
      </c>
      <c r="B5564" s="56" t="b">
        <v>0</v>
      </c>
      <c r="C5564" s="56" t="b">
        <v>0</v>
      </c>
      <c r="D5564" s="56" t="b">
        <v>0</v>
      </c>
      <c r="E5564" s="56">
        <f ca="1">IF(PV[[#This Row],[Business Date]]=Control!$C$6, PV[[#This Row],[Notional Value Local Cur]], -PV[[#This Row],[Notional Value Local Cur]])</f>
        <v>0</v>
      </c>
    </row>
    <row r="5565" spans="1:5" x14ac:dyDescent="0.25">
      <c r="A5565" s="36" t="b">
        <v>0</v>
      </c>
      <c r="B5565" s="56" t="b">
        <v>0</v>
      </c>
      <c r="C5565" s="56" t="b">
        <v>0</v>
      </c>
      <c r="D5565" s="56" t="b">
        <v>0</v>
      </c>
      <c r="E5565" s="56">
        <f ca="1">IF(PV[[#This Row],[Business Date]]=Control!$C$6, PV[[#This Row],[Notional Value Local Cur]], -PV[[#This Row],[Notional Value Local Cur]])</f>
        <v>0</v>
      </c>
    </row>
    <row r="5566" spans="1:5" x14ac:dyDescent="0.25">
      <c r="A5566" s="36" t="b">
        <v>0</v>
      </c>
      <c r="B5566" s="56" t="b">
        <v>0</v>
      </c>
      <c r="C5566" s="56" t="b">
        <v>0</v>
      </c>
      <c r="D5566" s="56" t="b">
        <v>0</v>
      </c>
      <c r="E5566" s="56">
        <f ca="1">IF(PV[[#This Row],[Business Date]]=Control!$C$6, PV[[#This Row],[Notional Value Local Cur]], -PV[[#This Row],[Notional Value Local Cur]])</f>
        <v>0</v>
      </c>
    </row>
    <row r="5567" spans="1:5" x14ac:dyDescent="0.25">
      <c r="A5567" s="36" t="b">
        <v>0</v>
      </c>
      <c r="B5567" s="56" t="b">
        <v>0</v>
      </c>
      <c r="C5567" s="56" t="b">
        <v>0</v>
      </c>
      <c r="D5567" s="56" t="b">
        <v>0</v>
      </c>
      <c r="E5567" s="56">
        <f ca="1">IF(PV[[#This Row],[Business Date]]=Control!$C$6, PV[[#This Row],[Notional Value Local Cur]], -PV[[#This Row],[Notional Value Local Cur]])</f>
        <v>0</v>
      </c>
    </row>
    <row r="5568" spans="1:5" x14ac:dyDescent="0.25">
      <c r="A5568" s="36" t="b">
        <v>0</v>
      </c>
      <c r="B5568" s="56" t="b">
        <v>0</v>
      </c>
      <c r="C5568" s="56" t="b">
        <v>0</v>
      </c>
      <c r="D5568" s="56" t="b">
        <v>0</v>
      </c>
      <c r="E5568" s="56">
        <f ca="1">IF(PV[[#This Row],[Business Date]]=Control!$C$6, PV[[#This Row],[Notional Value Local Cur]], -PV[[#This Row],[Notional Value Local Cur]])</f>
        <v>0</v>
      </c>
    </row>
    <row r="5569" spans="1:5" x14ac:dyDescent="0.25">
      <c r="A5569" s="36" t="b">
        <v>0</v>
      </c>
      <c r="B5569" s="56" t="b">
        <v>0</v>
      </c>
      <c r="C5569" s="56" t="b">
        <v>0</v>
      </c>
      <c r="D5569" s="56" t="b">
        <v>0</v>
      </c>
      <c r="E5569" s="56">
        <f ca="1">IF(PV[[#This Row],[Business Date]]=Control!$C$6, PV[[#This Row],[Notional Value Local Cur]], -PV[[#This Row],[Notional Value Local Cur]])</f>
        <v>0</v>
      </c>
    </row>
    <row r="5570" spans="1:5" x14ac:dyDescent="0.25">
      <c r="A5570" s="36" t="b">
        <v>0</v>
      </c>
      <c r="B5570" s="56" t="b">
        <v>0</v>
      </c>
      <c r="C5570" s="56" t="b">
        <v>0</v>
      </c>
      <c r="D5570" s="56" t="b">
        <v>0</v>
      </c>
      <c r="E5570" s="56">
        <f ca="1">IF(PV[[#This Row],[Business Date]]=Control!$C$6, PV[[#This Row],[Notional Value Local Cur]], -PV[[#This Row],[Notional Value Local Cur]])</f>
        <v>0</v>
      </c>
    </row>
    <row r="5571" spans="1:5" x14ac:dyDescent="0.25">
      <c r="A5571" s="36" t="b">
        <v>0</v>
      </c>
      <c r="B5571" s="56" t="b">
        <v>0</v>
      </c>
      <c r="C5571" s="56" t="b">
        <v>0</v>
      </c>
      <c r="D5571" s="56" t="b">
        <v>0</v>
      </c>
      <c r="E5571" s="56">
        <f ca="1">IF(PV[[#This Row],[Business Date]]=Control!$C$6, PV[[#This Row],[Notional Value Local Cur]], -PV[[#This Row],[Notional Value Local Cur]])</f>
        <v>0</v>
      </c>
    </row>
    <row r="5572" spans="1:5" x14ac:dyDescent="0.25">
      <c r="A5572" s="36" t="b">
        <v>0</v>
      </c>
      <c r="B5572" s="56" t="b">
        <v>0</v>
      </c>
      <c r="C5572" s="56" t="b">
        <v>0</v>
      </c>
      <c r="D5572" s="56" t="b">
        <v>0</v>
      </c>
      <c r="E5572" s="56">
        <f ca="1">IF(PV[[#This Row],[Business Date]]=Control!$C$6, PV[[#This Row],[Notional Value Local Cur]], -PV[[#This Row],[Notional Value Local Cur]])</f>
        <v>0</v>
      </c>
    </row>
    <row r="5573" spans="1:5" x14ac:dyDescent="0.25">
      <c r="A5573" s="36" t="b">
        <v>0</v>
      </c>
      <c r="B5573" s="56" t="b">
        <v>0</v>
      </c>
      <c r="C5573" s="56" t="b">
        <v>0</v>
      </c>
      <c r="D5573" s="56" t="b">
        <v>0</v>
      </c>
      <c r="E5573" s="56">
        <f ca="1">IF(PV[[#This Row],[Business Date]]=Control!$C$6, PV[[#This Row],[Notional Value Local Cur]], -PV[[#This Row],[Notional Value Local Cur]])</f>
        <v>0</v>
      </c>
    </row>
    <row r="5574" spans="1:5" x14ac:dyDescent="0.25">
      <c r="A5574" s="36" t="b">
        <v>0</v>
      </c>
      <c r="B5574" s="56" t="b">
        <v>0</v>
      </c>
      <c r="C5574" s="56" t="b">
        <v>0</v>
      </c>
      <c r="D5574" s="56" t="b">
        <v>0</v>
      </c>
      <c r="E5574" s="56">
        <f ca="1">IF(PV[[#This Row],[Business Date]]=Control!$C$6, PV[[#This Row],[Notional Value Local Cur]], -PV[[#This Row],[Notional Value Local Cur]])</f>
        <v>0</v>
      </c>
    </row>
    <row r="5575" spans="1:5" x14ac:dyDescent="0.25">
      <c r="A5575" s="36" t="b">
        <v>0</v>
      </c>
      <c r="B5575" s="56" t="b">
        <v>0</v>
      </c>
      <c r="C5575" s="56" t="b">
        <v>0</v>
      </c>
      <c r="D5575" s="56" t="b">
        <v>0</v>
      </c>
      <c r="E5575" s="56">
        <f ca="1">IF(PV[[#This Row],[Business Date]]=Control!$C$6, PV[[#This Row],[Notional Value Local Cur]], -PV[[#This Row],[Notional Value Local Cur]])</f>
        <v>0</v>
      </c>
    </row>
    <row r="5576" spans="1:5" x14ac:dyDescent="0.25">
      <c r="A5576" s="36" t="b">
        <v>0</v>
      </c>
      <c r="B5576" s="56" t="b">
        <v>0</v>
      </c>
      <c r="C5576" s="56" t="b">
        <v>0</v>
      </c>
      <c r="D5576" s="56" t="b">
        <v>0</v>
      </c>
      <c r="E5576" s="56">
        <f ca="1">IF(PV[[#This Row],[Business Date]]=Control!$C$6, PV[[#This Row],[Notional Value Local Cur]], -PV[[#This Row],[Notional Value Local Cur]])</f>
        <v>0</v>
      </c>
    </row>
    <row r="5577" spans="1:5" x14ac:dyDescent="0.25">
      <c r="A5577" s="36" t="b">
        <v>0</v>
      </c>
      <c r="B5577" s="56" t="b">
        <v>0</v>
      </c>
      <c r="C5577" s="56" t="b">
        <v>0</v>
      </c>
      <c r="D5577" s="56" t="b">
        <v>0</v>
      </c>
      <c r="E5577" s="56">
        <f ca="1">IF(PV[[#This Row],[Business Date]]=Control!$C$6, PV[[#This Row],[Notional Value Local Cur]], -PV[[#This Row],[Notional Value Local Cur]])</f>
        <v>0</v>
      </c>
    </row>
    <row r="5578" spans="1:5" x14ac:dyDescent="0.25">
      <c r="A5578" s="36" t="b">
        <v>0</v>
      </c>
      <c r="B5578" s="56" t="b">
        <v>0</v>
      </c>
      <c r="C5578" s="56" t="b">
        <v>0</v>
      </c>
      <c r="D5578" s="56" t="b">
        <v>0</v>
      </c>
      <c r="E5578" s="56">
        <f ca="1">IF(PV[[#This Row],[Business Date]]=Control!$C$6, PV[[#This Row],[Notional Value Local Cur]], -PV[[#This Row],[Notional Value Local Cur]])</f>
        <v>0</v>
      </c>
    </row>
    <row r="5579" spans="1:5" x14ac:dyDescent="0.25">
      <c r="A5579" s="36" t="b">
        <v>0</v>
      </c>
      <c r="B5579" s="56" t="b">
        <v>0</v>
      </c>
      <c r="C5579" s="56" t="b">
        <v>0</v>
      </c>
      <c r="D5579" s="56" t="b">
        <v>0</v>
      </c>
      <c r="E5579" s="56">
        <f ca="1">IF(PV[[#This Row],[Business Date]]=Control!$C$6, PV[[#This Row],[Notional Value Local Cur]], -PV[[#This Row],[Notional Value Local Cur]])</f>
        <v>0</v>
      </c>
    </row>
    <row r="5580" spans="1:5" x14ac:dyDescent="0.25">
      <c r="A5580" s="36" t="b">
        <v>0</v>
      </c>
      <c r="B5580" s="56" t="b">
        <v>0</v>
      </c>
      <c r="C5580" s="56" t="b">
        <v>0</v>
      </c>
      <c r="D5580" s="56" t="b">
        <v>0</v>
      </c>
      <c r="E5580" s="56">
        <f ca="1">IF(PV[[#This Row],[Business Date]]=Control!$C$6, PV[[#This Row],[Notional Value Local Cur]], -PV[[#This Row],[Notional Value Local Cur]])</f>
        <v>0</v>
      </c>
    </row>
    <row r="5581" spans="1:5" x14ac:dyDescent="0.25">
      <c r="A5581" s="36" t="b">
        <v>0</v>
      </c>
      <c r="B5581" s="56" t="b">
        <v>0</v>
      </c>
      <c r="C5581" s="56" t="b">
        <v>0</v>
      </c>
      <c r="D5581" s="56" t="b">
        <v>0</v>
      </c>
      <c r="E5581" s="56">
        <f ca="1">IF(PV[[#This Row],[Business Date]]=Control!$C$6, PV[[#This Row],[Notional Value Local Cur]], -PV[[#This Row],[Notional Value Local Cur]])</f>
        <v>0</v>
      </c>
    </row>
    <row r="5582" spans="1:5" x14ac:dyDescent="0.25">
      <c r="A5582" s="36" t="b">
        <v>0</v>
      </c>
      <c r="B5582" s="56" t="b">
        <v>0</v>
      </c>
      <c r="C5582" s="56" t="b">
        <v>0</v>
      </c>
      <c r="D5582" s="56" t="b">
        <v>0</v>
      </c>
      <c r="E5582" s="56">
        <f ca="1">IF(PV[[#This Row],[Business Date]]=Control!$C$6, PV[[#This Row],[Notional Value Local Cur]], -PV[[#This Row],[Notional Value Local Cur]])</f>
        <v>0</v>
      </c>
    </row>
    <row r="5583" spans="1:5" x14ac:dyDescent="0.25">
      <c r="A5583" s="36" t="b">
        <v>0</v>
      </c>
      <c r="B5583" s="56" t="b">
        <v>0</v>
      </c>
      <c r="C5583" s="56" t="b">
        <v>0</v>
      </c>
      <c r="D5583" s="56" t="b">
        <v>0</v>
      </c>
      <c r="E5583" s="56">
        <f ca="1">IF(PV[[#This Row],[Business Date]]=Control!$C$6, PV[[#This Row],[Notional Value Local Cur]], -PV[[#This Row],[Notional Value Local Cur]])</f>
        <v>0</v>
      </c>
    </row>
    <row r="5584" spans="1:5" x14ac:dyDescent="0.25">
      <c r="A5584" s="36" t="b">
        <v>0</v>
      </c>
      <c r="B5584" s="56" t="b">
        <v>0</v>
      </c>
      <c r="C5584" s="56" t="b">
        <v>0</v>
      </c>
      <c r="D5584" s="56" t="b">
        <v>0</v>
      </c>
      <c r="E5584" s="56">
        <f ca="1">IF(PV[[#This Row],[Business Date]]=Control!$C$6, PV[[#This Row],[Notional Value Local Cur]], -PV[[#This Row],[Notional Value Local Cur]])</f>
        <v>0</v>
      </c>
    </row>
    <row r="5585" spans="1:5" x14ac:dyDescent="0.25">
      <c r="A5585" s="36" t="b">
        <v>0</v>
      </c>
      <c r="B5585" s="56" t="b">
        <v>0</v>
      </c>
      <c r="C5585" s="56" t="b">
        <v>0</v>
      </c>
      <c r="D5585" s="56" t="b">
        <v>0</v>
      </c>
      <c r="E5585" s="56">
        <f ca="1">IF(PV[[#This Row],[Business Date]]=Control!$C$6, PV[[#This Row],[Notional Value Local Cur]], -PV[[#This Row],[Notional Value Local Cur]])</f>
        <v>0</v>
      </c>
    </row>
    <row r="5586" spans="1:5" x14ac:dyDescent="0.25">
      <c r="A5586" s="36" t="b">
        <v>0</v>
      </c>
      <c r="B5586" s="56" t="b">
        <v>0</v>
      </c>
      <c r="C5586" s="56" t="b">
        <v>0</v>
      </c>
      <c r="D5586" s="56" t="b">
        <v>0</v>
      </c>
      <c r="E5586" s="56">
        <f ca="1">IF(PV[[#This Row],[Business Date]]=Control!$C$6, PV[[#This Row],[Notional Value Local Cur]], -PV[[#This Row],[Notional Value Local Cur]])</f>
        <v>0</v>
      </c>
    </row>
    <row r="5587" spans="1:5" x14ac:dyDescent="0.25">
      <c r="A5587" s="36" t="b">
        <v>0</v>
      </c>
      <c r="B5587" s="56" t="b">
        <v>0</v>
      </c>
      <c r="C5587" s="56" t="b">
        <v>0</v>
      </c>
      <c r="D5587" s="56" t="b">
        <v>0</v>
      </c>
      <c r="E5587" s="56">
        <f ca="1">IF(PV[[#This Row],[Business Date]]=Control!$C$6, PV[[#This Row],[Notional Value Local Cur]], -PV[[#This Row],[Notional Value Local Cur]])</f>
        <v>0</v>
      </c>
    </row>
    <row r="5588" spans="1:5" x14ac:dyDescent="0.25">
      <c r="A5588" s="36" t="b">
        <v>0</v>
      </c>
      <c r="B5588" s="56" t="b">
        <v>0</v>
      </c>
      <c r="C5588" s="56" t="b">
        <v>0</v>
      </c>
      <c r="D5588" s="56" t="b">
        <v>0</v>
      </c>
      <c r="E5588" s="56">
        <f ca="1">IF(PV[[#This Row],[Business Date]]=Control!$C$6, PV[[#This Row],[Notional Value Local Cur]], -PV[[#This Row],[Notional Value Local Cur]])</f>
        <v>0</v>
      </c>
    </row>
    <row r="5589" spans="1:5" x14ac:dyDescent="0.25">
      <c r="A5589" s="36" t="b">
        <v>0</v>
      </c>
      <c r="B5589" s="56" t="b">
        <v>0</v>
      </c>
      <c r="C5589" s="56" t="b">
        <v>0</v>
      </c>
      <c r="D5589" s="56" t="b">
        <v>0</v>
      </c>
      <c r="E5589" s="56">
        <f ca="1">IF(PV[[#This Row],[Business Date]]=Control!$C$6, PV[[#This Row],[Notional Value Local Cur]], -PV[[#This Row],[Notional Value Local Cur]])</f>
        <v>0</v>
      </c>
    </row>
    <row r="5590" spans="1:5" x14ac:dyDescent="0.25">
      <c r="A5590" s="36" t="b">
        <v>0</v>
      </c>
      <c r="B5590" s="56" t="b">
        <v>0</v>
      </c>
      <c r="C5590" s="56" t="b">
        <v>0</v>
      </c>
      <c r="D5590" s="56" t="b">
        <v>0</v>
      </c>
      <c r="E5590" s="56">
        <f ca="1">IF(PV[[#This Row],[Business Date]]=Control!$C$6, PV[[#This Row],[Notional Value Local Cur]], -PV[[#This Row],[Notional Value Local Cur]])</f>
        <v>0</v>
      </c>
    </row>
    <row r="5591" spans="1:5" x14ac:dyDescent="0.25">
      <c r="A5591" s="36" t="b">
        <v>0</v>
      </c>
      <c r="B5591" s="56" t="b">
        <v>0</v>
      </c>
      <c r="C5591" s="56" t="b">
        <v>0</v>
      </c>
      <c r="D5591" s="56" t="b">
        <v>0</v>
      </c>
      <c r="E5591" s="56">
        <f ca="1">IF(PV[[#This Row],[Business Date]]=Control!$C$6, PV[[#This Row],[Notional Value Local Cur]], -PV[[#This Row],[Notional Value Local Cur]])</f>
        <v>0</v>
      </c>
    </row>
    <row r="5592" spans="1:5" x14ac:dyDescent="0.25">
      <c r="A5592" s="36" t="b">
        <v>0</v>
      </c>
      <c r="B5592" s="56" t="b">
        <v>0</v>
      </c>
      <c r="C5592" s="56" t="b">
        <v>0</v>
      </c>
      <c r="D5592" s="56" t="b">
        <v>0</v>
      </c>
      <c r="E5592" s="56">
        <f ca="1">IF(PV[[#This Row],[Business Date]]=Control!$C$6, PV[[#This Row],[Notional Value Local Cur]], -PV[[#This Row],[Notional Value Local Cur]])</f>
        <v>0</v>
      </c>
    </row>
    <row r="5593" spans="1:5" x14ac:dyDescent="0.25">
      <c r="A5593" s="36" t="b">
        <v>0</v>
      </c>
      <c r="B5593" s="56" t="b">
        <v>0</v>
      </c>
      <c r="C5593" s="56" t="b">
        <v>0</v>
      </c>
      <c r="D5593" s="56" t="b">
        <v>0</v>
      </c>
      <c r="E5593" s="56">
        <f ca="1">IF(PV[[#This Row],[Business Date]]=Control!$C$6, PV[[#This Row],[Notional Value Local Cur]], -PV[[#This Row],[Notional Value Local Cur]])</f>
        <v>0</v>
      </c>
    </row>
    <row r="5594" spans="1:5" x14ac:dyDescent="0.25">
      <c r="A5594" s="36" t="b">
        <v>0</v>
      </c>
      <c r="B5594" s="56" t="b">
        <v>0</v>
      </c>
      <c r="C5594" s="56" t="b">
        <v>0</v>
      </c>
      <c r="D5594" s="56" t="b">
        <v>0</v>
      </c>
      <c r="E5594" s="56">
        <f ca="1">IF(PV[[#This Row],[Business Date]]=Control!$C$6, PV[[#This Row],[Notional Value Local Cur]], -PV[[#This Row],[Notional Value Local Cur]])</f>
        <v>0</v>
      </c>
    </row>
    <row r="5595" spans="1:5" x14ac:dyDescent="0.25">
      <c r="A5595" s="36" t="b">
        <v>0</v>
      </c>
      <c r="B5595" s="56" t="b">
        <v>0</v>
      </c>
      <c r="C5595" s="56" t="b">
        <v>0</v>
      </c>
      <c r="D5595" s="56" t="b">
        <v>0</v>
      </c>
      <c r="E5595" s="56">
        <f ca="1">IF(PV[[#This Row],[Business Date]]=Control!$C$6, PV[[#This Row],[Notional Value Local Cur]], -PV[[#This Row],[Notional Value Local Cur]])</f>
        <v>0</v>
      </c>
    </row>
    <row r="5596" spans="1:5" x14ac:dyDescent="0.25">
      <c r="A5596" s="36" t="b">
        <v>0</v>
      </c>
      <c r="B5596" s="56" t="b">
        <v>0</v>
      </c>
      <c r="C5596" s="56" t="b">
        <v>0</v>
      </c>
      <c r="D5596" s="56" t="b">
        <v>0</v>
      </c>
      <c r="E5596" s="56">
        <f ca="1">IF(PV[[#This Row],[Business Date]]=Control!$C$6, PV[[#This Row],[Notional Value Local Cur]], -PV[[#This Row],[Notional Value Local Cur]])</f>
        <v>0</v>
      </c>
    </row>
    <row r="5597" spans="1:5" x14ac:dyDescent="0.25">
      <c r="A5597" s="36" t="b">
        <v>0</v>
      </c>
      <c r="B5597" s="56" t="b">
        <v>0</v>
      </c>
      <c r="C5597" s="56" t="b">
        <v>0</v>
      </c>
      <c r="D5597" s="56" t="b">
        <v>0</v>
      </c>
      <c r="E5597" s="56">
        <f ca="1">IF(PV[[#This Row],[Business Date]]=Control!$C$6, PV[[#This Row],[Notional Value Local Cur]], -PV[[#This Row],[Notional Value Local Cur]])</f>
        <v>0</v>
      </c>
    </row>
    <row r="5598" spans="1:5" x14ac:dyDescent="0.25">
      <c r="A5598" s="36" t="b">
        <v>0</v>
      </c>
      <c r="B5598" s="56" t="b">
        <v>0</v>
      </c>
      <c r="C5598" s="56" t="b">
        <v>0</v>
      </c>
      <c r="D5598" s="56" t="b">
        <v>0</v>
      </c>
      <c r="E5598" s="56">
        <f ca="1">IF(PV[[#This Row],[Business Date]]=Control!$C$6, PV[[#This Row],[Notional Value Local Cur]], -PV[[#This Row],[Notional Value Local Cur]])</f>
        <v>0</v>
      </c>
    </row>
    <row r="5599" spans="1:5" x14ac:dyDescent="0.25">
      <c r="A5599" s="36" t="b">
        <v>0</v>
      </c>
      <c r="B5599" s="56" t="b">
        <v>0</v>
      </c>
      <c r="C5599" s="56" t="b">
        <v>0</v>
      </c>
      <c r="D5599" s="56" t="b">
        <v>0</v>
      </c>
      <c r="E5599" s="56">
        <f ca="1">IF(PV[[#This Row],[Business Date]]=Control!$C$6, PV[[#This Row],[Notional Value Local Cur]], -PV[[#This Row],[Notional Value Local Cur]])</f>
        <v>0</v>
      </c>
    </row>
    <row r="5600" spans="1:5" x14ac:dyDescent="0.25">
      <c r="A5600" s="36" t="b">
        <v>0</v>
      </c>
      <c r="B5600" s="56" t="b">
        <v>0</v>
      </c>
      <c r="C5600" s="56" t="b">
        <v>0</v>
      </c>
      <c r="D5600" s="56" t="b">
        <v>0</v>
      </c>
      <c r="E5600" s="56">
        <f ca="1">IF(PV[[#This Row],[Business Date]]=Control!$C$6, PV[[#This Row],[Notional Value Local Cur]], -PV[[#This Row],[Notional Value Local Cur]])</f>
        <v>0</v>
      </c>
    </row>
    <row r="5601" spans="1:5" x14ac:dyDescent="0.25">
      <c r="A5601" s="36" t="b">
        <v>0</v>
      </c>
      <c r="B5601" s="56" t="b">
        <v>0</v>
      </c>
      <c r="C5601" s="56" t="b">
        <v>0</v>
      </c>
      <c r="D5601" s="56" t="b">
        <v>0</v>
      </c>
      <c r="E5601" s="56">
        <f ca="1">IF(PV[[#This Row],[Business Date]]=Control!$C$6, PV[[#This Row],[Notional Value Local Cur]], -PV[[#This Row],[Notional Value Local Cur]])</f>
        <v>0</v>
      </c>
    </row>
    <row r="5602" spans="1:5" x14ac:dyDescent="0.25">
      <c r="A5602" s="36" t="b">
        <v>0</v>
      </c>
      <c r="B5602" s="56" t="b">
        <v>0</v>
      </c>
      <c r="C5602" s="56" t="b">
        <v>0</v>
      </c>
      <c r="D5602" s="56" t="b">
        <v>0</v>
      </c>
      <c r="E5602" s="56">
        <f ca="1">IF(PV[[#This Row],[Business Date]]=Control!$C$6, PV[[#This Row],[Notional Value Local Cur]], -PV[[#This Row],[Notional Value Local Cur]])</f>
        <v>0</v>
      </c>
    </row>
    <row r="5603" spans="1:5" x14ac:dyDescent="0.25">
      <c r="A5603" s="36" t="b">
        <v>0</v>
      </c>
      <c r="B5603" s="56" t="b">
        <v>0</v>
      </c>
      <c r="C5603" s="56" t="b">
        <v>0</v>
      </c>
      <c r="D5603" s="56" t="b">
        <v>0</v>
      </c>
      <c r="E5603" s="56">
        <f ca="1">IF(PV[[#This Row],[Business Date]]=Control!$C$6, PV[[#This Row],[Notional Value Local Cur]], -PV[[#This Row],[Notional Value Local Cur]])</f>
        <v>0</v>
      </c>
    </row>
    <row r="5604" spans="1:5" x14ac:dyDescent="0.25">
      <c r="A5604" s="36" t="b">
        <v>0</v>
      </c>
      <c r="B5604" s="56" t="b">
        <v>0</v>
      </c>
      <c r="C5604" s="56" t="b">
        <v>0</v>
      </c>
      <c r="D5604" s="56" t="b">
        <v>0</v>
      </c>
      <c r="E5604" s="56">
        <f ca="1">IF(PV[[#This Row],[Business Date]]=Control!$C$6, PV[[#This Row],[Notional Value Local Cur]], -PV[[#This Row],[Notional Value Local Cur]])</f>
        <v>0</v>
      </c>
    </row>
    <row r="5605" spans="1:5" x14ac:dyDescent="0.25">
      <c r="A5605" s="36" t="b">
        <v>0</v>
      </c>
      <c r="B5605" s="56" t="b">
        <v>0</v>
      </c>
      <c r="C5605" s="56" t="b">
        <v>0</v>
      </c>
      <c r="D5605" s="56" t="b">
        <v>0</v>
      </c>
      <c r="E5605" s="56">
        <f ca="1">IF(PV[[#This Row],[Business Date]]=Control!$C$6, PV[[#This Row],[Notional Value Local Cur]], -PV[[#This Row],[Notional Value Local Cur]])</f>
        <v>0</v>
      </c>
    </row>
    <row r="5606" spans="1:5" x14ac:dyDescent="0.25">
      <c r="A5606" s="36" t="b">
        <v>0</v>
      </c>
      <c r="B5606" s="56" t="b">
        <v>0</v>
      </c>
      <c r="C5606" s="56" t="b">
        <v>0</v>
      </c>
      <c r="D5606" s="56" t="b">
        <v>0</v>
      </c>
      <c r="E5606" s="56">
        <f ca="1">IF(PV[[#This Row],[Business Date]]=Control!$C$6, PV[[#This Row],[Notional Value Local Cur]], -PV[[#This Row],[Notional Value Local Cur]])</f>
        <v>0</v>
      </c>
    </row>
    <row r="5607" spans="1:5" x14ac:dyDescent="0.25">
      <c r="A5607" s="36" t="b">
        <v>0</v>
      </c>
      <c r="B5607" s="56" t="b">
        <v>0</v>
      </c>
      <c r="C5607" s="56" t="b">
        <v>0</v>
      </c>
      <c r="D5607" s="56" t="b">
        <v>0</v>
      </c>
      <c r="E5607" s="56">
        <f ca="1">IF(PV[[#This Row],[Business Date]]=Control!$C$6, PV[[#This Row],[Notional Value Local Cur]], -PV[[#This Row],[Notional Value Local Cur]])</f>
        <v>0</v>
      </c>
    </row>
    <row r="5608" spans="1:5" x14ac:dyDescent="0.25">
      <c r="A5608" s="36" t="b">
        <v>0</v>
      </c>
      <c r="B5608" s="56" t="b">
        <v>0</v>
      </c>
      <c r="C5608" s="56" t="b">
        <v>0</v>
      </c>
      <c r="D5608" s="56" t="b">
        <v>0</v>
      </c>
      <c r="E5608" s="56">
        <f ca="1">IF(PV[[#This Row],[Business Date]]=Control!$C$6, PV[[#This Row],[Notional Value Local Cur]], -PV[[#This Row],[Notional Value Local Cur]])</f>
        <v>0</v>
      </c>
    </row>
    <row r="5609" spans="1:5" x14ac:dyDescent="0.25">
      <c r="A5609" s="36" t="b">
        <v>0</v>
      </c>
      <c r="B5609" s="56" t="b">
        <v>0</v>
      </c>
      <c r="C5609" s="56" t="b">
        <v>0</v>
      </c>
      <c r="D5609" s="56" t="b">
        <v>0</v>
      </c>
      <c r="E5609" s="56">
        <f ca="1">IF(PV[[#This Row],[Business Date]]=Control!$C$6, PV[[#This Row],[Notional Value Local Cur]], -PV[[#This Row],[Notional Value Local Cur]])</f>
        <v>0</v>
      </c>
    </row>
    <row r="5610" spans="1:5" x14ac:dyDescent="0.25">
      <c r="A5610" s="36" t="b">
        <v>0</v>
      </c>
      <c r="B5610" s="56" t="b">
        <v>0</v>
      </c>
      <c r="C5610" s="56" t="b">
        <v>0</v>
      </c>
      <c r="D5610" s="56" t="b">
        <v>0</v>
      </c>
      <c r="E5610" s="56">
        <f ca="1">IF(PV[[#This Row],[Business Date]]=Control!$C$6, PV[[#This Row],[Notional Value Local Cur]], -PV[[#This Row],[Notional Value Local Cur]])</f>
        <v>0</v>
      </c>
    </row>
    <row r="5611" spans="1:5" x14ac:dyDescent="0.25">
      <c r="A5611" s="36" t="b">
        <v>0</v>
      </c>
      <c r="B5611" s="56" t="b">
        <v>0</v>
      </c>
      <c r="C5611" s="56" t="b">
        <v>0</v>
      </c>
      <c r="D5611" s="56" t="b">
        <v>0</v>
      </c>
      <c r="E5611" s="56">
        <f ca="1">IF(PV[[#This Row],[Business Date]]=Control!$C$6, PV[[#This Row],[Notional Value Local Cur]], -PV[[#This Row],[Notional Value Local Cur]])</f>
        <v>0</v>
      </c>
    </row>
    <row r="5612" spans="1:5" x14ac:dyDescent="0.25">
      <c r="A5612" s="36" t="b">
        <v>0</v>
      </c>
      <c r="B5612" s="56" t="b">
        <v>0</v>
      </c>
      <c r="C5612" s="56" t="b">
        <v>0</v>
      </c>
      <c r="D5612" s="56" t="b">
        <v>0</v>
      </c>
      <c r="E5612" s="56">
        <f ca="1">IF(PV[[#This Row],[Business Date]]=Control!$C$6, PV[[#This Row],[Notional Value Local Cur]], -PV[[#This Row],[Notional Value Local Cur]])</f>
        <v>0</v>
      </c>
    </row>
    <row r="5613" spans="1:5" x14ac:dyDescent="0.25">
      <c r="A5613" s="36" t="b">
        <v>0</v>
      </c>
      <c r="B5613" s="56" t="b">
        <v>0</v>
      </c>
      <c r="C5613" s="56" t="b">
        <v>0</v>
      </c>
      <c r="D5613" s="56" t="b">
        <v>0</v>
      </c>
      <c r="E5613" s="56">
        <f ca="1">IF(PV[[#This Row],[Business Date]]=Control!$C$6, PV[[#This Row],[Notional Value Local Cur]], -PV[[#This Row],[Notional Value Local Cur]])</f>
        <v>0</v>
      </c>
    </row>
    <row r="5614" spans="1:5" x14ac:dyDescent="0.25">
      <c r="A5614" s="36" t="b">
        <v>0</v>
      </c>
      <c r="B5614" s="56" t="b">
        <v>0</v>
      </c>
      <c r="C5614" s="56" t="b">
        <v>0</v>
      </c>
      <c r="D5614" s="56" t="b">
        <v>0</v>
      </c>
      <c r="E5614" s="56">
        <f ca="1">IF(PV[[#This Row],[Business Date]]=Control!$C$6, PV[[#This Row],[Notional Value Local Cur]], -PV[[#This Row],[Notional Value Local Cur]])</f>
        <v>0</v>
      </c>
    </row>
    <row r="5615" spans="1:5" x14ac:dyDescent="0.25">
      <c r="A5615" s="36" t="b">
        <v>0</v>
      </c>
      <c r="B5615" s="56" t="b">
        <v>0</v>
      </c>
      <c r="C5615" s="56" t="b">
        <v>0</v>
      </c>
      <c r="D5615" s="56" t="b">
        <v>0</v>
      </c>
      <c r="E5615" s="56">
        <f ca="1">IF(PV[[#This Row],[Business Date]]=Control!$C$6, PV[[#This Row],[Notional Value Local Cur]], -PV[[#This Row],[Notional Value Local Cur]])</f>
        <v>0</v>
      </c>
    </row>
    <row r="5616" spans="1:5" x14ac:dyDescent="0.25">
      <c r="A5616" s="36" t="b">
        <v>0</v>
      </c>
      <c r="B5616" s="56" t="b">
        <v>0</v>
      </c>
      <c r="C5616" s="56" t="b">
        <v>0</v>
      </c>
      <c r="D5616" s="56" t="b">
        <v>0</v>
      </c>
      <c r="E5616" s="56">
        <f ca="1">IF(PV[[#This Row],[Business Date]]=Control!$C$6, PV[[#This Row],[Notional Value Local Cur]], -PV[[#This Row],[Notional Value Local Cur]])</f>
        <v>0</v>
      </c>
    </row>
    <row r="5617" spans="1:5" x14ac:dyDescent="0.25">
      <c r="A5617" s="36" t="b">
        <v>0</v>
      </c>
      <c r="B5617" s="56" t="b">
        <v>0</v>
      </c>
      <c r="C5617" s="56" t="b">
        <v>0</v>
      </c>
      <c r="D5617" s="56" t="b">
        <v>0</v>
      </c>
      <c r="E5617" s="56">
        <f ca="1">IF(PV[[#This Row],[Business Date]]=Control!$C$6, PV[[#This Row],[Notional Value Local Cur]], -PV[[#This Row],[Notional Value Local Cur]])</f>
        <v>0</v>
      </c>
    </row>
    <row r="5618" spans="1:5" x14ac:dyDescent="0.25">
      <c r="A5618" s="36" t="b">
        <v>0</v>
      </c>
      <c r="B5618" s="56" t="b">
        <v>0</v>
      </c>
      <c r="C5618" s="56" t="b">
        <v>0</v>
      </c>
      <c r="D5618" s="56" t="b">
        <v>0</v>
      </c>
      <c r="E5618" s="56">
        <f ca="1">IF(PV[[#This Row],[Business Date]]=Control!$C$6, PV[[#This Row],[Notional Value Local Cur]], -PV[[#This Row],[Notional Value Local Cur]])</f>
        <v>0</v>
      </c>
    </row>
    <row r="5619" spans="1:5" x14ac:dyDescent="0.25">
      <c r="A5619" s="36" t="b">
        <v>0</v>
      </c>
      <c r="B5619" s="56" t="b">
        <v>0</v>
      </c>
      <c r="C5619" s="56" t="b">
        <v>0</v>
      </c>
      <c r="D5619" s="56" t="b">
        <v>0</v>
      </c>
      <c r="E5619" s="56">
        <f ca="1">IF(PV[[#This Row],[Business Date]]=Control!$C$6, PV[[#This Row],[Notional Value Local Cur]], -PV[[#This Row],[Notional Value Local Cur]])</f>
        <v>0</v>
      </c>
    </row>
    <row r="5620" spans="1:5" x14ac:dyDescent="0.25">
      <c r="A5620" s="36" t="b">
        <v>0</v>
      </c>
      <c r="B5620" s="56" t="b">
        <v>0</v>
      </c>
      <c r="C5620" s="56" t="b">
        <v>0</v>
      </c>
      <c r="D5620" s="56" t="b">
        <v>0</v>
      </c>
      <c r="E5620" s="56">
        <f ca="1">IF(PV[[#This Row],[Business Date]]=Control!$C$6, PV[[#This Row],[Notional Value Local Cur]], -PV[[#This Row],[Notional Value Local Cur]])</f>
        <v>0</v>
      </c>
    </row>
    <row r="5621" spans="1:5" x14ac:dyDescent="0.25">
      <c r="A5621" s="36" t="b">
        <v>0</v>
      </c>
      <c r="B5621" s="56" t="b">
        <v>0</v>
      </c>
      <c r="C5621" s="56" t="b">
        <v>0</v>
      </c>
      <c r="D5621" s="56" t="b">
        <v>0</v>
      </c>
      <c r="E5621" s="56">
        <f ca="1">IF(PV[[#This Row],[Business Date]]=Control!$C$6, PV[[#This Row],[Notional Value Local Cur]], -PV[[#This Row],[Notional Value Local Cur]])</f>
        <v>0</v>
      </c>
    </row>
    <row r="5622" spans="1:5" x14ac:dyDescent="0.25">
      <c r="A5622" s="36" t="b">
        <v>0</v>
      </c>
      <c r="B5622" s="56" t="b">
        <v>0</v>
      </c>
      <c r="C5622" s="56" t="b">
        <v>0</v>
      </c>
      <c r="D5622" s="56" t="b">
        <v>0</v>
      </c>
      <c r="E5622" s="56">
        <f ca="1">IF(PV[[#This Row],[Business Date]]=Control!$C$6, PV[[#This Row],[Notional Value Local Cur]], -PV[[#This Row],[Notional Value Local Cur]])</f>
        <v>0</v>
      </c>
    </row>
    <row r="5623" spans="1:5" x14ac:dyDescent="0.25">
      <c r="A5623" s="36" t="b">
        <v>0</v>
      </c>
      <c r="B5623" s="56" t="b">
        <v>0</v>
      </c>
      <c r="C5623" s="56" t="b">
        <v>0</v>
      </c>
      <c r="D5623" s="56" t="b">
        <v>0</v>
      </c>
      <c r="E5623" s="56">
        <f ca="1">IF(PV[[#This Row],[Business Date]]=Control!$C$6, PV[[#This Row],[Notional Value Local Cur]], -PV[[#This Row],[Notional Value Local Cur]])</f>
        <v>0</v>
      </c>
    </row>
    <row r="5624" spans="1:5" x14ac:dyDescent="0.25">
      <c r="A5624" s="36" t="b">
        <v>0</v>
      </c>
      <c r="B5624" s="56" t="b">
        <v>0</v>
      </c>
      <c r="C5624" s="56" t="b">
        <v>0</v>
      </c>
      <c r="D5624" s="56" t="b">
        <v>0</v>
      </c>
      <c r="E5624" s="56">
        <f ca="1">IF(PV[[#This Row],[Business Date]]=Control!$C$6, PV[[#This Row],[Notional Value Local Cur]], -PV[[#This Row],[Notional Value Local Cur]])</f>
        <v>0</v>
      </c>
    </row>
    <row r="5625" spans="1:5" x14ac:dyDescent="0.25">
      <c r="A5625" s="36" t="b">
        <v>0</v>
      </c>
      <c r="B5625" s="56" t="b">
        <v>0</v>
      </c>
      <c r="C5625" s="56" t="b">
        <v>0</v>
      </c>
      <c r="D5625" s="56" t="b">
        <v>0</v>
      </c>
      <c r="E5625" s="56">
        <f ca="1">IF(PV[[#This Row],[Business Date]]=Control!$C$6, PV[[#This Row],[Notional Value Local Cur]], -PV[[#This Row],[Notional Value Local Cur]])</f>
        <v>0</v>
      </c>
    </row>
    <row r="5626" spans="1:5" x14ac:dyDescent="0.25">
      <c r="A5626" s="36" t="b">
        <v>0</v>
      </c>
      <c r="B5626" s="56" t="b">
        <v>0</v>
      </c>
      <c r="C5626" s="56" t="b">
        <v>0</v>
      </c>
      <c r="D5626" s="56" t="b">
        <v>0</v>
      </c>
      <c r="E5626" s="56">
        <f ca="1">IF(PV[[#This Row],[Business Date]]=Control!$C$6, PV[[#This Row],[Notional Value Local Cur]], -PV[[#This Row],[Notional Value Local Cur]])</f>
        <v>0</v>
      </c>
    </row>
    <row r="5627" spans="1:5" x14ac:dyDescent="0.25">
      <c r="A5627" s="36" t="b">
        <v>0</v>
      </c>
      <c r="B5627" s="56" t="b">
        <v>0</v>
      </c>
      <c r="C5627" s="56" t="b">
        <v>0</v>
      </c>
      <c r="D5627" s="56" t="b">
        <v>0</v>
      </c>
      <c r="E5627" s="56">
        <f ca="1">IF(PV[[#This Row],[Business Date]]=Control!$C$6, PV[[#This Row],[Notional Value Local Cur]], -PV[[#This Row],[Notional Value Local Cur]])</f>
        <v>0</v>
      </c>
    </row>
    <row r="5628" spans="1:5" x14ac:dyDescent="0.25">
      <c r="A5628" s="36" t="b">
        <v>0</v>
      </c>
      <c r="B5628" s="56" t="b">
        <v>0</v>
      </c>
      <c r="C5628" s="56" t="b">
        <v>0</v>
      </c>
      <c r="D5628" s="56" t="b">
        <v>0</v>
      </c>
      <c r="E5628" s="56">
        <f ca="1">IF(PV[[#This Row],[Business Date]]=Control!$C$6, PV[[#This Row],[Notional Value Local Cur]], -PV[[#This Row],[Notional Value Local Cur]])</f>
        <v>0</v>
      </c>
    </row>
    <row r="5629" spans="1:5" x14ac:dyDescent="0.25">
      <c r="A5629" s="36" t="b">
        <v>0</v>
      </c>
      <c r="B5629" s="56" t="b">
        <v>0</v>
      </c>
      <c r="C5629" s="56" t="b">
        <v>0</v>
      </c>
      <c r="D5629" s="56" t="b">
        <v>0</v>
      </c>
      <c r="E5629" s="56">
        <f ca="1">IF(PV[[#This Row],[Business Date]]=Control!$C$6, PV[[#This Row],[Notional Value Local Cur]], -PV[[#This Row],[Notional Value Local Cur]])</f>
        <v>0</v>
      </c>
    </row>
    <row r="5630" spans="1:5" x14ac:dyDescent="0.25">
      <c r="A5630" s="36" t="b">
        <v>0</v>
      </c>
      <c r="B5630" s="56" t="b">
        <v>0</v>
      </c>
      <c r="C5630" s="56" t="b">
        <v>0</v>
      </c>
      <c r="D5630" s="56" t="b">
        <v>0</v>
      </c>
      <c r="E5630" s="56">
        <f ca="1">IF(PV[[#This Row],[Business Date]]=Control!$C$6, PV[[#This Row],[Notional Value Local Cur]], -PV[[#This Row],[Notional Value Local Cur]])</f>
        <v>0</v>
      </c>
    </row>
    <row r="5631" spans="1:5" x14ac:dyDescent="0.25">
      <c r="A5631" s="36" t="b">
        <v>0</v>
      </c>
      <c r="B5631" s="56" t="b">
        <v>0</v>
      </c>
      <c r="C5631" s="56" t="b">
        <v>0</v>
      </c>
      <c r="D5631" s="56" t="b">
        <v>0</v>
      </c>
      <c r="E5631" s="56">
        <f ca="1">IF(PV[[#This Row],[Business Date]]=Control!$C$6, PV[[#This Row],[Notional Value Local Cur]], -PV[[#This Row],[Notional Value Local Cur]])</f>
        <v>0</v>
      </c>
    </row>
    <row r="5632" spans="1:5" x14ac:dyDescent="0.25">
      <c r="A5632" s="36" t="b">
        <v>0</v>
      </c>
      <c r="B5632" s="56" t="b">
        <v>0</v>
      </c>
      <c r="C5632" s="56" t="b">
        <v>0</v>
      </c>
      <c r="D5632" s="56" t="b">
        <v>0</v>
      </c>
      <c r="E5632" s="56">
        <f ca="1">IF(PV[[#This Row],[Business Date]]=Control!$C$6, PV[[#This Row],[Notional Value Local Cur]], -PV[[#This Row],[Notional Value Local Cur]])</f>
        <v>0</v>
      </c>
    </row>
    <row r="5633" spans="1:5" x14ac:dyDescent="0.25">
      <c r="A5633" s="36" t="b">
        <v>0</v>
      </c>
      <c r="B5633" s="56" t="b">
        <v>0</v>
      </c>
      <c r="C5633" s="56" t="b">
        <v>0</v>
      </c>
      <c r="D5633" s="56" t="b">
        <v>0</v>
      </c>
      <c r="E5633" s="56">
        <f ca="1">IF(PV[[#This Row],[Business Date]]=Control!$C$6, PV[[#This Row],[Notional Value Local Cur]], -PV[[#This Row],[Notional Value Local Cur]])</f>
        <v>0</v>
      </c>
    </row>
    <row r="5634" spans="1:5" x14ac:dyDescent="0.25">
      <c r="A5634" s="36" t="b">
        <v>0</v>
      </c>
      <c r="B5634" s="56" t="b">
        <v>0</v>
      </c>
      <c r="C5634" s="56" t="b">
        <v>0</v>
      </c>
      <c r="D5634" s="56" t="b">
        <v>0</v>
      </c>
      <c r="E5634" s="56">
        <f ca="1">IF(PV[[#This Row],[Business Date]]=Control!$C$6, PV[[#This Row],[Notional Value Local Cur]], -PV[[#This Row],[Notional Value Local Cur]])</f>
        <v>0</v>
      </c>
    </row>
    <row r="5635" spans="1:5" x14ac:dyDescent="0.25">
      <c r="A5635" s="36" t="b">
        <v>0</v>
      </c>
      <c r="B5635" s="56" t="b">
        <v>0</v>
      </c>
      <c r="C5635" s="56" t="b">
        <v>0</v>
      </c>
      <c r="D5635" s="56" t="b">
        <v>0</v>
      </c>
      <c r="E5635" s="56">
        <f ca="1">IF(PV[[#This Row],[Business Date]]=Control!$C$6, PV[[#This Row],[Notional Value Local Cur]], -PV[[#This Row],[Notional Value Local Cur]])</f>
        <v>0</v>
      </c>
    </row>
    <row r="5636" spans="1:5" x14ac:dyDescent="0.25">
      <c r="A5636" s="36" t="b">
        <v>0</v>
      </c>
      <c r="B5636" s="56" t="b">
        <v>0</v>
      </c>
      <c r="C5636" s="56" t="b">
        <v>0</v>
      </c>
      <c r="D5636" s="56" t="b">
        <v>0</v>
      </c>
      <c r="E5636" s="56">
        <f ca="1">IF(PV[[#This Row],[Business Date]]=Control!$C$6, PV[[#This Row],[Notional Value Local Cur]], -PV[[#This Row],[Notional Value Local Cur]])</f>
        <v>0</v>
      </c>
    </row>
    <row r="5637" spans="1:5" x14ac:dyDescent="0.25">
      <c r="A5637" s="36" t="b">
        <v>0</v>
      </c>
      <c r="B5637" s="56" t="b">
        <v>0</v>
      </c>
      <c r="C5637" s="56" t="b">
        <v>0</v>
      </c>
      <c r="D5637" s="56" t="b">
        <v>0</v>
      </c>
      <c r="E5637" s="56">
        <f ca="1">IF(PV[[#This Row],[Business Date]]=Control!$C$6, PV[[#This Row],[Notional Value Local Cur]], -PV[[#This Row],[Notional Value Local Cur]])</f>
        <v>0</v>
      </c>
    </row>
    <row r="5638" spans="1:5" x14ac:dyDescent="0.25">
      <c r="A5638" s="36" t="b">
        <v>0</v>
      </c>
      <c r="B5638" s="56" t="b">
        <v>0</v>
      </c>
      <c r="C5638" s="56" t="b">
        <v>0</v>
      </c>
      <c r="D5638" s="56" t="b">
        <v>0</v>
      </c>
      <c r="E5638" s="56">
        <f ca="1">IF(PV[[#This Row],[Business Date]]=Control!$C$6, PV[[#This Row],[Notional Value Local Cur]], -PV[[#This Row],[Notional Value Local Cur]])</f>
        <v>0</v>
      </c>
    </row>
    <row r="5639" spans="1:5" x14ac:dyDescent="0.25">
      <c r="A5639" s="36" t="b">
        <v>0</v>
      </c>
      <c r="B5639" s="56" t="b">
        <v>0</v>
      </c>
      <c r="C5639" s="56" t="b">
        <v>0</v>
      </c>
      <c r="D5639" s="56" t="b">
        <v>0</v>
      </c>
      <c r="E5639" s="56">
        <f ca="1">IF(PV[[#This Row],[Business Date]]=Control!$C$6, PV[[#This Row],[Notional Value Local Cur]], -PV[[#This Row],[Notional Value Local Cur]])</f>
        <v>0</v>
      </c>
    </row>
    <row r="5640" spans="1:5" x14ac:dyDescent="0.25">
      <c r="A5640" s="36" t="b">
        <v>0</v>
      </c>
      <c r="B5640" s="56" t="b">
        <v>0</v>
      </c>
      <c r="C5640" s="56" t="b">
        <v>0</v>
      </c>
      <c r="D5640" s="56" t="b">
        <v>0</v>
      </c>
      <c r="E5640" s="56">
        <f ca="1">IF(PV[[#This Row],[Business Date]]=Control!$C$6, PV[[#This Row],[Notional Value Local Cur]], -PV[[#This Row],[Notional Value Local Cur]])</f>
        <v>0</v>
      </c>
    </row>
    <row r="5641" spans="1:5" x14ac:dyDescent="0.25">
      <c r="A5641" s="36" t="b">
        <v>0</v>
      </c>
      <c r="B5641" s="56" t="b">
        <v>0</v>
      </c>
      <c r="C5641" s="56" t="b">
        <v>0</v>
      </c>
      <c r="D5641" s="56" t="b">
        <v>0</v>
      </c>
      <c r="E5641" s="56">
        <f ca="1">IF(PV[[#This Row],[Business Date]]=Control!$C$6, PV[[#This Row],[Notional Value Local Cur]], -PV[[#This Row],[Notional Value Local Cur]])</f>
        <v>0</v>
      </c>
    </row>
    <row r="5642" spans="1:5" x14ac:dyDescent="0.25">
      <c r="A5642" s="36" t="b">
        <v>0</v>
      </c>
      <c r="B5642" s="56" t="b">
        <v>0</v>
      </c>
      <c r="C5642" s="56" t="b">
        <v>0</v>
      </c>
      <c r="D5642" s="56" t="b">
        <v>0</v>
      </c>
      <c r="E5642" s="56">
        <f ca="1">IF(PV[[#This Row],[Business Date]]=Control!$C$6, PV[[#This Row],[Notional Value Local Cur]], -PV[[#This Row],[Notional Value Local Cur]])</f>
        <v>0</v>
      </c>
    </row>
    <row r="5643" spans="1:5" x14ac:dyDescent="0.25">
      <c r="A5643" s="36" t="b">
        <v>0</v>
      </c>
      <c r="B5643" s="56" t="b">
        <v>0</v>
      </c>
      <c r="C5643" s="56" t="b">
        <v>0</v>
      </c>
      <c r="D5643" s="56" t="b">
        <v>0</v>
      </c>
      <c r="E5643" s="56">
        <f ca="1">IF(PV[[#This Row],[Business Date]]=Control!$C$6, PV[[#This Row],[Notional Value Local Cur]], -PV[[#This Row],[Notional Value Local Cur]])</f>
        <v>0</v>
      </c>
    </row>
    <row r="5644" spans="1:5" x14ac:dyDescent="0.25">
      <c r="A5644" s="36" t="b">
        <v>0</v>
      </c>
      <c r="B5644" s="56" t="b">
        <v>0</v>
      </c>
      <c r="C5644" s="56" t="b">
        <v>0</v>
      </c>
      <c r="D5644" s="56" t="b">
        <v>0</v>
      </c>
      <c r="E5644" s="56">
        <f ca="1">IF(PV[[#This Row],[Business Date]]=Control!$C$6, PV[[#This Row],[Notional Value Local Cur]], -PV[[#This Row],[Notional Value Local Cur]])</f>
        <v>0</v>
      </c>
    </row>
    <row r="5645" spans="1:5" x14ac:dyDescent="0.25">
      <c r="A5645" s="36" t="b">
        <v>0</v>
      </c>
      <c r="B5645" s="56" t="b">
        <v>0</v>
      </c>
      <c r="C5645" s="56" t="b">
        <v>0</v>
      </c>
      <c r="D5645" s="56" t="b">
        <v>0</v>
      </c>
      <c r="E5645" s="56">
        <f ca="1">IF(PV[[#This Row],[Business Date]]=Control!$C$6, PV[[#This Row],[Notional Value Local Cur]], -PV[[#This Row],[Notional Value Local Cur]])</f>
        <v>0</v>
      </c>
    </row>
    <row r="5646" spans="1:5" x14ac:dyDescent="0.25">
      <c r="A5646" s="36" t="b">
        <v>0</v>
      </c>
      <c r="B5646" s="56" t="b">
        <v>0</v>
      </c>
      <c r="C5646" s="56" t="b">
        <v>0</v>
      </c>
      <c r="D5646" s="56" t="b">
        <v>0</v>
      </c>
      <c r="E5646" s="56">
        <f ca="1">IF(PV[[#This Row],[Business Date]]=Control!$C$6, PV[[#This Row],[Notional Value Local Cur]], -PV[[#This Row],[Notional Value Local Cur]])</f>
        <v>0</v>
      </c>
    </row>
    <row r="5647" spans="1:5" x14ac:dyDescent="0.25">
      <c r="A5647" s="36" t="b">
        <v>0</v>
      </c>
      <c r="B5647" s="56" t="b">
        <v>0</v>
      </c>
      <c r="C5647" s="56" t="b">
        <v>0</v>
      </c>
      <c r="D5647" s="56" t="b">
        <v>0</v>
      </c>
      <c r="E5647" s="56">
        <f ca="1">IF(PV[[#This Row],[Business Date]]=Control!$C$6, PV[[#This Row],[Notional Value Local Cur]], -PV[[#This Row],[Notional Value Local Cur]])</f>
        <v>0</v>
      </c>
    </row>
    <row r="5648" spans="1:5" x14ac:dyDescent="0.25">
      <c r="A5648" s="36" t="b">
        <v>0</v>
      </c>
      <c r="B5648" s="56" t="b">
        <v>0</v>
      </c>
      <c r="C5648" s="56" t="b">
        <v>0</v>
      </c>
      <c r="D5648" s="56" t="b">
        <v>0</v>
      </c>
      <c r="E5648" s="56">
        <f ca="1">IF(PV[[#This Row],[Business Date]]=Control!$C$6, PV[[#This Row],[Notional Value Local Cur]], -PV[[#This Row],[Notional Value Local Cur]])</f>
        <v>0</v>
      </c>
    </row>
    <row r="5649" spans="1:5" x14ac:dyDescent="0.25">
      <c r="A5649" s="36" t="b">
        <v>0</v>
      </c>
      <c r="B5649" s="56" t="b">
        <v>0</v>
      </c>
      <c r="C5649" s="56" t="b">
        <v>0</v>
      </c>
      <c r="D5649" s="56" t="b">
        <v>0</v>
      </c>
      <c r="E5649" s="56">
        <f ca="1">IF(PV[[#This Row],[Business Date]]=Control!$C$6, PV[[#This Row],[Notional Value Local Cur]], -PV[[#This Row],[Notional Value Local Cur]])</f>
        <v>0</v>
      </c>
    </row>
    <row r="5650" spans="1:5" x14ac:dyDescent="0.25">
      <c r="A5650" s="36" t="b">
        <v>0</v>
      </c>
      <c r="B5650" s="56" t="b">
        <v>0</v>
      </c>
      <c r="C5650" s="56" t="b">
        <v>0</v>
      </c>
      <c r="D5650" s="56" t="b">
        <v>0</v>
      </c>
      <c r="E5650" s="56">
        <f ca="1">IF(PV[[#This Row],[Business Date]]=Control!$C$6, PV[[#This Row],[Notional Value Local Cur]], -PV[[#This Row],[Notional Value Local Cur]])</f>
        <v>0</v>
      </c>
    </row>
    <row r="5651" spans="1:5" x14ac:dyDescent="0.25">
      <c r="A5651" s="36" t="b">
        <v>0</v>
      </c>
      <c r="B5651" s="56" t="b">
        <v>0</v>
      </c>
      <c r="C5651" s="56" t="b">
        <v>0</v>
      </c>
      <c r="D5651" s="56" t="b">
        <v>0</v>
      </c>
      <c r="E5651" s="56">
        <f ca="1">IF(PV[[#This Row],[Business Date]]=Control!$C$6, PV[[#This Row],[Notional Value Local Cur]], -PV[[#This Row],[Notional Value Local Cur]])</f>
        <v>0</v>
      </c>
    </row>
    <row r="5652" spans="1:5" x14ac:dyDescent="0.25">
      <c r="A5652" s="36" t="b">
        <v>0</v>
      </c>
      <c r="B5652" s="56" t="b">
        <v>0</v>
      </c>
      <c r="C5652" s="56" t="b">
        <v>0</v>
      </c>
      <c r="D5652" s="56" t="b">
        <v>0</v>
      </c>
      <c r="E5652" s="56">
        <f ca="1">IF(PV[[#This Row],[Business Date]]=Control!$C$6, PV[[#This Row],[Notional Value Local Cur]], -PV[[#This Row],[Notional Value Local Cur]])</f>
        <v>0</v>
      </c>
    </row>
    <row r="5653" spans="1:5" x14ac:dyDescent="0.25">
      <c r="A5653" s="36" t="b">
        <v>0</v>
      </c>
      <c r="B5653" s="56" t="b">
        <v>0</v>
      </c>
      <c r="C5653" s="56" t="b">
        <v>0</v>
      </c>
      <c r="D5653" s="56" t="b">
        <v>0</v>
      </c>
      <c r="E5653" s="56">
        <f ca="1">IF(PV[[#This Row],[Business Date]]=Control!$C$6, PV[[#This Row],[Notional Value Local Cur]], -PV[[#This Row],[Notional Value Local Cur]])</f>
        <v>0</v>
      </c>
    </row>
    <row r="5654" spans="1:5" x14ac:dyDescent="0.25">
      <c r="A5654" s="36" t="b">
        <v>0</v>
      </c>
      <c r="B5654" s="56" t="b">
        <v>0</v>
      </c>
      <c r="C5654" s="56" t="b">
        <v>0</v>
      </c>
      <c r="D5654" s="56" t="b">
        <v>0</v>
      </c>
      <c r="E5654" s="56">
        <f ca="1">IF(PV[[#This Row],[Business Date]]=Control!$C$6, PV[[#This Row],[Notional Value Local Cur]], -PV[[#This Row],[Notional Value Local Cur]])</f>
        <v>0</v>
      </c>
    </row>
    <row r="5655" spans="1:5" x14ac:dyDescent="0.25">
      <c r="A5655" s="36" t="b">
        <v>0</v>
      </c>
      <c r="B5655" s="56" t="b">
        <v>0</v>
      </c>
      <c r="C5655" s="56" t="b">
        <v>0</v>
      </c>
      <c r="D5655" s="56" t="b">
        <v>0</v>
      </c>
      <c r="E5655" s="56">
        <f ca="1">IF(PV[[#This Row],[Business Date]]=Control!$C$6, PV[[#This Row],[Notional Value Local Cur]], -PV[[#This Row],[Notional Value Local Cur]])</f>
        <v>0</v>
      </c>
    </row>
    <row r="5656" spans="1:5" x14ac:dyDescent="0.25">
      <c r="A5656" s="36" t="b">
        <v>0</v>
      </c>
      <c r="B5656" s="56" t="b">
        <v>0</v>
      </c>
      <c r="C5656" s="56" t="b">
        <v>0</v>
      </c>
      <c r="D5656" s="56" t="b">
        <v>0</v>
      </c>
      <c r="E5656" s="56">
        <f ca="1">IF(PV[[#This Row],[Business Date]]=Control!$C$6, PV[[#This Row],[Notional Value Local Cur]], -PV[[#This Row],[Notional Value Local Cur]])</f>
        <v>0</v>
      </c>
    </row>
    <row r="5657" spans="1:5" x14ac:dyDescent="0.25">
      <c r="A5657" s="36" t="b">
        <v>0</v>
      </c>
      <c r="B5657" s="56" t="b">
        <v>0</v>
      </c>
      <c r="C5657" s="56" t="b">
        <v>0</v>
      </c>
      <c r="D5657" s="56" t="b">
        <v>0</v>
      </c>
      <c r="E5657" s="56">
        <f ca="1">IF(PV[[#This Row],[Business Date]]=Control!$C$6, PV[[#This Row],[Notional Value Local Cur]], -PV[[#This Row],[Notional Value Local Cur]])</f>
        <v>0</v>
      </c>
    </row>
    <row r="5658" spans="1:5" x14ac:dyDescent="0.25">
      <c r="A5658" s="36" t="b">
        <v>0</v>
      </c>
      <c r="B5658" s="56" t="b">
        <v>0</v>
      </c>
      <c r="C5658" s="56" t="b">
        <v>0</v>
      </c>
      <c r="D5658" s="56" t="b">
        <v>0</v>
      </c>
      <c r="E5658" s="56">
        <f ca="1">IF(PV[[#This Row],[Business Date]]=Control!$C$6, PV[[#This Row],[Notional Value Local Cur]], -PV[[#This Row],[Notional Value Local Cur]])</f>
        <v>0</v>
      </c>
    </row>
    <row r="5659" spans="1:5" x14ac:dyDescent="0.25">
      <c r="A5659" s="36" t="b">
        <v>0</v>
      </c>
      <c r="B5659" s="56" t="b">
        <v>0</v>
      </c>
      <c r="C5659" s="56" t="b">
        <v>0</v>
      </c>
      <c r="D5659" s="56" t="b">
        <v>0</v>
      </c>
      <c r="E5659" s="56">
        <f ca="1">IF(PV[[#This Row],[Business Date]]=Control!$C$6, PV[[#This Row],[Notional Value Local Cur]], -PV[[#This Row],[Notional Value Local Cur]])</f>
        <v>0</v>
      </c>
    </row>
    <row r="5660" spans="1:5" x14ac:dyDescent="0.25">
      <c r="A5660" s="36" t="b">
        <v>0</v>
      </c>
      <c r="B5660" s="56" t="b">
        <v>0</v>
      </c>
      <c r="C5660" s="56" t="b">
        <v>0</v>
      </c>
      <c r="D5660" s="56" t="b">
        <v>0</v>
      </c>
      <c r="E5660" s="56">
        <f ca="1">IF(PV[[#This Row],[Business Date]]=Control!$C$6, PV[[#This Row],[Notional Value Local Cur]], -PV[[#This Row],[Notional Value Local Cur]])</f>
        <v>0</v>
      </c>
    </row>
    <row r="5661" spans="1:5" x14ac:dyDescent="0.25">
      <c r="A5661" s="36" t="b">
        <v>0</v>
      </c>
      <c r="B5661" s="56" t="b">
        <v>0</v>
      </c>
      <c r="C5661" s="56" t="b">
        <v>0</v>
      </c>
      <c r="D5661" s="56" t="b">
        <v>0</v>
      </c>
      <c r="E5661" s="56">
        <f ca="1">IF(PV[[#This Row],[Business Date]]=Control!$C$6, PV[[#This Row],[Notional Value Local Cur]], -PV[[#This Row],[Notional Value Local Cur]])</f>
        <v>0</v>
      </c>
    </row>
    <row r="5662" spans="1:5" x14ac:dyDescent="0.25">
      <c r="A5662" s="36" t="b">
        <v>0</v>
      </c>
      <c r="B5662" s="56" t="b">
        <v>0</v>
      </c>
      <c r="C5662" s="56" t="b">
        <v>0</v>
      </c>
      <c r="D5662" s="56" t="b">
        <v>0</v>
      </c>
      <c r="E5662" s="56">
        <f ca="1">IF(PV[[#This Row],[Business Date]]=Control!$C$6, PV[[#This Row],[Notional Value Local Cur]], -PV[[#This Row],[Notional Value Local Cur]])</f>
        <v>0</v>
      </c>
    </row>
    <row r="5663" spans="1:5" x14ac:dyDescent="0.25">
      <c r="A5663" s="36" t="b">
        <v>0</v>
      </c>
      <c r="B5663" s="56" t="b">
        <v>0</v>
      </c>
      <c r="C5663" s="56" t="b">
        <v>0</v>
      </c>
      <c r="D5663" s="56" t="b">
        <v>0</v>
      </c>
      <c r="E5663" s="56">
        <f ca="1">IF(PV[[#This Row],[Business Date]]=Control!$C$6, PV[[#This Row],[Notional Value Local Cur]], -PV[[#This Row],[Notional Value Local Cur]])</f>
        <v>0</v>
      </c>
    </row>
    <row r="5664" spans="1:5" x14ac:dyDescent="0.25">
      <c r="A5664" s="36" t="b">
        <v>0</v>
      </c>
      <c r="B5664" s="56" t="b">
        <v>0</v>
      </c>
      <c r="C5664" s="56" t="b">
        <v>0</v>
      </c>
      <c r="D5664" s="56" t="b">
        <v>0</v>
      </c>
      <c r="E5664" s="56">
        <f ca="1">IF(PV[[#This Row],[Business Date]]=Control!$C$6, PV[[#This Row],[Notional Value Local Cur]], -PV[[#This Row],[Notional Value Local Cur]])</f>
        <v>0</v>
      </c>
    </row>
    <row r="5665" spans="1:5" x14ac:dyDescent="0.25">
      <c r="A5665" s="36" t="b">
        <v>0</v>
      </c>
      <c r="B5665" s="56" t="b">
        <v>0</v>
      </c>
      <c r="C5665" s="56" t="b">
        <v>0</v>
      </c>
      <c r="D5665" s="56" t="b">
        <v>0</v>
      </c>
      <c r="E5665" s="56">
        <f ca="1">IF(PV[[#This Row],[Business Date]]=Control!$C$6, PV[[#This Row],[Notional Value Local Cur]], -PV[[#This Row],[Notional Value Local Cur]])</f>
        <v>0</v>
      </c>
    </row>
    <row r="5666" spans="1:5" x14ac:dyDescent="0.25">
      <c r="A5666" s="36" t="b">
        <v>0</v>
      </c>
      <c r="B5666" s="56" t="b">
        <v>0</v>
      </c>
      <c r="C5666" s="56" t="b">
        <v>0</v>
      </c>
      <c r="D5666" s="56" t="b">
        <v>0</v>
      </c>
      <c r="E5666" s="56">
        <f ca="1">IF(PV[[#This Row],[Business Date]]=Control!$C$6, PV[[#This Row],[Notional Value Local Cur]], -PV[[#This Row],[Notional Value Local Cur]])</f>
        <v>0</v>
      </c>
    </row>
    <row r="5667" spans="1:5" x14ac:dyDescent="0.25">
      <c r="A5667" s="36" t="b">
        <v>0</v>
      </c>
      <c r="B5667" s="56" t="b">
        <v>0</v>
      </c>
      <c r="C5667" s="56" t="b">
        <v>0</v>
      </c>
      <c r="D5667" s="56" t="b">
        <v>0</v>
      </c>
      <c r="E5667" s="56">
        <f ca="1">IF(PV[[#This Row],[Business Date]]=Control!$C$6, PV[[#This Row],[Notional Value Local Cur]], -PV[[#This Row],[Notional Value Local Cur]])</f>
        <v>0</v>
      </c>
    </row>
    <row r="5668" spans="1:5" x14ac:dyDescent="0.25">
      <c r="A5668" s="36" t="b">
        <v>0</v>
      </c>
      <c r="B5668" s="56" t="b">
        <v>0</v>
      </c>
      <c r="C5668" s="56" t="b">
        <v>0</v>
      </c>
      <c r="D5668" s="56" t="b">
        <v>0</v>
      </c>
      <c r="E5668" s="56">
        <f ca="1">IF(PV[[#This Row],[Business Date]]=Control!$C$6, PV[[#This Row],[Notional Value Local Cur]], -PV[[#This Row],[Notional Value Local Cur]])</f>
        <v>0</v>
      </c>
    </row>
    <row r="5669" spans="1:5" x14ac:dyDescent="0.25">
      <c r="A5669" s="36" t="b">
        <v>0</v>
      </c>
      <c r="B5669" s="56" t="b">
        <v>0</v>
      </c>
      <c r="C5669" s="56" t="b">
        <v>0</v>
      </c>
      <c r="D5669" s="56" t="b">
        <v>0</v>
      </c>
      <c r="E5669" s="56">
        <f ca="1">IF(PV[[#This Row],[Business Date]]=Control!$C$6, PV[[#This Row],[Notional Value Local Cur]], -PV[[#This Row],[Notional Value Local Cur]])</f>
        <v>0</v>
      </c>
    </row>
    <row r="5670" spans="1:5" x14ac:dyDescent="0.25">
      <c r="A5670" s="36" t="b">
        <v>0</v>
      </c>
      <c r="B5670" s="56" t="b">
        <v>0</v>
      </c>
      <c r="C5670" s="56" t="b">
        <v>0</v>
      </c>
      <c r="D5670" s="56" t="b">
        <v>0</v>
      </c>
      <c r="E5670" s="56">
        <f ca="1">IF(PV[[#This Row],[Business Date]]=Control!$C$6, PV[[#This Row],[Notional Value Local Cur]], -PV[[#This Row],[Notional Value Local Cur]])</f>
        <v>0</v>
      </c>
    </row>
    <row r="5671" spans="1:5" x14ac:dyDescent="0.25">
      <c r="A5671" s="36" t="b">
        <v>0</v>
      </c>
      <c r="B5671" s="56" t="b">
        <v>0</v>
      </c>
      <c r="C5671" s="56" t="b">
        <v>0</v>
      </c>
      <c r="D5671" s="56" t="b">
        <v>0</v>
      </c>
      <c r="E5671" s="56">
        <f ca="1">IF(PV[[#This Row],[Business Date]]=Control!$C$6, PV[[#This Row],[Notional Value Local Cur]], -PV[[#This Row],[Notional Value Local Cur]])</f>
        <v>0</v>
      </c>
    </row>
    <row r="5672" spans="1:5" x14ac:dyDescent="0.25">
      <c r="A5672" s="36" t="b">
        <v>0</v>
      </c>
      <c r="B5672" s="56" t="b">
        <v>0</v>
      </c>
      <c r="C5672" s="56" t="b">
        <v>0</v>
      </c>
      <c r="D5672" s="56" t="b">
        <v>0</v>
      </c>
      <c r="E5672" s="56">
        <f ca="1">IF(PV[[#This Row],[Business Date]]=Control!$C$6, PV[[#This Row],[Notional Value Local Cur]], -PV[[#This Row],[Notional Value Local Cur]])</f>
        <v>0</v>
      </c>
    </row>
    <row r="5673" spans="1:5" x14ac:dyDescent="0.25">
      <c r="A5673" s="36" t="b">
        <v>0</v>
      </c>
      <c r="B5673" s="56" t="b">
        <v>0</v>
      </c>
      <c r="C5673" s="56" t="b">
        <v>0</v>
      </c>
      <c r="D5673" s="56" t="b">
        <v>0</v>
      </c>
      <c r="E5673" s="56">
        <f ca="1">IF(PV[[#This Row],[Business Date]]=Control!$C$6, PV[[#This Row],[Notional Value Local Cur]], -PV[[#This Row],[Notional Value Local Cur]])</f>
        <v>0</v>
      </c>
    </row>
    <row r="5674" spans="1:5" x14ac:dyDescent="0.25">
      <c r="A5674" s="36" t="b">
        <v>0</v>
      </c>
      <c r="B5674" s="56" t="b">
        <v>0</v>
      </c>
      <c r="C5674" s="56" t="b">
        <v>0</v>
      </c>
      <c r="D5674" s="56" t="b">
        <v>0</v>
      </c>
      <c r="E5674" s="56">
        <f ca="1">IF(PV[[#This Row],[Business Date]]=Control!$C$6, PV[[#This Row],[Notional Value Local Cur]], -PV[[#This Row],[Notional Value Local Cur]])</f>
        <v>0</v>
      </c>
    </row>
    <row r="5675" spans="1:5" x14ac:dyDescent="0.25">
      <c r="A5675" s="36" t="b">
        <v>0</v>
      </c>
      <c r="B5675" s="56" t="b">
        <v>0</v>
      </c>
      <c r="C5675" s="56" t="b">
        <v>0</v>
      </c>
      <c r="D5675" s="56" t="b">
        <v>0</v>
      </c>
      <c r="E5675" s="56">
        <f ca="1">IF(PV[[#This Row],[Business Date]]=Control!$C$6, PV[[#This Row],[Notional Value Local Cur]], -PV[[#This Row],[Notional Value Local Cur]])</f>
        <v>0</v>
      </c>
    </row>
    <row r="5676" spans="1:5" x14ac:dyDescent="0.25">
      <c r="A5676" s="36" t="b">
        <v>0</v>
      </c>
      <c r="B5676" s="56" t="b">
        <v>0</v>
      </c>
      <c r="C5676" s="56" t="b">
        <v>0</v>
      </c>
      <c r="D5676" s="56" t="b">
        <v>0</v>
      </c>
      <c r="E5676" s="56">
        <f ca="1">IF(PV[[#This Row],[Business Date]]=Control!$C$6, PV[[#This Row],[Notional Value Local Cur]], -PV[[#This Row],[Notional Value Local Cur]])</f>
        <v>0</v>
      </c>
    </row>
    <row r="5677" spans="1:5" x14ac:dyDescent="0.25">
      <c r="A5677" s="36" t="b">
        <v>0</v>
      </c>
      <c r="B5677" s="56" t="b">
        <v>0</v>
      </c>
      <c r="C5677" s="56" t="b">
        <v>0</v>
      </c>
      <c r="D5677" s="56" t="b">
        <v>0</v>
      </c>
      <c r="E5677" s="56">
        <f ca="1">IF(PV[[#This Row],[Business Date]]=Control!$C$6, PV[[#This Row],[Notional Value Local Cur]], -PV[[#This Row],[Notional Value Local Cur]])</f>
        <v>0</v>
      </c>
    </row>
    <row r="5678" spans="1:5" x14ac:dyDescent="0.25">
      <c r="A5678" s="36" t="b">
        <v>0</v>
      </c>
      <c r="B5678" s="56" t="b">
        <v>0</v>
      </c>
      <c r="C5678" s="56" t="b">
        <v>0</v>
      </c>
      <c r="D5678" s="56" t="b">
        <v>0</v>
      </c>
      <c r="E5678" s="56">
        <f ca="1">IF(PV[[#This Row],[Business Date]]=Control!$C$6, PV[[#This Row],[Notional Value Local Cur]], -PV[[#This Row],[Notional Value Local Cur]])</f>
        <v>0</v>
      </c>
    </row>
    <row r="5679" spans="1:5" x14ac:dyDescent="0.25">
      <c r="A5679" s="36" t="b">
        <v>0</v>
      </c>
      <c r="B5679" s="56" t="b">
        <v>0</v>
      </c>
      <c r="C5679" s="56" t="b">
        <v>0</v>
      </c>
      <c r="D5679" s="56" t="b">
        <v>0</v>
      </c>
      <c r="E5679" s="56">
        <f ca="1">IF(PV[[#This Row],[Business Date]]=Control!$C$6, PV[[#This Row],[Notional Value Local Cur]], -PV[[#This Row],[Notional Value Local Cur]])</f>
        <v>0</v>
      </c>
    </row>
    <row r="5680" spans="1:5" x14ac:dyDescent="0.25">
      <c r="A5680" s="36" t="b">
        <v>0</v>
      </c>
      <c r="B5680" s="56" t="b">
        <v>0</v>
      </c>
      <c r="C5680" s="56" t="b">
        <v>0</v>
      </c>
      <c r="D5680" s="56" t="b">
        <v>0</v>
      </c>
      <c r="E5680" s="56">
        <f ca="1">IF(PV[[#This Row],[Business Date]]=Control!$C$6, PV[[#This Row],[Notional Value Local Cur]], -PV[[#This Row],[Notional Value Local Cur]])</f>
        <v>0</v>
      </c>
    </row>
    <row r="5681" spans="1:5" x14ac:dyDescent="0.25">
      <c r="A5681" s="36" t="b">
        <v>0</v>
      </c>
      <c r="B5681" s="56" t="b">
        <v>0</v>
      </c>
      <c r="C5681" s="56" t="b">
        <v>0</v>
      </c>
      <c r="D5681" s="56" t="b">
        <v>0</v>
      </c>
      <c r="E5681" s="56">
        <f ca="1">IF(PV[[#This Row],[Business Date]]=Control!$C$6, PV[[#This Row],[Notional Value Local Cur]], -PV[[#This Row],[Notional Value Local Cur]])</f>
        <v>0</v>
      </c>
    </row>
    <row r="5682" spans="1:5" x14ac:dyDescent="0.25">
      <c r="A5682" s="36" t="b">
        <v>0</v>
      </c>
      <c r="B5682" s="56" t="b">
        <v>0</v>
      </c>
      <c r="C5682" s="56" t="b">
        <v>0</v>
      </c>
      <c r="D5682" s="56" t="b">
        <v>0</v>
      </c>
      <c r="E5682" s="56">
        <f ca="1">IF(PV[[#This Row],[Business Date]]=Control!$C$6, PV[[#This Row],[Notional Value Local Cur]], -PV[[#This Row],[Notional Value Local Cur]])</f>
        <v>0</v>
      </c>
    </row>
    <row r="5683" spans="1:5" x14ac:dyDescent="0.25">
      <c r="A5683" s="36" t="b">
        <v>0</v>
      </c>
      <c r="B5683" s="56" t="b">
        <v>0</v>
      </c>
      <c r="C5683" s="56" t="b">
        <v>0</v>
      </c>
      <c r="D5683" s="56" t="b">
        <v>0</v>
      </c>
      <c r="E5683" s="56">
        <f ca="1">IF(PV[[#This Row],[Business Date]]=Control!$C$6, PV[[#This Row],[Notional Value Local Cur]], -PV[[#This Row],[Notional Value Local Cur]])</f>
        <v>0</v>
      </c>
    </row>
    <row r="5684" spans="1:5" x14ac:dyDescent="0.25">
      <c r="A5684" s="36" t="b">
        <v>0</v>
      </c>
      <c r="B5684" s="56" t="b">
        <v>0</v>
      </c>
      <c r="C5684" s="56" t="b">
        <v>0</v>
      </c>
      <c r="D5684" s="56" t="b">
        <v>0</v>
      </c>
      <c r="E5684" s="56">
        <f ca="1">IF(PV[[#This Row],[Business Date]]=Control!$C$6, PV[[#This Row],[Notional Value Local Cur]], -PV[[#This Row],[Notional Value Local Cur]])</f>
        <v>0</v>
      </c>
    </row>
    <row r="5685" spans="1:5" x14ac:dyDescent="0.25">
      <c r="A5685" s="36" t="b">
        <v>0</v>
      </c>
      <c r="B5685" s="56" t="b">
        <v>0</v>
      </c>
      <c r="C5685" s="56" t="b">
        <v>0</v>
      </c>
      <c r="D5685" s="56" t="b">
        <v>0</v>
      </c>
      <c r="E5685" s="56">
        <f ca="1">IF(PV[[#This Row],[Business Date]]=Control!$C$6, PV[[#This Row],[Notional Value Local Cur]], -PV[[#This Row],[Notional Value Local Cur]])</f>
        <v>0</v>
      </c>
    </row>
    <row r="5686" spans="1:5" x14ac:dyDescent="0.25">
      <c r="A5686" s="36" t="b">
        <v>0</v>
      </c>
      <c r="B5686" s="56" t="b">
        <v>0</v>
      </c>
      <c r="C5686" s="56" t="b">
        <v>0</v>
      </c>
      <c r="D5686" s="56" t="b">
        <v>0</v>
      </c>
      <c r="E5686" s="56">
        <f ca="1">IF(PV[[#This Row],[Business Date]]=Control!$C$6, PV[[#This Row],[Notional Value Local Cur]], -PV[[#This Row],[Notional Value Local Cur]])</f>
        <v>0</v>
      </c>
    </row>
    <row r="5687" spans="1:5" x14ac:dyDescent="0.25">
      <c r="A5687" s="36" t="b">
        <v>0</v>
      </c>
      <c r="B5687" s="56" t="b">
        <v>0</v>
      </c>
      <c r="C5687" s="56" t="b">
        <v>0</v>
      </c>
      <c r="D5687" s="56" t="b">
        <v>0</v>
      </c>
      <c r="E5687" s="56">
        <f ca="1">IF(PV[[#This Row],[Business Date]]=Control!$C$6, PV[[#This Row],[Notional Value Local Cur]], -PV[[#This Row],[Notional Value Local Cur]])</f>
        <v>0</v>
      </c>
    </row>
    <row r="5688" spans="1:5" x14ac:dyDescent="0.25">
      <c r="A5688" s="36" t="b">
        <v>0</v>
      </c>
      <c r="B5688" s="56" t="b">
        <v>0</v>
      </c>
      <c r="C5688" s="56" t="b">
        <v>0</v>
      </c>
      <c r="D5688" s="56" t="b">
        <v>0</v>
      </c>
      <c r="E5688" s="56">
        <f ca="1">IF(PV[[#This Row],[Business Date]]=Control!$C$6, PV[[#This Row],[Notional Value Local Cur]], -PV[[#This Row],[Notional Value Local Cur]])</f>
        <v>0</v>
      </c>
    </row>
    <row r="5689" spans="1:5" x14ac:dyDescent="0.25">
      <c r="A5689" s="36" t="b">
        <v>0</v>
      </c>
      <c r="B5689" s="56" t="b">
        <v>0</v>
      </c>
      <c r="C5689" s="56" t="b">
        <v>0</v>
      </c>
      <c r="D5689" s="56" t="b">
        <v>0</v>
      </c>
      <c r="E5689" s="56">
        <f ca="1">IF(PV[[#This Row],[Business Date]]=Control!$C$6, PV[[#This Row],[Notional Value Local Cur]], -PV[[#This Row],[Notional Value Local Cur]])</f>
        <v>0</v>
      </c>
    </row>
    <row r="5690" spans="1:5" x14ac:dyDescent="0.25">
      <c r="A5690" s="36" t="b">
        <v>0</v>
      </c>
      <c r="B5690" s="56" t="b">
        <v>0</v>
      </c>
      <c r="C5690" s="56" t="b">
        <v>0</v>
      </c>
      <c r="D5690" s="56" t="b">
        <v>0</v>
      </c>
      <c r="E5690" s="56">
        <f ca="1">IF(PV[[#This Row],[Business Date]]=Control!$C$6, PV[[#This Row],[Notional Value Local Cur]], -PV[[#This Row],[Notional Value Local Cur]])</f>
        <v>0</v>
      </c>
    </row>
    <row r="5691" spans="1:5" x14ac:dyDescent="0.25">
      <c r="A5691" s="36" t="b">
        <v>0</v>
      </c>
      <c r="B5691" s="56" t="b">
        <v>0</v>
      </c>
      <c r="C5691" s="56" t="b">
        <v>0</v>
      </c>
      <c r="D5691" s="56" t="b">
        <v>0</v>
      </c>
      <c r="E5691" s="56">
        <f ca="1">IF(PV[[#This Row],[Business Date]]=Control!$C$6, PV[[#This Row],[Notional Value Local Cur]], -PV[[#This Row],[Notional Value Local Cur]])</f>
        <v>0</v>
      </c>
    </row>
    <row r="5692" spans="1:5" x14ac:dyDescent="0.25">
      <c r="A5692" s="36" t="b">
        <v>0</v>
      </c>
      <c r="B5692" s="56" t="b">
        <v>0</v>
      </c>
      <c r="C5692" s="56" t="b">
        <v>0</v>
      </c>
      <c r="D5692" s="56" t="b">
        <v>0</v>
      </c>
      <c r="E5692" s="56">
        <f ca="1">IF(PV[[#This Row],[Business Date]]=Control!$C$6, PV[[#This Row],[Notional Value Local Cur]], -PV[[#This Row],[Notional Value Local Cur]])</f>
        <v>0</v>
      </c>
    </row>
    <row r="5693" spans="1:5" x14ac:dyDescent="0.25">
      <c r="A5693" s="36" t="b">
        <v>0</v>
      </c>
      <c r="B5693" s="56" t="b">
        <v>0</v>
      </c>
      <c r="C5693" s="56" t="b">
        <v>0</v>
      </c>
      <c r="D5693" s="56" t="b">
        <v>0</v>
      </c>
      <c r="E5693" s="56">
        <f ca="1">IF(PV[[#This Row],[Business Date]]=Control!$C$6, PV[[#This Row],[Notional Value Local Cur]], -PV[[#This Row],[Notional Value Local Cur]])</f>
        <v>0</v>
      </c>
    </row>
    <row r="5694" spans="1:5" x14ac:dyDescent="0.25">
      <c r="A5694" s="36" t="b">
        <v>0</v>
      </c>
      <c r="B5694" s="56" t="b">
        <v>0</v>
      </c>
      <c r="C5694" s="56" t="b">
        <v>0</v>
      </c>
      <c r="D5694" s="56" t="b">
        <v>0</v>
      </c>
      <c r="E5694" s="56">
        <f ca="1">IF(PV[[#This Row],[Business Date]]=Control!$C$6, PV[[#This Row],[Notional Value Local Cur]], -PV[[#This Row],[Notional Value Local Cur]])</f>
        <v>0</v>
      </c>
    </row>
    <row r="5695" spans="1:5" x14ac:dyDescent="0.25">
      <c r="A5695" s="36" t="b">
        <v>0</v>
      </c>
      <c r="B5695" s="56" t="b">
        <v>0</v>
      </c>
      <c r="C5695" s="56" t="b">
        <v>0</v>
      </c>
      <c r="D5695" s="56" t="b">
        <v>0</v>
      </c>
      <c r="E5695" s="56">
        <f ca="1">IF(PV[[#This Row],[Business Date]]=Control!$C$6, PV[[#This Row],[Notional Value Local Cur]], -PV[[#This Row],[Notional Value Local Cur]])</f>
        <v>0</v>
      </c>
    </row>
    <row r="5696" spans="1:5" x14ac:dyDescent="0.25">
      <c r="A5696" s="36" t="b">
        <v>0</v>
      </c>
      <c r="B5696" s="56" t="b">
        <v>0</v>
      </c>
      <c r="C5696" s="56" t="b">
        <v>0</v>
      </c>
      <c r="D5696" s="56" t="b">
        <v>0</v>
      </c>
      <c r="E5696" s="56">
        <f ca="1">IF(PV[[#This Row],[Business Date]]=Control!$C$6, PV[[#This Row],[Notional Value Local Cur]], -PV[[#This Row],[Notional Value Local Cur]])</f>
        <v>0</v>
      </c>
    </row>
    <row r="5697" spans="1:5" x14ac:dyDescent="0.25">
      <c r="A5697" s="36" t="b">
        <v>0</v>
      </c>
      <c r="B5697" s="56" t="b">
        <v>0</v>
      </c>
      <c r="C5697" s="56" t="b">
        <v>0</v>
      </c>
      <c r="D5697" s="56" t="b">
        <v>0</v>
      </c>
      <c r="E5697" s="56">
        <f ca="1">IF(PV[[#This Row],[Business Date]]=Control!$C$6, PV[[#This Row],[Notional Value Local Cur]], -PV[[#This Row],[Notional Value Local Cur]])</f>
        <v>0</v>
      </c>
    </row>
    <row r="5698" spans="1:5" x14ac:dyDescent="0.25">
      <c r="A5698" s="36" t="b">
        <v>0</v>
      </c>
      <c r="B5698" s="56" t="b">
        <v>0</v>
      </c>
      <c r="C5698" s="56" t="b">
        <v>0</v>
      </c>
      <c r="D5698" s="56" t="b">
        <v>0</v>
      </c>
      <c r="E5698" s="56">
        <f ca="1">IF(PV[[#This Row],[Business Date]]=Control!$C$6, PV[[#This Row],[Notional Value Local Cur]], -PV[[#This Row],[Notional Value Local Cur]])</f>
        <v>0</v>
      </c>
    </row>
    <row r="5699" spans="1:5" x14ac:dyDescent="0.25">
      <c r="A5699" s="36" t="b">
        <v>0</v>
      </c>
      <c r="B5699" s="56" t="b">
        <v>0</v>
      </c>
      <c r="C5699" s="56" t="b">
        <v>0</v>
      </c>
      <c r="D5699" s="56" t="b">
        <v>0</v>
      </c>
      <c r="E5699" s="56">
        <f ca="1">IF(PV[[#This Row],[Business Date]]=Control!$C$6, PV[[#This Row],[Notional Value Local Cur]], -PV[[#This Row],[Notional Value Local Cur]])</f>
        <v>0</v>
      </c>
    </row>
    <row r="5700" spans="1:5" x14ac:dyDescent="0.25">
      <c r="A5700" s="36" t="b">
        <v>0</v>
      </c>
      <c r="B5700" s="56" t="b">
        <v>0</v>
      </c>
      <c r="C5700" s="56" t="b">
        <v>0</v>
      </c>
      <c r="D5700" s="56" t="b">
        <v>0</v>
      </c>
      <c r="E5700" s="56">
        <f ca="1">IF(PV[[#This Row],[Business Date]]=Control!$C$6, PV[[#This Row],[Notional Value Local Cur]], -PV[[#This Row],[Notional Value Local Cur]])</f>
        <v>0</v>
      </c>
    </row>
    <row r="5701" spans="1:5" x14ac:dyDescent="0.25">
      <c r="A5701" s="36" t="b">
        <v>0</v>
      </c>
      <c r="B5701" s="56" t="b">
        <v>0</v>
      </c>
      <c r="C5701" s="56" t="b">
        <v>0</v>
      </c>
      <c r="D5701" s="56" t="b">
        <v>0</v>
      </c>
      <c r="E5701" s="56">
        <f ca="1">IF(PV[[#This Row],[Business Date]]=Control!$C$6, PV[[#This Row],[Notional Value Local Cur]], -PV[[#This Row],[Notional Value Local Cur]])</f>
        <v>0</v>
      </c>
    </row>
    <row r="5702" spans="1:5" x14ac:dyDescent="0.25">
      <c r="A5702" s="36" t="b">
        <v>0</v>
      </c>
      <c r="B5702" s="56" t="b">
        <v>0</v>
      </c>
      <c r="C5702" s="56" t="b">
        <v>0</v>
      </c>
      <c r="D5702" s="56" t="b">
        <v>0</v>
      </c>
      <c r="E5702" s="56">
        <f ca="1">IF(PV[[#This Row],[Business Date]]=Control!$C$6, PV[[#This Row],[Notional Value Local Cur]], -PV[[#This Row],[Notional Value Local Cur]])</f>
        <v>0</v>
      </c>
    </row>
    <row r="5703" spans="1:5" x14ac:dyDescent="0.25">
      <c r="A5703" s="36" t="b">
        <v>0</v>
      </c>
      <c r="B5703" s="56" t="b">
        <v>0</v>
      </c>
      <c r="C5703" s="56" t="b">
        <v>0</v>
      </c>
      <c r="D5703" s="56" t="b">
        <v>0</v>
      </c>
      <c r="E5703" s="56">
        <f ca="1">IF(PV[[#This Row],[Business Date]]=Control!$C$6, PV[[#This Row],[Notional Value Local Cur]], -PV[[#This Row],[Notional Value Local Cur]])</f>
        <v>0</v>
      </c>
    </row>
    <row r="5704" spans="1:5" x14ac:dyDescent="0.25">
      <c r="A5704" s="36" t="b">
        <v>0</v>
      </c>
      <c r="B5704" s="56" t="b">
        <v>0</v>
      </c>
      <c r="C5704" s="56" t="b">
        <v>0</v>
      </c>
      <c r="D5704" s="56" t="b">
        <v>0</v>
      </c>
      <c r="E5704" s="56">
        <f ca="1">IF(PV[[#This Row],[Business Date]]=Control!$C$6, PV[[#This Row],[Notional Value Local Cur]], -PV[[#This Row],[Notional Value Local Cur]])</f>
        <v>0</v>
      </c>
    </row>
    <row r="5705" spans="1:5" x14ac:dyDescent="0.25">
      <c r="A5705" s="36" t="b">
        <v>0</v>
      </c>
      <c r="B5705" s="56" t="b">
        <v>0</v>
      </c>
      <c r="C5705" s="56" t="b">
        <v>0</v>
      </c>
      <c r="D5705" s="56" t="b">
        <v>0</v>
      </c>
      <c r="E5705" s="56">
        <f ca="1">IF(PV[[#This Row],[Business Date]]=Control!$C$6, PV[[#This Row],[Notional Value Local Cur]], -PV[[#This Row],[Notional Value Local Cur]])</f>
        <v>0</v>
      </c>
    </row>
    <row r="5706" spans="1:5" x14ac:dyDescent="0.25">
      <c r="A5706" s="36" t="b">
        <v>0</v>
      </c>
      <c r="B5706" s="56" t="b">
        <v>0</v>
      </c>
      <c r="C5706" s="56" t="b">
        <v>0</v>
      </c>
      <c r="D5706" s="56" t="b">
        <v>0</v>
      </c>
      <c r="E5706" s="56">
        <f ca="1">IF(PV[[#This Row],[Business Date]]=Control!$C$6, PV[[#This Row],[Notional Value Local Cur]], -PV[[#This Row],[Notional Value Local Cur]])</f>
        <v>0</v>
      </c>
    </row>
    <row r="5707" spans="1:5" x14ac:dyDescent="0.25">
      <c r="A5707" s="36" t="b">
        <v>0</v>
      </c>
      <c r="B5707" s="56" t="b">
        <v>0</v>
      </c>
      <c r="C5707" s="56" t="b">
        <v>0</v>
      </c>
      <c r="D5707" s="56" t="b">
        <v>0</v>
      </c>
      <c r="E5707" s="56">
        <f ca="1">IF(PV[[#This Row],[Business Date]]=Control!$C$6, PV[[#This Row],[Notional Value Local Cur]], -PV[[#This Row],[Notional Value Local Cur]])</f>
        <v>0</v>
      </c>
    </row>
    <row r="5708" spans="1:5" x14ac:dyDescent="0.25">
      <c r="A5708" s="36" t="b">
        <v>0</v>
      </c>
      <c r="B5708" s="56" t="b">
        <v>0</v>
      </c>
      <c r="C5708" s="56" t="b">
        <v>0</v>
      </c>
      <c r="D5708" s="56" t="b">
        <v>0</v>
      </c>
      <c r="E5708" s="56">
        <f ca="1">IF(PV[[#This Row],[Business Date]]=Control!$C$6, PV[[#This Row],[Notional Value Local Cur]], -PV[[#This Row],[Notional Value Local Cur]])</f>
        <v>0</v>
      </c>
    </row>
    <row r="5709" spans="1:5" x14ac:dyDescent="0.25">
      <c r="A5709" s="36" t="b">
        <v>0</v>
      </c>
      <c r="B5709" s="56" t="b">
        <v>0</v>
      </c>
      <c r="C5709" s="56" t="b">
        <v>0</v>
      </c>
      <c r="D5709" s="56" t="b">
        <v>0</v>
      </c>
      <c r="E5709" s="56">
        <f ca="1">IF(PV[[#This Row],[Business Date]]=Control!$C$6, PV[[#This Row],[Notional Value Local Cur]], -PV[[#This Row],[Notional Value Local Cur]])</f>
        <v>0</v>
      </c>
    </row>
    <row r="5710" spans="1:5" x14ac:dyDescent="0.25">
      <c r="A5710" s="36" t="b">
        <v>0</v>
      </c>
      <c r="B5710" s="56" t="b">
        <v>0</v>
      </c>
      <c r="C5710" s="56" t="b">
        <v>0</v>
      </c>
      <c r="D5710" s="56" t="b">
        <v>0</v>
      </c>
      <c r="E5710" s="56">
        <f ca="1">IF(PV[[#This Row],[Business Date]]=Control!$C$6, PV[[#This Row],[Notional Value Local Cur]], -PV[[#This Row],[Notional Value Local Cur]])</f>
        <v>0</v>
      </c>
    </row>
    <row r="5711" spans="1:5" x14ac:dyDescent="0.25">
      <c r="A5711" s="36" t="b">
        <v>0</v>
      </c>
      <c r="B5711" s="56" t="b">
        <v>0</v>
      </c>
      <c r="C5711" s="56" t="b">
        <v>0</v>
      </c>
      <c r="D5711" s="56" t="b">
        <v>0</v>
      </c>
      <c r="E5711" s="56">
        <f ca="1">IF(PV[[#This Row],[Business Date]]=Control!$C$6, PV[[#This Row],[Notional Value Local Cur]], -PV[[#This Row],[Notional Value Local Cur]])</f>
        <v>0</v>
      </c>
    </row>
    <row r="5712" spans="1:5" x14ac:dyDescent="0.25">
      <c r="A5712" s="36" t="b">
        <v>0</v>
      </c>
      <c r="B5712" s="56" t="b">
        <v>0</v>
      </c>
      <c r="C5712" s="56" t="b">
        <v>0</v>
      </c>
      <c r="D5712" s="56" t="b">
        <v>0</v>
      </c>
      <c r="E5712" s="56">
        <f ca="1">IF(PV[[#This Row],[Business Date]]=Control!$C$6, PV[[#This Row],[Notional Value Local Cur]], -PV[[#This Row],[Notional Value Local Cur]])</f>
        <v>0</v>
      </c>
    </row>
    <row r="5713" spans="1:5" x14ac:dyDescent="0.25">
      <c r="A5713" s="36" t="b">
        <v>0</v>
      </c>
      <c r="B5713" s="56" t="b">
        <v>0</v>
      </c>
      <c r="C5713" s="56" t="b">
        <v>0</v>
      </c>
      <c r="D5713" s="56" t="b">
        <v>0</v>
      </c>
      <c r="E5713" s="56">
        <f ca="1">IF(PV[[#This Row],[Business Date]]=Control!$C$6, PV[[#This Row],[Notional Value Local Cur]], -PV[[#This Row],[Notional Value Local Cur]])</f>
        <v>0</v>
      </c>
    </row>
    <row r="5714" spans="1:5" x14ac:dyDescent="0.25">
      <c r="A5714" s="36" t="b">
        <v>0</v>
      </c>
      <c r="B5714" s="56" t="b">
        <v>0</v>
      </c>
      <c r="C5714" s="56" t="b">
        <v>0</v>
      </c>
      <c r="D5714" s="56" t="b">
        <v>0</v>
      </c>
      <c r="E5714" s="56">
        <f ca="1">IF(PV[[#This Row],[Business Date]]=Control!$C$6, PV[[#This Row],[Notional Value Local Cur]], -PV[[#This Row],[Notional Value Local Cur]])</f>
        <v>0</v>
      </c>
    </row>
    <row r="5715" spans="1:5" x14ac:dyDescent="0.25">
      <c r="A5715" s="36" t="b">
        <v>0</v>
      </c>
      <c r="B5715" s="56" t="b">
        <v>0</v>
      </c>
      <c r="C5715" s="56" t="b">
        <v>0</v>
      </c>
      <c r="D5715" s="56" t="b">
        <v>0</v>
      </c>
      <c r="E5715" s="56">
        <f ca="1">IF(PV[[#This Row],[Business Date]]=Control!$C$6, PV[[#This Row],[Notional Value Local Cur]], -PV[[#This Row],[Notional Value Local Cur]])</f>
        <v>0</v>
      </c>
    </row>
    <row r="5716" spans="1:5" x14ac:dyDescent="0.25">
      <c r="A5716" s="36" t="b">
        <v>0</v>
      </c>
      <c r="B5716" s="56" t="b">
        <v>0</v>
      </c>
      <c r="C5716" s="56" t="b">
        <v>0</v>
      </c>
      <c r="D5716" s="56" t="b">
        <v>0</v>
      </c>
      <c r="E5716" s="56">
        <f ca="1">IF(PV[[#This Row],[Business Date]]=Control!$C$6, PV[[#This Row],[Notional Value Local Cur]], -PV[[#This Row],[Notional Value Local Cur]])</f>
        <v>0</v>
      </c>
    </row>
    <row r="5717" spans="1:5" x14ac:dyDescent="0.25">
      <c r="A5717" s="36" t="b">
        <v>0</v>
      </c>
      <c r="B5717" s="56" t="b">
        <v>0</v>
      </c>
      <c r="C5717" s="56" t="b">
        <v>0</v>
      </c>
      <c r="D5717" s="56" t="b">
        <v>0</v>
      </c>
      <c r="E5717" s="56">
        <f ca="1">IF(PV[[#This Row],[Business Date]]=Control!$C$6, PV[[#This Row],[Notional Value Local Cur]], -PV[[#This Row],[Notional Value Local Cur]])</f>
        <v>0</v>
      </c>
    </row>
    <row r="5718" spans="1:5" x14ac:dyDescent="0.25">
      <c r="A5718" s="36" t="b">
        <v>0</v>
      </c>
      <c r="B5718" s="56" t="b">
        <v>0</v>
      </c>
      <c r="C5718" s="56" t="b">
        <v>0</v>
      </c>
      <c r="D5718" s="56" t="b">
        <v>0</v>
      </c>
      <c r="E5718" s="56">
        <f ca="1">IF(PV[[#This Row],[Business Date]]=Control!$C$6, PV[[#This Row],[Notional Value Local Cur]], -PV[[#This Row],[Notional Value Local Cur]])</f>
        <v>0</v>
      </c>
    </row>
    <row r="5719" spans="1:5" x14ac:dyDescent="0.25">
      <c r="A5719" s="36" t="b">
        <v>0</v>
      </c>
      <c r="B5719" s="56" t="b">
        <v>0</v>
      </c>
      <c r="C5719" s="56" t="b">
        <v>0</v>
      </c>
      <c r="D5719" s="56" t="b">
        <v>0</v>
      </c>
      <c r="E5719" s="56">
        <f ca="1">IF(PV[[#This Row],[Business Date]]=Control!$C$6, PV[[#This Row],[Notional Value Local Cur]], -PV[[#This Row],[Notional Value Local Cur]])</f>
        <v>0</v>
      </c>
    </row>
    <row r="5720" spans="1:5" x14ac:dyDescent="0.25">
      <c r="A5720" s="36" t="b">
        <v>0</v>
      </c>
      <c r="B5720" s="56" t="b">
        <v>0</v>
      </c>
      <c r="C5720" s="56" t="b">
        <v>0</v>
      </c>
      <c r="D5720" s="56" t="b">
        <v>0</v>
      </c>
      <c r="E5720" s="56">
        <f ca="1">IF(PV[[#This Row],[Business Date]]=Control!$C$6, PV[[#This Row],[Notional Value Local Cur]], -PV[[#This Row],[Notional Value Local Cur]])</f>
        <v>0</v>
      </c>
    </row>
    <row r="5721" spans="1:5" x14ac:dyDescent="0.25">
      <c r="A5721" s="36" t="b">
        <v>0</v>
      </c>
      <c r="B5721" s="56" t="b">
        <v>0</v>
      </c>
      <c r="C5721" s="56" t="b">
        <v>0</v>
      </c>
      <c r="D5721" s="56" t="b">
        <v>0</v>
      </c>
      <c r="E5721" s="56">
        <f ca="1">IF(PV[[#This Row],[Business Date]]=Control!$C$6, PV[[#This Row],[Notional Value Local Cur]], -PV[[#This Row],[Notional Value Local Cur]])</f>
        <v>0</v>
      </c>
    </row>
    <row r="5722" spans="1:5" x14ac:dyDescent="0.25">
      <c r="A5722" s="36" t="b">
        <v>0</v>
      </c>
      <c r="B5722" s="56" t="b">
        <v>0</v>
      </c>
      <c r="C5722" s="56" t="b">
        <v>0</v>
      </c>
      <c r="D5722" s="56" t="b">
        <v>0</v>
      </c>
      <c r="E5722" s="56">
        <f ca="1">IF(PV[[#This Row],[Business Date]]=Control!$C$6, PV[[#This Row],[Notional Value Local Cur]], -PV[[#This Row],[Notional Value Local Cur]])</f>
        <v>0</v>
      </c>
    </row>
    <row r="5723" spans="1:5" x14ac:dyDescent="0.25">
      <c r="A5723" s="36" t="b">
        <v>0</v>
      </c>
      <c r="B5723" s="56" t="b">
        <v>0</v>
      </c>
      <c r="C5723" s="56" t="b">
        <v>0</v>
      </c>
      <c r="D5723" s="56" t="b">
        <v>0</v>
      </c>
      <c r="E5723" s="56">
        <f ca="1">IF(PV[[#This Row],[Business Date]]=Control!$C$6, PV[[#This Row],[Notional Value Local Cur]], -PV[[#This Row],[Notional Value Local Cur]])</f>
        <v>0</v>
      </c>
    </row>
    <row r="5724" spans="1:5" x14ac:dyDescent="0.25">
      <c r="A5724" s="36" t="b">
        <v>0</v>
      </c>
      <c r="B5724" s="56" t="b">
        <v>0</v>
      </c>
      <c r="C5724" s="56" t="b">
        <v>0</v>
      </c>
      <c r="D5724" s="56" t="b">
        <v>0</v>
      </c>
      <c r="E5724" s="56">
        <f ca="1">IF(PV[[#This Row],[Business Date]]=Control!$C$6, PV[[#This Row],[Notional Value Local Cur]], -PV[[#This Row],[Notional Value Local Cur]])</f>
        <v>0</v>
      </c>
    </row>
    <row r="5725" spans="1:5" x14ac:dyDescent="0.25">
      <c r="A5725" s="36" t="b">
        <v>0</v>
      </c>
      <c r="B5725" s="56" t="b">
        <v>0</v>
      </c>
      <c r="C5725" s="56" t="b">
        <v>0</v>
      </c>
      <c r="D5725" s="56" t="b">
        <v>0</v>
      </c>
      <c r="E5725" s="56">
        <f ca="1">IF(PV[[#This Row],[Business Date]]=Control!$C$6, PV[[#This Row],[Notional Value Local Cur]], -PV[[#This Row],[Notional Value Local Cur]])</f>
        <v>0</v>
      </c>
    </row>
    <row r="5726" spans="1:5" x14ac:dyDescent="0.25">
      <c r="A5726" s="36" t="b">
        <v>0</v>
      </c>
      <c r="B5726" s="56" t="b">
        <v>0</v>
      </c>
      <c r="C5726" s="56" t="b">
        <v>0</v>
      </c>
      <c r="D5726" s="56" t="b">
        <v>0</v>
      </c>
      <c r="E5726" s="56">
        <f ca="1">IF(PV[[#This Row],[Business Date]]=Control!$C$6, PV[[#This Row],[Notional Value Local Cur]], -PV[[#This Row],[Notional Value Local Cur]])</f>
        <v>0</v>
      </c>
    </row>
    <row r="5727" spans="1:5" x14ac:dyDescent="0.25">
      <c r="A5727" s="36" t="b">
        <v>0</v>
      </c>
      <c r="B5727" s="56" t="b">
        <v>0</v>
      </c>
      <c r="C5727" s="56" t="b">
        <v>0</v>
      </c>
      <c r="D5727" s="56" t="b">
        <v>0</v>
      </c>
      <c r="E5727" s="56">
        <f ca="1">IF(PV[[#This Row],[Business Date]]=Control!$C$6, PV[[#This Row],[Notional Value Local Cur]], -PV[[#This Row],[Notional Value Local Cur]])</f>
        <v>0</v>
      </c>
    </row>
    <row r="5728" spans="1:5" x14ac:dyDescent="0.25">
      <c r="A5728" s="36" t="b">
        <v>0</v>
      </c>
      <c r="B5728" s="56" t="b">
        <v>0</v>
      </c>
      <c r="C5728" s="56" t="b">
        <v>0</v>
      </c>
      <c r="D5728" s="56" t="b">
        <v>0</v>
      </c>
      <c r="E5728" s="56">
        <f ca="1">IF(PV[[#This Row],[Business Date]]=Control!$C$6, PV[[#This Row],[Notional Value Local Cur]], -PV[[#This Row],[Notional Value Local Cur]])</f>
        <v>0</v>
      </c>
    </row>
    <row r="5729" spans="1:5" x14ac:dyDescent="0.25">
      <c r="A5729" s="36" t="b">
        <v>0</v>
      </c>
      <c r="B5729" s="56" t="b">
        <v>0</v>
      </c>
      <c r="C5729" s="56" t="b">
        <v>0</v>
      </c>
      <c r="D5729" s="56" t="b">
        <v>0</v>
      </c>
      <c r="E5729" s="56">
        <f ca="1">IF(PV[[#This Row],[Business Date]]=Control!$C$6, PV[[#This Row],[Notional Value Local Cur]], -PV[[#This Row],[Notional Value Local Cur]])</f>
        <v>0</v>
      </c>
    </row>
    <row r="5730" spans="1:5" x14ac:dyDescent="0.25">
      <c r="A5730" s="36" t="b">
        <v>0</v>
      </c>
      <c r="B5730" s="56" t="b">
        <v>0</v>
      </c>
      <c r="C5730" s="56" t="b">
        <v>0</v>
      </c>
      <c r="D5730" s="56" t="b">
        <v>0</v>
      </c>
      <c r="E5730" s="56">
        <f ca="1">IF(PV[[#This Row],[Business Date]]=Control!$C$6, PV[[#This Row],[Notional Value Local Cur]], -PV[[#This Row],[Notional Value Local Cur]])</f>
        <v>0</v>
      </c>
    </row>
    <row r="5731" spans="1:5" x14ac:dyDescent="0.25">
      <c r="A5731" s="36" t="b">
        <v>0</v>
      </c>
      <c r="B5731" s="56" t="b">
        <v>0</v>
      </c>
      <c r="C5731" s="56" t="b">
        <v>0</v>
      </c>
      <c r="D5731" s="56" t="b">
        <v>0</v>
      </c>
      <c r="E5731" s="56">
        <f ca="1">IF(PV[[#This Row],[Business Date]]=Control!$C$6, PV[[#This Row],[Notional Value Local Cur]], -PV[[#This Row],[Notional Value Local Cur]])</f>
        <v>0</v>
      </c>
    </row>
    <row r="5732" spans="1:5" x14ac:dyDescent="0.25">
      <c r="A5732" s="36" t="b">
        <v>0</v>
      </c>
      <c r="B5732" s="56" t="b">
        <v>0</v>
      </c>
      <c r="C5732" s="56" t="b">
        <v>0</v>
      </c>
      <c r="D5732" s="56" t="b">
        <v>0</v>
      </c>
      <c r="E5732" s="56">
        <f ca="1">IF(PV[[#This Row],[Business Date]]=Control!$C$6, PV[[#This Row],[Notional Value Local Cur]], -PV[[#This Row],[Notional Value Local Cur]])</f>
        <v>0</v>
      </c>
    </row>
    <row r="5733" spans="1:5" x14ac:dyDescent="0.25">
      <c r="A5733" s="36" t="b">
        <v>0</v>
      </c>
      <c r="B5733" s="56" t="b">
        <v>0</v>
      </c>
      <c r="C5733" s="56" t="b">
        <v>0</v>
      </c>
      <c r="D5733" s="56" t="b">
        <v>0</v>
      </c>
      <c r="E5733" s="56">
        <f ca="1">IF(PV[[#This Row],[Business Date]]=Control!$C$6, PV[[#This Row],[Notional Value Local Cur]], -PV[[#This Row],[Notional Value Local Cur]])</f>
        <v>0</v>
      </c>
    </row>
    <row r="5734" spans="1:5" x14ac:dyDescent="0.25">
      <c r="A5734" s="36" t="b">
        <v>0</v>
      </c>
      <c r="B5734" s="56" t="b">
        <v>0</v>
      </c>
      <c r="C5734" s="56" t="b">
        <v>0</v>
      </c>
      <c r="D5734" s="56" t="b">
        <v>0</v>
      </c>
      <c r="E5734" s="56">
        <f ca="1">IF(PV[[#This Row],[Business Date]]=Control!$C$6, PV[[#This Row],[Notional Value Local Cur]], -PV[[#This Row],[Notional Value Local Cur]])</f>
        <v>0</v>
      </c>
    </row>
    <row r="5735" spans="1:5" x14ac:dyDescent="0.25">
      <c r="A5735" s="36" t="b">
        <v>0</v>
      </c>
      <c r="B5735" s="56" t="b">
        <v>0</v>
      </c>
      <c r="C5735" s="56" t="b">
        <v>0</v>
      </c>
      <c r="D5735" s="56" t="b">
        <v>0</v>
      </c>
      <c r="E5735" s="56">
        <f ca="1">IF(PV[[#This Row],[Business Date]]=Control!$C$6, PV[[#This Row],[Notional Value Local Cur]], -PV[[#This Row],[Notional Value Local Cur]])</f>
        <v>0</v>
      </c>
    </row>
    <row r="5736" spans="1:5" x14ac:dyDescent="0.25">
      <c r="A5736" s="36" t="b">
        <v>0</v>
      </c>
      <c r="B5736" s="56" t="b">
        <v>0</v>
      </c>
      <c r="C5736" s="56" t="b">
        <v>0</v>
      </c>
      <c r="D5736" s="56" t="b">
        <v>0</v>
      </c>
      <c r="E5736" s="56">
        <f ca="1">IF(PV[[#This Row],[Business Date]]=Control!$C$6, PV[[#This Row],[Notional Value Local Cur]], -PV[[#This Row],[Notional Value Local Cur]])</f>
        <v>0</v>
      </c>
    </row>
    <row r="5737" spans="1:5" x14ac:dyDescent="0.25">
      <c r="A5737" s="36" t="b">
        <v>0</v>
      </c>
      <c r="B5737" s="56" t="b">
        <v>0</v>
      </c>
      <c r="C5737" s="56" t="b">
        <v>0</v>
      </c>
      <c r="D5737" s="56" t="b">
        <v>0</v>
      </c>
      <c r="E5737" s="56">
        <f ca="1">IF(PV[[#This Row],[Business Date]]=Control!$C$6, PV[[#This Row],[Notional Value Local Cur]], -PV[[#This Row],[Notional Value Local Cur]])</f>
        <v>0</v>
      </c>
    </row>
    <row r="5738" spans="1:5" x14ac:dyDescent="0.25">
      <c r="A5738" s="36" t="b">
        <v>0</v>
      </c>
      <c r="B5738" s="56" t="b">
        <v>0</v>
      </c>
      <c r="C5738" s="56" t="b">
        <v>0</v>
      </c>
      <c r="D5738" s="56" t="b">
        <v>0</v>
      </c>
      <c r="E5738" s="56">
        <f ca="1">IF(PV[[#This Row],[Business Date]]=Control!$C$6, PV[[#This Row],[Notional Value Local Cur]], -PV[[#This Row],[Notional Value Local Cur]])</f>
        <v>0</v>
      </c>
    </row>
    <row r="5739" spans="1:5" x14ac:dyDescent="0.25">
      <c r="A5739" s="36" t="b">
        <v>0</v>
      </c>
      <c r="B5739" s="56" t="b">
        <v>0</v>
      </c>
      <c r="C5739" s="56" t="b">
        <v>0</v>
      </c>
      <c r="D5739" s="56" t="b">
        <v>0</v>
      </c>
      <c r="E5739" s="56">
        <f ca="1">IF(PV[[#This Row],[Business Date]]=Control!$C$6, PV[[#This Row],[Notional Value Local Cur]], -PV[[#This Row],[Notional Value Local Cur]])</f>
        <v>0</v>
      </c>
    </row>
    <row r="5740" spans="1:5" x14ac:dyDescent="0.25">
      <c r="A5740" s="36" t="b">
        <v>0</v>
      </c>
      <c r="B5740" s="56" t="b">
        <v>0</v>
      </c>
      <c r="C5740" s="56" t="b">
        <v>0</v>
      </c>
      <c r="D5740" s="56" t="b">
        <v>0</v>
      </c>
      <c r="E5740" s="56">
        <f ca="1">IF(PV[[#This Row],[Business Date]]=Control!$C$6, PV[[#This Row],[Notional Value Local Cur]], -PV[[#This Row],[Notional Value Local Cur]])</f>
        <v>0</v>
      </c>
    </row>
    <row r="5741" spans="1:5" x14ac:dyDescent="0.25">
      <c r="A5741" s="36" t="b">
        <v>0</v>
      </c>
      <c r="B5741" s="56" t="b">
        <v>0</v>
      </c>
      <c r="C5741" s="56" t="b">
        <v>0</v>
      </c>
      <c r="D5741" s="56" t="b">
        <v>0</v>
      </c>
      <c r="E5741" s="56">
        <f ca="1">IF(PV[[#This Row],[Business Date]]=Control!$C$6, PV[[#This Row],[Notional Value Local Cur]], -PV[[#This Row],[Notional Value Local Cur]])</f>
        <v>0</v>
      </c>
    </row>
    <row r="5742" spans="1:5" x14ac:dyDescent="0.25">
      <c r="A5742" s="36" t="b">
        <v>0</v>
      </c>
      <c r="B5742" s="56" t="b">
        <v>0</v>
      </c>
      <c r="C5742" s="56" t="b">
        <v>0</v>
      </c>
      <c r="D5742" s="56" t="b">
        <v>0</v>
      </c>
      <c r="E5742" s="56">
        <f ca="1">IF(PV[[#This Row],[Business Date]]=Control!$C$6, PV[[#This Row],[Notional Value Local Cur]], -PV[[#This Row],[Notional Value Local Cur]])</f>
        <v>0</v>
      </c>
    </row>
    <row r="5743" spans="1:5" x14ac:dyDescent="0.25">
      <c r="A5743" s="36" t="b">
        <v>0</v>
      </c>
      <c r="B5743" s="56" t="b">
        <v>0</v>
      </c>
      <c r="C5743" s="56" t="b">
        <v>0</v>
      </c>
      <c r="D5743" s="56" t="b">
        <v>0</v>
      </c>
      <c r="E5743" s="56">
        <f ca="1">IF(PV[[#This Row],[Business Date]]=Control!$C$6, PV[[#This Row],[Notional Value Local Cur]], -PV[[#This Row],[Notional Value Local Cur]])</f>
        <v>0</v>
      </c>
    </row>
    <row r="5744" spans="1:5" x14ac:dyDescent="0.25">
      <c r="A5744" s="36" t="b">
        <v>0</v>
      </c>
      <c r="B5744" s="56" t="b">
        <v>0</v>
      </c>
      <c r="C5744" s="56" t="b">
        <v>0</v>
      </c>
      <c r="D5744" s="56" t="b">
        <v>0</v>
      </c>
      <c r="E5744" s="56">
        <f ca="1">IF(PV[[#This Row],[Business Date]]=Control!$C$6, PV[[#This Row],[Notional Value Local Cur]], -PV[[#This Row],[Notional Value Local Cur]])</f>
        <v>0</v>
      </c>
    </row>
    <row r="5745" spans="1:5" x14ac:dyDescent="0.25">
      <c r="A5745" s="36" t="b">
        <v>0</v>
      </c>
      <c r="B5745" s="56" t="b">
        <v>0</v>
      </c>
      <c r="C5745" s="56" t="b">
        <v>0</v>
      </c>
      <c r="D5745" s="56" t="b">
        <v>0</v>
      </c>
      <c r="E5745" s="56">
        <f ca="1">IF(PV[[#This Row],[Business Date]]=Control!$C$6, PV[[#This Row],[Notional Value Local Cur]], -PV[[#This Row],[Notional Value Local Cur]])</f>
        <v>0</v>
      </c>
    </row>
    <row r="5746" spans="1:5" x14ac:dyDescent="0.25">
      <c r="A5746" s="36" t="b">
        <v>0</v>
      </c>
      <c r="B5746" s="56" t="b">
        <v>0</v>
      </c>
      <c r="C5746" s="56" t="b">
        <v>0</v>
      </c>
      <c r="D5746" s="56" t="b">
        <v>0</v>
      </c>
      <c r="E5746" s="56">
        <f ca="1">IF(PV[[#This Row],[Business Date]]=Control!$C$6, PV[[#This Row],[Notional Value Local Cur]], -PV[[#This Row],[Notional Value Local Cur]])</f>
        <v>0</v>
      </c>
    </row>
    <row r="5747" spans="1:5" x14ac:dyDescent="0.25">
      <c r="A5747" s="36" t="b">
        <v>0</v>
      </c>
      <c r="B5747" s="56" t="b">
        <v>0</v>
      </c>
      <c r="C5747" s="56" t="b">
        <v>0</v>
      </c>
      <c r="D5747" s="56" t="b">
        <v>0</v>
      </c>
      <c r="E5747" s="56">
        <f ca="1">IF(PV[[#This Row],[Business Date]]=Control!$C$6, PV[[#This Row],[Notional Value Local Cur]], -PV[[#This Row],[Notional Value Local Cur]])</f>
        <v>0</v>
      </c>
    </row>
    <row r="5748" spans="1:5" x14ac:dyDescent="0.25">
      <c r="A5748" s="36" t="b">
        <v>0</v>
      </c>
      <c r="B5748" s="56" t="b">
        <v>0</v>
      </c>
      <c r="C5748" s="56" t="b">
        <v>0</v>
      </c>
      <c r="D5748" s="56" t="b">
        <v>0</v>
      </c>
      <c r="E5748" s="56">
        <f ca="1">IF(PV[[#This Row],[Business Date]]=Control!$C$6, PV[[#This Row],[Notional Value Local Cur]], -PV[[#This Row],[Notional Value Local Cur]])</f>
        <v>0</v>
      </c>
    </row>
    <row r="5749" spans="1:5" x14ac:dyDescent="0.25">
      <c r="A5749" s="36" t="b">
        <v>0</v>
      </c>
      <c r="B5749" s="56" t="b">
        <v>0</v>
      </c>
      <c r="C5749" s="56" t="b">
        <v>0</v>
      </c>
      <c r="D5749" s="56" t="b">
        <v>0</v>
      </c>
      <c r="E5749" s="56">
        <f ca="1">IF(PV[[#This Row],[Business Date]]=Control!$C$6, PV[[#This Row],[Notional Value Local Cur]], -PV[[#This Row],[Notional Value Local Cur]])</f>
        <v>0</v>
      </c>
    </row>
    <row r="5750" spans="1:5" x14ac:dyDescent="0.25">
      <c r="A5750" s="36" t="b">
        <v>0</v>
      </c>
      <c r="B5750" s="56" t="b">
        <v>0</v>
      </c>
      <c r="C5750" s="56" t="b">
        <v>0</v>
      </c>
      <c r="D5750" s="56" t="b">
        <v>0</v>
      </c>
      <c r="E5750" s="56">
        <f ca="1">IF(PV[[#This Row],[Business Date]]=Control!$C$6, PV[[#This Row],[Notional Value Local Cur]], -PV[[#This Row],[Notional Value Local Cur]])</f>
        <v>0</v>
      </c>
    </row>
    <row r="5751" spans="1:5" x14ac:dyDescent="0.25">
      <c r="A5751" s="36" t="b">
        <v>0</v>
      </c>
      <c r="B5751" s="56" t="b">
        <v>0</v>
      </c>
      <c r="C5751" s="56" t="b">
        <v>0</v>
      </c>
      <c r="D5751" s="56" t="b">
        <v>0</v>
      </c>
      <c r="E5751" s="56">
        <f ca="1">IF(PV[[#This Row],[Business Date]]=Control!$C$6, PV[[#This Row],[Notional Value Local Cur]], -PV[[#This Row],[Notional Value Local Cur]])</f>
        <v>0</v>
      </c>
    </row>
    <row r="5752" spans="1:5" x14ac:dyDescent="0.25">
      <c r="A5752" s="36" t="b">
        <v>0</v>
      </c>
      <c r="B5752" s="56" t="b">
        <v>0</v>
      </c>
      <c r="C5752" s="56" t="b">
        <v>0</v>
      </c>
      <c r="D5752" s="56" t="b">
        <v>0</v>
      </c>
      <c r="E5752" s="56">
        <f ca="1">IF(PV[[#This Row],[Business Date]]=Control!$C$6, PV[[#This Row],[Notional Value Local Cur]], -PV[[#This Row],[Notional Value Local Cur]])</f>
        <v>0</v>
      </c>
    </row>
    <row r="5753" spans="1:5" x14ac:dyDescent="0.25">
      <c r="A5753" s="36" t="b">
        <v>0</v>
      </c>
      <c r="B5753" s="56" t="b">
        <v>0</v>
      </c>
      <c r="C5753" s="56" t="b">
        <v>0</v>
      </c>
      <c r="D5753" s="56" t="b">
        <v>0</v>
      </c>
      <c r="E5753" s="56">
        <f ca="1">IF(PV[[#This Row],[Business Date]]=Control!$C$6, PV[[#This Row],[Notional Value Local Cur]], -PV[[#This Row],[Notional Value Local Cur]])</f>
        <v>0</v>
      </c>
    </row>
    <row r="5754" spans="1:5" x14ac:dyDescent="0.25">
      <c r="A5754" s="36" t="b">
        <v>0</v>
      </c>
      <c r="B5754" s="56" t="b">
        <v>0</v>
      </c>
      <c r="C5754" s="56" t="b">
        <v>0</v>
      </c>
      <c r="D5754" s="56" t="b">
        <v>0</v>
      </c>
      <c r="E5754" s="56">
        <f ca="1">IF(PV[[#This Row],[Business Date]]=Control!$C$6, PV[[#This Row],[Notional Value Local Cur]], -PV[[#This Row],[Notional Value Local Cur]])</f>
        <v>0</v>
      </c>
    </row>
    <row r="5755" spans="1:5" x14ac:dyDescent="0.25">
      <c r="A5755" s="36" t="b">
        <v>0</v>
      </c>
      <c r="B5755" s="56" t="b">
        <v>0</v>
      </c>
      <c r="C5755" s="56" t="b">
        <v>0</v>
      </c>
      <c r="D5755" s="56" t="b">
        <v>0</v>
      </c>
      <c r="E5755" s="56">
        <f ca="1">IF(PV[[#This Row],[Business Date]]=Control!$C$6, PV[[#This Row],[Notional Value Local Cur]], -PV[[#This Row],[Notional Value Local Cur]])</f>
        <v>0</v>
      </c>
    </row>
    <row r="5756" spans="1:5" x14ac:dyDescent="0.25">
      <c r="A5756" s="36" t="b">
        <v>0</v>
      </c>
      <c r="B5756" s="56" t="b">
        <v>0</v>
      </c>
      <c r="C5756" s="56" t="b">
        <v>0</v>
      </c>
      <c r="D5756" s="56" t="b">
        <v>0</v>
      </c>
      <c r="E5756" s="56">
        <f ca="1">IF(PV[[#This Row],[Business Date]]=Control!$C$6, PV[[#This Row],[Notional Value Local Cur]], -PV[[#This Row],[Notional Value Local Cur]])</f>
        <v>0</v>
      </c>
    </row>
    <row r="5757" spans="1:5" x14ac:dyDescent="0.25">
      <c r="A5757" s="36" t="b">
        <v>0</v>
      </c>
      <c r="B5757" s="56" t="b">
        <v>0</v>
      </c>
      <c r="C5757" s="56" t="b">
        <v>0</v>
      </c>
      <c r="D5757" s="56" t="b">
        <v>0</v>
      </c>
      <c r="E5757" s="56">
        <f ca="1">IF(PV[[#This Row],[Business Date]]=Control!$C$6, PV[[#This Row],[Notional Value Local Cur]], -PV[[#This Row],[Notional Value Local Cur]])</f>
        <v>0</v>
      </c>
    </row>
    <row r="5758" spans="1:5" x14ac:dyDescent="0.25">
      <c r="A5758" s="36" t="b">
        <v>0</v>
      </c>
      <c r="B5758" s="56" t="b">
        <v>0</v>
      </c>
      <c r="C5758" s="56" t="b">
        <v>0</v>
      </c>
      <c r="D5758" s="56" t="b">
        <v>0</v>
      </c>
      <c r="E5758" s="56">
        <f ca="1">IF(PV[[#This Row],[Business Date]]=Control!$C$6, PV[[#This Row],[Notional Value Local Cur]], -PV[[#This Row],[Notional Value Local Cur]])</f>
        <v>0</v>
      </c>
    </row>
    <row r="5759" spans="1:5" x14ac:dyDescent="0.25">
      <c r="A5759" s="36" t="b">
        <v>0</v>
      </c>
      <c r="B5759" s="56" t="b">
        <v>0</v>
      </c>
      <c r="C5759" s="56" t="b">
        <v>0</v>
      </c>
      <c r="D5759" s="56" t="b">
        <v>0</v>
      </c>
      <c r="E5759" s="56">
        <f ca="1">IF(PV[[#This Row],[Business Date]]=Control!$C$6, PV[[#This Row],[Notional Value Local Cur]], -PV[[#This Row],[Notional Value Local Cur]])</f>
        <v>0</v>
      </c>
    </row>
    <row r="5760" spans="1:5" x14ac:dyDescent="0.25">
      <c r="A5760" s="36" t="b">
        <v>0</v>
      </c>
      <c r="B5760" s="56" t="b">
        <v>0</v>
      </c>
      <c r="C5760" s="56" t="b">
        <v>0</v>
      </c>
      <c r="D5760" s="56" t="b">
        <v>0</v>
      </c>
      <c r="E5760" s="56">
        <f ca="1">IF(PV[[#This Row],[Business Date]]=Control!$C$6, PV[[#This Row],[Notional Value Local Cur]], -PV[[#This Row],[Notional Value Local Cur]])</f>
        <v>0</v>
      </c>
    </row>
    <row r="5761" spans="1:5" x14ac:dyDescent="0.25">
      <c r="A5761" s="36" t="b">
        <v>0</v>
      </c>
      <c r="B5761" s="56" t="b">
        <v>0</v>
      </c>
      <c r="C5761" s="56" t="b">
        <v>0</v>
      </c>
      <c r="D5761" s="56" t="b">
        <v>0</v>
      </c>
      <c r="E5761" s="56">
        <f ca="1">IF(PV[[#This Row],[Business Date]]=Control!$C$6, PV[[#This Row],[Notional Value Local Cur]], -PV[[#This Row],[Notional Value Local Cur]])</f>
        <v>0</v>
      </c>
    </row>
    <row r="5762" spans="1:5" x14ac:dyDescent="0.25">
      <c r="A5762" s="36" t="b">
        <v>0</v>
      </c>
      <c r="B5762" s="56" t="b">
        <v>0</v>
      </c>
      <c r="C5762" s="56" t="b">
        <v>0</v>
      </c>
      <c r="D5762" s="56" t="b">
        <v>0</v>
      </c>
      <c r="E5762" s="56">
        <f ca="1">IF(PV[[#This Row],[Business Date]]=Control!$C$6, PV[[#This Row],[Notional Value Local Cur]], -PV[[#This Row],[Notional Value Local Cur]])</f>
        <v>0</v>
      </c>
    </row>
    <row r="5763" spans="1:5" x14ac:dyDescent="0.25">
      <c r="A5763" s="36" t="b">
        <v>0</v>
      </c>
      <c r="B5763" s="56" t="b">
        <v>0</v>
      </c>
      <c r="C5763" s="56" t="b">
        <v>0</v>
      </c>
      <c r="D5763" s="56" t="b">
        <v>0</v>
      </c>
      <c r="E5763" s="56">
        <f ca="1">IF(PV[[#This Row],[Business Date]]=Control!$C$6, PV[[#This Row],[Notional Value Local Cur]], -PV[[#This Row],[Notional Value Local Cur]])</f>
        <v>0</v>
      </c>
    </row>
    <row r="5764" spans="1:5" x14ac:dyDescent="0.25">
      <c r="A5764" s="36" t="b">
        <v>0</v>
      </c>
      <c r="B5764" s="56" t="b">
        <v>0</v>
      </c>
      <c r="C5764" s="56" t="b">
        <v>0</v>
      </c>
      <c r="D5764" s="56" t="b">
        <v>0</v>
      </c>
      <c r="E5764" s="56">
        <f ca="1">IF(PV[[#This Row],[Business Date]]=Control!$C$6, PV[[#This Row],[Notional Value Local Cur]], -PV[[#This Row],[Notional Value Local Cur]])</f>
        <v>0</v>
      </c>
    </row>
    <row r="5765" spans="1:5" x14ac:dyDescent="0.25">
      <c r="A5765" s="36" t="b">
        <v>0</v>
      </c>
      <c r="B5765" s="56" t="b">
        <v>0</v>
      </c>
      <c r="C5765" s="56" t="b">
        <v>0</v>
      </c>
      <c r="D5765" s="56" t="b">
        <v>0</v>
      </c>
      <c r="E5765" s="56">
        <f ca="1">IF(PV[[#This Row],[Business Date]]=Control!$C$6, PV[[#This Row],[Notional Value Local Cur]], -PV[[#This Row],[Notional Value Local Cur]])</f>
        <v>0</v>
      </c>
    </row>
    <row r="5766" spans="1:5" x14ac:dyDescent="0.25">
      <c r="A5766" s="36" t="b">
        <v>0</v>
      </c>
      <c r="B5766" s="56" t="b">
        <v>0</v>
      </c>
      <c r="C5766" s="56" t="b">
        <v>0</v>
      </c>
      <c r="D5766" s="56" t="b">
        <v>0</v>
      </c>
      <c r="E5766" s="56">
        <f ca="1">IF(PV[[#This Row],[Business Date]]=Control!$C$6, PV[[#This Row],[Notional Value Local Cur]], -PV[[#This Row],[Notional Value Local Cur]])</f>
        <v>0</v>
      </c>
    </row>
    <row r="5767" spans="1:5" x14ac:dyDescent="0.25">
      <c r="A5767" s="36" t="b">
        <v>0</v>
      </c>
      <c r="B5767" s="56" t="b">
        <v>0</v>
      </c>
      <c r="C5767" s="56" t="b">
        <v>0</v>
      </c>
      <c r="D5767" s="56" t="b">
        <v>0</v>
      </c>
      <c r="E5767" s="56">
        <f ca="1">IF(PV[[#This Row],[Business Date]]=Control!$C$6, PV[[#This Row],[Notional Value Local Cur]], -PV[[#This Row],[Notional Value Local Cur]])</f>
        <v>0</v>
      </c>
    </row>
    <row r="5768" spans="1:5" x14ac:dyDescent="0.25">
      <c r="A5768" s="36" t="b">
        <v>0</v>
      </c>
      <c r="B5768" s="56" t="b">
        <v>0</v>
      </c>
      <c r="C5768" s="56" t="b">
        <v>0</v>
      </c>
      <c r="D5768" s="56" t="b">
        <v>0</v>
      </c>
      <c r="E5768" s="56">
        <f ca="1">IF(PV[[#This Row],[Business Date]]=Control!$C$6, PV[[#This Row],[Notional Value Local Cur]], -PV[[#This Row],[Notional Value Local Cur]])</f>
        <v>0</v>
      </c>
    </row>
    <row r="5769" spans="1:5" x14ac:dyDescent="0.25">
      <c r="A5769" s="36" t="b">
        <v>0</v>
      </c>
      <c r="B5769" s="56" t="b">
        <v>0</v>
      </c>
      <c r="C5769" s="56" t="b">
        <v>0</v>
      </c>
      <c r="D5769" s="56" t="b">
        <v>0</v>
      </c>
      <c r="E5769" s="56">
        <f ca="1">IF(PV[[#This Row],[Business Date]]=Control!$C$6, PV[[#This Row],[Notional Value Local Cur]], -PV[[#This Row],[Notional Value Local Cur]])</f>
        <v>0</v>
      </c>
    </row>
    <row r="5770" spans="1:5" x14ac:dyDescent="0.25">
      <c r="A5770" s="36" t="b">
        <v>0</v>
      </c>
      <c r="B5770" s="56" t="b">
        <v>0</v>
      </c>
      <c r="C5770" s="56" t="b">
        <v>0</v>
      </c>
      <c r="D5770" s="56" t="b">
        <v>0</v>
      </c>
      <c r="E5770" s="56">
        <f ca="1">IF(PV[[#This Row],[Business Date]]=Control!$C$6, PV[[#This Row],[Notional Value Local Cur]], -PV[[#This Row],[Notional Value Local Cur]])</f>
        <v>0</v>
      </c>
    </row>
    <row r="5771" spans="1:5" x14ac:dyDescent="0.25">
      <c r="A5771" s="36" t="b">
        <v>0</v>
      </c>
      <c r="B5771" s="56" t="b">
        <v>0</v>
      </c>
      <c r="C5771" s="56" t="b">
        <v>0</v>
      </c>
      <c r="D5771" s="56" t="b">
        <v>0</v>
      </c>
      <c r="E5771" s="56">
        <f ca="1">IF(PV[[#This Row],[Business Date]]=Control!$C$6, PV[[#This Row],[Notional Value Local Cur]], -PV[[#This Row],[Notional Value Local Cur]])</f>
        <v>0</v>
      </c>
    </row>
    <row r="5772" spans="1:5" x14ac:dyDescent="0.25">
      <c r="A5772" s="36" t="b">
        <v>0</v>
      </c>
      <c r="B5772" s="56" t="b">
        <v>0</v>
      </c>
      <c r="C5772" s="56" t="b">
        <v>0</v>
      </c>
      <c r="D5772" s="56" t="b">
        <v>0</v>
      </c>
      <c r="E5772" s="56">
        <f ca="1">IF(PV[[#This Row],[Business Date]]=Control!$C$6, PV[[#This Row],[Notional Value Local Cur]], -PV[[#This Row],[Notional Value Local Cur]])</f>
        <v>0</v>
      </c>
    </row>
    <row r="5773" spans="1:5" x14ac:dyDescent="0.25">
      <c r="A5773" s="36" t="b">
        <v>0</v>
      </c>
      <c r="B5773" s="56" t="b">
        <v>0</v>
      </c>
      <c r="C5773" s="56" t="b">
        <v>0</v>
      </c>
      <c r="D5773" s="56" t="b">
        <v>0</v>
      </c>
      <c r="E5773" s="56">
        <f ca="1">IF(PV[[#This Row],[Business Date]]=Control!$C$6, PV[[#This Row],[Notional Value Local Cur]], -PV[[#This Row],[Notional Value Local Cur]])</f>
        <v>0</v>
      </c>
    </row>
    <row r="5774" spans="1:5" x14ac:dyDescent="0.25">
      <c r="A5774" s="36" t="b">
        <v>0</v>
      </c>
      <c r="B5774" s="56" t="b">
        <v>0</v>
      </c>
      <c r="C5774" s="56" t="b">
        <v>0</v>
      </c>
      <c r="D5774" s="56" t="b">
        <v>0</v>
      </c>
      <c r="E5774" s="56">
        <f ca="1">IF(PV[[#This Row],[Business Date]]=Control!$C$6, PV[[#This Row],[Notional Value Local Cur]], -PV[[#This Row],[Notional Value Local Cur]])</f>
        <v>0</v>
      </c>
    </row>
    <row r="5775" spans="1:5" x14ac:dyDescent="0.25">
      <c r="A5775" s="36" t="b">
        <v>0</v>
      </c>
      <c r="B5775" s="56" t="b">
        <v>0</v>
      </c>
      <c r="C5775" s="56" t="b">
        <v>0</v>
      </c>
      <c r="D5775" s="56" t="b">
        <v>0</v>
      </c>
      <c r="E5775" s="56">
        <f ca="1">IF(PV[[#This Row],[Business Date]]=Control!$C$6, PV[[#This Row],[Notional Value Local Cur]], -PV[[#This Row],[Notional Value Local Cur]])</f>
        <v>0</v>
      </c>
    </row>
    <row r="5776" spans="1:5" x14ac:dyDescent="0.25">
      <c r="A5776" s="36" t="b">
        <v>0</v>
      </c>
      <c r="B5776" s="56" t="b">
        <v>0</v>
      </c>
      <c r="C5776" s="56" t="b">
        <v>0</v>
      </c>
      <c r="D5776" s="56" t="b">
        <v>0</v>
      </c>
      <c r="E5776" s="56">
        <f ca="1">IF(PV[[#This Row],[Business Date]]=Control!$C$6, PV[[#This Row],[Notional Value Local Cur]], -PV[[#This Row],[Notional Value Local Cur]])</f>
        <v>0</v>
      </c>
    </row>
    <row r="5777" spans="1:5" x14ac:dyDescent="0.25">
      <c r="A5777" s="36" t="b">
        <v>0</v>
      </c>
      <c r="B5777" s="56" t="b">
        <v>0</v>
      </c>
      <c r="C5777" s="56" t="b">
        <v>0</v>
      </c>
      <c r="D5777" s="56" t="b">
        <v>0</v>
      </c>
      <c r="E5777" s="56">
        <f ca="1">IF(PV[[#This Row],[Business Date]]=Control!$C$6, PV[[#This Row],[Notional Value Local Cur]], -PV[[#This Row],[Notional Value Local Cur]])</f>
        <v>0</v>
      </c>
    </row>
    <row r="5778" spans="1:5" x14ac:dyDescent="0.25">
      <c r="A5778" s="36" t="b">
        <v>0</v>
      </c>
      <c r="B5778" s="56" t="b">
        <v>0</v>
      </c>
      <c r="C5778" s="56" t="b">
        <v>0</v>
      </c>
      <c r="D5778" s="56" t="b">
        <v>0</v>
      </c>
      <c r="E5778" s="56">
        <f ca="1">IF(PV[[#This Row],[Business Date]]=Control!$C$6, PV[[#This Row],[Notional Value Local Cur]], -PV[[#This Row],[Notional Value Local Cur]])</f>
        <v>0</v>
      </c>
    </row>
    <row r="5779" spans="1:5" x14ac:dyDescent="0.25">
      <c r="A5779" s="36" t="b">
        <v>0</v>
      </c>
      <c r="B5779" s="56" t="b">
        <v>0</v>
      </c>
      <c r="C5779" s="56" t="b">
        <v>0</v>
      </c>
      <c r="D5779" s="56" t="b">
        <v>0</v>
      </c>
      <c r="E5779" s="56">
        <f ca="1">IF(PV[[#This Row],[Business Date]]=Control!$C$6, PV[[#This Row],[Notional Value Local Cur]], -PV[[#This Row],[Notional Value Local Cur]])</f>
        <v>0</v>
      </c>
    </row>
    <row r="5780" spans="1:5" x14ac:dyDescent="0.25">
      <c r="A5780" s="36" t="b">
        <v>0</v>
      </c>
      <c r="B5780" s="56" t="b">
        <v>0</v>
      </c>
      <c r="C5780" s="56" t="b">
        <v>0</v>
      </c>
      <c r="D5780" s="56" t="b">
        <v>0</v>
      </c>
      <c r="E5780" s="56">
        <f ca="1">IF(PV[[#This Row],[Business Date]]=Control!$C$6, PV[[#This Row],[Notional Value Local Cur]], -PV[[#This Row],[Notional Value Local Cur]])</f>
        <v>0</v>
      </c>
    </row>
    <row r="5781" spans="1:5" x14ac:dyDescent="0.25">
      <c r="A5781" s="36" t="b">
        <v>0</v>
      </c>
      <c r="B5781" s="56" t="b">
        <v>0</v>
      </c>
      <c r="C5781" s="56" t="b">
        <v>0</v>
      </c>
      <c r="D5781" s="56" t="b">
        <v>0</v>
      </c>
      <c r="E5781" s="56">
        <f ca="1">IF(PV[[#This Row],[Business Date]]=Control!$C$6, PV[[#This Row],[Notional Value Local Cur]], -PV[[#This Row],[Notional Value Local Cur]])</f>
        <v>0</v>
      </c>
    </row>
    <row r="5782" spans="1:5" x14ac:dyDescent="0.25">
      <c r="A5782" s="36" t="b">
        <v>0</v>
      </c>
      <c r="B5782" s="56" t="b">
        <v>0</v>
      </c>
      <c r="C5782" s="56" t="b">
        <v>0</v>
      </c>
      <c r="D5782" s="56" t="b">
        <v>0</v>
      </c>
      <c r="E5782" s="56">
        <f ca="1">IF(PV[[#This Row],[Business Date]]=Control!$C$6, PV[[#This Row],[Notional Value Local Cur]], -PV[[#This Row],[Notional Value Local Cur]])</f>
        <v>0</v>
      </c>
    </row>
    <row r="5783" spans="1:5" x14ac:dyDescent="0.25">
      <c r="A5783" s="36" t="b">
        <v>0</v>
      </c>
      <c r="B5783" s="56" t="b">
        <v>0</v>
      </c>
      <c r="C5783" s="56" t="b">
        <v>0</v>
      </c>
      <c r="D5783" s="56" t="b">
        <v>0</v>
      </c>
      <c r="E5783" s="56">
        <f ca="1">IF(PV[[#This Row],[Business Date]]=Control!$C$6, PV[[#This Row],[Notional Value Local Cur]], -PV[[#This Row],[Notional Value Local Cur]])</f>
        <v>0</v>
      </c>
    </row>
    <row r="5784" spans="1:5" x14ac:dyDescent="0.25">
      <c r="A5784" s="36" t="b">
        <v>0</v>
      </c>
      <c r="B5784" s="56" t="b">
        <v>0</v>
      </c>
      <c r="C5784" s="56" t="b">
        <v>0</v>
      </c>
      <c r="D5784" s="56" t="b">
        <v>0</v>
      </c>
      <c r="E5784" s="56">
        <f ca="1">IF(PV[[#This Row],[Business Date]]=Control!$C$6, PV[[#This Row],[Notional Value Local Cur]], -PV[[#This Row],[Notional Value Local Cur]])</f>
        <v>0</v>
      </c>
    </row>
    <row r="5785" spans="1:5" x14ac:dyDescent="0.25">
      <c r="A5785" s="36" t="b">
        <v>0</v>
      </c>
      <c r="B5785" s="56" t="b">
        <v>0</v>
      </c>
      <c r="C5785" s="56" t="b">
        <v>0</v>
      </c>
      <c r="D5785" s="56" t="b">
        <v>0</v>
      </c>
      <c r="E5785" s="56">
        <f ca="1">IF(PV[[#This Row],[Business Date]]=Control!$C$6, PV[[#This Row],[Notional Value Local Cur]], -PV[[#This Row],[Notional Value Local Cur]])</f>
        <v>0</v>
      </c>
    </row>
    <row r="5786" spans="1:5" x14ac:dyDescent="0.25">
      <c r="A5786" s="36" t="b">
        <v>0</v>
      </c>
      <c r="B5786" s="56" t="b">
        <v>0</v>
      </c>
      <c r="C5786" s="56" t="b">
        <v>0</v>
      </c>
      <c r="D5786" s="56" t="b">
        <v>0</v>
      </c>
      <c r="E5786" s="56">
        <f ca="1">IF(PV[[#This Row],[Business Date]]=Control!$C$6, PV[[#This Row],[Notional Value Local Cur]], -PV[[#This Row],[Notional Value Local Cur]])</f>
        <v>0</v>
      </c>
    </row>
    <row r="5787" spans="1:5" x14ac:dyDescent="0.25">
      <c r="A5787" s="36" t="b">
        <v>0</v>
      </c>
      <c r="B5787" s="56" t="b">
        <v>0</v>
      </c>
      <c r="C5787" s="56" t="b">
        <v>0</v>
      </c>
      <c r="D5787" s="56" t="b">
        <v>0</v>
      </c>
      <c r="E5787" s="56">
        <f ca="1">IF(PV[[#This Row],[Business Date]]=Control!$C$6, PV[[#This Row],[Notional Value Local Cur]], -PV[[#This Row],[Notional Value Local Cur]])</f>
        <v>0</v>
      </c>
    </row>
    <row r="5788" spans="1:5" x14ac:dyDescent="0.25">
      <c r="A5788" s="36" t="b">
        <v>0</v>
      </c>
      <c r="B5788" s="56" t="b">
        <v>0</v>
      </c>
      <c r="C5788" s="56" t="b">
        <v>0</v>
      </c>
      <c r="D5788" s="56" t="b">
        <v>0</v>
      </c>
      <c r="E5788" s="56">
        <f ca="1">IF(PV[[#This Row],[Business Date]]=Control!$C$6, PV[[#This Row],[Notional Value Local Cur]], -PV[[#This Row],[Notional Value Local Cur]])</f>
        <v>0</v>
      </c>
    </row>
    <row r="5789" spans="1:5" x14ac:dyDescent="0.25">
      <c r="A5789" s="36" t="b">
        <v>0</v>
      </c>
      <c r="B5789" s="56" t="b">
        <v>0</v>
      </c>
      <c r="C5789" s="56" t="b">
        <v>0</v>
      </c>
      <c r="D5789" s="56" t="b">
        <v>0</v>
      </c>
      <c r="E5789" s="56">
        <f ca="1">IF(PV[[#This Row],[Business Date]]=Control!$C$6, PV[[#This Row],[Notional Value Local Cur]], -PV[[#This Row],[Notional Value Local Cur]])</f>
        <v>0</v>
      </c>
    </row>
    <row r="5790" spans="1:5" x14ac:dyDescent="0.25">
      <c r="A5790" s="36" t="b">
        <v>0</v>
      </c>
      <c r="B5790" s="56" t="b">
        <v>0</v>
      </c>
      <c r="C5790" s="56" t="b">
        <v>0</v>
      </c>
      <c r="D5790" s="56" t="b">
        <v>0</v>
      </c>
      <c r="E5790" s="56">
        <f ca="1">IF(PV[[#This Row],[Business Date]]=Control!$C$6, PV[[#This Row],[Notional Value Local Cur]], -PV[[#This Row],[Notional Value Local Cur]])</f>
        <v>0</v>
      </c>
    </row>
    <row r="5791" spans="1:5" x14ac:dyDescent="0.25">
      <c r="A5791" s="36" t="b">
        <v>0</v>
      </c>
      <c r="B5791" s="56" t="b">
        <v>0</v>
      </c>
      <c r="C5791" s="56" t="b">
        <v>0</v>
      </c>
      <c r="D5791" s="56" t="b">
        <v>0</v>
      </c>
      <c r="E5791" s="56">
        <f ca="1">IF(PV[[#This Row],[Business Date]]=Control!$C$6, PV[[#This Row],[Notional Value Local Cur]], -PV[[#This Row],[Notional Value Local Cur]])</f>
        <v>0</v>
      </c>
    </row>
    <row r="5792" spans="1:5" x14ac:dyDescent="0.25">
      <c r="A5792" s="36" t="b">
        <v>0</v>
      </c>
      <c r="B5792" s="56" t="b">
        <v>0</v>
      </c>
      <c r="C5792" s="56" t="b">
        <v>0</v>
      </c>
      <c r="D5792" s="56" t="b">
        <v>0</v>
      </c>
      <c r="E5792" s="56">
        <f ca="1">IF(PV[[#This Row],[Business Date]]=Control!$C$6, PV[[#This Row],[Notional Value Local Cur]], -PV[[#This Row],[Notional Value Local Cur]])</f>
        <v>0</v>
      </c>
    </row>
    <row r="5793" spans="1:5" x14ac:dyDescent="0.25">
      <c r="A5793" s="36" t="b">
        <v>0</v>
      </c>
      <c r="B5793" s="56" t="b">
        <v>0</v>
      </c>
      <c r="C5793" s="56" t="b">
        <v>0</v>
      </c>
      <c r="D5793" s="56" t="b">
        <v>0</v>
      </c>
      <c r="E5793" s="56">
        <f ca="1">IF(PV[[#This Row],[Business Date]]=Control!$C$6, PV[[#This Row],[Notional Value Local Cur]], -PV[[#This Row],[Notional Value Local Cur]])</f>
        <v>0</v>
      </c>
    </row>
    <row r="5794" spans="1:5" x14ac:dyDescent="0.25">
      <c r="A5794" s="36" t="b">
        <v>0</v>
      </c>
      <c r="B5794" s="56" t="b">
        <v>0</v>
      </c>
      <c r="C5794" s="56" t="b">
        <v>0</v>
      </c>
      <c r="D5794" s="56" t="b">
        <v>0</v>
      </c>
      <c r="E5794" s="56">
        <f ca="1">IF(PV[[#This Row],[Business Date]]=Control!$C$6, PV[[#This Row],[Notional Value Local Cur]], -PV[[#This Row],[Notional Value Local Cur]])</f>
        <v>0</v>
      </c>
    </row>
    <row r="5795" spans="1:5" x14ac:dyDescent="0.25">
      <c r="A5795" s="36" t="b">
        <v>0</v>
      </c>
      <c r="B5795" s="56" t="b">
        <v>0</v>
      </c>
      <c r="C5795" s="56" t="b">
        <v>0</v>
      </c>
      <c r="D5795" s="56" t="b">
        <v>0</v>
      </c>
      <c r="E5795" s="56">
        <f ca="1">IF(PV[[#This Row],[Business Date]]=Control!$C$6, PV[[#This Row],[Notional Value Local Cur]], -PV[[#This Row],[Notional Value Local Cur]])</f>
        <v>0</v>
      </c>
    </row>
    <row r="5796" spans="1:5" x14ac:dyDescent="0.25">
      <c r="A5796" s="36" t="b">
        <v>0</v>
      </c>
      <c r="B5796" s="56" t="b">
        <v>0</v>
      </c>
      <c r="C5796" s="56" t="b">
        <v>0</v>
      </c>
      <c r="D5796" s="56" t="b">
        <v>0</v>
      </c>
      <c r="E5796" s="56">
        <f ca="1">IF(PV[[#This Row],[Business Date]]=Control!$C$6, PV[[#This Row],[Notional Value Local Cur]], -PV[[#This Row],[Notional Value Local Cur]])</f>
        <v>0</v>
      </c>
    </row>
    <row r="5797" spans="1:5" x14ac:dyDescent="0.25">
      <c r="A5797" s="36" t="b">
        <v>0</v>
      </c>
      <c r="B5797" s="56" t="b">
        <v>0</v>
      </c>
      <c r="C5797" s="56" t="b">
        <v>0</v>
      </c>
      <c r="D5797" s="56" t="b">
        <v>0</v>
      </c>
      <c r="E5797" s="56">
        <f ca="1">IF(PV[[#This Row],[Business Date]]=Control!$C$6, PV[[#This Row],[Notional Value Local Cur]], -PV[[#This Row],[Notional Value Local Cur]])</f>
        <v>0</v>
      </c>
    </row>
    <row r="5798" spans="1:5" x14ac:dyDescent="0.25">
      <c r="A5798" s="36" t="b">
        <v>0</v>
      </c>
      <c r="B5798" s="56" t="b">
        <v>0</v>
      </c>
      <c r="C5798" s="56" t="b">
        <v>0</v>
      </c>
      <c r="D5798" s="56" t="b">
        <v>0</v>
      </c>
      <c r="E5798" s="56">
        <f ca="1">IF(PV[[#This Row],[Business Date]]=Control!$C$6, PV[[#This Row],[Notional Value Local Cur]], -PV[[#This Row],[Notional Value Local Cur]])</f>
        <v>0</v>
      </c>
    </row>
    <row r="5799" spans="1:5" x14ac:dyDescent="0.25">
      <c r="A5799" s="36" t="b">
        <v>0</v>
      </c>
      <c r="B5799" s="56" t="b">
        <v>0</v>
      </c>
      <c r="C5799" s="56" t="b">
        <v>0</v>
      </c>
      <c r="D5799" s="56" t="b">
        <v>0</v>
      </c>
      <c r="E5799" s="56">
        <f ca="1">IF(PV[[#This Row],[Business Date]]=Control!$C$6, PV[[#This Row],[Notional Value Local Cur]], -PV[[#This Row],[Notional Value Local Cur]])</f>
        <v>0</v>
      </c>
    </row>
    <row r="5800" spans="1:5" x14ac:dyDescent="0.25">
      <c r="A5800" s="36" t="b">
        <v>0</v>
      </c>
      <c r="B5800" s="56" t="b">
        <v>0</v>
      </c>
      <c r="C5800" s="56" t="b">
        <v>0</v>
      </c>
      <c r="D5800" s="56" t="b">
        <v>0</v>
      </c>
      <c r="E5800" s="56">
        <f ca="1">IF(PV[[#This Row],[Business Date]]=Control!$C$6, PV[[#This Row],[Notional Value Local Cur]], -PV[[#This Row],[Notional Value Local Cur]])</f>
        <v>0</v>
      </c>
    </row>
    <row r="5801" spans="1:5" x14ac:dyDescent="0.25">
      <c r="A5801" s="36" t="b">
        <v>0</v>
      </c>
      <c r="B5801" s="56" t="b">
        <v>0</v>
      </c>
      <c r="C5801" s="56" t="b">
        <v>0</v>
      </c>
      <c r="D5801" s="56" t="b">
        <v>0</v>
      </c>
      <c r="E5801" s="56">
        <f ca="1">IF(PV[[#This Row],[Business Date]]=Control!$C$6, PV[[#This Row],[Notional Value Local Cur]], -PV[[#This Row],[Notional Value Local Cur]])</f>
        <v>0</v>
      </c>
    </row>
    <row r="5802" spans="1:5" x14ac:dyDescent="0.25">
      <c r="A5802" s="36" t="b">
        <v>0</v>
      </c>
      <c r="B5802" s="56" t="b">
        <v>0</v>
      </c>
      <c r="C5802" s="56" t="b">
        <v>0</v>
      </c>
      <c r="D5802" s="56" t="b">
        <v>0</v>
      </c>
      <c r="E5802" s="56">
        <f ca="1">IF(PV[[#This Row],[Business Date]]=Control!$C$6, PV[[#This Row],[Notional Value Local Cur]], -PV[[#This Row],[Notional Value Local Cur]])</f>
        <v>0</v>
      </c>
    </row>
    <row r="5803" spans="1:5" x14ac:dyDescent="0.25">
      <c r="A5803" s="36" t="b">
        <v>0</v>
      </c>
      <c r="B5803" s="56" t="b">
        <v>0</v>
      </c>
      <c r="C5803" s="56" t="b">
        <v>0</v>
      </c>
      <c r="D5803" s="56" t="b">
        <v>0</v>
      </c>
      <c r="E5803" s="56">
        <f ca="1">IF(PV[[#This Row],[Business Date]]=Control!$C$6, PV[[#This Row],[Notional Value Local Cur]], -PV[[#This Row],[Notional Value Local Cur]])</f>
        <v>0</v>
      </c>
    </row>
    <row r="5804" spans="1:5" x14ac:dyDescent="0.25">
      <c r="A5804" s="36" t="b">
        <v>0</v>
      </c>
      <c r="B5804" s="56" t="b">
        <v>0</v>
      </c>
      <c r="C5804" s="56" t="b">
        <v>0</v>
      </c>
      <c r="D5804" s="56" t="b">
        <v>0</v>
      </c>
      <c r="E5804" s="56">
        <f ca="1">IF(PV[[#This Row],[Business Date]]=Control!$C$6, PV[[#This Row],[Notional Value Local Cur]], -PV[[#This Row],[Notional Value Local Cur]])</f>
        <v>0</v>
      </c>
    </row>
    <row r="5805" spans="1:5" x14ac:dyDescent="0.25">
      <c r="A5805" s="36" t="b">
        <v>0</v>
      </c>
      <c r="B5805" s="56" t="b">
        <v>0</v>
      </c>
      <c r="C5805" s="56" t="b">
        <v>0</v>
      </c>
      <c r="D5805" s="56" t="b">
        <v>0</v>
      </c>
      <c r="E5805" s="56">
        <f ca="1">IF(PV[[#This Row],[Business Date]]=Control!$C$6, PV[[#This Row],[Notional Value Local Cur]], -PV[[#This Row],[Notional Value Local Cur]])</f>
        <v>0</v>
      </c>
    </row>
    <row r="5806" spans="1:5" x14ac:dyDescent="0.25">
      <c r="A5806" s="36" t="b">
        <v>0</v>
      </c>
      <c r="B5806" s="56" t="b">
        <v>0</v>
      </c>
      <c r="C5806" s="56" t="b">
        <v>0</v>
      </c>
      <c r="D5806" s="56" t="b">
        <v>0</v>
      </c>
      <c r="E5806" s="56">
        <f ca="1">IF(PV[[#This Row],[Business Date]]=Control!$C$6, PV[[#This Row],[Notional Value Local Cur]], -PV[[#This Row],[Notional Value Local Cur]])</f>
        <v>0</v>
      </c>
    </row>
    <row r="5807" spans="1:5" x14ac:dyDescent="0.25">
      <c r="A5807" s="36" t="b">
        <v>0</v>
      </c>
      <c r="B5807" s="56" t="b">
        <v>0</v>
      </c>
      <c r="C5807" s="56" t="b">
        <v>0</v>
      </c>
      <c r="D5807" s="56" t="b">
        <v>0</v>
      </c>
      <c r="E5807" s="56">
        <f ca="1">IF(PV[[#This Row],[Business Date]]=Control!$C$6, PV[[#This Row],[Notional Value Local Cur]], -PV[[#This Row],[Notional Value Local Cur]])</f>
        <v>0</v>
      </c>
    </row>
    <row r="5808" spans="1:5" x14ac:dyDescent="0.25">
      <c r="A5808" s="36" t="b">
        <v>0</v>
      </c>
      <c r="B5808" s="56" t="b">
        <v>0</v>
      </c>
      <c r="C5808" s="56" t="b">
        <v>0</v>
      </c>
      <c r="D5808" s="56" t="b">
        <v>0</v>
      </c>
      <c r="E5808" s="56">
        <f ca="1">IF(PV[[#This Row],[Business Date]]=Control!$C$6, PV[[#This Row],[Notional Value Local Cur]], -PV[[#This Row],[Notional Value Local Cur]])</f>
        <v>0</v>
      </c>
    </row>
    <row r="5809" spans="1:5" x14ac:dyDescent="0.25">
      <c r="A5809" s="36" t="b">
        <v>0</v>
      </c>
      <c r="B5809" s="56" t="b">
        <v>0</v>
      </c>
      <c r="C5809" s="56" t="b">
        <v>0</v>
      </c>
      <c r="D5809" s="56" t="b">
        <v>0</v>
      </c>
      <c r="E5809" s="56">
        <f ca="1">IF(PV[[#This Row],[Business Date]]=Control!$C$6, PV[[#This Row],[Notional Value Local Cur]], -PV[[#This Row],[Notional Value Local Cur]])</f>
        <v>0</v>
      </c>
    </row>
    <row r="5810" spans="1:5" x14ac:dyDescent="0.25">
      <c r="A5810" s="36" t="b">
        <v>0</v>
      </c>
      <c r="B5810" s="56" t="b">
        <v>0</v>
      </c>
      <c r="C5810" s="56" t="b">
        <v>0</v>
      </c>
      <c r="D5810" s="56" t="b">
        <v>0</v>
      </c>
      <c r="E5810" s="56">
        <f ca="1">IF(PV[[#This Row],[Business Date]]=Control!$C$6, PV[[#This Row],[Notional Value Local Cur]], -PV[[#This Row],[Notional Value Local Cur]])</f>
        <v>0</v>
      </c>
    </row>
    <row r="5811" spans="1:5" x14ac:dyDescent="0.25">
      <c r="A5811" s="36" t="b">
        <v>0</v>
      </c>
      <c r="B5811" s="56" t="b">
        <v>0</v>
      </c>
      <c r="C5811" s="56" t="b">
        <v>0</v>
      </c>
      <c r="D5811" s="56" t="b">
        <v>0</v>
      </c>
      <c r="E5811" s="56">
        <f ca="1">IF(PV[[#This Row],[Business Date]]=Control!$C$6, PV[[#This Row],[Notional Value Local Cur]], -PV[[#This Row],[Notional Value Local Cur]])</f>
        <v>0</v>
      </c>
    </row>
    <row r="5812" spans="1:5" x14ac:dyDescent="0.25">
      <c r="A5812" s="36" t="b">
        <v>0</v>
      </c>
      <c r="B5812" s="56" t="b">
        <v>0</v>
      </c>
      <c r="C5812" s="56" t="b">
        <v>0</v>
      </c>
      <c r="D5812" s="56" t="b">
        <v>0</v>
      </c>
      <c r="E5812" s="56">
        <f ca="1">IF(PV[[#This Row],[Business Date]]=Control!$C$6, PV[[#This Row],[Notional Value Local Cur]], -PV[[#This Row],[Notional Value Local Cur]])</f>
        <v>0</v>
      </c>
    </row>
    <row r="5813" spans="1:5" x14ac:dyDescent="0.25">
      <c r="A5813" s="36" t="b">
        <v>0</v>
      </c>
      <c r="B5813" s="56" t="b">
        <v>0</v>
      </c>
      <c r="C5813" s="56" t="b">
        <v>0</v>
      </c>
      <c r="D5813" s="56" t="b">
        <v>0</v>
      </c>
      <c r="E5813" s="56">
        <f ca="1">IF(PV[[#This Row],[Business Date]]=Control!$C$6, PV[[#This Row],[Notional Value Local Cur]], -PV[[#This Row],[Notional Value Local Cur]])</f>
        <v>0</v>
      </c>
    </row>
    <row r="5814" spans="1:5" x14ac:dyDescent="0.25">
      <c r="A5814" s="36" t="b">
        <v>0</v>
      </c>
      <c r="B5814" s="56" t="b">
        <v>0</v>
      </c>
      <c r="C5814" s="56" t="b">
        <v>0</v>
      </c>
      <c r="D5814" s="56" t="b">
        <v>0</v>
      </c>
      <c r="E5814" s="56">
        <f ca="1">IF(PV[[#This Row],[Business Date]]=Control!$C$6, PV[[#This Row],[Notional Value Local Cur]], -PV[[#This Row],[Notional Value Local Cur]])</f>
        <v>0</v>
      </c>
    </row>
    <row r="5815" spans="1:5" x14ac:dyDescent="0.25">
      <c r="A5815" s="36" t="b">
        <v>0</v>
      </c>
      <c r="B5815" s="56" t="b">
        <v>0</v>
      </c>
      <c r="C5815" s="56" t="b">
        <v>0</v>
      </c>
      <c r="D5815" s="56" t="b">
        <v>0</v>
      </c>
      <c r="E5815" s="56">
        <f ca="1">IF(PV[[#This Row],[Business Date]]=Control!$C$6, PV[[#This Row],[Notional Value Local Cur]], -PV[[#This Row],[Notional Value Local Cur]])</f>
        <v>0</v>
      </c>
    </row>
    <row r="5816" spans="1:5" x14ac:dyDescent="0.25">
      <c r="A5816" s="36" t="b">
        <v>0</v>
      </c>
      <c r="B5816" s="56" t="b">
        <v>0</v>
      </c>
      <c r="C5816" s="56" t="b">
        <v>0</v>
      </c>
      <c r="D5816" s="56" t="b">
        <v>0</v>
      </c>
      <c r="E5816" s="56">
        <f ca="1">IF(PV[[#This Row],[Business Date]]=Control!$C$6, PV[[#This Row],[Notional Value Local Cur]], -PV[[#This Row],[Notional Value Local Cur]])</f>
        <v>0</v>
      </c>
    </row>
    <row r="5817" spans="1:5" x14ac:dyDescent="0.25">
      <c r="A5817" s="36" t="b">
        <v>0</v>
      </c>
      <c r="B5817" s="56" t="b">
        <v>0</v>
      </c>
      <c r="C5817" s="56" t="b">
        <v>0</v>
      </c>
      <c r="D5817" s="56" t="b">
        <v>0</v>
      </c>
      <c r="E5817" s="56">
        <f ca="1">IF(PV[[#This Row],[Business Date]]=Control!$C$6, PV[[#This Row],[Notional Value Local Cur]], -PV[[#This Row],[Notional Value Local Cur]])</f>
        <v>0</v>
      </c>
    </row>
    <row r="5818" spans="1:5" x14ac:dyDescent="0.25">
      <c r="A5818" s="36" t="b">
        <v>0</v>
      </c>
      <c r="B5818" s="56" t="b">
        <v>0</v>
      </c>
      <c r="C5818" s="56" t="b">
        <v>0</v>
      </c>
      <c r="D5818" s="56" t="b">
        <v>0</v>
      </c>
      <c r="E5818" s="56">
        <f ca="1">IF(PV[[#This Row],[Business Date]]=Control!$C$6, PV[[#This Row],[Notional Value Local Cur]], -PV[[#This Row],[Notional Value Local Cur]])</f>
        <v>0</v>
      </c>
    </row>
    <row r="5819" spans="1:5" x14ac:dyDescent="0.25">
      <c r="A5819" s="36" t="b">
        <v>0</v>
      </c>
      <c r="B5819" s="56" t="b">
        <v>0</v>
      </c>
      <c r="C5819" s="56" t="b">
        <v>0</v>
      </c>
      <c r="D5819" s="56" t="b">
        <v>0</v>
      </c>
      <c r="E5819" s="56">
        <f ca="1">IF(PV[[#This Row],[Business Date]]=Control!$C$6, PV[[#This Row],[Notional Value Local Cur]], -PV[[#This Row],[Notional Value Local Cur]])</f>
        <v>0</v>
      </c>
    </row>
    <row r="5820" spans="1:5" x14ac:dyDescent="0.25">
      <c r="A5820" s="36" t="b">
        <v>0</v>
      </c>
      <c r="B5820" s="56" t="b">
        <v>0</v>
      </c>
      <c r="C5820" s="56" t="b">
        <v>0</v>
      </c>
      <c r="D5820" s="56" t="b">
        <v>0</v>
      </c>
      <c r="E5820" s="56">
        <f ca="1">IF(PV[[#This Row],[Business Date]]=Control!$C$6, PV[[#This Row],[Notional Value Local Cur]], -PV[[#This Row],[Notional Value Local Cur]])</f>
        <v>0</v>
      </c>
    </row>
    <row r="5821" spans="1:5" x14ac:dyDescent="0.25">
      <c r="A5821" s="36" t="b">
        <v>0</v>
      </c>
      <c r="B5821" s="56" t="b">
        <v>0</v>
      </c>
      <c r="C5821" s="56" t="b">
        <v>0</v>
      </c>
      <c r="D5821" s="56" t="b">
        <v>0</v>
      </c>
      <c r="E5821" s="56">
        <f ca="1">IF(PV[[#This Row],[Business Date]]=Control!$C$6, PV[[#This Row],[Notional Value Local Cur]], -PV[[#This Row],[Notional Value Local Cur]])</f>
        <v>0</v>
      </c>
    </row>
    <row r="5822" spans="1:5" x14ac:dyDescent="0.25">
      <c r="A5822" s="36" t="b">
        <v>0</v>
      </c>
      <c r="B5822" s="56" t="b">
        <v>0</v>
      </c>
      <c r="C5822" s="56" t="b">
        <v>0</v>
      </c>
      <c r="D5822" s="56" t="b">
        <v>0</v>
      </c>
      <c r="E5822" s="56">
        <f ca="1">IF(PV[[#This Row],[Business Date]]=Control!$C$6, PV[[#This Row],[Notional Value Local Cur]], -PV[[#This Row],[Notional Value Local Cur]])</f>
        <v>0</v>
      </c>
    </row>
    <row r="5823" spans="1:5" x14ac:dyDescent="0.25">
      <c r="A5823" s="36" t="b">
        <v>0</v>
      </c>
      <c r="B5823" s="56" t="b">
        <v>0</v>
      </c>
      <c r="C5823" s="56" t="b">
        <v>0</v>
      </c>
      <c r="D5823" s="56" t="b">
        <v>0</v>
      </c>
      <c r="E5823" s="56">
        <f ca="1">IF(PV[[#This Row],[Business Date]]=Control!$C$6, PV[[#This Row],[Notional Value Local Cur]], -PV[[#This Row],[Notional Value Local Cur]])</f>
        <v>0</v>
      </c>
    </row>
    <row r="5824" spans="1:5" x14ac:dyDescent="0.25">
      <c r="A5824" s="36" t="b">
        <v>0</v>
      </c>
      <c r="B5824" s="56" t="b">
        <v>0</v>
      </c>
      <c r="C5824" s="56" t="b">
        <v>0</v>
      </c>
      <c r="D5824" s="56" t="b">
        <v>0</v>
      </c>
      <c r="E5824" s="56">
        <f ca="1">IF(PV[[#This Row],[Business Date]]=Control!$C$6, PV[[#This Row],[Notional Value Local Cur]], -PV[[#This Row],[Notional Value Local Cur]])</f>
        <v>0</v>
      </c>
    </row>
    <row r="5825" spans="1:5" x14ac:dyDescent="0.25">
      <c r="A5825" s="36" t="b">
        <v>0</v>
      </c>
      <c r="B5825" s="56" t="b">
        <v>0</v>
      </c>
      <c r="C5825" s="56" t="b">
        <v>0</v>
      </c>
      <c r="D5825" s="56" t="b">
        <v>0</v>
      </c>
      <c r="E5825" s="56">
        <f ca="1">IF(PV[[#This Row],[Business Date]]=Control!$C$6, PV[[#This Row],[Notional Value Local Cur]], -PV[[#This Row],[Notional Value Local Cur]])</f>
        <v>0</v>
      </c>
    </row>
    <row r="5826" spans="1:5" x14ac:dyDescent="0.25">
      <c r="A5826" s="36" t="b">
        <v>0</v>
      </c>
      <c r="B5826" s="56" t="b">
        <v>0</v>
      </c>
      <c r="C5826" s="56" t="b">
        <v>0</v>
      </c>
      <c r="D5826" s="56" t="b">
        <v>0</v>
      </c>
      <c r="E5826" s="56">
        <f ca="1">IF(PV[[#This Row],[Business Date]]=Control!$C$6, PV[[#This Row],[Notional Value Local Cur]], -PV[[#This Row],[Notional Value Local Cur]])</f>
        <v>0</v>
      </c>
    </row>
    <row r="5827" spans="1:5" x14ac:dyDescent="0.25">
      <c r="A5827" s="36" t="b">
        <v>0</v>
      </c>
      <c r="B5827" s="56" t="b">
        <v>0</v>
      </c>
      <c r="C5827" s="56" t="b">
        <v>0</v>
      </c>
      <c r="D5827" s="56" t="b">
        <v>0</v>
      </c>
      <c r="E5827" s="56">
        <f ca="1">IF(PV[[#This Row],[Business Date]]=Control!$C$6, PV[[#This Row],[Notional Value Local Cur]], -PV[[#This Row],[Notional Value Local Cur]])</f>
        <v>0</v>
      </c>
    </row>
    <row r="5828" spans="1:5" x14ac:dyDescent="0.25">
      <c r="A5828" s="36" t="b">
        <v>0</v>
      </c>
      <c r="B5828" s="56" t="b">
        <v>0</v>
      </c>
      <c r="C5828" s="56" t="b">
        <v>0</v>
      </c>
      <c r="D5828" s="56" t="b">
        <v>0</v>
      </c>
      <c r="E5828" s="56">
        <f ca="1">IF(PV[[#This Row],[Business Date]]=Control!$C$6, PV[[#This Row],[Notional Value Local Cur]], -PV[[#This Row],[Notional Value Local Cur]])</f>
        <v>0</v>
      </c>
    </row>
    <row r="5829" spans="1:5" x14ac:dyDescent="0.25">
      <c r="A5829" s="36" t="b">
        <v>0</v>
      </c>
      <c r="B5829" s="56" t="b">
        <v>0</v>
      </c>
      <c r="C5829" s="56" t="b">
        <v>0</v>
      </c>
      <c r="D5829" s="56" t="b">
        <v>0</v>
      </c>
      <c r="E5829" s="56">
        <f ca="1">IF(PV[[#This Row],[Business Date]]=Control!$C$6, PV[[#This Row],[Notional Value Local Cur]], -PV[[#This Row],[Notional Value Local Cur]])</f>
        <v>0</v>
      </c>
    </row>
    <row r="5830" spans="1:5" x14ac:dyDescent="0.25">
      <c r="A5830" s="36" t="b">
        <v>0</v>
      </c>
      <c r="B5830" s="56" t="b">
        <v>0</v>
      </c>
      <c r="C5830" s="56" t="b">
        <v>0</v>
      </c>
      <c r="D5830" s="56" t="b">
        <v>0</v>
      </c>
      <c r="E5830" s="56">
        <f ca="1">IF(PV[[#This Row],[Business Date]]=Control!$C$6, PV[[#This Row],[Notional Value Local Cur]], -PV[[#This Row],[Notional Value Local Cur]])</f>
        <v>0</v>
      </c>
    </row>
    <row r="5831" spans="1:5" x14ac:dyDescent="0.25">
      <c r="A5831" s="36" t="b">
        <v>0</v>
      </c>
      <c r="B5831" s="56" t="b">
        <v>0</v>
      </c>
      <c r="C5831" s="56" t="b">
        <v>0</v>
      </c>
      <c r="D5831" s="56" t="b">
        <v>0</v>
      </c>
      <c r="E5831" s="56">
        <f ca="1">IF(PV[[#This Row],[Business Date]]=Control!$C$6, PV[[#This Row],[Notional Value Local Cur]], -PV[[#This Row],[Notional Value Local Cur]])</f>
        <v>0</v>
      </c>
    </row>
    <row r="5832" spans="1:5" x14ac:dyDescent="0.25">
      <c r="A5832" s="36" t="b">
        <v>0</v>
      </c>
      <c r="B5832" s="56" t="b">
        <v>0</v>
      </c>
      <c r="C5832" s="56" t="b">
        <v>0</v>
      </c>
      <c r="D5832" s="56" t="b">
        <v>0</v>
      </c>
      <c r="E5832" s="56">
        <f ca="1">IF(PV[[#This Row],[Business Date]]=Control!$C$6, PV[[#This Row],[Notional Value Local Cur]], -PV[[#This Row],[Notional Value Local Cur]])</f>
        <v>0</v>
      </c>
    </row>
    <row r="5833" spans="1:5" x14ac:dyDescent="0.25">
      <c r="A5833" s="36" t="b">
        <v>0</v>
      </c>
      <c r="B5833" s="56" t="b">
        <v>0</v>
      </c>
      <c r="C5833" s="56" t="b">
        <v>0</v>
      </c>
      <c r="D5833" s="56" t="b">
        <v>0</v>
      </c>
      <c r="E5833" s="56">
        <f ca="1">IF(PV[[#This Row],[Business Date]]=Control!$C$6, PV[[#This Row],[Notional Value Local Cur]], -PV[[#This Row],[Notional Value Local Cur]])</f>
        <v>0</v>
      </c>
    </row>
    <row r="5834" spans="1:5" x14ac:dyDescent="0.25">
      <c r="A5834" s="36" t="b">
        <v>0</v>
      </c>
      <c r="B5834" s="56" t="b">
        <v>0</v>
      </c>
      <c r="C5834" s="56" t="b">
        <v>0</v>
      </c>
      <c r="D5834" s="56" t="b">
        <v>0</v>
      </c>
      <c r="E5834" s="56">
        <f ca="1">IF(PV[[#This Row],[Business Date]]=Control!$C$6, PV[[#This Row],[Notional Value Local Cur]], -PV[[#This Row],[Notional Value Local Cur]])</f>
        <v>0</v>
      </c>
    </row>
    <row r="5835" spans="1:5" x14ac:dyDescent="0.25">
      <c r="A5835" s="36" t="b">
        <v>0</v>
      </c>
      <c r="B5835" s="56" t="b">
        <v>0</v>
      </c>
      <c r="C5835" s="56" t="b">
        <v>0</v>
      </c>
      <c r="D5835" s="56" t="b">
        <v>0</v>
      </c>
      <c r="E5835" s="56">
        <f ca="1">IF(PV[[#This Row],[Business Date]]=Control!$C$6, PV[[#This Row],[Notional Value Local Cur]], -PV[[#This Row],[Notional Value Local Cur]])</f>
        <v>0</v>
      </c>
    </row>
    <row r="5836" spans="1:5" x14ac:dyDescent="0.25">
      <c r="A5836" s="36" t="b">
        <v>0</v>
      </c>
      <c r="B5836" s="56" t="b">
        <v>0</v>
      </c>
      <c r="C5836" s="56" t="b">
        <v>0</v>
      </c>
      <c r="D5836" s="56" t="b">
        <v>0</v>
      </c>
      <c r="E5836" s="56">
        <f ca="1">IF(PV[[#This Row],[Business Date]]=Control!$C$6, PV[[#This Row],[Notional Value Local Cur]], -PV[[#This Row],[Notional Value Local Cur]])</f>
        <v>0</v>
      </c>
    </row>
    <row r="5837" spans="1:5" x14ac:dyDescent="0.25">
      <c r="A5837" s="36" t="b">
        <v>0</v>
      </c>
      <c r="B5837" s="56" t="b">
        <v>0</v>
      </c>
      <c r="C5837" s="56" t="b">
        <v>0</v>
      </c>
      <c r="D5837" s="56" t="b">
        <v>0</v>
      </c>
      <c r="E5837" s="56">
        <f ca="1">IF(PV[[#This Row],[Business Date]]=Control!$C$6, PV[[#This Row],[Notional Value Local Cur]], -PV[[#This Row],[Notional Value Local Cur]])</f>
        <v>0</v>
      </c>
    </row>
    <row r="5838" spans="1:5" x14ac:dyDescent="0.25">
      <c r="A5838" s="36" t="b">
        <v>0</v>
      </c>
      <c r="B5838" s="56" t="b">
        <v>0</v>
      </c>
      <c r="C5838" s="56" t="b">
        <v>0</v>
      </c>
      <c r="D5838" s="56" t="b">
        <v>0</v>
      </c>
      <c r="E5838" s="56">
        <f ca="1">IF(PV[[#This Row],[Business Date]]=Control!$C$6, PV[[#This Row],[Notional Value Local Cur]], -PV[[#This Row],[Notional Value Local Cur]])</f>
        <v>0</v>
      </c>
    </row>
    <row r="5839" spans="1:5" x14ac:dyDescent="0.25">
      <c r="A5839" s="36" t="b">
        <v>0</v>
      </c>
      <c r="B5839" s="56" t="b">
        <v>0</v>
      </c>
      <c r="C5839" s="56" t="b">
        <v>0</v>
      </c>
      <c r="D5839" s="56" t="b">
        <v>0</v>
      </c>
      <c r="E5839" s="56">
        <f ca="1">IF(PV[[#This Row],[Business Date]]=Control!$C$6, PV[[#This Row],[Notional Value Local Cur]], -PV[[#This Row],[Notional Value Local Cur]])</f>
        <v>0</v>
      </c>
    </row>
    <row r="5840" spans="1:5" x14ac:dyDescent="0.25">
      <c r="A5840" s="36" t="b">
        <v>0</v>
      </c>
      <c r="B5840" s="56" t="b">
        <v>0</v>
      </c>
      <c r="C5840" s="56" t="b">
        <v>0</v>
      </c>
      <c r="D5840" s="56" t="b">
        <v>0</v>
      </c>
      <c r="E5840" s="56">
        <f ca="1">IF(PV[[#This Row],[Business Date]]=Control!$C$6, PV[[#This Row],[Notional Value Local Cur]], -PV[[#This Row],[Notional Value Local Cur]])</f>
        <v>0</v>
      </c>
    </row>
    <row r="5841" spans="1:5" x14ac:dyDescent="0.25">
      <c r="A5841" s="36" t="b">
        <v>0</v>
      </c>
      <c r="B5841" s="56" t="b">
        <v>0</v>
      </c>
      <c r="C5841" s="56" t="b">
        <v>0</v>
      </c>
      <c r="D5841" s="56" t="b">
        <v>0</v>
      </c>
      <c r="E5841" s="56">
        <f ca="1">IF(PV[[#This Row],[Business Date]]=Control!$C$6, PV[[#This Row],[Notional Value Local Cur]], -PV[[#This Row],[Notional Value Local Cur]])</f>
        <v>0</v>
      </c>
    </row>
    <row r="5842" spans="1:5" x14ac:dyDescent="0.25">
      <c r="A5842" s="36" t="b">
        <v>0</v>
      </c>
      <c r="B5842" s="56" t="b">
        <v>0</v>
      </c>
      <c r="C5842" s="56" t="b">
        <v>0</v>
      </c>
      <c r="D5842" s="56" t="b">
        <v>0</v>
      </c>
      <c r="E5842" s="56">
        <f ca="1">IF(PV[[#This Row],[Business Date]]=Control!$C$6, PV[[#This Row],[Notional Value Local Cur]], -PV[[#This Row],[Notional Value Local Cur]])</f>
        <v>0</v>
      </c>
    </row>
    <row r="5843" spans="1:5" x14ac:dyDescent="0.25">
      <c r="A5843" s="36" t="b">
        <v>0</v>
      </c>
      <c r="B5843" s="56" t="b">
        <v>0</v>
      </c>
      <c r="C5843" s="56" t="b">
        <v>0</v>
      </c>
      <c r="D5843" s="56" t="b">
        <v>0</v>
      </c>
      <c r="E5843" s="56">
        <f ca="1">IF(PV[[#This Row],[Business Date]]=Control!$C$6, PV[[#This Row],[Notional Value Local Cur]], -PV[[#This Row],[Notional Value Local Cur]])</f>
        <v>0</v>
      </c>
    </row>
    <row r="5844" spans="1:5" x14ac:dyDescent="0.25">
      <c r="A5844" s="36" t="b">
        <v>0</v>
      </c>
      <c r="B5844" s="56" t="b">
        <v>0</v>
      </c>
      <c r="C5844" s="56" t="b">
        <v>0</v>
      </c>
      <c r="D5844" s="56" t="b">
        <v>0</v>
      </c>
      <c r="E5844" s="56">
        <f ca="1">IF(PV[[#This Row],[Business Date]]=Control!$C$6, PV[[#This Row],[Notional Value Local Cur]], -PV[[#This Row],[Notional Value Local Cur]])</f>
        <v>0</v>
      </c>
    </row>
    <row r="5845" spans="1:5" x14ac:dyDescent="0.25">
      <c r="A5845" s="36" t="b">
        <v>0</v>
      </c>
      <c r="B5845" s="56" t="b">
        <v>0</v>
      </c>
      <c r="C5845" s="56" t="b">
        <v>0</v>
      </c>
      <c r="D5845" s="56" t="b">
        <v>0</v>
      </c>
      <c r="E5845" s="56">
        <f ca="1">IF(PV[[#This Row],[Business Date]]=Control!$C$6, PV[[#This Row],[Notional Value Local Cur]], -PV[[#This Row],[Notional Value Local Cur]])</f>
        <v>0</v>
      </c>
    </row>
    <row r="5846" spans="1:5" x14ac:dyDescent="0.25">
      <c r="A5846" s="36" t="b">
        <v>0</v>
      </c>
      <c r="B5846" s="56" t="b">
        <v>0</v>
      </c>
      <c r="C5846" s="56" t="b">
        <v>0</v>
      </c>
      <c r="D5846" s="56" t="b">
        <v>0</v>
      </c>
      <c r="E5846" s="56">
        <f ca="1">IF(PV[[#This Row],[Business Date]]=Control!$C$6, PV[[#This Row],[Notional Value Local Cur]], -PV[[#This Row],[Notional Value Local Cur]])</f>
        <v>0</v>
      </c>
    </row>
    <row r="5847" spans="1:5" x14ac:dyDescent="0.25">
      <c r="A5847" s="36" t="b">
        <v>0</v>
      </c>
      <c r="B5847" s="56" t="b">
        <v>0</v>
      </c>
      <c r="C5847" s="56" t="b">
        <v>0</v>
      </c>
      <c r="D5847" s="56" t="b">
        <v>0</v>
      </c>
      <c r="E5847" s="56">
        <f ca="1">IF(PV[[#This Row],[Business Date]]=Control!$C$6, PV[[#This Row],[Notional Value Local Cur]], -PV[[#This Row],[Notional Value Local Cur]])</f>
        <v>0</v>
      </c>
    </row>
    <row r="5848" spans="1:5" x14ac:dyDescent="0.25">
      <c r="A5848" s="36" t="b">
        <v>0</v>
      </c>
      <c r="B5848" s="56" t="b">
        <v>0</v>
      </c>
      <c r="C5848" s="56" t="b">
        <v>0</v>
      </c>
      <c r="D5848" s="56" t="b">
        <v>0</v>
      </c>
      <c r="E5848" s="56">
        <f ca="1">IF(PV[[#This Row],[Business Date]]=Control!$C$6, PV[[#This Row],[Notional Value Local Cur]], -PV[[#This Row],[Notional Value Local Cur]])</f>
        <v>0</v>
      </c>
    </row>
    <row r="5849" spans="1:5" x14ac:dyDescent="0.25">
      <c r="A5849" s="36" t="b">
        <v>0</v>
      </c>
      <c r="B5849" s="56" t="b">
        <v>0</v>
      </c>
      <c r="C5849" s="56" t="b">
        <v>0</v>
      </c>
      <c r="D5849" s="56" t="b">
        <v>0</v>
      </c>
      <c r="E5849" s="56">
        <f ca="1">IF(PV[[#This Row],[Business Date]]=Control!$C$6, PV[[#This Row],[Notional Value Local Cur]], -PV[[#This Row],[Notional Value Local Cur]])</f>
        <v>0</v>
      </c>
    </row>
    <row r="5850" spans="1:5" x14ac:dyDescent="0.25">
      <c r="A5850" s="36" t="b">
        <v>0</v>
      </c>
      <c r="B5850" s="56" t="b">
        <v>0</v>
      </c>
      <c r="C5850" s="56" t="b">
        <v>0</v>
      </c>
      <c r="D5850" s="56" t="b">
        <v>0</v>
      </c>
      <c r="E5850" s="56">
        <f ca="1">IF(PV[[#This Row],[Business Date]]=Control!$C$6, PV[[#This Row],[Notional Value Local Cur]], -PV[[#This Row],[Notional Value Local Cur]])</f>
        <v>0</v>
      </c>
    </row>
    <row r="5851" spans="1:5" x14ac:dyDescent="0.25">
      <c r="A5851" s="36" t="b">
        <v>0</v>
      </c>
      <c r="B5851" s="56" t="b">
        <v>0</v>
      </c>
      <c r="C5851" s="56" t="b">
        <v>0</v>
      </c>
      <c r="D5851" s="56" t="b">
        <v>0</v>
      </c>
      <c r="E5851" s="56">
        <f ca="1">IF(PV[[#This Row],[Business Date]]=Control!$C$6, PV[[#This Row],[Notional Value Local Cur]], -PV[[#This Row],[Notional Value Local Cur]])</f>
        <v>0</v>
      </c>
    </row>
    <row r="5852" spans="1:5" x14ac:dyDescent="0.25">
      <c r="A5852" s="36" t="b">
        <v>0</v>
      </c>
      <c r="B5852" s="56" t="b">
        <v>0</v>
      </c>
      <c r="C5852" s="56" t="b">
        <v>0</v>
      </c>
      <c r="D5852" s="56" t="b">
        <v>0</v>
      </c>
      <c r="E5852" s="56">
        <f ca="1">IF(PV[[#This Row],[Business Date]]=Control!$C$6, PV[[#This Row],[Notional Value Local Cur]], -PV[[#This Row],[Notional Value Local Cur]])</f>
        <v>0</v>
      </c>
    </row>
    <row r="5853" spans="1:5" x14ac:dyDescent="0.25">
      <c r="A5853" s="36" t="b">
        <v>0</v>
      </c>
      <c r="B5853" s="56" t="b">
        <v>0</v>
      </c>
      <c r="C5853" s="56" t="b">
        <v>0</v>
      </c>
      <c r="D5853" s="56" t="b">
        <v>0</v>
      </c>
      <c r="E5853" s="56">
        <f ca="1">IF(PV[[#This Row],[Business Date]]=Control!$C$6, PV[[#This Row],[Notional Value Local Cur]], -PV[[#This Row],[Notional Value Local Cur]])</f>
        <v>0</v>
      </c>
    </row>
    <row r="5854" spans="1:5" x14ac:dyDescent="0.25">
      <c r="A5854" s="36" t="b">
        <v>0</v>
      </c>
      <c r="B5854" s="56" t="b">
        <v>0</v>
      </c>
      <c r="C5854" s="56" t="b">
        <v>0</v>
      </c>
      <c r="D5854" s="56" t="b">
        <v>0</v>
      </c>
      <c r="E5854" s="56">
        <f ca="1">IF(PV[[#This Row],[Business Date]]=Control!$C$6, PV[[#This Row],[Notional Value Local Cur]], -PV[[#This Row],[Notional Value Local Cur]])</f>
        <v>0</v>
      </c>
    </row>
    <row r="5855" spans="1:5" x14ac:dyDescent="0.25">
      <c r="A5855" s="36" t="b">
        <v>0</v>
      </c>
      <c r="B5855" s="56" t="b">
        <v>0</v>
      </c>
      <c r="C5855" s="56" t="b">
        <v>0</v>
      </c>
      <c r="D5855" s="56" t="b">
        <v>0</v>
      </c>
      <c r="E5855" s="56">
        <f ca="1">IF(PV[[#This Row],[Business Date]]=Control!$C$6, PV[[#This Row],[Notional Value Local Cur]], -PV[[#This Row],[Notional Value Local Cur]])</f>
        <v>0</v>
      </c>
    </row>
    <row r="5856" spans="1:5" x14ac:dyDescent="0.25">
      <c r="A5856" s="36" t="b">
        <v>0</v>
      </c>
      <c r="B5856" s="56" t="b">
        <v>0</v>
      </c>
      <c r="C5856" s="56" t="b">
        <v>0</v>
      </c>
      <c r="D5856" s="56" t="b">
        <v>0</v>
      </c>
      <c r="E5856" s="56">
        <f ca="1">IF(PV[[#This Row],[Business Date]]=Control!$C$6, PV[[#This Row],[Notional Value Local Cur]], -PV[[#This Row],[Notional Value Local Cur]])</f>
        <v>0</v>
      </c>
    </row>
    <row r="5857" spans="1:5" x14ac:dyDescent="0.25">
      <c r="A5857" s="36" t="b">
        <v>0</v>
      </c>
      <c r="B5857" s="56" t="b">
        <v>0</v>
      </c>
      <c r="C5857" s="56" t="b">
        <v>0</v>
      </c>
      <c r="D5857" s="56" t="b">
        <v>0</v>
      </c>
      <c r="E5857" s="56">
        <f ca="1">IF(PV[[#This Row],[Business Date]]=Control!$C$6, PV[[#This Row],[Notional Value Local Cur]], -PV[[#This Row],[Notional Value Local Cur]])</f>
        <v>0</v>
      </c>
    </row>
    <row r="5858" spans="1:5" x14ac:dyDescent="0.25">
      <c r="A5858" s="36" t="b">
        <v>0</v>
      </c>
      <c r="B5858" s="56" t="b">
        <v>0</v>
      </c>
      <c r="C5858" s="56" t="b">
        <v>0</v>
      </c>
      <c r="D5858" s="56" t="b">
        <v>0</v>
      </c>
      <c r="E5858" s="56">
        <f ca="1">IF(PV[[#This Row],[Business Date]]=Control!$C$6, PV[[#This Row],[Notional Value Local Cur]], -PV[[#This Row],[Notional Value Local Cur]])</f>
        <v>0</v>
      </c>
    </row>
    <row r="5859" spans="1:5" x14ac:dyDescent="0.25">
      <c r="A5859" s="36" t="b">
        <v>0</v>
      </c>
      <c r="B5859" s="56" t="b">
        <v>0</v>
      </c>
      <c r="C5859" s="56" t="b">
        <v>0</v>
      </c>
      <c r="D5859" s="56" t="b">
        <v>0</v>
      </c>
      <c r="E5859" s="56">
        <f ca="1">IF(PV[[#This Row],[Business Date]]=Control!$C$6, PV[[#This Row],[Notional Value Local Cur]], -PV[[#This Row],[Notional Value Local Cur]])</f>
        <v>0</v>
      </c>
    </row>
    <row r="5860" spans="1:5" x14ac:dyDescent="0.25">
      <c r="A5860" s="36" t="b">
        <v>0</v>
      </c>
      <c r="B5860" s="56" t="b">
        <v>0</v>
      </c>
      <c r="C5860" s="56" t="b">
        <v>0</v>
      </c>
      <c r="D5860" s="56" t="b">
        <v>0</v>
      </c>
      <c r="E5860" s="56">
        <f ca="1">IF(PV[[#This Row],[Business Date]]=Control!$C$6, PV[[#This Row],[Notional Value Local Cur]], -PV[[#This Row],[Notional Value Local Cur]])</f>
        <v>0</v>
      </c>
    </row>
    <row r="5861" spans="1:5" x14ac:dyDescent="0.25">
      <c r="A5861" s="36" t="b">
        <v>0</v>
      </c>
      <c r="B5861" s="56" t="b">
        <v>0</v>
      </c>
      <c r="C5861" s="56" t="b">
        <v>0</v>
      </c>
      <c r="D5861" s="56" t="b">
        <v>0</v>
      </c>
      <c r="E5861" s="56">
        <f ca="1">IF(PV[[#This Row],[Business Date]]=Control!$C$6, PV[[#This Row],[Notional Value Local Cur]], -PV[[#This Row],[Notional Value Local Cur]])</f>
        <v>0</v>
      </c>
    </row>
    <row r="5862" spans="1:5" x14ac:dyDescent="0.25">
      <c r="A5862" s="36" t="b">
        <v>0</v>
      </c>
      <c r="B5862" s="56" t="b">
        <v>0</v>
      </c>
      <c r="C5862" s="56" t="b">
        <v>0</v>
      </c>
      <c r="D5862" s="56" t="b">
        <v>0</v>
      </c>
      <c r="E5862" s="56">
        <f ca="1">IF(PV[[#This Row],[Business Date]]=Control!$C$6, PV[[#This Row],[Notional Value Local Cur]], -PV[[#This Row],[Notional Value Local Cur]])</f>
        <v>0</v>
      </c>
    </row>
    <row r="5863" spans="1:5" x14ac:dyDescent="0.25">
      <c r="A5863" s="36" t="b">
        <v>0</v>
      </c>
      <c r="B5863" s="56" t="b">
        <v>0</v>
      </c>
      <c r="C5863" s="56" t="b">
        <v>0</v>
      </c>
      <c r="D5863" s="56" t="b">
        <v>0</v>
      </c>
      <c r="E5863" s="56">
        <f ca="1">IF(PV[[#This Row],[Business Date]]=Control!$C$6, PV[[#This Row],[Notional Value Local Cur]], -PV[[#This Row],[Notional Value Local Cur]])</f>
        <v>0</v>
      </c>
    </row>
    <row r="5864" spans="1:5" x14ac:dyDescent="0.25">
      <c r="A5864" s="36" t="b">
        <v>0</v>
      </c>
      <c r="B5864" s="56" t="b">
        <v>0</v>
      </c>
      <c r="C5864" s="56" t="b">
        <v>0</v>
      </c>
      <c r="D5864" s="56" t="b">
        <v>0</v>
      </c>
      <c r="E5864" s="56">
        <f ca="1">IF(PV[[#This Row],[Business Date]]=Control!$C$6, PV[[#This Row],[Notional Value Local Cur]], -PV[[#This Row],[Notional Value Local Cur]])</f>
        <v>0</v>
      </c>
    </row>
    <row r="5865" spans="1:5" x14ac:dyDescent="0.25">
      <c r="A5865" s="36" t="b">
        <v>0</v>
      </c>
      <c r="B5865" s="56" t="b">
        <v>0</v>
      </c>
      <c r="C5865" s="56" t="b">
        <v>0</v>
      </c>
      <c r="D5865" s="56" t="b">
        <v>0</v>
      </c>
      <c r="E5865" s="56">
        <f ca="1">IF(PV[[#This Row],[Business Date]]=Control!$C$6, PV[[#This Row],[Notional Value Local Cur]], -PV[[#This Row],[Notional Value Local Cur]])</f>
        <v>0</v>
      </c>
    </row>
    <row r="5866" spans="1:5" x14ac:dyDescent="0.25">
      <c r="A5866" s="36" t="b">
        <v>0</v>
      </c>
      <c r="B5866" s="56" t="b">
        <v>0</v>
      </c>
      <c r="C5866" s="56" t="b">
        <v>0</v>
      </c>
      <c r="D5866" s="56" t="b">
        <v>0</v>
      </c>
      <c r="E5866" s="56">
        <f ca="1">IF(PV[[#This Row],[Business Date]]=Control!$C$6, PV[[#This Row],[Notional Value Local Cur]], -PV[[#This Row],[Notional Value Local Cur]])</f>
        <v>0</v>
      </c>
    </row>
    <row r="5867" spans="1:5" x14ac:dyDescent="0.25">
      <c r="A5867" s="36" t="b">
        <v>0</v>
      </c>
      <c r="B5867" s="56" t="b">
        <v>0</v>
      </c>
      <c r="C5867" s="56" t="b">
        <v>0</v>
      </c>
      <c r="D5867" s="56" t="b">
        <v>0</v>
      </c>
      <c r="E5867" s="56">
        <f ca="1">IF(PV[[#This Row],[Business Date]]=Control!$C$6, PV[[#This Row],[Notional Value Local Cur]], -PV[[#This Row],[Notional Value Local Cur]])</f>
        <v>0</v>
      </c>
    </row>
    <row r="5868" spans="1:5" x14ac:dyDescent="0.25">
      <c r="A5868" s="36" t="b">
        <v>0</v>
      </c>
      <c r="B5868" s="56" t="b">
        <v>0</v>
      </c>
      <c r="C5868" s="56" t="b">
        <v>0</v>
      </c>
      <c r="D5868" s="56" t="b">
        <v>0</v>
      </c>
      <c r="E5868" s="56">
        <f ca="1">IF(PV[[#This Row],[Business Date]]=Control!$C$6, PV[[#This Row],[Notional Value Local Cur]], -PV[[#This Row],[Notional Value Local Cur]])</f>
        <v>0</v>
      </c>
    </row>
    <row r="5869" spans="1:5" x14ac:dyDescent="0.25">
      <c r="A5869" s="36" t="b">
        <v>0</v>
      </c>
      <c r="B5869" s="56" t="b">
        <v>0</v>
      </c>
      <c r="C5869" s="56" t="b">
        <v>0</v>
      </c>
      <c r="D5869" s="56" t="b">
        <v>0</v>
      </c>
      <c r="E5869" s="56">
        <f ca="1">IF(PV[[#This Row],[Business Date]]=Control!$C$6, PV[[#This Row],[Notional Value Local Cur]], -PV[[#This Row],[Notional Value Local Cur]])</f>
        <v>0</v>
      </c>
    </row>
    <row r="5870" spans="1:5" x14ac:dyDescent="0.25">
      <c r="A5870" s="36" t="b">
        <v>0</v>
      </c>
      <c r="B5870" s="56" t="b">
        <v>0</v>
      </c>
      <c r="C5870" s="56" t="b">
        <v>0</v>
      </c>
      <c r="D5870" s="56" t="b">
        <v>0</v>
      </c>
      <c r="E5870" s="56">
        <f ca="1">IF(PV[[#This Row],[Business Date]]=Control!$C$6, PV[[#This Row],[Notional Value Local Cur]], -PV[[#This Row],[Notional Value Local Cur]])</f>
        <v>0</v>
      </c>
    </row>
    <row r="5871" spans="1:5" x14ac:dyDescent="0.25">
      <c r="A5871" s="36" t="b">
        <v>0</v>
      </c>
      <c r="B5871" s="56" t="b">
        <v>0</v>
      </c>
      <c r="C5871" s="56" t="b">
        <v>0</v>
      </c>
      <c r="D5871" s="56" t="b">
        <v>0</v>
      </c>
      <c r="E5871" s="56">
        <f ca="1">IF(PV[[#This Row],[Business Date]]=Control!$C$6, PV[[#This Row],[Notional Value Local Cur]], -PV[[#This Row],[Notional Value Local Cur]])</f>
        <v>0</v>
      </c>
    </row>
    <row r="5872" spans="1:5" x14ac:dyDescent="0.25">
      <c r="A5872" s="36" t="b">
        <v>0</v>
      </c>
      <c r="B5872" s="56" t="b">
        <v>0</v>
      </c>
      <c r="C5872" s="56" t="b">
        <v>0</v>
      </c>
      <c r="D5872" s="56" t="b">
        <v>0</v>
      </c>
      <c r="E5872" s="56">
        <f ca="1">IF(PV[[#This Row],[Business Date]]=Control!$C$6, PV[[#This Row],[Notional Value Local Cur]], -PV[[#This Row],[Notional Value Local Cur]])</f>
        <v>0</v>
      </c>
    </row>
    <row r="5873" spans="1:5" x14ac:dyDescent="0.25">
      <c r="A5873" s="36" t="b">
        <v>0</v>
      </c>
      <c r="B5873" s="56" t="b">
        <v>0</v>
      </c>
      <c r="C5873" s="56" t="b">
        <v>0</v>
      </c>
      <c r="D5873" s="56" t="b">
        <v>0</v>
      </c>
      <c r="E5873" s="56">
        <f ca="1">IF(PV[[#This Row],[Business Date]]=Control!$C$6, PV[[#This Row],[Notional Value Local Cur]], -PV[[#This Row],[Notional Value Local Cur]])</f>
        <v>0</v>
      </c>
    </row>
    <row r="5874" spans="1:5" x14ac:dyDescent="0.25">
      <c r="A5874" s="36" t="b">
        <v>0</v>
      </c>
      <c r="B5874" s="56" t="b">
        <v>0</v>
      </c>
      <c r="C5874" s="56" t="b">
        <v>0</v>
      </c>
      <c r="D5874" s="56" t="b">
        <v>0</v>
      </c>
      <c r="E5874" s="56">
        <f ca="1">IF(PV[[#This Row],[Business Date]]=Control!$C$6, PV[[#This Row],[Notional Value Local Cur]], -PV[[#This Row],[Notional Value Local Cur]])</f>
        <v>0</v>
      </c>
    </row>
    <row r="5875" spans="1:5" x14ac:dyDescent="0.25">
      <c r="A5875" s="36" t="b">
        <v>0</v>
      </c>
      <c r="B5875" s="56" t="b">
        <v>0</v>
      </c>
      <c r="C5875" s="56" t="b">
        <v>0</v>
      </c>
      <c r="D5875" s="56" t="b">
        <v>0</v>
      </c>
      <c r="E5875" s="56">
        <f ca="1">IF(PV[[#This Row],[Business Date]]=Control!$C$6, PV[[#This Row],[Notional Value Local Cur]], -PV[[#This Row],[Notional Value Local Cur]])</f>
        <v>0</v>
      </c>
    </row>
    <row r="5876" spans="1:5" x14ac:dyDescent="0.25">
      <c r="A5876" s="36" t="b">
        <v>0</v>
      </c>
      <c r="B5876" s="56" t="b">
        <v>0</v>
      </c>
      <c r="C5876" s="56" t="b">
        <v>0</v>
      </c>
      <c r="D5876" s="56" t="b">
        <v>0</v>
      </c>
      <c r="E5876" s="56">
        <f ca="1">IF(PV[[#This Row],[Business Date]]=Control!$C$6, PV[[#This Row],[Notional Value Local Cur]], -PV[[#This Row],[Notional Value Local Cur]])</f>
        <v>0</v>
      </c>
    </row>
    <row r="5877" spans="1:5" x14ac:dyDescent="0.25">
      <c r="A5877" s="36" t="b">
        <v>0</v>
      </c>
      <c r="B5877" s="56" t="b">
        <v>0</v>
      </c>
      <c r="C5877" s="56" t="b">
        <v>0</v>
      </c>
      <c r="D5877" s="56" t="b">
        <v>0</v>
      </c>
      <c r="E5877" s="56">
        <f ca="1">IF(PV[[#This Row],[Business Date]]=Control!$C$6, PV[[#This Row],[Notional Value Local Cur]], -PV[[#This Row],[Notional Value Local Cur]])</f>
        <v>0</v>
      </c>
    </row>
    <row r="5878" spans="1:5" x14ac:dyDescent="0.25">
      <c r="A5878" s="36" t="b">
        <v>0</v>
      </c>
      <c r="B5878" s="56" t="b">
        <v>0</v>
      </c>
      <c r="C5878" s="56" t="b">
        <v>0</v>
      </c>
      <c r="D5878" s="56" t="b">
        <v>0</v>
      </c>
      <c r="E5878" s="56">
        <f ca="1">IF(PV[[#This Row],[Business Date]]=Control!$C$6, PV[[#This Row],[Notional Value Local Cur]], -PV[[#This Row],[Notional Value Local Cur]])</f>
        <v>0</v>
      </c>
    </row>
    <row r="5879" spans="1:5" x14ac:dyDescent="0.25">
      <c r="A5879" s="36" t="b">
        <v>0</v>
      </c>
      <c r="B5879" s="56" t="b">
        <v>0</v>
      </c>
      <c r="C5879" s="56" t="b">
        <v>0</v>
      </c>
      <c r="D5879" s="56" t="b">
        <v>0</v>
      </c>
      <c r="E5879" s="56">
        <f ca="1">IF(PV[[#This Row],[Business Date]]=Control!$C$6, PV[[#This Row],[Notional Value Local Cur]], -PV[[#This Row],[Notional Value Local Cur]])</f>
        <v>0</v>
      </c>
    </row>
    <row r="5880" spans="1:5" x14ac:dyDescent="0.25">
      <c r="A5880" s="36" t="b">
        <v>0</v>
      </c>
      <c r="B5880" s="56" t="b">
        <v>0</v>
      </c>
      <c r="C5880" s="56" t="b">
        <v>0</v>
      </c>
      <c r="D5880" s="56" t="b">
        <v>0</v>
      </c>
      <c r="E5880" s="56">
        <f ca="1">IF(PV[[#This Row],[Business Date]]=Control!$C$6, PV[[#This Row],[Notional Value Local Cur]], -PV[[#This Row],[Notional Value Local Cur]])</f>
        <v>0</v>
      </c>
    </row>
    <row r="5881" spans="1:5" x14ac:dyDescent="0.25">
      <c r="A5881" s="36" t="b">
        <v>0</v>
      </c>
      <c r="B5881" s="56" t="b">
        <v>0</v>
      </c>
      <c r="C5881" s="56" t="b">
        <v>0</v>
      </c>
      <c r="D5881" s="56" t="b">
        <v>0</v>
      </c>
      <c r="E5881" s="56">
        <f ca="1">IF(PV[[#This Row],[Business Date]]=Control!$C$6, PV[[#This Row],[Notional Value Local Cur]], -PV[[#This Row],[Notional Value Local Cur]])</f>
        <v>0</v>
      </c>
    </row>
    <row r="5882" spans="1:5" x14ac:dyDescent="0.25">
      <c r="A5882" s="36" t="b">
        <v>0</v>
      </c>
      <c r="B5882" s="56" t="b">
        <v>0</v>
      </c>
      <c r="C5882" s="56" t="b">
        <v>0</v>
      </c>
      <c r="D5882" s="56" t="b">
        <v>0</v>
      </c>
      <c r="E5882" s="56">
        <f ca="1">IF(PV[[#This Row],[Business Date]]=Control!$C$6, PV[[#This Row],[Notional Value Local Cur]], -PV[[#This Row],[Notional Value Local Cur]])</f>
        <v>0</v>
      </c>
    </row>
    <row r="5883" spans="1:5" x14ac:dyDescent="0.25">
      <c r="A5883" s="36" t="b">
        <v>0</v>
      </c>
      <c r="B5883" s="56" t="b">
        <v>0</v>
      </c>
      <c r="C5883" s="56" t="b">
        <v>0</v>
      </c>
      <c r="D5883" s="56" t="b">
        <v>0</v>
      </c>
      <c r="E5883" s="56">
        <f ca="1">IF(PV[[#This Row],[Business Date]]=Control!$C$6, PV[[#This Row],[Notional Value Local Cur]], -PV[[#This Row],[Notional Value Local Cur]])</f>
        <v>0</v>
      </c>
    </row>
    <row r="5884" spans="1:5" x14ac:dyDescent="0.25">
      <c r="A5884" s="36" t="b">
        <v>0</v>
      </c>
      <c r="B5884" s="56" t="b">
        <v>0</v>
      </c>
      <c r="C5884" s="56" t="b">
        <v>0</v>
      </c>
      <c r="D5884" s="56" t="b">
        <v>0</v>
      </c>
      <c r="E5884" s="56">
        <f ca="1">IF(PV[[#This Row],[Business Date]]=Control!$C$6, PV[[#This Row],[Notional Value Local Cur]], -PV[[#This Row],[Notional Value Local Cur]])</f>
        <v>0</v>
      </c>
    </row>
    <row r="5885" spans="1:5" x14ac:dyDescent="0.25">
      <c r="A5885" s="36" t="b">
        <v>0</v>
      </c>
      <c r="B5885" s="56" t="b">
        <v>0</v>
      </c>
      <c r="C5885" s="56" t="b">
        <v>0</v>
      </c>
      <c r="D5885" s="56" t="b">
        <v>0</v>
      </c>
      <c r="E5885" s="56">
        <f ca="1">IF(PV[[#This Row],[Business Date]]=Control!$C$6, PV[[#This Row],[Notional Value Local Cur]], -PV[[#This Row],[Notional Value Local Cur]])</f>
        <v>0</v>
      </c>
    </row>
    <row r="5886" spans="1:5" x14ac:dyDescent="0.25">
      <c r="A5886" s="36" t="b">
        <v>0</v>
      </c>
      <c r="B5886" s="56" t="b">
        <v>0</v>
      </c>
      <c r="C5886" s="56" t="b">
        <v>0</v>
      </c>
      <c r="D5886" s="56" t="b">
        <v>0</v>
      </c>
      <c r="E5886" s="56">
        <f ca="1">IF(PV[[#This Row],[Business Date]]=Control!$C$6, PV[[#This Row],[Notional Value Local Cur]], -PV[[#This Row],[Notional Value Local Cur]])</f>
        <v>0</v>
      </c>
    </row>
    <row r="5887" spans="1:5" x14ac:dyDescent="0.25">
      <c r="A5887" s="36" t="b">
        <v>0</v>
      </c>
      <c r="B5887" s="56" t="b">
        <v>0</v>
      </c>
      <c r="C5887" s="56" t="b">
        <v>0</v>
      </c>
      <c r="D5887" s="56" t="b">
        <v>0</v>
      </c>
      <c r="E5887" s="56">
        <f ca="1">IF(PV[[#This Row],[Business Date]]=Control!$C$6, PV[[#This Row],[Notional Value Local Cur]], -PV[[#This Row],[Notional Value Local Cur]])</f>
        <v>0</v>
      </c>
    </row>
    <row r="5888" spans="1:5" x14ac:dyDescent="0.25">
      <c r="A5888" s="36" t="b">
        <v>0</v>
      </c>
      <c r="B5888" s="56" t="b">
        <v>0</v>
      </c>
      <c r="C5888" s="56" t="b">
        <v>0</v>
      </c>
      <c r="D5888" s="56" t="b">
        <v>0</v>
      </c>
      <c r="E5888" s="56">
        <f ca="1">IF(PV[[#This Row],[Business Date]]=Control!$C$6, PV[[#This Row],[Notional Value Local Cur]], -PV[[#This Row],[Notional Value Local Cur]])</f>
        <v>0</v>
      </c>
    </row>
    <row r="5889" spans="1:5" x14ac:dyDescent="0.25">
      <c r="A5889" s="36" t="b">
        <v>0</v>
      </c>
      <c r="B5889" s="56" t="b">
        <v>0</v>
      </c>
      <c r="C5889" s="56" t="b">
        <v>0</v>
      </c>
      <c r="D5889" s="56" t="b">
        <v>0</v>
      </c>
      <c r="E5889" s="56">
        <f ca="1">IF(PV[[#This Row],[Business Date]]=Control!$C$6, PV[[#This Row],[Notional Value Local Cur]], -PV[[#This Row],[Notional Value Local Cur]])</f>
        <v>0</v>
      </c>
    </row>
    <row r="5890" spans="1:5" x14ac:dyDescent="0.25">
      <c r="A5890" s="36" t="b">
        <v>0</v>
      </c>
      <c r="B5890" s="56" t="b">
        <v>0</v>
      </c>
      <c r="C5890" s="56" t="b">
        <v>0</v>
      </c>
      <c r="D5890" s="56" t="b">
        <v>0</v>
      </c>
      <c r="E5890" s="56">
        <f ca="1">IF(PV[[#This Row],[Business Date]]=Control!$C$6, PV[[#This Row],[Notional Value Local Cur]], -PV[[#This Row],[Notional Value Local Cur]])</f>
        <v>0</v>
      </c>
    </row>
    <row r="5891" spans="1:5" x14ac:dyDescent="0.25">
      <c r="A5891" s="36" t="b">
        <v>0</v>
      </c>
      <c r="B5891" s="56" t="b">
        <v>0</v>
      </c>
      <c r="C5891" s="56" t="b">
        <v>0</v>
      </c>
      <c r="D5891" s="56" t="b">
        <v>0</v>
      </c>
      <c r="E5891" s="56">
        <f ca="1">IF(PV[[#This Row],[Business Date]]=Control!$C$6, PV[[#This Row],[Notional Value Local Cur]], -PV[[#This Row],[Notional Value Local Cur]])</f>
        <v>0</v>
      </c>
    </row>
    <row r="5892" spans="1:5" x14ac:dyDescent="0.25">
      <c r="A5892" s="36" t="b">
        <v>0</v>
      </c>
      <c r="B5892" s="56" t="b">
        <v>0</v>
      </c>
      <c r="C5892" s="56" t="b">
        <v>0</v>
      </c>
      <c r="D5892" s="56" t="b">
        <v>0</v>
      </c>
      <c r="E5892" s="56">
        <f ca="1">IF(PV[[#This Row],[Business Date]]=Control!$C$6, PV[[#This Row],[Notional Value Local Cur]], -PV[[#This Row],[Notional Value Local Cur]])</f>
        <v>0</v>
      </c>
    </row>
    <row r="5893" spans="1:5" x14ac:dyDescent="0.25">
      <c r="A5893" s="36" t="b">
        <v>0</v>
      </c>
      <c r="B5893" s="56" t="b">
        <v>0</v>
      </c>
      <c r="C5893" s="56" t="b">
        <v>0</v>
      </c>
      <c r="D5893" s="56" t="b">
        <v>0</v>
      </c>
      <c r="E5893" s="56">
        <f ca="1">IF(PV[[#This Row],[Business Date]]=Control!$C$6, PV[[#This Row],[Notional Value Local Cur]], -PV[[#This Row],[Notional Value Local Cur]])</f>
        <v>0</v>
      </c>
    </row>
    <row r="5894" spans="1:5" x14ac:dyDescent="0.25">
      <c r="A5894" s="36" t="b">
        <v>0</v>
      </c>
      <c r="B5894" s="56" t="b">
        <v>0</v>
      </c>
      <c r="C5894" s="56" t="b">
        <v>0</v>
      </c>
      <c r="D5894" s="56" t="b">
        <v>0</v>
      </c>
      <c r="E5894" s="56">
        <f ca="1">IF(PV[[#This Row],[Business Date]]=Control!$C$6, PV[[#This Row],[Notional Value Local Cur]], -PV[[#This Row],[Notional Value Local Cur]])</f>
        <v>0</v>
      </c>
    </row>
    <row r="5895" spans="1:5" x14ac:dyDescent="0.25">
      <c r="A5895" s="36" t="b">
        <v>0</v>
      </c>
      <c r="B5895" s="56" t="b">
        <v>0</v>
      </c>
      <c r="C5895" s="56" t="b">
        <v>0</v>
      </c>
      <c r="D5895" s="56" t="b">
        <v>0</v>
      </c>
      <c r="E5895" s="56">
        <f ca="1">IF(PV[[#This Row],[Business Date]]=Control!$C$6, PV[[#This Row],[Notional Value Local Cur]], -PV[[#This Row],[Notional Value Local Cur]])</f>
        <v>0</v>
      </c>
    </row>
    <row r="5896" spans="1:5" x14ac:dyDescent="0.25">
      <c r="A5896" s="36" t="b">
        <v>0</v>
      </c>
      <c r="B5896" s="56" t="b">
        <v>0</v>
      </c>
      <c r="C5896" s="56" t="b">
        <v>0</v>
      </c>
      <c r="D5896" s="56" t="b">
        <v>0</v>
      </c>
      <c r="E5896" s="56">
        <f ca="1">IF(PV[[#This Row],[Business Date]]=Control!$C$6, PV[[#This Row],[Notional Value Local Cur]], -PV[[#This Row],[Notional Value Local Cur]])</f>
        <v>0</v>
      </c>
    </row>
    <row r="5897" spans="1:5" x14ac:dyDescent="0.25">
      <c r="A5897" s="36" t="b">
        <v>0</v>
      </c>
      <c r="B5897" s="56" t="b">
        <v>0</v>
      </c>
      <c r="C5897" s="56" t="b">
        <v>0</v>
      </c>
      <c r="D5897" s="56" t="b">
        <v>0</v>
      </c>
      <c r="E5897" s="56">
        <f ca="1">IF(PV[[#This Row],[Business Date]]=Control!$C$6, PV[[#This Row],[Notional Value Local Cur]], -PV[[#This Row],[Notional Value Local Cur]])</f>
        <v>0</v>
      </c>
    </row>
    <row r="5898" spans="1:5" x14ac:dyDescent="0.25">
      <c r="A5898" s="36" t="b">
        <v>0</v>
      </c>
      <c r="B5898" s="56" t="b">
        <v>0</v>
      </c>
      <c r="C5898" s="56" t="b">
        <v>0</v>
      </c>
      <c r="D5898" s="56" t="b">
        <v>0</v>
      </c>
      <c r="E5898" s="56">
        <f ca="1">IF(PV[[#This Row],[Business Date]]=Control!$C$6, PV[[#This Row],[Notional Value Local Cur]], -PV[[#This Row],[Notional Value Local Cur]])</f>
        <v>0</v>
      </c>
    </row>
    <row r="5899" spans="1:5" x14ac:dyDescent="0.25">
      <c r="A5899" s="36" t="b">
        <v>0</v>
      </c>
      <c r="B5899" s="56" t="b">
        <v>0</v>
      </c>
      <c r="C5899" s="56" t="b">
        <v>0</v>
      </c>
      <c r="D5899" s="56" t="b">
        <v>0</v>
      </c>
      <c r="E5899" s="56">
        <f ca="1">IF(PV[[#This Row],[Business Date]]=Control!$C$6, PV[[#This Row],[Notional Value Local Cur]], -PV[[#This Row],[Notional Value Local Cur]])</f>
        <v>0</v>
      </c>
    </row>
    <row r="5900" spans="1:5" x14ac:dyDescent="0.25">
      <c r="A5900" s="36" t="b">
        <v>0</v>
      </c>
      <c r="B5900" s="56" t="b">
        <v>0</v>
      </c>
      <c r="C5900" s="56" t="b">
        <v>0</v>
      </c>
      <c r="D5900" s="56" t="b">
        <v>0</v>
      </c>
      <c r="E5900" s="56">
        <f ca="1">IF(PV[[#This Row],[Business Date]]=Control!$C$6, PV[[#This Row],[Notional Value Local Cur]], -PV[[#This Row],[Notional Value Local Cur]])</f>
        <v>0</v>
      </c>
    </row>
    <row r="5901" spans="1:5" x14ac:dyDescent="0.25">
      <c r="A5901" s="36" t="b">
        <v>0</v>
      </c>
      <c r="B5901" s="56" t="b">
        <v>0</v>
      </c>
      <c r="C5901" s="56" t="b">
        <v>0</v>
      </c>
      <c r="D5901" s="56" t="b">
        <v>0</v>
      </c>
      <c r="E5901" s="56">
        <f ca="1">IF(PV[[#This Row],[Business Date]]=Control!$C$6, PV[[#This Row],[Notional Value Local Cur]], -PV[[#This Row],[Notional Value Local Cur]])</f>
        <v>0</v>
      </c>
    </row>
    <row r="5902" spans="1:5" x14ac:dyDescent="0.25">
      <c r="A5902" s="36" t="b">
        <v>0</v>
      </c>
      <c r="B5902" s="56" t="b">
        <v>0</v>
      </c>
      <c r="C5902" s="56" t="b">
        <v>0</v>
      </c>
      <c r="D5902" s="56" t="b">
        <v>0</v>
      </c>
      <c r="E5902" s="56">
        <f ca="1">IF(PV[[#This Row],[Business Date]]=Control!$C$6, PV[[#This Row],[Notional Value Local Cur]], -PV[[#This Row],[Notional Value Local Cur]])</f>
        <v>0</v>
      </c>
    </row>
    <row r="5903" spans="1:5" x14ac:dyDescent="0.25">
      <c r="A5903" s="36" t="b">
        <v>0</v>
      </c>
      <c r="B5903" s="56" t="b">
        <v>0</v>
      </c>
      <c r="C5903" s="56" t="b">
        <v>0</v>
      </c>
      <c r="D5903" s="56" t="b">
        <v>0</v>
      </c>
      <c r="E5903" s="56">
        <f ca="1">IF(PV[[#This Row],[Business Date]]=Control!$C$6, PV[[#This Row],[Notional Value Local Cur]], -PV[[#This Row],[Notional Value Local Cur]])</f>
        <v>0</v>
      </c>
    </row>
    <row r="5904" spans="1:5" x14ac:dyDescent="0.25">
      <c r="A5904" s="36" t="b">
        <v>0</v>
      </c>
      <c r="B5904" s="56" t="b">
        <v>0</v>
      </c>
      <c r="C5904" s="56" t="b">
        <v>0</v>
      </c>
      <c r="D5904" s="56" t="b">
        <v>0</v>
      </c>
      <c r="E5904" s="56">
        <f ca="1">IF(PV[[#This Row],[Business Date]]=Control!$C$6, PV[[#This Row],[Notional Value Local Cur]], -PV[[#This Row],[Notional Value Local Cur]])</f>
        <v>0</v>
      </c>
    </row>
    <row r="5905" spans="1:5" x14ac:dyDescent="0.25">
      <c r="A5905" s="36" t="b">
        <v>0</v>
      </c>
      <c r="B5905" s="56" t="b">
        <v>0</v>
      </c>
      <c r="C5905" s="56" t="b">
        <v>0</v>
      </c>
      <c r="D5905" s="56" t="b">
        <v>0</v>
      </c>
      <c r="E5905" s="56">
        <f ca="1">IF(PV[[#This Row],[Business Date]]=Control!$C$6, PV[[#This Row],[Notional Value Local Cur]], -PV[[#This Row],[Notional Value Local Cur]])</f>
        <v>0</v>
      </c>
    </row>
    <row r="5906" spans="1:5" x14ac:dyDescent="0.25">
      <c r="A5906" s="36" t="b">
        <v>0</v>
      </c>
      <c r="B5906" s="56" t="b">
        <v>0</v>
      </c>
      <c r="C5906" s="56" t="b">
        <v>0</v>
      </c>
      <c r="D5906" s="56" t="b">
        <v>0</v>
      </c>
      <c r="E5906" s="56">
        <f ca="1">IF(PV[[#This Row],[Business Date]]=Control!$C$6, PV[[#This Row],[Notional Value Local Cur]], -PV[[#This Row],[Notional Value Local Cur]])</f>
        <v>0</v>
      </c>
    </row>
    <row r="5907" spans="1:5" x14ac:dyDescent="0.25">
      <c r="A5907" s="36" t="b">
        <v>0</v>
      </c>
      <c r="B5907" s="56" t="b">
        <v>0</v>
      </c>
      <c r="C5907" s="56" t="b">
        <v>0</v>
      </c>
      <c r="D5907" s="56" t="b">
        <v>0</v>
      </c>
      <c r="E5907" s="56">
        <f ca="1">IF(PV[[#This Row],[Business Date]]=Control!$C$6, PV[[#This Row],[Notional Value Local Cur]], -PV[[#This Row],[Notional Value Local Cur]])</f>
        <v>0</v>
      </c>
    </row>
    <row r="5908" spans="1:5" x14ac:dyDescent="0.25">
      <c r="A5908" s="36" t="b">
        <v>0</v>
      </c>
      <c r="B5908" s="56" t="b">
        <v>0</v>
      </c>
      <c r="C5908" s="56" t="b">
        <v>0</v>
      </c>
      <c r="D5908" s="56" t="b">
        <v>0</v>
      </c>
      <c r="E5908" s="56">
        <f ca="1">IF(PV[[#This Row],[Business Date]]=Control!$C$6, PV[[#This Row],[Notional Value Local Cur]], -PV[[#This Row],[Notional Value Local Cur]])</f>
        <v>0</v>
      </c>
    </row>
    <row r="5909" spans="1:5" x14ac:dyDescent="0.25">
      <c r="A5909" s="36" t="b">
        <v>0</v>
      </c>
      <c r="B5909" s="56" t="b">
        <v>0</v>
      </c>
      <c r="C5909" s="56" t="b">
        <v>0</v>
      </c>
      <c r="D5909" s="56" t="b">
        <v>0</v>
      </c>
      <c r="E5909" s="56">
        <f ca="1">IF(PV[[#This Row],[Business Date]]=Control!$C$6, PV[[#This Row],[Notional Value Local Cur]], -PV[[#This Row],[Notional Value Local Cur]])</f>
        <v>0</v>
      </c>
    </row>
    <row r="5910" spans="1:5" x14ac:dyDescent="0.25">
      <c r="A5910" s="36" t="b">
        <v>0</v>
      </c>
      <c r="B5910" s="56" t="b">
        <v>0</v>
      </c>
      <c r="C5910" s="56" t="b">
        <v>0</v>
      </c>
      <c r="D5910" s="56" t="b">
        <v>0</v>
      </c>
      <c r="E5910" s="56">
        <f ca="1">IF(PV[[#This Row],[Business Date]]=Control!$C$6, PV[[#This Row],[Notional Value Local Cur]], -PV[[#This Row],[Notional Value Local Cur]])</f>
        <v>0</v>
      </c>
    </row>
    <row r="5911" spans="1:5" x14ac:dyDescent="0.25">
      <c r="A5911" s="36" t="b">
        <v>0</v>
      </c>
      <c r="B5911" s="56" t="b">
        <v>0</v>
      </c>
      <c r="C5911" s="56" t="b">
        <v>0</v>
      </c>
      <c r="D5911" s="56" t="b">
        <v>0</v>
      </c>
      <c r="E5911" s="56">
        <f ca="1">IF(PV[[#This Row],[Business Date]]=Control!$C$6, PV[[#This Row],[Notional Value Local Cur]], -PV[[#This Row],[Notional Value Local Cur]])</f>
        <v>0</v>
      </c>
    </row>
    <row r="5912" spans="1:5" x14ac:dyDescent="0.25">
      <c r="A5912" s="36" t="b">
        <v>0</v>
      </c>
      <c r="B5912" s="56" t="b">
        <v>0</v>
      </c>
      <c r="C5912" s="56" t="b">
        <v>0</v>
      </c>
      <c r="D5912" s="56" t="b">
        <v>0</v>
      </c>
      <c r="E5912" s="56">
        <f ca="1">IF(PV[[#This Row],[Business Date]]=Control!$C$6, PV[[#This Row],[Notional Value Local Cur]], -PV[[#This Row],[Notional Value Local Cur]])</f>
        <v>0</v>
      </c>
    </row>
    <row r="5913" spans="1:5" x14ac:dyDescent="0.25">
      <c r="A5913" s="36" t="b">
        <v>0</v>
      </c>
      <c r="B5913" s="56" t="b">
        <v>0</v>
      </c>
      <c r="C5913" s="56" t="b">
        <v>0</v>
      </c>
      <c r="D5913" s="56" t="b">
        <v>0</v>
      </c>
      <c r="E5913" s="56">
        <f ca="1">IF(PV[[#This Row],[Business Date]]=Control!$C$6, PV[[#This Row],[Notional Value Local Cur]], -PV[[#This Row],[Notional Value Local Cur]])</f>
        <v>0</v>
      </c>
    </row>
    <row r="5914" spans="1:5" x14ac:dyDescent="0.25">
      <c r="A5914" s="36" t="b">
        <v>0</v>
      </c>
      <c r="B5914" s="56" t="b">
        <v>0</v>
      </c>
      <c r="C5914" s="56" t="b">
        <v>0</v>
      </c>
      <c r="D5914" s="56" t="b">
        <v>0</v>
      </c>
      <c r="E5914" s="56">
        <f ca="1">IF(PV[[#This Row],[Business Date]]=Control!$C$6, PV[[#This Row],[Notional Value Local Cur]], -PV[[#This Row],[Notional Value Local Cur]])</f>
        <v>0</v>
      </c>
    </row>
    <row r="5915" spans="1:5" x14ac:dyDescent="0.25">
      <c r="A5915" s="36" t="b">
        <v>0</v>
      </c>
      <c r="B5915" s="56" t="b">
        <v>0</v>
      </c>
      <c r="C5915" s="56" t="b">
        <v>0</v>
      </c>
      <c r="D5915" s="56" t="b">
        <v>0</v>
      </c>
      <c r="E5915" s="56">
        <f ca="1">IF(PV[[#This Row],[Business Date]]=Control!$C$6, PV[[#This Row],[Notional Value Local Cur]], -PV[[#This Row],[Notional Value Local Cur]])</f>
        <v>0</v>
      </c>
    </row>
    <row r="5916" spans="1:5" x14ac:dyDescent="0.25">
      <c r="A5916" s="36" t="b">
        <v>0</v>
      </c>
      <c r="B5916" s="56" t="b">
        <v>0</v>
      </c>
      <c r="C5916" s="56" t="b">
        <v>0</v>
      </c>
      <c r="D5916" s="56" t="b">
        <v>0</v>
      </c>
      <c r="E5916" s="56">
        <f ca="1">IF(PV[[#This Row],[Business Date]]=Control!$C$6, PV[[#This Row],[Notional Value Local Cur]], -PV[[#This Row],[Notional Value Local Cur]])</f>
        <v>0</v>
      </c>
    </row>
    <row r="5917" spans="1:5" x14ac:dyDescent="0.25">
      <c r="A5917" s="36" t="b">
        <v>0</v>
      </c>
      <c r="B5917" s="56" t="b">
        <v>0</v>
      </c>
      <c r="C5917" s="56" t="b">
        <v>0</v>
      </c>
      <c r="D5917" s="56" t="b">
        <v>0</v>
      </c>
      <c r="E5917" s="56">
        <f ca="1">IF(PV[[#This Row],[Business Date]]=Control!$C$6, PV[[#This Row],[Notional Value Local Cur]], -PV[[#This Row],[Notional Value Local Cur]])</f>
        <v>0</v>
      </c>
    </row>
    <row r="5918" spans="1:5" x14ac:dyDescent="0.25">
      <c r="A5918" s="36" t="b">
        <v>0</v>
      </c>
      <c r="B5918" s="56" t="b">
        <v>0</v>
      </c>
      <c r="C5918" s="56" t="b">
        <v>0</v>
      </c>
      <c r="D5918" s="56" t="b">
        <v>0</v>
      </c>
      <c r="E5918" s="56">
        <f ca="1">IF(PV[[#This Row],[Business Date]]=Control!$C$6, PV[[#This Row],[Notional Value Local Cur]], -PV[[#This Row],[Notional Value Local Cur]])</f>
        <v>0</v>
      </c>
    </row>
    <row r="5919" spans="1:5" x14ac:dyDescent="0.25">
      <c r="A5919" s="36" t="b">
        <v>0</v>
      </c>
      <c r="B5919" s="56" t="b">
        <v>0</v>
      </c>
      <c r="C5919" s="56" t="b">
        <v>0</v>
      </c>
      <c r="D5919" s="56" t="b">
        <v>0</v>
      </c>
      <c r="E5919" s="56">
        <f ca="1">IF(PV[[#This Row],[Business Date]]=Control!$C$6, PV[[#This Row],[Notional Value Local Cur]], -PV[[#This Row],[Notional Value Local Cur]])</f>
        <v>0</v>
      </c>
    </row>
    <row r="5920" spans="1:5" x14ac:dyDescent="0.25">
      <c r="A5920" s="36" t="b">
        <v>0</v>
      </c>
      <c r="B5920" s="56" t="b">
        <v>0</v>
      </c>
      <c r="C5920" s="56" t="b">
        <v>0</v>
      </c>
      <c r="D5920" s="56" t="b">
        <v>0</v>
      </c>
      <c r="E5920" s="56">
        <f ca="1">IF(PV[[#This Row],[Business Date]]=Control!$C$6, PV[[#This Row],[Notional Value Local Cur]], -PV[[#This Row],[Notional Value Local Cur]])</f>
        <v>0</v>
      </c>
    </row>
    <row r="5921" spans="1:5" x14ac:dyDescent="0.25">
      <c r="A5921" s="36" t="b">
        <v>0</v>
      </c>
      <c r="B5921" s="56" t="b">
        <v>0</v>
      </c>
      <c r="C5921" s="56" t="b">
        <v>0</v>
      </c>
      <c r="D5921" s="56" t="b">
        <v>0</v>
      </c>
      <c r="E5921" s="56">
        <f ca="1">IF(PV[[#This Row],[Business Date]]=Control!$C$6, PV[[#This Row],[Notional Value Local Cur]], -PV[[#This Row],[Notional Value Local Cur]])</f>
        <v>0</v>
      </c>
    </row>
    <row r="5922" spans="1:5" x14ac:dyDescent="0.25">
      <c r="A5922" s="36" t="b">
        <v>0</v>
      </c>
      <c r="B5922" s="56" t="b">
        <v>0</v>
      </c>
      <c r="C5922" s="56" t="b">
        <v>0</v>
      </c>
      <c r="D5922" s="56" t="b">
        <v>0</v>
      </c>
      <c r="E5922" s="56">
        <f ca="1">IF(PV[[#This Row],[Business Date]]=Control!$C$6, PV[[#This Row],[Notional Value Local Cur]], -PV[[#This Row],[Notional Value Local Cur]])</f>
        <v>0</v>
      </c>
    </row>
    <row r="5923" spans="1:5" x14ac:dyDescent="0.25">
      <c r="A5923" s="36" t="b">
        <v>0</v>
      </c>
      <c r="B5923" s="56" t="b">
        <v>0</v>
      </c>
      <c r="C5923" s="56" t="b">
        <v>0</v>
      </c>
      <c r="D5923" s="56" t="b">
        <v>0</v>
      </c>
      <c r="E5923" s="56">
        <f ca="1">IF(PV[[#This Row],[Business Date]]=Control!$C$6, PV[[#This Row],[Notional Value Local Cur]], -PV[[#This Row],[Notional Value Local Cur]])</f>
        <v>0</v>
      </c>
    </row>
    <row r="5924" spans="1:5" x14ac:dyDescent="0.25">
      <c r="A5924" s="36" t="b">
        <v>0</v>
      </c>
      <c r="B5924" s="56" t="b">
        <v>0</v>
      </c>
      <c r="C5924" s="56" t="b">
        <v>0</v>
      </c>
      <c r="D5924" s="56" t="b">
        <v>0</v>
      </c>
      <c r="E5924" s="56">
        <f ca="1">IF(PV[[#This Row],[Business Date]]=Control!$C$6, PV[[#This Row],[Notional Value Local Cur]], -PV[[#This Row],[Notional Value Local Cur]])</f>
        <v>0</v>
      </c>
    </row>
    <row r="5925" spans="1:5" x14ac:dyDescent="0.25">
      <c r="A5925" s="36" t="b">
        <v>0</v>
      </c>
      <c r="B5925" s="56" t="b">
        <v>0</v>
      </c>
      <c r="C5925" s="56" t="b">
        <v>0</v>
      </c>
      <c r="D5925" s="56" t="b">
        <v>0</v>
      </c>
      <c r="E5925" s="56">
        <f ca="1">IF(PV[[#This Row],[Business Date]]=Control!$C$6, PV[[#This Row],[Notional Value Local Cur]], -PV[[#This Row],[Notional Value Local Cur]])</f>
        <v>0</v>
      </c>
    </row>
    <row r="5926" spans="1:5" x14ac:dyDescent="0.25">
      <c r="A5926" s="36" t="b">
        <v>0</v>
      </c>
      <c r="B5926" s="56" t="b">
        <v>0</v>
      </c>
      <c r="C5926" s="56" t="b">
        <v>0</v>
      </c>
      <c r="D5926" s="56" t="b">
        <v>0</v>
      </c>
      <c r="E5926" s="56">
        <f ca="1">IF(PV[[#This Row],[Business Date]]=Control!$C$6, PV[[#This Row],[Notional Value Local Cur]], -PV[[#This Row],[Notional Value Local Cur]])</f>
        <v>0</v>
      </c>
    </row>
    <row r="5927" spans="1:5" x14ac:dyDescent="0.25">
      <c r="A5927" s="36" t="b">
        <v>0</v>
      </c>
      <c r="B5927" s="56" t="b">
        <v>0</v>
      </c>
      <c r="C5927" s="56" t="b">
        <v>0</v>
      </c>
      <c r="D5927" s="56" t="b">
        <v>0</v>
      </c>
      <c r="E5927" s="56">
        <f ca="1">IF(PV[[#This Row],[Business Date]]=Control!$C$6, PV[[#This Row],[Notional Value Local Cur]], -PV[[#This Row],[Notional Value Local Cur]])</f>
        <v>0</v>
      </c>
    </row>
    <row r="5928" spans="1:5" x14ac:dyDescent="0.25">
      <c r="A5928" s="36" t="b">
        <v>0</v>
      </c>
      <c r="B5928" s="56" t="b">
        <v>0</v>
      </c>
      <c r="C5928" s="56" t="b">
        <v>0</v>
      </c>
      <c r="D5928" s="56" t="b">
        <v>0</v>
      </c>
      <c r="E5928" s="56">
        <f ca="1">IF(PV[[#This Row],[Business Date]]=Control!$C$6, PV[[#This Row],[Notional Value Local Cur]], -PV[[#This Row],[Notional Value Local Cur]])</f>
        <v>0</v>
      </c>
    </row>
    <row r="5929" spans="1:5" x14ac:dyDescent="0.25">
      <c r="A5929" s="36" t="b">
        <v>0</v>
      </c>
      <c r="B5929" s="56" t="b">
        <v>0</v>
      </c>
      <c r="C5929" s="56" t="b">
        <v>0</v>
      </c>
      <c r="D5929" s="56" t="b">
        <v>0</v>
      </c>
      <c r="E5929" s="56">
        <f ca="1">IF(PV[[#This Row],[Business Date]]=Control!$C$6, PV[[#This Row],[Notional Value Local Cur]], -PV[[#This Row],[Notional Value Local Cur]])</f>
        <v>0</v>
      </c>
    </row>
    <row r="5930" spans="1:5" x14ac:dyDescent="0.25">
      <c r="A5930" s="36" t="b">
        <v>0</v>
      </c>
      <c r="B5930" s="56" t="b">
        <v>0</v>
      </c>
      <c r="C5930" s="56" t="b">
        <v>0</v>
      </c>
      <c r="D5930" s="56" t="b">
        <v>0</v>
      </c>
      <c r="E5930" s="56">
        <f ca="1">IF(PV[[#This Row],[Business Date]]=Control!$C$6, PV[[#This Row],[Notional Value Local Cur]], -PV[[#This Row],[Notional Value Local Cur]])</f>
        <v>0</v>
      </c>
    </row>
    <row r="5931" spans="1:5" x14ac:dyDescent="0.25">
      <c r="A5931" s="36" t="b">
        <v>0</v>
      </c>
      <c r="B5931" s="56" t="b">
        <v>0</v>
      </c>
      <c r="C5931" s="56" t="b">
        <v>0</v>
      </c>
      <c r="D5931" s="56" t="b">
        <v>0</v>
      </c>
      <c r="E5931" s="56">
        <f ca="1">IF(PV[[#This Row],[Business Date]]=Control!$C$6, PV[[#This Row],[Notional Value Local Cur]], -PV[[#This Row],[Notional Value Local Cur]])</f>
        <v>0</v>
      </c>
    </row>
    <row r="5932" spans="1:5" x14ac:dyDescent="0.25">
      <c r="A5932" s="36" t="b">
        <v>0</v>
      </c>
      <c r="B5932" s="56" t="b">
        <v>0</v>
      </c>
      <c r="C5932" s="56" t="b">
        <v>0</v>
      </c>
      <c r="D5932" s="56" t="b">
        <v>0</v>
      </c>
      <c r="E5932" s="56">
        <f ca="1">IF(PV[[#This Row],[Business Date]]=Control!$C$6, PV[[#This Row],[Notional Value Local Cur]], -PV[[#This Row],[Notional Value Local Cur]])</f>
        <v>0</v>
      </c>
    </row>
    <row r="5933" spans="1:5" x14ac:dyDescent="0.25">
      <c r="A5933" s="36" t="b">
        <v>0</v>
      </c>
      <c r="B5933" s="56" t="b">
        <v>0</v>
      </c>
      <c r="C5933" s="56" t="b">
        <v>0</v>
      </c>
      <c r="D5933" s="56" t="b">
        <v>0</v>
      </c>
      <c r="E5933" s="56">
        <f ca="1">IF(PV[[#This Row],[Business Date]]=Control!$C$6, PV[[#This Row],[Notional Value Local Cur]], -PV[[#This Row],[Notional Value Local Cur]])</f>
        <v>0</v>
      </c>
    </row>
    <row r="5934" spans="1:5" x14ac:dyDescent="0.25">
      <c r="A5934" s="36" t="b">
        <v>0</v>
      </c>
      <c r="B5934" s="56" t="b">
        <v>0</v>
      </c>
      <c r="C5934" s="56" t="b">
        <v>0</v>
      </c>
      <c r="D5934" s="56" t="b">
        <v>0</v>
      </c>
      <c r="E5934" s="56">
        <f ca="1">IF(PV[[#This Row],[Business Date]]=Control!$C$6, PV[[#This Row],[Notional Value Local Cur]], -PV[[#This Row],[Notional Value Local Cur]])</f>
        <v>0</v>
      </c>
    </row>
    <row r="5935" spans="1:5" x14ac:dyDescent="0.25">
      <c r="A5935" s="36" t="b">
        <v>0</v>
      </c>
      <c r="B5935" s="56" t="b">
        <v>0</v>
      </c>
      <c r="C5935" s="56" t="b">
        <v>0</v>
      </c>
      <c r="D5935" s="56" t="b">
        <v>0</v>
      </c>
      <c r="E5935" s="56">
        <f ca="1">IF(PV[[#This Row],[Business Date]]=Control!$C$6, PV[[#This Row],[Notional Value Local Cur]], -PV[[#This Row],[Notional Value Local Cur]])</f>
        <v>0</v>
      </c>
    </row>
    <row r="5936" spans="1:5" x14ac:dyDescent="0.25">
      <c r="A5936" s="36" t="b">
        <v>0</v>
      </c>
      <c r="B5936" s="56" t="b">
        <v>0</v>
      </c>
      <c r="C5936" s="56" t="b">
        <v>0</v>
      </c>
      <c r="D5936" s="56" t="b">
        <v>0</v>
      </c>
      <c r="E5936" s="56">
        <f ca="1">IF(PV[[#This Row],[Business Date]]=Control!$C$6, PV[[#This Row],[Notional Value Local Cur]], -PV[[#This Row],[Notional Value Local Cur]])</f>
        <v>0</v>
      </c>
    </row>
    <row r="5937" spans="1:5" x14ac:dyDescent="0.25">
      <c r="A5937" s="36" t="b">
        <v>0</v>
      </c>
      <c r="B5937" s="56" t="b">
        <v>0</v>
      </c>
      <c r="C5937" s="56" t="b">
        <v>0</v>
      </c>
      <c r="D5937" s="56" t="b">
        <v>0</v>
      </c>
      <c r="E5937" s="56">
        <f ca="1">IF(PV[[#This Row],[Business Date]]=Control!$C$6, PV[[#This Row],[Notional Value Local Cur]], -PV[[#This Row],[Notional Value Local Cur]])</f>
        <v>0</v>
      </c>
    </row>
    <row r="5938" spans="1:5" x14ac:dyDescent="0.25">
      <c r="A5938" s="36" t="b">
        <v>0</v>
      </c>
      <c r="B5938" s="56" t="b">
        <v>0</v>
      </c>
      <c r="C5938" s="56" t="b">
        <v>0</v>
      </c>
      <c r="D5938" s="56" t="b">
        <v>0</v>
      </c>
      <c r="E5938" s="56">
        <f ca="1">IF(PV[[#This Row],[Business Date]]=Control!$C$6, PV[[#This Row],[Notional Value Local Cur]], -PV[[#This Row],[Notional Value Local Cur]])</f>
        <v>0</v>
      </c>
    </row>
    <row r="5939" spans="1:5" x14ac:dyDescent="0.25">
      <c r="A5939" s="36" t="b">
        <v>0</v>
      </c>
      <c r="B5939" s="56" t="b">
        <v>0</v>
      </c>
      <c r="C5939" s="56" t="b">
        <v>0</v>
      </c>
      <c r="D5939" s="56" t="b">
        <v>0</v>
      </c>
      <c r="E5939" s="56">
        <f ca="1">IF(PV[[#This Row],[Business Date]]=Control!$C$6, PV[[#This Row],[Notional Value Local Cur]], -PV[[#This Row],[Notional Value Local Cur]])</f>
        <v>0</v>
      </c>
    </row>
    <row r="5940" spans="1:5" x14ac:dyDescent="0.25">
      <c r="A5940" s="36" t="b">
        <v>0</v>
      </c>
      <c r="B5940" s="56" t="b">
        <v>0</v>
      </c>
      <c r="C5940" s="56" t="b">
        <v>0</v>
      </c>
      <c r="D5940" s="56" t="b">
        <v>0</v>
      </c>
      <c r="E5940" s="56">
        <f ca="1">IF(PV[[#This Row],[Business Date]]=Control!$C$6, PV[[#This Row],[Notional Value Local Cur]], -PV[[#This Row],[Notional Value Local Cur]])</f>
        <v>0</v>
      </c>
    </row>
    <row r="5941" spans="1:5" x14ac:dyDescent="0.25">
      <c r="A5941" s="36" t="b">
        <v>0</v>
      </c>
      <c r="B5941" s="56" t="b">
        <v>0</v>
      </c>
      <c r="C5941" s="56" t="b">
        <v>0</v>
      </c>
      <c r="D5941" s="56" t="b">
        <v>0</v>
      </c>
      <c r="E5941" s="56">
        <f ca="1">IF(PV[[#This Row],[Business Date]]=Control!$C$6, PV[[#This Row],[Notional Value Local Cur]], -PV[[#This Row],[Notional Value Local Cur]])</f>
        <v>0</v>
      </c>
    </row>
    <row r="5942" spans="1:5" x14ac:dyDescent="0.25">
      <c r="A5942" s="36" t="b">
        <v>0</v>
      </c>
      <c r="B5942" s="56" t="b">
        <v>0</v>
      </c>
      <c r="C5942" s="56" t="b">
        <v>0</v>
      </c>
      <c r="D5942" s="56" t="b">
        <v>0</v>
      </c>
      <c r="E5942" s="56">
        <f ca="1">IF(PV[[#This Row],[Business Date]]=Control!$C$6, PV[[#This Row],[Notional Value Local Cur]], -PV[[#This Row],[Notional Value Local Cur]])</f>
        <v>0</v>
      </c>
    </row>
    <row r="5943" spans="1:5" x14ac:dyDescent="0.25">
      <c r="A5943" s="36" t="b">
        <v>0</v>
      </c>
      <c r="B5943" s="56" t="b">
        <v>0</v>
      </c>
      <c r="C5943" s="56" t="b">
        <v>0</v>
      </c>
      <c r="D5943" s="56" t="b">
        <v>0</v>
      </c>
      <c r="E5943" s="56">
        <f ca="1">IF(PV[[#This Row],[Business Date]]=Control!$C$6, PV[[#This Row],[Notional Value Local Cur]], -PV[[#This Row],[Notional Value Local Cur]])</f>
        <v>0</v>
      </c>
    </row>
    <row r="5944" spans="1:5" x14ac:dyDescent="0.25">
      <c r="A5944" s="36" t="b">
        <v>0</v>
      </c>
      <c r="B5944" s="56" t="b">
        <v>0</v>
      </c>
      <c r="C5944" s="56" t="b">
        <v>0</v>
      </c>
      <c r="D5944" s="56" t="b">
        <v>0</v>
      </c>
      <c r="E5944" s="56">
        <f ca="1">IF(PV[[#This Row],[Business Date]]=Control!$C$6, PV[[#This Row],[Notional Value Local Cur]], -PV[[#This Row],[Notional Value Local Cur]])</f>
        <v>0</v>
      </c>
    </row>
    <row r="5945" spans="1:5" x14ac:dyDescent="0.25">
      <c r="A5945" s="36" t="b">
        <v>0</v>
      </c>
      <c r="B5945" s="56" t="b">
        <v>0</v>
      </c>
      <c r="C5945" s="56" t="b">
        <v>0</v>
      </c>
      <c r="D5945" s="56" t="b">
        <v>0</v>
      </c>
      <c r="E5945" s="56">
        <f ca="1">IF(PV[[#This Row],[Business Date]]=Control!$C$6, PV[[#This Row],[Notional Value Local Cur]], -PV[[#This Row],[Notional Value Local Cur]])</f>
        <v>0</v>
      </c>
    </row>
    <row r="5946" spans="1:5" x14ac:dyDescent="0.25">
      <c r="A5946" s="36" t="b">
        <v>0</v>
      </c>
      <c r="B5946" s="56" t="b">
        <v>0</v>
      </c>
      <c r="C5946" s="56" t="b">
        <v>0</v>
      </c>
      <c r="D5946" s="56" t="b">
        <v>0</v>
      </c>
      <c r="E5946" s="56">
        <f ca="1">IF(PV[[#This Row],[Business Date]]=Control!$C$6, PV[[#This Row],[Notional Value Local Cur]], -PV[[#This Row],[Notional Value Local Cur]])</f>
        <v>0</v>
      </c>
    </row>
    <row r="5947" spans="1:5" x14ac:dyDescent="0.25">
      <c r="A5947" s="36" t="b">
        <v>0</v>
      </c>
      <c r="B5947" s="56" t="b">
        <v>0</v>
      </c>
      <c r="C5947" s="56" t="b">
        <v>0</v>
      </c>
      <c r="D5947" s="56" t="b">
        <v>0</v>
      </c>
      <c r="E5947" s="56">
        <f ca="1">IF(PV[[#This Row],[Business Date]]=Control!$C$6, PV[[#This Row],[Notional Value Local Cur]], -PV[[#This Row],[Notional Value Local Cur]])</f>
        <v>0</v>
      </c>
    </row>
    <row r="5948" spans="1:5" x14ac:dyDescent="0.25">
      <c r="A5948" s="36" t="b">
        <v>0</v>
      </c>
      <c r="B5948" s="56" t="b">
        <v>0</v>
      </c>
      <c r="C5948" s="56" t="b">
        <v>0</v>
      </c>
      <c r="D5948" s="56" t="b">
        <v>0</v>
      </c>
      <c r="E5948" s="56">
        <f ca="1">IF(PV[[#This Row],[Business Date]]=Control!$C$6, PV[[#This Row],[Notional Value Local Cur]], -PV[[#This Row],[Notional Value Local Cur]])</f>
        <v>0</v>
      </c>
    </row>
    <row r="5949" spans="1:5" x14ac:dyDescent="0.25">
      <c r="A5949" s="36" t="b">
        <v>0</v>
      </c>
      <c r="B5949" s="56" t="b">
        <v>0</v>
      </c>
      <c r="C5949" s="56" t="b">
        <v>0</v>
      </c>
      <c r="D5949" s="56" t="b">
        <v>0</v>
      </c>
      <c r="E5949" s="56">
        <f ca="1">IF(PV[[#This Row],[Business Date]]=Control!$C$6, PV[[#This Row],[Notional Value Local Cur]], -PV[[#This Row],[Notional Value Local Cur]])</f>
        <v>0</v>
      </c>
    </row>
    <row r="5950" spans="1:5" x14ac:dyDescent="0.25">
      <c r="A5950" s="36" t="b">
        <v>0</v>
      </c>
      <c r="B5950" s="56" t="b">
        <v>0</v>
      </c>
      <c r="C5950" s="56" t="b">
        <v>0</v>
      </c>
      <c r="D5950" s="56" t="b">
        <v>0</v>
      </c>
      <c r="E5950" s="56">
        <f ca="1">IF(PV[[#This Row],[Business Date]]=Control!$C$6, PV[[#This Row],[Notional Value Local Cur]], -PV[[#This Row],[Notional Value Local Cur]])</f>
        <v>0</v>
      </c>
    </row>
    <row r="5951" spans="1:5" x14ac:dyDescent="0.25">
      <c r="A5951" s="36" t="b">
        <v>0</v>
      </c>
      <c r="B5951" s="56" t="b">
        <v>0</v>
      </c>
      <c r="C5951" s="56" t="b">
        <v>0</v>
      </c>
      <c r="D5951" s="56" t="b">
        <v>0</v>
      </c>
      <c r="E5951" s="56">
        <f ca="1">IF(PV[[#This Row],[Business Date]]=Control!$C$6, PV[[#This Row],[Notional Value Local Cur]], -PV[[#This Row],[Notional Value Local Cur]])</f>
        <v>0</v>
      </c>
    </row>
    <row r="5952" spans="1:5" x14ac:dyDescent="0.25">
      <c r="A5952" s="36" t="b">
        <v>0</v>
      </c>
      <c r="B5952" s="56" t="b">
        <v>0</v>
      </c>
      <c r="C5952" s="56" t="b">
        <v>0</v>
      </c>
      <c r="D5952" s="56" t="b">
        <v>0</v>
      </c>
      <c r="E5952" s="56">
        <f ca="1">IF(PV[[#This Row],[Business Date]]=Control!$C$6, PV[[#This Row],[Notional Value Local Cur]], -PV[[#This Row],[Notional Value Local Cur]])</f>
        <v>0</v>
      </c>
    </row>
    <row r="5953" spans="1:5" x14ac:dyDescent="0.25">
      <c r="A5953" s="36" t="b">
        <v>0</v>
      </c>
      <c r="B5953" s="56" t="b">
        <v>0</v>
      </c>
      <c r="C5953" s="56" t="b">
        <v>0</v>
      </c>
      <c r="D5953" s="56" t="b">
        <v>0</v>
      </c>
      <c r="E5953" s="56">
        <f ca="1">IF(PV[[#This Row],[Business Date]]=Control!$C$6, PV[[#This Row],[Notional Value Local Cur]], -PV[[#This Row],[Notional Value Local Cur]])</f>
        <v>0</v>
      </c>
    </row>
    <row r="5954" spans="1:5" x14ac:dyDescent="0.25">
      <c r="A5954" s="36" t="b">
        <v>0</v>
      </c>
      <c r="B5954" s="56" t="b">
        <v>0</v>
      </c>
      <c r="C5954" s="56" t="b">
        <v>0</v>
      </c>
      <c r="D5954" s="56" t="b">
        <v>0</v>
      </c>
      <c r="E5954" s="56">
        <f ca="1">IF(PV[[#This Row],[Business Date]]=Control!$C$6, PV[[#This Row],[Notional Value Local Cur]], -PV[[#This Row],[Notional Value Local Cur]])</f>
        <v>0</v>
      </c>
    </row>
    <row r="5955" spans="1:5" x14ac:dyDescent="0.25">
      <c r="A5955" s="36" t="b">
        <v>0</v>
      </c>
      <c r="B5955" s="56" t="b">
        <v>0</v>
      </c>
      <c r="C5955" s="56" t="b">
        <v>0</v>
      </c>
      <c r="D5955" s="56" t="b">
        <v>0</v>
      </c>
      <c r="E5955" s="56">
        <f ca="1">IF(PV[[#This Row],[Business Date]]=Control!$C$6, PV[[#This Row],[Notional Value Local Cur]], -PV[[#This Row],[Notional Value Local Cur]])</f>
        <v>0</v>
      </c>
    </row>
    <row r="5956" spans="1:5" x14ac:dyDescent="0.25">
      <c r="A5956" s="36" t="b">
        <v>0</v>
      </c>
      <c r="B5956" s="56" t="b">
        <v>0</v>
      </c>
      <c r="C5956" s="56" t="b">
        <v>0</v>
      </c>
      <c r="D5956" s="56" t="b">
        <v>0</v>
      </c>
      <c r="E5956" s="56">
        <f ca="1">IF(PV[[#This Row],[Business Date]]=Control!$C$6, PV[[#This Row],[Notional Value Local Cur]], -PV[[#This Row],[Notional Value Local Cur]])</f>
        <v>0</v>
      </c>
    </row>
    <row r="5957" spans="1:5" x14ac:dyDescent="0.25">
      <c r="A5957" s="36" t="b">
        <v>0</v>
      </c>
      <c r="B5957" s="56" t="b">
        <v>0</v>
      </c>
      <c r="C5957" s="56" t="b">
        <v>0</v>
      </c>
      <c r="D5957" s="56" t="b">
        <v>0</v>
      </c>
      <c r="E5957" s="56">
        <f ca="1">IF(PV[[#This Row],[Business Date]]=Control!$C$6, PV[[#This Row],[Notional Value Local Cur]], -PV[[#This Row],[Notional Value Local Cur]])</f>
        <v>0</v>
      </c>
    </row>
    <row r="5958" spans="1:5" x14ac:dyDescent="0.25">
      <c r="A5958" s="36" t="b">
        <v>0</v>
      </c>
      <c r="B5958" s="56" t="b">
        <v>0</v>
      </c>
      <c r="C5958" s="56" t="b">
        <v>0</v>
      </c>
      <c r="D5958" s="56" t="b">
        <v>0</v>
      </c>
      <c r="E5958" s="56">
        <f ca="1">IF(PV[[#This Row],[Business Date]]=Control!$C$6, PV[[#This Row],[Notional Value Local Cur]], -PV[[#This Row],[Notional Value Local Cur]])</f>
        <v>0</v>
      </c>
    </row>
    <row r="5959" spans="1:5" x14ac:dyDescent="0.25">
      <c r="A5959" s="36" t="b">
        <v>0</v>
      </c>
      <c r="B5959" s="56" t="b">
        <v>0</v>
      </c>
      <c r="C5959" s="56" t="b">
        <v>0</v>
      </c>
      <c r="D5959" s="56" t="b">
        <v>0</v>
      </c>
      <c r="E5959" s="56">
        <f ca="1">IF(PV[[#This Row],[Business Date]]=Control!$C$6, PV[[#This Row],[Notional Value Local Cur]], -PV[[#This Row],[Notional Value Local Cur]])</f>
        <v>0</v>
      </c>
    </row>
    <row r="5960" spans="1:5" x14ac:dyDescent="0.25">
      <c r="A5960" s="36" t="b">
        <v>0</v>
      </c>
      <c r="B5960" s="56" t="b">
        <v>0</v>
      </c>
      <c r="C5960" s="56" t="b">
        <v>0</v>
      </c>
      <c r="D5960" s="56" t="b">
        <v>0</v>
      </c>
      <c r="E5960" s="56">
        <f ca="1">IF(PV[[#This Row],[Business Date]]=Control!$C$6, PV[[#This Row],[Notional Value Local Cur]], -PV[[#This Row],[Notional Value Local Cur]])</f>
        <v>0</v>
      </c>
    </row>
    <row r="5961" spans="1:5" x14ac:dyDescent="0.25">
      <c r="A5961" s="36" t="b">
        <v>0</v>
      </c>
      <c r="B5961" s="56" t="b">
        <v>0</v>
      </c>
      <c r="C5961" s="56" t="b">
        <v>0</v>
      </c>
      <c r="D5961" s="56" t="b">
        <v>0</v>
      </c>
      <c r="E5961" s="56">
        <f ca="1">IF(PV[[#This Row],[Business Date]]=Control!$C$6, PV[[#This Row],[Notional Value Local Cur]], -PV[[#This Row],[Notional Value Local Cur]])</f>
        <v>0</v>
      </c>
    </row>
    <row r="5962" spans="1:5" x14ac:dyDescent="0.25">
      <c r="A5962" s="36" t="b">
        <v>0</v>
      </c>
      <c r="B5962" s="56" t="b">
        <v>0</v>
      </c>
      <c r="C5962" s="56" t="b">
        <v>0</v>
      </c>
      <c r="D5962" s="56" t="b">
        <v>0</v>
      </c>
      <c r="E5962" s="56">
        <f ca="1">IF(PV[[#This Row],[Business Date]]=Control!$C$6, PV[[#This Row],[Notional Value Local Cur]], -PV[[#This Row],[Notional Value Local Cur]])</f>
        <v>0</v>
      </c>
    </row>
    <row r="5963" spans="1:5" x14ac:dyDescent="0.25">
      <c r="A5963" s="36" t="b">
        <v>0</v>
      </c>
      <c r="B5963" s="56" t="b">
        <v>0</v>
      </c>
      <c r="C5963" s="56" t="b">
        <v>0</v>
      </c>
      <c r="D5963" s="56" t="b">
        <v>0</v>
      </c>
      <c r="E5963" s="56">
        <f ca="1">IF(PV[[#This Row],[Business Date]]=Control!$C$6, PV[[#This Row],[Notional Value Local Cur]], -PV[[#This Row],[Notional Value Local Cur]])</f>
        <v>0</v>
      </c>
    </row>
    <row r="5964" spans="1:5" x14ac:dyDescent="0.25">
      <c r="A5964" s="36" t="b">
        <v>0</v>
      </c>
      <c r="B5964" s="56" t="b">
        <v>0</v>
      </c>
      <c r="C5964" s="56" t="b">
        <v>0</v>
      </c>
      <c r="D5964" s="56" t="b">
        <v>0</v>
      </c>
      <c r="E5964" s="56">
        <f ca="1">IF(PV[[#This Row],[Business Date]]=Control!$C$6, PV[[#This Row],[Notional Value Local Cur]], -PV[[#This Row],[Notional Value Local Cur]])</f>
        <v>0</v>
      </c>
    </row>
    <row r="5965" spans="1:5" x14ac:dyDescent="0.25">
      <c r="A5965" s="36" t="b">
        <v>0</v>
      </c>
      <c r="B5965" s="56" t="b">
        <v>0</v>
      </c>
      <c r="C5965" s="56" t="b">
        <v>0</v>
      </c>
      <c r="D5965" s="56" t="b">
        <v>0</v>
      </c>
      <c r="E5965" s="56">
        <f ca="1">IF(PV[[#This Row],[Business Date]]=Control!$C$6, PV[[#This Row],[Notional Value Local Cur]], -PV[[#This Row],[Notional Value Local Cur]])</f>
        <v>0</v>
      </c>
    </row>
    <row r="5966" spans="1:5" x14ac:dyDescent="0.25">
      <c r="A5966" s="36" t="b">
        <v>0</v>
      </c>
      <c r="B5966" s="56" t="b">
        <v>0</v>
      </c>
      <c r="C5966" s="56" t="b">
        <v>0</v>
      </c>
      <c r="D5966" s="56" t="b">
        <v>0</v>
      </c>
      <c r="E5966" s="56">
        <f ca="1">IF(PV[[#This Row],[Business Date]]=Control!$C$6, PV[[#This Row],[Notional Value Local Cur]], -PV[[#This Row],[Notional Value Local Cur]])</f>
        <v>0</v>
      </c>
    </row>
    <row r="5967" spans="1:5" x14ac:dyDescent="0.25">
      <c r="A5967" s="36" t="b">
        <v>0</v>
      </c>
      <c r="B5967" s="56" t="b">
        <v>0</v>
      </c>
      <c r="C5967" s="56" t="b">
        <v>0</v>
      </c>
      <c r="D5967" s="56" t="b">
        <v>0</v>
      </c>
      <c r="E5967" s="56">
        <f ca="1">IF(PV[[#This Row],[Business Date]]=Control!$C$6, PV[[#This Row],[Notional Value Local Cur]], -PV[[#This Row],[Notional Value Local Cur]])</f>
        <v>0</v>
      </c>
    </row>
    <row r="5968" spans="1:5" x14ac:dyDescent="0.25">
      <c r="A5968" s="36" t="b">
        <v>0</v>
      </c>
      <c r="B5968" s="56" t="b">
        <v>0</v>
      </c>
      <c r="C5968" s="56" t="b">
        <v>0</v>
      </c>
      <c r="D5968" s="56" t="b">
        <v>0</v>
      </c>
      <c r="E5968" s="56">
        <f ca="1">IF(PV[[#This Row],[Business Date]]=Control!$C$6, PV[[#This Row],[Notional Value Local Cur]], -PV[[#This Row],[Notional Value Local Cur]])</f>
        <v>0</v>
      </c>
    </row>
    <row r="5969" spans="1:5" x14ac:dyDescent="0.25">
      <c r="A5969" s="36" t="b">
        <v>0</v>
      </c>
      <c r="B5969" s="56" t="b">
        <v>0</v>
      </c>
      <c r="C5969" s="56" t="b">
        <v>0</v>
      </c>
      <c r="D5969" s="56" t="b">
        <v>0</v>
      </c>
      <c r="E5969" s="56">
        <f ca="1">IF(PV[[#This Row],[Business Date]]=Control!$C$6, PV[[#This Row],[Notional Value Local Cur]], -PV[[#This Row],[Notional Value Local Cur]])</f>
        <v>0</v>
      </c>
    </row>
    <row r="5970" spans="1:5" x14ac:dyDescent="0.25">
      <c r="A5970" s="36" t="b">
        <v>0</v>
      </c>
      <c r="B5970" s="56" t="b">
        <v>0</v>
      </c>
      <c r="C5970" s="56" t="b">
        <v>0</v>
      </c>
      <c r="D5970" s="56" t="b">
        <v>0</v>
      </c>
      <c r="E5970" s="56">
        <f ca="1">IF(PV[[#This Row],[Business Date]]=Control!$C$6, PV[[#This Row],[Notional Value Local Cur]], -PV[[#This Row],[Notional Value Local Cur]])</f>
        <v>0</v>
      </c>
    </row>
    <row r="5971" spans="1:5" x14ac:dyDescent="0.25">
      <c r="A5971" s="36" t="b">
        <v>0</v>
      </c>
      <c r="B5971" s="56" t="b">
        <v>0</v>
      </c>
      <c r="C5971" s="56" t="b">
        <v>0</v>
      </c>
      <c r="D5971" s="56" t="b">
        <v>0</v>
      </c>
      <c r="E5971" s="56">
        <f ca="1">IF(PV[[#This Row],[Business Date]]=Control!$C$6, PV[[#This Row],[Notional Value Local Cur]], -PV[[#This Row],[Notional Value Local Cur]])</f>
        <v>0</v>
      </c>
    </row>
    <row r="5972" spans="1:5" x14ac:dyDescent="0.25">
      <c r="A5972" s="36" t="b">
        <v>0</v>
      </c>
      <c r="B5972" s="56" t="b">
        <v>0</v>
      </c>
      <c r="C5972" s="56" t="b">
        <v>0</v>
      </c>
      <c r="D5972" s="56" t="b">
        <v>0</v>
      </c>
      <c r="E5972" s="56">
        <f ca="1">IF(PV[[#This Row],[Business Date]]=Control!$C$6, PV[[#This Row],[Notional Value Local Cur]], -PV[[#This Row],[Notional Value Local Cur]])</f>
        <v>0</v>
      </c>
    </row>
    <row r="5973" spans="1:5" x14ac:dyDescent="0.25">
      <c r="A5973" s="36" t="b">
        <v>0</v>
      </c>
      <c r="B5973" s="56" t="b">
        <v>0</v>
      </c>
      <c r="C5973" s="56" t="b">
        <v>0</v>
      </c>
      <c r="D5973" s="56" t="b">
        <v>0</v>
      </c>
      <c r="E5973" s="56">
        <f ca="1">IF(PV[[#This Row],[Business Date]]=Control!$C$6, PV[[#This Row],[Notional Value Local Cur]], -PV[[#This Row],[Notional Value Local Cur]])</f>
        <v>0</v>
      </c>
    </row>
    <row r="5974" spans="1:5" x14ac:dyDescent="0.25">
      <c r="A5974" s="36" t="b">
        <v>0</v>
      </c>
      <c r="B5974" s="56" t="b">
        <v>0</v>
      </c>
      <c r="C5974" s="56" t="b">
        <v>0</v>
      </c>
      <c r="D5974" s="56" t="b">
        <v>0</v>
      </c>
      <c r="E5974" s="56">
        <f ca="1">IF(PV[[#This Row],[Business Date]]=Control!$C$6, PV[[#This Row],[Notional Value Local Cur]], -PV[[#This Row],[Notional Value Local Cur]])</f>
        <v>0</v>
      </c>
    </row>
    <row r="5975" spans="1:5" x14ac:dyDescent="0.25">
      <c r="A5975" s="36" t="b">
        <v>0</v>
      </c>
      <c r="B5975" s="56" t="b">
        <v>0</v>
      </c>
      <c r="C5975" s="56" t="b">
        <v>0</v>
      </c>
      <c r="D5975" s="56" t="b">
        <v>0</v>
      </c>
      <c r="E5975" s="56">
        <f ca="1">IF(PV[[#This Row],[Business Date]]=Control!$C$6, PV[[#This Row],[Notional Value Local Cur]], -PV[[#This Row],[Notional Value Local Cur]])</f>
        <v>0</v>
      </c>
    </row>
    <row r="5976" spans="1:5" x14ac:dyDescent="0.25">
      <c r="A5976" s="36" t="b">
        <v>0</v>
      </c>
      <c r="B5976" s="56" t="b">
        <v>0</v>
      </c>
      <c r="C5976" s="56" t="b">
        <v>0</v>
      </c>
      <c r="D5976" s="56" t="b">
        <v>0</v>
      </c>
      <c r="E5976" s="56">
        <f ca="1">IF(PV[[#This Row],[Business Date]]=Control!$C$6, PV[[#This Row],[Notional Value Local Cur]], -PV[[#This Row],[Notional Value Local Cur]])</f>
        <v>0</v>
      </c>
    </row>
    <row r="5977" spans="1:5" x14ac:dyDescent="0.25">
      <c r="A5977" s="36" t="b">
        <v>0</v>
      </c>
      <c r="B5977" s="56" t="b">
        <v>0</v>
      </c>
      <c r="C5977" s="56" t="b">
        <v>0</v>
      </c>
      <c r="D5977" s="56" t="b">
        <v>0</v>
      </c>
      <c r="E5977" s="56">
        <f ca="1">IF(PV[[#This Row],[Business Date]]=Control!$C$6, PV[[#This Row],[Notional Value Local Cur]], -PV[[#This Row],[Notional Value Local Cur]])</f>
        <v>0</v>
      </c>
    </row>
    <row r="5978" spans="1:5" x14ac:dyDescent="0.25">
      <c r="A5978" s="36" t="b">
        <v>0</v>
      </c>
      <c r="B5978" s="56" t="b">
        <v>0</v>
      </c>
      <c r="C5978" s="56" t="b">
        <v>0</v>
      </c>
      <c r="D5978" s="56" t="b">
        <v>0</v>
      </c>
      <c r="E5978" s="56">
        <f ca="1">IF(PV[[#This Row],[Business Date]]=Control!$C$6, PV[[#This Row],[Notional Value Local Cur]], -PV[[#This Row],[Notional Value Local Cur]])</f>
        <v>0</v>
      </c>
    </row>
    <row r="5979" spans="1:5" x14ac:dyDescent="0.25">
      <c r="A5979" s="36" t="b">
        <v>0</v>
      </c>
      <c r="B5979" s="56" t="b">
        <v>0</v>
      </c>
      <c r="C5979" s="56" t="b">
        <v>0</v>
      </c>
      <c r="D5979" s="56" t="b">
        <v>0</v>
      </c>
      <c r="E5979" s="56">
        <f ca="1">IF(PV[[#This Row],[Business Date]]=Control!$C$6, PV[[#This Row],[Notional Value Local Cur]], -PV[[#This Row],[Notional Value Local Cur]])</f>
        <v>0</v>
      </c>
    </row>
    <row r="5980" spans="1:5" x14ac:dyDescent="0.25">
      <c r="A5980" s="36" t="b">
        <v>0</v>
      </c>
      <c r="B5980" s="56" t="b">
        <v>0</v>
      </c>
      <c r="C5980" s="56" t="b">
        <v>0</v>
      </c>
      <c r="D5980" s="56" t="b">
        <v>0</v>
      </c>
      <c r="E5980" s="56">
        <f ca="1">IF(PV[[#This Row],[Business Date]]=Control!$C$6, PV[[#This Row],[Notional Value Local Cur]], -PV[[#This Row],[Notional Value Local Cur]])</f>
        <v>0</v>
      </c>
    </row>
    <row r="5981" spans="1:5" x14ac:dyDescent="0.25">
      <c r="A5981" s="36" t="b">
        <v>0</v>
      </c>
      <c r="B5981" s="56" t="b">
        <v>0</v>
      </c>
      <c r="C5981" s="56" t="b">
        <v>0</v>
      </c>
      <c r="D5981" s="56" t="b">
        <v>0</v>
      </c>
      <c r="E5981" s="56">
        <f ca="1">IF(PV[[#This Row],[Business Date]]=Control!$C$6, PV[[#This Row],[Notional Value Local Cur]], -PV[[#This Row],[Notional Value Local Cur]])</f>
        <v>0</v>
      </c>
    </row>
    <row r="5982" spans="1:5" x14ac:dyDescent="0.25">
      <c r="A5982" s="36" t="b">
        <v>0</v>
      </c>
      <c r="B5982" s="56" t="b">
        <v>0</v>
      </c>
      <c r="C5982" s="56" t="b">
        <v>0</v>
      </c>
      <c r="D5982" s="56" t="b">
        <v>0</v>
      </c>
      <c r="E5982" s="56">
        <f ca="1">IF(PV[[#This Row],[Business Date]]=Control!$C$6, PV[[#This Row],[Notional Value Local Cur]], -PV[[#This Row],[Notional Value Local Cur]])</f>
        <v>0</v>
      </c>
    </row>
    <row r="5983" spans="1:5" x14ac:dyDescent="0.25">
      <c r="A5983" s="36" t="b">
        <v>0</v>
      </c>
      <c r="B5983" s="56" t="b">
        <v>0</v>
      </c>
      <c r="C5983" s="56" t="b">
        <v>0</v>
      </c>
      <c r="D5983" s="56" t="b">
        <v>0</v>
      </c>
      <c r="E5983" s="56">
        <f ca="1">IF(PV[[#This Row],[Business Date]]=Control!$C$6, PV[[#This Row],[Notional Value Local Cur]], -PV[[#This Row],[Notional Value Local Cur]])</f>
        <v>0</v>
      </c>
    </row>
    <row r="5984" spans="1:5" x14ac:dyDescent="0.25">
      <c r="A5984" s="36" t="b">
        <v>0</v>
      </c>
      <c r="B5984" s="56" t="b">
        <v>0</v>
      </c>
      <c r="C5984" s="56" t="b">
        <v>0</v>
      </c>
      <c r="D5984" s="56" t="b">
        <v>0</v>
      </c>
      <c r="E5984" s="56">
        <f ca="1">IF(PV[[#This Row],[Business Date]]=Control!$C$6, PV[[#This Row],[Notional Value Local Cur]], -PV[[#This Row],[Notional Value Local Cur]])</f>
        <v>0</v>
      </c>
    </row>
    <row r="5985" spans="1:5" x14ac:dyDescent="0.25">
      <c r="A5985" s="36" t="b">
        <v>0</v>
      </c>
      <c r="B5985" s="56" t="b">
        <v>0</v>
      </c>
      <c r="C5985" s="56" t="b">
        <v>0</v>
      </c>
      <c r="D5985" s="56" t="b">
        <v>0</v>
      </c>
      <c r="E5985" s="56">
        <f ca="1">IF(PV[[#This Row],[Business Date]]=Control!$C$6, PV[[#This Row],[Notional Value Local Cur]], -PV[[#This Row],[Notional Value Local Cur]])</f>
        <v>0</v>
      </c>
    </row>
    <row r="5986" spans="1:5" x14ac:dyDescent="0.25">
      <c r="A5986" s="36" t="b">
        <v>0</v>
      </c>
      <c r="B5986" s="56" t="b">
        <v>0</v>
      </c>
      <c r="C5986" s="56" t="b">
        <v>0</v>
      </c>
      <c r="D5986" s="56" t="b">
        <v>0</v>
      </c>
      <c r="E5986" s="56">
        <f ca="1">IF(PV[[#This Row],[Business Date]]=Control!$C$6, PV[[#This Row],[Notional Value Local Cur]], -PV[[#This Row],[Notional Value Local Cur]])</f>
        <v>0</v>
      </c>
    </row>
    <row r="5987" spans="1:5" x14ac:dyDescent="0.25">
      <c r="A5987" s="36" t="b">
        <v>0</v>
      </c>
      <c r="B5987" s="56" t="b">
        <v>0</v>
      </c>
      <c r="C5987" s="56" t="b">
        <v>0</v>
      </c>
      <c r="D5987" s="56" t="b">
        <v>0</v>
      </c>
      <c r="E5987" s="56">
        <f ca="1">IF(PV[[#This Row],[Business Date]]=Control!$C$6, PV[[#This Row],[Notional Value Local Cur]], -PV[[#This Row],[Notional Value Local Cur]])</f>
        <v>0</v>
      </c>
    </row>
    <row r="5988" spans="1:5" x14ac:dyDescent="0.25">
      <c r="A5988" s="36" t="b">
        <v>0</v>
      </c>
      <c r="B5988" s="56" t="b">
        <v>0</v>
      </c>
      <c r="C5988" s="56" t="b">
        <v>0</v>
      </c>
      <c r="D5988" s="56" t="b">
        <v>0</v>
      </c>
      <c r="E5988" s="56">
        <f ca="1">IF(PV[[#This Row],[Business Date]]=Control!$C$6, PV[[#This Row],[Notional Value Local Cur]], -PV[[#This Row],[Notional Value Local Cur]])</f>
        <v>0</v>
      </c>
    </row>
    <row r="5989" spans="1:5" x14ac:dyDescent="0.25">
      <c r="A5989" s="36" t="b">
        <v>0</v>
      </c>
      <c r="B5989" s="56" t="b">
        <v>0</v>
      </c>
      <c r="C5989" s="56" t="b">
        <v>0</v>
      </c>
      <c r="D5989" s="56" t="b">
        <v>0</v>
      </c>
      <c r="E5989" s="56">
        <f ca="1">IF(PV[[#This Row],[Business Date]]=Control!$C$6, PV[[#This Row],[Notional Value Local Cur]], -PV[[#This Row],[Notional Value Local Cur]])</f>
        <v>0</v>
      </c>
    </row>
    <row r="5990" spans="1:5" x14ac:dyDescent="0.25">
      <c r="A5990" s="36" t="b">
        <v>0</v>
      </c>
      <c r="B5990" s="56" t="b">
        <v>0</v>
      </c>
      <c r="C5990" s="56" t="b">
        <v>0</v>
      </c>
      <c r="D5990" s="56" t="b">
        <v>0</v>
      </c>
      <c r="E5990" s="56">
        <f ca="1">IF(PV[[#This Row],[Business Date]]=Control!$C$6, PV[[#This Row],[Notional Value Local Cur]], -PV[[#This Row],[Notional Value Local Cur]])</f>
        <v>0</v>
      </c>
    </row>
    <row r="5991" spans="1:5" x14ac:dyDescent="0.25">
      <c r="A5991" s="36" t="b">
        <v>0</v>
      </c>
      <c r="B5991" s="56" t="b">
        <v>0</v>
      </c>
      <c r="C5991" s="56" t="b">
        <v>0</v>
      </c>
      <c r="D5991" s="56" t="b">
        <v>0</v>
      </c>
      <c r="E5991" s="56">
        <f ca="1">IF(PV[[#This Row],[Business Date]]=Control!$C$6, PV[[#This Row],[Notional Value Local Cur]], -PV[[#This Row],[Notional Value Local Cur]])</f>
        <v>0</v>
      </c>
    </row>
    <row r="5992" spans="1:5" x14ac:dyDescent="0.25">
      <c r="A5992" s="36" t="b">
        <v>0</v>
      </c>
      <c r="B5992" s="56" t="b">
        <v>0</v>
      </c>
      <c r="C5992" s="56" t="b">
        <v>0</v>
      </c>
      <c r="D5992" s="56" t="b">
        <v>0</v>
      </c>
      <c r="E5992" s="56">
        <f ca="1">IF(PV[[#This Row],[Business Date]]=Control!$C$6, PV[[#This Row],[Notional Value Local Cur]], -PV[[#This Row],[Notional Value Local Cur]])</f>
        <v>0</v>
      </c>
    </row>
    <row r="5993" spans="1:5" x14ac:dyDescent="0.25">
      <c r="A5993" s="36" t="b">
        <v>0</v>
      </c>
      <c r="B5993" s="56" t="b">
        <v>0</v>
      </c>
      <c r="C5993" s="56" t="b">
        <v>0</v>
      </c>
      <c r="D5993" s="56" t="b">
        <v>0</v>
      </c>
      <c r="E5993" s="56">
        <f ca="1">IF(PV[[#This Row],[Business Date]]=Control!$C$6, PV[[#This Row],[Notional Value Local Cur]], -PV[[#This Row],[Notional Value Local Cur]])</f>
        <v>0</v>
      </c>
    </row>
    <row r="5994" spans="1:5" x14ac:dyDescent="0.25">
      <c r="A5994" s="36" t="b">
        <v>0</v>
      </c>
      <c r="B5994" s="56" t="b">
        <v>0</v>
      </c>
      <c r="C5994" s="56" t="b">
        <v>0</v>
      </c>
      <c r="D5994" s="56" t="b">
        <v>0</v>
      </c>
      <c r="E5994" s="56">
        <f ca="1">IF(PV[[#This Row],[Business Date]]=Control!$C$6, PV[[#This Row],[Notional Value Local Cur]], -PV[[#This Row],[Notional Value Local Cur]])</f>
        <v>0</v>
      </c>
    </row>
    <row r="5995" spans="1:5" x14ac:dyDescent="0.25">
      <c r="A5995" s="36" t="b">
        <v>0</v>
      </c>
      <c r="B5995" s="56" t="b">
        <v>0</v>
      </c>
      <c r="C5995" s="56" t="b">
        <v>0</v>
      </c>
      <c r="D5995" s="56" t="b">
        <v>0</v>
      </c>
      <c r="E5995" s="56">
        <f ca="1">IF(PV[[#This Row],[Business Date]]=Control!$C$6, PV[[#This Row],[Notional Value Local Cur]], -PV[[#This Row],[Notional Value Local Cur]])</f>
        <v>0</v>
      </c>
    </row>
    <row r="5996" spans="1:5" x14ac:dyDescent="0.25">
      <c r="A5996" s="36" t="b">
        <v>0</v>
      </c>
      <c r="B5996" s="56" t="b">
        <v>0</v>
      </c>
      <c r="C5996" s="56" t="b">
        <v>0</v>
      </c>
      <c r="D5996" s="56" t="b">
        <v>0</v>
      </c>
      <c r="E5996" s="56">
        <f ca="1">IF(PV[[#This Row],[Business Date]]=Control!$C$6, PV[[#This Row],[Notional Value Local Cur]], -PV[[#This Row],[Notional Value Local Cur]])</f>
        <v>0</v>
      </c>
    </row>
    <row r="5997" spans="1:5" x14ac:dyDescent="0.25">
      <c r="A5997" s="36" t="b">
        <v>0</v>
      </c>
      <c r="B5997" s="56" t="b">
        <v>0</v>
      </c>
      <c r="C5997" s="56" t="b">
        <v>0</v>
      </c>
      <c r="D5997" s="56" t="b">
        <v>0</v>
      </c>
      <c r="E5997" s="56">
        <f ca="1">IF(PV[[#This Row],[Business Date]]=Control!$C$6, PV[[#This Row],[Notional Value Local Cur]], -PV[[#This Row],[Notional Value Local Cur]])</f>
        <v>0</v>
      </c>
    </row>
    <row r="5998" spans="1:5" x14ac:dyDescent="0.25">
      <c r="A5998" s="36" t="b">
        <v>0</v>
      </c>
      <c r="B5998" s="56" t="b">
        <v>0</v>
      </c>
      <c r="C5998" s="56" t="b">
        <v>0</v>
      </c>
      <c r="D5998" s="56" t="b">
        <v>0</v>
      </c>
      <c r="E5998" s="56">
        <f ca="1">IF(PV[[#This Row],[Business Date]]=Control!$C$6, PV[[#This Row],[Notional Value Local Cur]], -PV[[#This Row],[Notional Value Local Cur]])</f>
        <v>0</v>
      </c>
    </row>
    <row r="5999" spans="1:5" x14ac:dyDescent="0.25">
      <c r="A5999" s="36" t="b">
        <v>0</v>
      </c>
      <c r="B5999" s="56" t="b">
        <v>0</v>
      </c>
      <c r="C5999" s="56" t="b">
        <v>0</v>
      </c>
      <c r="D5999" s="56" t="b">
        <v>0</v>
      </c>
      <c r="E5999" s="56">
        <f ca="1">IF(PV[[#This Row],[Business Date]]=Control!$C$6, PV[[#This Row],[Notional Value Local Cur]], -PV[[#This Row],[Notional Value Local Cur]])</f>
        <v>0</v>
      </c>
    </row>
    <row r="6000" spans="1:5" x14ac:dyDescent="0.25">
      <c r="A6000" s="36" t="b">
        <v>0</v>
      </c>
      <c r="B6000" s="56" t="b">
        <v>0</v>
      </c>
      <c r="C6000" s="56" t="b">
        <v>0</v>
      </c>
      <c r="D6000" s="56" t="b">
        <v>0</v>
      </c>
      <c r="E6000" s="56">
        <f ca="1">IF(PV[[#This Row],[Business Date]]=Control!$C$6, PV[[#This Row],[Notional Value Local Cur]], -PV[[#This Row],[Notional Value Local Cur]])</f>
        <v>0</v>
      </c>
    </row>
    <row r="6001" spans="1:5" x14ac:dyDescent="0.25">
      <c r="A6001" s="36" t="b">
        <v>0</v>
      </c>
      <c r="B6001" s="56" t="b">
        <v>0</v>
      </c>
      <c r="C6001" s="56" t="b">
        <v>0</v>
      </c>
      <c r="D6001" s="56" t="b">
        <v>0</v>
      </c>
      <c r="E6001" s="56">
        <f ca="1">IF(PV[[#This Row],[Business Date]]=Control!$C$6, PV[[#This Row],[Notional Value Local Cur]], -PV[[#This Row],[Notional Value Local Cur]])</f>
        <v>0</v>
      </c>
    </row>
    <row r="6002" spans="1:5" x14ac:dyDescent="0.25">
      <c r="A6002" s="36" t="b">
        <v>0</v>
      </c>
      <c r="B6002" s="56" t="b">
        <v>0</v>
      </c>
      <c r="C6002" s="56" t="b">
        <v>0</v>
      </c>
      <c r="D6002" s="56" t="b">
        <v>0</v>
      </c>
      <c r="E6002" s="56">
        <f ca="1">IF(PV[[#This Row],[Business Date]]=Control!$C$6, PV[[#This Row],[Notional Value Local Cur]], -PV[[#This Row],[Notional Value Local Cur]])</f>
        <v>0</v>
      </c>
    </row>
    <row r="6003" spans="1:5" x14ac:dyDescent="0.25">
      <c r="A6003" s="36" t="b">
        <v>0</v>
      </c>
      <c r="B6003" s="56" t="b">
        <v>0</v>
      </c>
      <c r="C6003" s="56" t="b">
        <v>0</v>
      </c>
      <c r="D6003" s="56" t="b">
        <v>0</v>
      </c>
      <c r="E6003" s="56">
        <f ca="1">IF(PV[[#This Row],[Business Date]]=Control!$C$6, PV[[#This Row],[Notional Value Local Cur]], -PV[[#This Row],[Notional Value Local Cur]])</f>
        <v>0</v>
      </c>
    </row>
    <row r="6004" spans="1:5" x14ac:dyDescent="0.25">
      <c r="A6004" s="36" t="b">
        <v>0</v>
      </c>
      <c r="B6004" s="56" t="b">
        <v>0</v>
      </c>
      <c r="C6004" s="56" t="b">
        <v>0</v>
      </c>
      <c r="D6004" s="56" t="b">
        <v>0</v>
      </c>
      <c r="E6004" s="56">
        <f ca="1">IF(PV[[#This Row],[Business Date]]=Control!$C$6, PV[[#This Row],[Notional Value Local Cur]], -PV[[#This Row],[Notional Value Local Cur]])</f>
        <v>0</v>
      </c>
    </row>
    <row r="6005" spans="1:5" x14ac:dyDescent="0.25">
      <c r="A6005" s="36" t="b">
        <v>0</v>
      </c>
      <c r="B6005" s="56" t="b">
        <v>0</v>
      </c>
      <c r="C6005" s="56" t="b">
        <v>0</v>
      </c>
      <c r="D6005" s="56" t="b">
        <v>0</v>
      </c>
      <c r="E6005" s="56">
        <f ca="1">IF(PV[[#This Row],[Business Date]]=Control!$C$6, PV[[#This Row],[Notional Value Local Cur]], -PV[[#This Row],[Notional Value Local Cur]])</f>
        <v>0</v>
      </c>
    </row>
    <row r="6006" spans="1:5" x14ac:dyDescent="0.25">
      <c r="A6006" s="36" t="b">
        <v>0</v>
      </c>
      <c r="B6006" s="56" t="b">
        <v>0</v>
      </c>
      <c r="C6006" s="56" t="b">
        <v>0</v>
      </c>
      <c r="D6006" s="56" t="b">
        <v>0</v>
      </c>
      <c r="E6006" s="56">
        <f ca="1">IF(PV[[#This Row],[Business Date]]=Control!$C$6, PV[[#This Row],[Notional Value Local Cur]], -PV[[#This Row],[Notional Value Local Cur]])</f>
        <v>0</v>
      </c>
    </row>
    <row r="6007" spans="1:5" x14ac:dyDescent="0.25">
      <c r="A6007" s="36" t="b">
        <v>0</v>
      </c>
      <c r="B6007" s="56" t="b">
        <v>0</v>
      </c>
      <c r="C6007" s="56" t="b">
        <v>0</v>
      </c>
      <c r="D6007" s="56" t="b">
        <v>0</v>
      </c>
      <c r="E6007" s="56">
        <f ca="1">IF(PV[[#This Row],[Business Date]]=Control!$C$6, PV[[#This Row],[Notional Value Local Cur]], -PV[[#This Row],[Notional Value Local Cur]])</f>
        <v>0</v>
      </c>
    </row>
    <row r="6008" spans="1:5" x14ac:dyDescent="0.25">
      <c r="A6008" s="36" t="b">
        <v>0</v>
      </c>
      <c r="B6008" s="56" t="b">
        <v>0</v>
      </c>
      <c r="C6008" s="56" t="b">
        <v>0</v>
      </c>
      <c r="D6008" s="56" t="b">
        <v>0</v>
      </c>
      <c r="E6008" s="56">
        <f ca="1">IF(PV[[#This Row],[Business Date]]=Control!$C$6, PV[[#This Row],[Notional Value Local Cur]], -PV[[#This Row],[Notional Value Local Cur]])</f>
        <v>0</v>
      </c>
    </row>
    <row r="6009" spans="1:5" x14ac:dyDescent="0.25">
      <c r="A6009" s="36" t="b">
        <v>0</v>
      </c>
      <c r="B6009" s="56" t="b">
        <v>0</v>
      </c>
      <c r="C6009" s="56" t="b">
        <v>0</v>
      </c>
      <c r="D6009" s="56" t="b">
        <v>0</v>
      </c>
      <c r="E6009" s="56">
        <f ca="1">IF(PV[[#This Row],[Business Date]]=Control!$C$6, PV[[#This Row],[Notional Value Local Cur]], -PV[[#This Row],[Notional Value Local Cur]])</f>
        <v>0</v>
      </c>
    </row>
    <row r="6010" spans="1:5" x14ac:dyDescent="0.25">
      <c r="A6010" s="36" t="b">
        <v>0</v>
      </c>
      <c r="B6010" s="56" t="b">
        <v>0</v>
      </c>
      <c r="C6010" s="56" t="b">
        <v>0</v>
      </c>
      <c r="D6010" s="56" t="b">
        <v>0</v>
      </c>
      <c r="E6010" s="56">
        <f ca="1">IF(PV[[#This Row],[Business Date]]=Control!$C$6, PV[[#This Row],[Notional Value Local Cur]], -PV[[#This Row],[Notional Value Local Cur]])</f>
        <v>0</v>
      </c>
    </row>
    <row r="6011" spans="1:5" x14ac:dyDescent="0.25">
      <c r="A6011" s="36" t="b">
        <v>0</v>
      </c>
      <c r="B6011" s="56" t="b">
        <v>0</v>
      </c>
      <c r="C6011" s="56" t="b">
        <v>0</v>
      </c>
      <c r="D6011" s="56" t="b">
        <v>0</v>
      </c>
      <c r="E6011" s="56">
        <f ca="1">IF(PV[[#This Row],[Business Date]]=Control!$C$6, PV[[#This Row],[Notional Value Local Cur]], -PV[[#This Row],[Notional Value Local Cur]])</f>
        <v>0</v>
      </c>
    </row>
    <row r="6012" spans="1:5" x14ac:dyDescent="0.25">
      <c r="A6012" s="36" t="b">
        <v>0</v>
      </c>
      <c r="B6012" s="56" t="b">
        <v>0</v>
      </c>
      <c r="C6012" s="56" t="b">
        <v>0</v>
      </c>
      <c r="D6012" s="56" t="b">
        <v>0</v>
      </c>
      <c r="E6012" s="56">
        <f ca="1">IF(PV[[#This Row],[Business Date]]=Control!$C$6, PV[[#This Row],[Notional Value Local Cur]], -PV[[#This Row],[Notional Value Local Cur]])</f>
        <v>0</v>
      </c>
    </row>
    <row r="6013" spans="1:5" x14ac:dyDescent="0.25">
      <c r="A6013" s="36" t="b">
        <v>0</v>
      </c>
      <c r="B6013" s="56" t="b">
        <v>0</v>
      </c>
      <c r="C6013" s="56" t="b">
        <v>0</v>
      </c>
      <c r="D6013" s="56" t="b">
        <v>0</v>
      </c>
      <c r="E6013" s="56">
        <f ca="1">IF(PV[[#This Row],[Business Date]]=Control!$C$6, PV[[#This Row],[Notional Value Local Cur]], -PV[[#This Row],[Notional Value Local Cur]])</f>
        <v>0</v>
      </c>
    </row>
    <row r="6014" spans="1:5" x14ac:dyDescent="0.25">
      <c r="A6014" s="36" t="b">
        <v>0</v>
      </c>
      <c r="B6014" s="56" t="b">
        <v>0</v>
      </c>
      <c r="C6014" s="56" t="b">
        <v>0</v>
      </c>
      <c r="D6014" s="56" t="b">
        <v>0</v>
      </c>
      <c r="E6014" s="56">
        <f ca="1">IF(PV[[#This Row],[Business Date]]=Control!$C$6, PV[[#This Row],[Notional Value Local Cur]], -PV[[#This Row],[Notional Value Local Cur]])</f>
        <v>0</v>
      </c>
    </row>
    <row r="6015" spans="1:5" x14ac:dyDescent="0.25">
      <c r="A6015" s="36" t="b">
        <v>0</v>
      </c>
      <c r="B6015" s="56" t="b">
        <v>0</v>
      </c>
      <c r="C6015" s="56" t="b">
        <v>0</v>
      </c>
      <c r="D6015" s="56" t="b">
        <v>0</v>
      </c>
      <c r="E6015" s="56">
        <f ca="1">IF(PV[[#This Row],[Business Date]]=Control!$C$6, PV[[#This Row],[Notional Value Local Cur]], -PV[[#This Row],[Notional Value Local Cur]])</f>
        <v>0</v>
      </c>
    </row>
    <row r="6016" spans="1:5" x14ac:dyDescent="0.25">
      <c r="A6016" s="36" t="b">
        <v>0</v>
      </c>
      <c r="B6016" s="56" t="b">
        <v>0</v>
      </c>
      <c r="C6016" s="56" t="b">
        <v>0</v>
      </c>
      <c r="D6016" s="56" t="b">
        <v>0</v>
      </c>
      <c r="E6016" s="56">
        <f ca="1">IF(PV[[#This Row],[Business Date]]=Control!$C$6, PV[[#This Row],[Notional Value Local Cur]], -PV[[#This Row],[Notional Value Local Cur]])</f>
        <v>0</v>
      </c>
    </row>
    <row r="6017" spans="1:5" x14ac:dyDescent="0.25">
      <c r="A6017" s="36" t="b">
        <v>0</v>
      </c>
      <c r="B6017" s="56" t="b">
        <v>0</v>
      </c>
      <c r="C6017" s="56" t="b">
        <v>0</v>
      </c>
      <c r="D6017" s="56" t="b">
        <v>0</v>
      </c>
      <c r="E6017" s="56">
        <f ca="1">IF(PV[[#This Row],[Business Date]]=Control!$C$6, PV[[#This Row],[Notional Value Local Cur]], -PV[[#This Row],[Notional Value Local Cur]])</f>
        <v>0</v>
      </c>
    </row>
    <row r="6018" spans="1:5" x14ac:dyDescent="0.25">
      <c r="A6018" s="36" t="b">
        <v>0</v>
      </c>
      <c r="B6018" s="56" t="b">
        <v>0</v>
      </c>
      <c r="C6018" s="56" t="b">
        <v>0</v>
      </c>
      <c r="D6018" s="56" t="b">
        <v>0</v>
      </c>
      <c r="E6018" s="56">
        <f ca="1">IF(PV[[#This Row],[Business Date]]=Control!$C$6, PV[[#This Row],[Notional Value Local Cur]], -PV[[#This Row],[Notional Value Local Cur]])</f>
        <v>0</v>
      </c>
    </row>
    <row r="6019" spans="1:5" x14ac:dyDescent="0.25">
      <c r="A6019" s="36" t="b">
        <v>0</v>
      </c>
      <c r="B6019" s="56" t="b">
        <v>0</v>
      </c>
      <c r="C6019" s="56" t="b">
        <v>0</v>
      </c>
      <c r="D6019" s="56" t="b">
        <v>0</v>
      </c>
      <c r="E6019" s="56">
        <f ca="1">IF(PV[[#This Row],[Business Date]]=Control!$C$6, PV[[#This Row],[Notional Value Local Cur]], -PV[[#This Row],[Notional Value Local Cur]])</f>
        <v>0</v>
      </c>
    </row>
    <row r="6020" spans="1:5" x14ac:dyDescent="0.25">
      <c r="A6020" s="36" t="b">
        <v>0</v>
      </c>
      <c r="B6020" s="56" t="b">
        <v>0</v>
      </c>
      <c r="C6020" s="56" t="b">
        <v>0</v>
      </c>
      <c r="D6020" s="56" t="b">
        <v>0</v>
      </c>
      <c r="E6020" s="56">
        <f ca="1">IF(PV[[#This Row],[Business Date]]=Control!$C$6, PV[[#This Row],[Notional Value Local Cur]], -PV[[#This Row],[Notional Value Local Cur]])</f>
        <v>0</v>
      </c>
    </row>
    <row r="6021" spans="1:5" x14ac:dyDescent="0.25">
      <c r="A6021" s="36" t="b">
        <v>0</v>
      </c>
      <c r="B6021" s="56" t="b">
        <v>0</v>
      </c>
      <c r="C6021" s="56" t="b">
        <v>0</v>
      </c>
      <c r="D6021" s="56" t="b">
        <v>0</v>
      </c>
      <c r="E6021" s="56">
        <f ca="1">IF(PV[[#This Row],[Business Date]]=Control!$C$6, PV[[#This Row],[Notional Value Local Cur]], -PV[[#This Row],[Notional Value Local Cur]])</f>
        <v>0</v>
      </c>
    </row>
    <row r="6022" spans="1:5" x14ac:dyDescent="0.25">
      <c r="A6022" s="36" t="b">
        <v>0</v>
      </c>
      <c r="B6022" s="56" t="b">
        <v>0</v>
      </c>
      <c r="C6022" s="56" t="b">
        <v>0</v>
      </c>
      <c r="D6022" s="56" t="b">
        <v>0</v>
      </c>
      <c r="E6022" s="56">
        <f ca="1">IF(PV[[#This Row],[Business Date]]=Control!$C$6, PV[[#This Row],[Notional Value Local Cur]], -PV[[#This Row],[Notional Value Local Cur]])</f>
        <v>0</v>
      </c>
    </row>
    <row r="6023" spans="1:5" x14ac:dyDescent="0.25">
      <c r="A6023" s="36" t="b">
        <v>0</v>
      </c>
      <c r="B6023" s="56" t="b">
        <v>0</v>
      </c>
      <c r="C6023" s="56" t="b">
        <v>0</v>
      </c>
      <c r="D6023" s="56" t="b">
        <v>0</v>
      </c>
      <c r="E6023" s="56">
        <f ca="1">IF(PV[[#This Row],[Business Date]]=Control!$C$6, PV[[#This Row],[Notional Value Local Cur]], -PV[[#This Row],[Notional Value Local Cur]])</f>
        <v>0</v>
      </c>
    </row>
    <row r="6024" spans="1:5" x14ac:dyDescent="0.25">
      <c r="A6024" s="36" t="b">
        <v>0</v>
      </c>
      <c r="B6024" s="56" t="b">
        <v>0</v>
      </c>
      <c r="C6024" s="56" t="b">
        <v>0</v>
      </c>
      <c r="D6024" s="56" t="b">
        <v>0</v>
      </c>
      <c r="E6024" s="56">
        <f ca="1">IF(PV[[#This Row],[Business Date]]=Control!$C$6, PV[[#This Row],[Notional Value Local Cur]], -PV[[#This Row],[Notional Value Local Cur]])</f>
        <v>0</v>
      </c>
    </row>
    <row r="6025" spans="1:5" x14ac:dyDescent="0.25">
      <c r="A6025" s="36" t="b">
        <v>0</v>
      </c>
      <c r="B6025" s="56" t="b">
        <v>0</v>
      </c>
      <c r="C6025" s="56" t="b">
        <v>0</v>
      </c>
      <c r="D6025" s="56" t="b">
        <v>0</v>
      </c>
      <c r="E6025" s="56">
        <f ca="1">IF(PV[[#This Row],[Business Date]]=Control!$C$6, PV[[#This Row],[Notional Value Local Cur]], -PV[[#This Row],[Notional Value Local Cur]])</f>
        <v>0</v>
      </c>
    </row>
    <row r="6026" spans="1:5" x14ac:dyDescent="0.25">
      <c r="A6026" s="36" t="b">
        <v>0</v>
      </c>
      <c r="B6026" s="56" t="b">
        <v>0</v>
      </c>
      <c r="C6026" s="56" t="b">
        <v>0</v>
      </c>
      <c r="D6026" s="56" t="b">
        <v>0</v>
      </c>
      <c r="E6026" s="56">
        <f ca="1">IF(PV[[#This Row],[Business Date]]=Control!$C$6, PV[[#This Row],[Notional Value Local Cur]], -PV[[#This Row],[Notional Value Local Cur]])</f>
        <v>0</v>
      </c>
    </row>
    <row r="6027" spans="1:5" x14ac:dyDescent="0.25">
      <c r="A6027" s="36" t="b">
        <v>0</v>
      </c>
      <c r="B6027" s="56" t="b">
        <v>0</v>
      </c>
      <c r="C6027" s="56" t="b">
        <v>0</v>
      </c>
      <c r="D6027" s="56" t="b">
        <v>0</v>
      </c>
      <c r="E6027" s="56">
        <f ca="1">IF(PV[[#This Row],[Business Date]]=Control!$C$6, PV[[#This Row],[Notional Value Local Cur]], -PV[[#This Row],[Notional Value Local Cur]])</f>
        <v>0</v>
      </c>
    </row>
    <row r="6028" spans="1:5" x14ac:dyDescent="0.25">
      <c r="A6028" s="36" t="b">
        <v>0</v>
      </c>
      <c r="B6028" s="56" t="b">
        <v>0</v>
      </c>
      <c r="C6028" s="56" t="b">
        <v>0</v>
      </c>
      <c r="D6028" s="56" t="b">
        <v>0</v>
      </c>
      <c r="E6028" s="56">
        <f ca="1">IF(PV[[#This Row],[Business Date]]=Control!$C$6, PV[[#This Row],[Notional Value Local Cur]], -PV[[#This Row],[Notional Value Local Cur]])</f>
        <v>0</v>
      </c>
    </row>
    <row r="6029" spans="1:5" x14ac:dyDescent="0.25">
      <c r="A6029" s="36" t="b">
        <v>0</v>
      </c>
      <c r="B6029" s="56" t="b">
        <v>0</v>
      </c>
      <c r="C6029" s="56" t="b">
        <v>0</v>
      </c>
      <c r="D6029" s="56" t="b">
        <v>0</v>
      </c>
      <c r="E6029" s="56">
        <f ca="1">IF(PV[[#This Row],[Business Date]]=Control!$C$6, PV[[#This Row],[Notional Value Local Cur]], -PV[[#This Row],[Notional Value Local Cur]])</f>
        <v>0</v>
      </c>
    </row>
    <row r="6030" spans="1:5" x14ac:dyDescent="0.25">
      <c r="A6030" s="36" t="b">
        <v>0</v>
      </c>
      <c r="B6030" s="56" t="b">
        <v>0</v>
      </c>
      <c r="C6030" s="56" t="b">
        <v>0</v>
      </c>
      <c r="D6030" s="56" t="b">
        <v>0</v>
      </c>
      <c r="E6030" s="56">
        <f ca="1">IF(PV[[#This Row],[Business Date]]=Control!$C$6, PV[[#This Row],[Notional Value Local Cur]], -PV[[#This Row],[Notional Value Local Cur]])</f>
        <v>0</v>
      </c>
    </row>
    <row r="6031" spans="1:5" x14ac:dyDescent="0.25">
      <c r="A6031" s="36" t="b">
        <v>0</v>
      </c>
      <c r="B6031" s="56" t="b">
        <v>0</v>
      </c>
      <c r="C6031" s="56" t="b">
        <v>0</v>
      </c>
      <c r="D6031" s="56" t="b">
        <v>0</v>
      </c>
      <c r="E6031" s="56">
        <f ca="1">IF(PV[[#This Row],[Business Date]]=Control!$C$6, PV[[#This Row],[Notional Value Local Cur]], -PV[[#This Row],[Notional Value Local Cur]])</f>
        <v>0</v>
      </c>
    </row>
    <row r="6032" spans="1:5" x14ac:dyDescent="0.25">
      <c r="A6032" s="36" t="b">
        <v>0</v>
      </c>
      <c r="B6032" s="56" t="b">
        <v>0</v>
      </c>
      <c r="C6032" s="56" t="b">
        <v>0</v>
      </c>
      <c r="D6032" s="56" t="b">
        <v>0</v>
      </c>
      <c r="E6032" s="56">
        <f ca="1">IF(PV[[#This Row],[Business Date]]=Control!$C$6, PV[[#This Row],[Notional Value Local Cur]], -PV[[#This Row],[Notional Value Local Cur]])</f>
        <v>0</v>
      </c>
    </row>
    <row r="6033" spans="1:5" x14ac:dyDescent="0.25">
      <c r="A6033" s="36" t="b">
        <v>0</v>
      </c>
      <c r="B6033" s="56" t="b">
        <v>0</v>
      </c>
      <c r="C6033" s="56" t="b">
        <v>0</v>
      </c>
      <c r="D6033" s="56" t="b">
        <v>0</v>
      </c>
      <c r="E6033" s="56">
        <f ca="1">IF(PV[[#This Row],[Business Date]]=Control!$C$6, PV[[#This Row],[Notional Value Local Cur]], -PV[[#This Row],[Notional Value Local Cur]])</f>
        <v>0</v>
      </c>
    </row>
    <row r="6034" spans="1:5" x14ac:dyDescent="0.25">
      <c r="A6034" s="36" t="b">
        <v>0</v>
      </c>
      <c r="B6034" s="56" t="b">
        <v>0</v>
      </c>
      <c r="C6034" s="56" t="b">
        <v>0</v>
      </c>
      <c r="D6034" s="56" t="b">
        <v>0</v>
      </c>
      <c r="E6034" s="56">
        <f ca="1">IF(PV[[#This Row],[Business Date]]=Control!$C$6, PV[[#This Row],[Notional Value Local Cur]], -PV[[#This Row],[Notional Value Local Cur]])</f>
        <v>0</v>
      </c>
    </row>
    <row r="6035" spans="1:5" x14ac:dyDescent="0.25">
      <c r="A6035" s="36" t="b">
        <v>0</v>
      </c>
      <c r="B6035" s="56" t="b">
        <v>0</v>
      </c>
      <c r="C6035" s="56" t="b">
        <v>0</v>
      </c>
      <c r="D6035" s="56" t="b">
        <v>0</v>
      </c>
      <c r="E6035" s="56">
        <f ca="1">IF(PV[[#This Row],[Business Date]]=Control!$C$6, PV[[#This Row],[Notional Value Local Cur]], -PV[[#This Row],[Notional Value Local Cur]])</f>
        <v>0</v>
      </c>
    </row>
    <row r="6036" spans="1:5" x14ac:dyDescent="0.25">
      <c r="A6036" s="36" t="b">
        <v>0</v>
      </c>
      <c r="B6036" s="56" t="b">
        <v>0</v>
      </c>
      <c r="C6036" s="56" t="b">
        <v>0</v>
      </c>
      <c r="D6036" s="56" t="b">
        <v>0</v>
      </c>
      <c r="E6036" s="56">
        <f ca="1">IF(PV[[#This Row],[Business Date]]=Control!$C$6, PV[[#This Row],[Notional Value Local Cur]], -PV[[#This Row],[Notional Value Local Cur]])</f>
        <v>0</v>
      </c>
    </row>
    <row r="6037" spans="1:5" x14ac:dyDescent="0.25">
      <c r="A6037" s="36" t="b">
        <v>0</v>
      </c>
      <c r="B6037" s="56" t="b">
        <v>0</v>
      </c>
      <c r="C6037" s="56" t="b">
        <v>0</v>
      </c>
      <c r="D6037" s="56" t="b">
        <v>0</v>
      </c>
      <c r="E6037" s="56">
        <f ca="1">IF(PV[[#This Row],[Business Date]]=Control!$C$6, PV[[#This Row],[Notional Value Local Cur]], -PV[[#This Row],[Notional Value Local Cur]])</f>
        <v>0</v>
      </c>
    </row>
    <row r="6038" spans="1:5" x14ac:dyDescent="0.25">
      <c r="A6038" s="36" t="b">
        <v>0</v>
      </c>
      <c r="B6038" s="56" t="b">
        <v>0</v>
      </c>
      <c r="C6038" s="56" t="b">
        <v>0</v>
      </c>
      <c r="D6038" s="56" t="b">
        <v>0</v>
      </c>
      <c r="E6038" s="56">
        <f ca="1">IF(PV[[#This Row],[Business Date]]=Control!$C$6, PV[[#This Row],[Notional Value Local Cur]], -PV[[#This Row],[Notional Value Local Cur]])</f>
        <v>0</v>
      </c>
    </row>
    <row r="6039" spans="1:5" x14ac:dyDescent="0.25">
      <c r="A6039" s="36" t="b">
        <v>0</v>
      </c>
      <c r="B6039" s="56" t="b">
        <v>0</v>
      </c>
      <c r="C6039" s="56" t="b">
        <v>0</v>
      </c>
      <c r="D6039" s="56" t="b">
        <v>0</v>
      </c>
      <c r="E6039" s="56">
        <f ca="1">IF(PV[[#This Row],[Business Date]]=Control!$C$6, PV[[#This Row],[Notional Value Local Cur]], -PV[[#This Row],[Notional Value Local Cur]])</f>
        <v>0</v>
      </c>
    </row>
    <row r="6040" spans="1:5" x14ac:dyDescent="0.25">
      <c r="A6040" s="36" t="b">
        <v>0</v>
      </c>
      <c r="B6040" s="56" t="b">
        <v>0</v>
      </c>
      <c r="C6040" s="56" t="b">
        <v>0</v>
      </c>
      <c r="D6040" s="56" t="b">
        <v>0</v>
      </c>
      <c r="E6040" s="56">
        <f ca="1">IF(PV[[#This Row],[Business Date]]=Control!$C$6, PV[[#This Row],[Notional Value Local Cur]], -PV[[#This Row],[Notional Value Local Cur]])</f>
        <v>0</v>
      </c>
    </row>
    <row r="6041" spans="1:5" x14ac:dyDescent="0.25">
      <c r="A6041" s="36" t="b">
        <v>0</v>
      </c>
      <c r="B6041" s="56" t="b">
        <v>0</v>
      </c>
      <c r="C6041" s="56" t="b">
        <v>0</v>
      </c>
      <c r="D6041" s="56" t="b">
        <v>0</v>
      </c>
      <c r="E6041" s="56">
        <f ca="1">IF(PV[[#This Row],[Business Date]]=Control!$C$6, PV[[#This Row],[Notional Value Local Cur]], -PV[[#This Row],[Notional Value Local Cur]])</f>
        <v>0</v>
      </c>
    </row>
    <row r="6042" spans="1:5" x14ac:dyDescent="0.25">
      <c r="A6042" s="36" t="b">
        <v>0</v>
      </c>
      <c r="B6042" s="56" t="b">
        <v>0</v>
      </c>
      <c r="C6042" s="56" t="b">
        <v>0</v>
      </c>
      <c r="D6042" s="56" t="b">
        <v>0</v>
      </c>
      <c r="E6042" s="56">
        <f ca="1">IF(PV[[#This Row],[Business Date]]=Control!$C$6, PV[[#This Row],[Notional Value Local Cur]], -PV[[#This Row],[Notional Value Local Cur]])</f>
        <v>0</v>
      </c>
    </row>
    <row r="6043" spans="1:5" x14ac:dyDescent="0.25">
      <c r="A6043" s="36" t="b">
        <v>0</v>
      </c>
      <c r="B6043" s="56" t="b">
        <v>0</v>
      </c>
      <c r="C6043" s="56" t="b">
        <v>0</v>
      </c>
      <c r="D6043" s="56" t="b">
        <v>0</v>
      </c>
      <c r="E6043" s="56">
        <f ca="1">IF(PV[[#This Row],[Business Date]]=Control!$C$6, PV[[#This Row],[Notional Value Local Cur]], -PV[[#This Row],[Notional Value Local Cur]])</f>
        <v>0</v>
      </c>
    </row>
    <row r="6044" spans="1:5" x14ac:dyDescent="0.25">
      <c r="A6044" s="36" t="b">
        <v>0</v>
      </c>
      <c r="B6044" s="56" t="b">
        <v>0</v>
      </c>
      <c r="C6044" s="56" t="b">
        <v>0</v>
      </c>
      <c r="D6044" s="56" t="b">
        <v>0</v>
      </c>
      <c r="E6044" s="56">
        <f ca="1">IF(PV[[#This Row],[Business Date]]=Control!$C$6, PV[[#This Row],[Notional Value Local Cur]], -PV[[#This Row],[Notional Value Local Cur]])</f>
        <v>0</v>
      </c>
    </row>
    <row r="6045" spans="1:5" x14ac:dyDescent="0.25">
      <c r="A6045" s="36" t="b">
        <v>0</v>
      </c>
      <c r="B6045" s="56" t="b">
        <v>0</v>
      </c>
      <c r="C6045" s="56" t="b">
        <v>0</v>
      </c>
      <c r="D6045" s="56" t="b">
        <v>0</v>
      </c>
      <c r="E6045" s="56">
        <f ca="1">IF(PV[[#This Row],[Business Date]]=Control!$C$6, PV[[#This Row],[Notional Value Local Cur]], -PV[[#This Row],[Notional Value Local Cur]])</f>
        <v>0</v>
      </c>
    </row>
    <row r="6046" spans="1:5" x14ac:dyDescent="0.25">
      <c r="A6046" s="36" t="b">
        <v>0</v>
      </c>
      <c r="B6046" s="56" t="b">
        <v>0</v>
      </c>
      <c r="C6046" s="56" t="b">
        <v>0</v>
      </c>
      <c r="D6046" s="56" t="b">
        <v>0</v>
      </c>
      <c r="E6046" s="56">
        <f ca="1">IF(PV[[#This Row],[Business Date]]=Control!$C$6, PV[[#This Row],[Notional Value Local Cur]], -PV[[#This Row],[Notional Value Local Cur]])</f>
        <v>0</v>
      </c>
    </row>
    <row r="6047" spans="1:5" x14ac:dyDescent="0.25">
      <c r="A6047" s="36" t="b">
        <v>0</v>
      </c>
      <c r="B6047" s="56" t="b">
        <v>0</v>
      </c>
      <c r="C6047" s="56" t="b">
        <v>0</v>
      </c>
      <c r="D6047" s="56" t="b">
        <v>0</v>
      </c>
      <c r="E6047" s="56">
        <f ca="1">IF(PV[[#This Row],[Business Date]]=Control!$C$6, PV[[#This Row],[Notional Value Local Cur]], -PV[[#This Row],[Notional Value Local Cur]])</f>
        <v>0</v>
      </c>
    </row>
    <row r="6048" spans="1:5" x14ac:dyDescent="0.25">
      <c r="A6048" s="36" t="b">
        <v>0</v>
      </c>
      <c r="B6048" s="56" t="b">
        <v>0</v>
      </c>
      <c r="C6048" s="56" t="b">
        <v>0</v>
      </c>
      <c r="D6048" s="56" t="b">
        <v>0</v>
      </c>
      <c r="E6048" s="56">
        <f ca="1">IF(PV[[#This Row],[Business Date]]=Control!$C$6, PV[[#This Row],[Notional Value Local Cur]], -PV[[#This Row],[Notional Value Local Cur]])</f>
        <v>0</v>
      </c>
    </row>
    <row r="6049" spans="1:5" x14ac:dyDescent="0.25">
      <c r="A6049" s="36" t="b">
        <v>0</v>
      </c>
      <c r="B6049" s="56" t="b">
        <v>0</v>
      </c>
      <c r="C6049" s="56" t="b">
        <v>0</v>
      </c>
      <c r="D6049" s="56" t="b">
        <v>0</v>
      </c>
      <c r="E6049" s="56">
        <f ca="1">IF(PV[[#This Row],[Business Date]]=Control!$C$6, PV[[#This Row],[Notional Value Local Cur]], -PV[[#This Row],[Notional Value Local Cur]])</f>
        <v>0</v>
      </c>
    </row>
    <row r="6050" spans="1:5" x14ac:dyDescent="0.25">
      <c r="A6050" s="36" t="b">
        <v>0</v>
      </c>
      <c r="B6050" s="56" t="b">
        <v>0</v>
      </c>
      <c r="C6050" s="56" t="b">
        <v>0</v>
      </c>
      <c r="D6050" s="56" t="b">
        <v>0</v>
      </c>
      <c r="E6050" s="56">
        <f ca="1">IF(PV[[#This Row],[Business Date]]=Control!$C$6, PV[[#This Row],[Notional Value Local Cur]], -PV[[#This Row],[Notional Value Local Cur]])</f>
        <v>0</v>
      </c>
    </row>
    <row r="6051" spans="1:5" x14ac:dyDescent="0.25">
      <c r="A6051" s="36" t="b">
        <v>0</v>
      </c>
      <c r="B6051" s="56" t="b">
        <v>0</v>
      </c>
      <c r="C6051" s="56" t="b">
        <v>0</v>
      </c>
      <c r="D6051" s="56" t="b">
        <v>0</v>
      </c>
      <c r="E6051" s="56">
        <f ca="1">IF(PV[[#This Row],[Business Date]]=Control!$C$6, PV[[#This Row],[Notional Value Local Cur]], -PV[[#This Row],[Notional Value Local Cur]])</f>
        <v>0</v>
      </c>
    </row>
    <row r="6052" spans="1:5" x14ac:dyDescent="0.25">
      <c r="A6052" s="36" t="b">
        <v>0</v>
      </c>
      <c r="B6052" s="56" t="b">
        <v>0</v>
      </c>
      <c r="C6052" s="56" t="b">
        <v>0</v>
      </c>
      <c r="D6052" s="56" t="b">
        <v>0</v>
      </c>
      <c r="E6052" s="56">
        <f ca="1">IF(PV[[#This Row],[Business Date]]=Control!$C$6, PV[[#This Row],[Notional Value Local Cur]], -PV[[#This Row],[Notional Value Local Cur]])</f>
        <v>0</v>
      </c>
    </row>
    <row r="6053" spans="1:5" x14ac:dyDescent="0.25">
      <c r="A6053" s="36" t="b">
        <v>0</v>
      </c>
      <c r="B6053" s="56" t="b">
        <v>0</v>
      </c>
      <c r="C6053" s="56" t="b">
        <v>0</v>
      </c>
      <c r="D6053" s="56" t="b">
        <v>0</v>
      </c>
      <c r="E6053" s="56">
        <f ca="1">IF(PV[[#This Row],[Business Date]]=Control!$C$6, PV[[#This Row],[Notional Value Local Cur]], -PV[[#This Row],[Notional Value Local Cur]])</f>
        <v>0</v>
      </c>
    </row>
    <row r="6054" spans="1:5" x14ac:dyDescent="0.25">
      <c r="A6054" s="36" t="b">
        <v>0</v>
      </c>
      <c r="B6054" s="56" t="b">
        <v>0</v>
      </c>
      <c r="C6054" s="56" t="b">
        <v>0</v>
      </c>
      <c r="D6054" s="56" t="b">
        <v>0</v>
      </c>
      <c r="E6054" s="56">
        <f ca="1">IF(PV[[#This Row],[Business Date]]=Control!$C$6, PV[[#This Row],[Notional Value Local Cur]], -PV[[#This Row],[Notional Value Local Cur]])</f>
        <v>0</v>
      </c>
    </row>
    <row r="6055" spans="1:5" x14ac:dyDescent="0.25">
      <c r="A6055" s="36" t="b">
        <v>0</v>
      </c>
      <c r="B6055" s="56" t="b">
        <v>0</v>
      </c>
      <c r="C6055" s="56" t="b">
        <v>0</v>
      </c>
      <c r="D6055" s="56" t="b">
        <v>0</v>
      </c>
      <c r="E6055" s="56">
        <f ca="1">IF(PV[[#This Row],[Business Date]]=Control!$C$6, PV[[#This Row],[Notional Value Local Cur]], -PV[[#This Row],[Notional Value Local Cur]])</f>
        <v>0</v>
      </c>
    </row>
    <row r="6056" spans="1:5" x14ac:dyDescent="0.25">
      <c r="A6056" s="36" t="b">
        <v>0</v>
      </c>
      <c r="B6056" s="56" t="b">
        <v>0</v>
      </c>
      <c r="C6056" s="56" t="b">
        <v>0</v>
      </c>
      <c r="D6056" s="56" t="b">
        <v>0</v>
      </c>
      <c r="E6056" s="56">
        <f ca="1">IF(PV[[#This Row],[Business Date]]=Control!$C$6, PV[[#This Row],[Notional Value Local Cur]], -PV[[#This Row],[Notional Value Local Cur]])</f>
        <v>0</v>
      </c>
    </row>
    <row r="6057" spans="1:5" x14ac:dyDescent="0.25">
      <c r="A6057" s="36" t="b">
        <v>0</v>
      </c>
      <c r="B6057" s="56" t="b">
        <v>0</v>
      </c>
      <c r="C6057" s="56" t="b">
        <v>0</v>
      </c>
      <c r="D6057" s="56" t="b">
        <v>0</v>
      </c>
      <c r="E6057" s="56">
        <f ca="1">IF(PV[[#This Row],[Business Date]]=Control!$C$6, PV[[#This Row],[Notional Value Local Cur]], -PV[[#This Row],[Notional Value Local Cur]])</f>
        <v>0</v>
      </c>
    </row>
    <row r="6058" spans="1:5" x14ac:dyDescent="0.25">
      <c r="A6058" s="36" t="b">
        <v>0</v>
      </c>
      <c r="B6058" s="56" t="b">
        <v>0</v>
      </c>
      <c r="C6058" s="56" t="b">
        <v>0</v>
      </c>
      <c r="D6058" s="56" t="b">
        <v>0</v>
      </c>
      <c r="E6058" s="56">
        <f ca="1">IF(PV[[#This Row],[Business Date]]=Control!$C$6, PV[[#This Row],[Notional Value Local Cur]], -PV[[#This Row],[Notional Value Local Cur]])</f>
        <v>0</v>
      </c>
    </row>
    <row r="6059" spans="1:5" x14ac:dyDescent="0.25">
      <c r="A6059" s="36" t="b">
        <v>0</v>
      </c>
      <c r="B6059" s="56" t="b">
        <v>0</v>
      </c>
      <c r="C6059" s="56" t="b">
        <v>0</v>
      </c>
      <c r="D6059" s="56" t="b">
        <v>0</v>
      </c>
      <c r="E6059" s="56">
        <f ca="1">IF(PV[[#This Row],[Business Date]]=Control!$C$6, PV[[#This Row],[Notional Value Local Cur]], -PV[[#This Row],[Notional Value Local Cur]])</f>
        <v>0</v>
      </c>
    </row>
    <row r="6060" spans="1:5" x14ac:dyDescent="0.25">
      <c r="A6060" s="36" t="b">
        <v>0</v>
      </c>
      <c r="B6060" s="56" t="b">
        <v>0</v>
      </c>
      <c r="C6060" s="56" t="b">
        <v>0</v>
      </c>
      <c r="D6060" s="56" t="b">
        <v>0</v>
      </c>
      <c r="E6060" s="56">
        <f ca="1">IF(PV[[#This Row],[Business Date]]=Control!$C$6, PV[[#This Row],[Notional Value Local Cur]], -PV[[#This Row],[Notional Value Local Cur]])</f>
        <v>0</v>
      </c>
    </row>
    <row r="6061" spans="1:5" x14ac:dyDescent="0.25">
      <c r="A6061" s="36" t="b">
        <v>0</v>
      </c>
      <c r="B6061" s="56" t="b">
        <v>0</v>
      </c>
      <c r="C6061" s="56" t="b">
        <v>0</v>
      </c>
      <c r="D6061" s="56" t="b">
        <v>0</v>
      </c>
      <c r="E6061" s="56">
        <f ca="1">IF(PV[[#This Row],[Business Date]]=Control!$C$6, PV[[#This Row],[Notional Value Local Cur]], -PV[[#This Row],[Notional Value Local Cur]])</f>
        <v>0</v>
      </c>
    </row>
    <row r="6062" spans="1:5" x14ac:dyDescent="0.25">
      <c r="A6062" s="36" t="b">
        <v>0</v>
      </c>
      <c r="B6062" s="56" t="b">
        <v>0</v>
      </c>
      <c r="C6062" s="56" t="b">
        <v>0</v>
      </c>
      <c r="D6062" s="56" t="b">
        <v>0</v>
      </c>
      <c r="E6062" s="56">
        <f ca="1">IF(PV[[#This Row],[Business Date]]=Control!$C$6, PV[[#This Row],[Notional Value Local Cur]], -PV[[#This Row],[Notional Value Local Cur]])</f>
        <v>0</v>
      </c>
    </row>
    <row r="6063" spans="1:5" x14ac:dyDescent="0.25">
      <c r="A6063" s="36" t="b">
        <v>0</v>
      </c>
      <c r="B6063" s="56" t="b">
        <v>0</v>
      </c>
      <c r="C6063" s="56" t="b">
        <v>0</v>
      </c>
      <c r="D6063" s="56" t="b">
        <v>0</v>
      </c>
      <c r="E6063" s="56">
        <f ca="1">IF(PV[[#This Row],[Business Date]]=Control!$C$6, PV[[#This Row],[Notional Value Local Cur]], -PV[[#This Row],[Notional Value Local Cur]])</f>
        <v>0</v>
      </c>
    </row>
    <row r="6064" spans="1:5" x14ac:dyDescent="0.25">
      <c r="A6064" s="36" t="b">
        <v>0</v>
      </c>
      <c r="B6064" s="56" t="b">
        <v>0</v>
      </c>
      <c r="C6064" s="56" t="b">
        <v>0</v>
      </c>
      <c r="D6064" s="56" t="b">
        <v>0</v>
      </c>
      <c r="E6064" s="56">
        <f ca="1">IF(PV[[#This Row],[Business Date]]=Control!$C$6, PV[[#This Row],[Notional Value Local Cur]], -PV[[#This Row],[Notional Value Local Cur]])</f>
        <v>0</v>
      </c>
    </row>
    <row r="6065" spans="1:5" x14ac:dyDescent="0.25">
      <c r="A6065" s="36" t="b">
        <v>0</v>
      </c>
      <c r="B6065" s="56" t="b">
        <v>0</v>
      </c>
      <c r="C6065" s="56" t="b">
        <v>0</v>
      </c>
      <c r="D6065" s="56" t="b">
        <v>0</v>
      </c>
      <c r="E6065" s="56">
        <f ca="1">IF(PV[[#This Row],[Business Date]]=Control!$C$6, PV[[#This Row],[Notional Value Local Cur]], -PV[[#This Row],[Notional Value Local Cur]])</f>
        <v>0</v>
      </c>
    </row>
    <row r="6066" spans="1:5" x14ac:dyDescent="0.25">
      <c r="A6066" s="36" t="b">
        <v>0</v>
      </c>
      <c r="B6066" s="56" t="b">
        <v>0</v>
      </c>
      <c r="C6066" s="56" t="b">
        <v>0</v>
      </c>
      <c r="D6066" s="56" t="b">
        <v>0</v>
      </c>
      <c r="E6066" s="56">
        <f ca="1">IF(PV[[#This Row],[Business Date]]=Control!$C$6, PV[[#This Row],[Notional Value Local Cur]], -PV[[#This Row],[Notional Value Local Cur]])</f>
        <v>0</v>
      </c>
    </row>
    <row r="6067" spans="1:5" x14ac:dyDescent="0.25">
      <c r="A6067" s="36" t="b">
        <v>0</v>
      </c>
      <c r="B6067" s="56" t="b">
        <v>0</v>
      </c>
      <c r="C6067" s="56" t="b">
        <v>0</v>
      </c>
      <c r="D6067" s="56" t="b">
        <v>0</v>
      </c>
      <c r="E6067" s="56">
        <f ca="1">IF(PV[[#This Row],[Business Date]]=Control!$C$6, PV[[#This Row],[Notional Value Local Cur]], -PV[[#This Row],[Notional Value Local Cur]])</f>
        <v>0</v>
      </c>
    </row>
    <row r="6068" spans="1:5" x14ac:dyDescent="0.25">
      <c r="A6068" s="36" t="b">
        <v>0</v>
      </c>
      <c r="B6068" s="56" t="b">
        <v>0</v>
      </c>
      <c r="C6068" s="56" t="b">
        <v>0</v>
      </c>
      <c r="D6068" s="56" t="b">
        <v>0</v>
      </c>
      <c r="E6068" s="56">
        <f ca="1">IF(PV[[#This Row],[Business Date]]=Control!$C$6, PV[[#This Row],[Notional Value Local Cur]], -PV[[#This Row],[Notional Value Local Cur]])</f>
        <v>0</v>
      </c>
    </row>
    <row r="6069" spans="1:5" x14ac:dyDescent="0.25">
      <c r="A6069" s="36" t="b">
        <v>0</v>
      </c>
      <c r="B6069" s="56" t="b">
        <v>0</v>
      </c>
      <c r="C6069" s="56" t="b">
        <v>0</v>
      </c>
      <c r="D6069" s="56" t="b">
        <v>0</v>
      </c>
      <c r="E6069" s="56">
        <f ca="1">IF(PV[[#This Row],[Business Date]]=Control!$C$6, PV[[#This Row],[Notional Value Local Cur]], -PV[[#This Row],[Notional Value Local Cur]])</f>
        <v>0</v>
      </c>
    </row>
    <row r="6070" spans="1:5" x14ac:dyDescent="0.25">
      <c r="A6070" s="36" t="b">
        <v>0</v>
      </c>
      <c r="B6070" s="56" t="b">
        <v>0</v>
      </c>
      <c r="C6070" s="56" t="b">
        <v>0</v>
      </c>
      <c r="D6070" s="56" t="b">
        <v>0</v>
      </c>
      <c r="E6070" s="56">
        <f ca="1">IF(PV[[#This Row],[Business Date]]=Control!$C$6, PV[[#This Row],[Notional Value Local Cur]], -PV[[#This Row],[Notional Value Local Cur]])</f>
        <v>0</v>
      </c>
    </row>
    <row r="6071" spans="1:5" x14ac:dyDescent="0.25">
      <c r="A6071" s="36" t="b">
        <v>0</v>
      </c>
      <c r="B6071" s="56" t="b">
        <v>0</v>
      </c>
      <c r="C6071" s="56" t="b">
        <v>0</v>
      </c>
      <c r="D6071" s="56" t="b">
        <v>0</v>
      </c>
      <c r="E6071" s="56">
        <f ca="1">IF(PV[[#This Row],[Business Date]]=Control!$C$6, PV[[#This Row],[Notional Value Local Cur]], -PV[[#This Row],[Notional Value Local Cur]])</f>
        <v>0</v>
      </c>
    </row>
    <row r="6072" spans="1:5" x14ac:dyDescent="0.25">
      <c r="A6072" s="36" t="b">
        <v>0</v>
      </c>
      <c r="B6072" s="56" t="b">
        <v>0</v>
      </c>
      <c r="C6072" s="56" t="b">
        <v>0</v>
      </c>
      <c r="D6072" s="56" t="b">
        <v>0</v>
      </c>
      <c r="E6072" s="56">
        <f ca="1">IF(PV[[#This Row],[Business Date]]=Control!$C$6, PV[[#This Row],[Notional Value Local Cur]], -PV[[#This Row],[Notional Value Local Cur]])</f>
        <v>0</v>
      </c>
    </row>
    <row r="6073" spans="1:5" x14ac:dyDescent="0.25">
      <c r="A6073" s="36" t="b">
        <v>0</v>
      </c>
      <c r="B6073" s="56" t="b">
        <v>0</v>
      </c>
      <c r="C6073" s="56" t="b">
        <v>0</v>
      </c>
      <c r="D6073" s="56" t="b">
        <v>0</v>
      </c>
      <c r="E6073" s="56">
        <f ca="1">IF(PV[[#This Row],[Business Date]]=Control!$C$6, PV[[#This Row],[Notional Value Local Cur]], -PV[[#This Row],[Notional Value Local Cur]])</f>
        <v>0</v>
      </c>
    </row>
    <row r="6074" spans="1:5" x14ac:dyDescent="0.25">
      <c r="A6074" s="36" t="b">
        <v>0</v>
      </c>
      <c r="B6074" s="56" t="b">
        <v>0</v>
      </c>
      <c r="C6074" s="56" t="b">
        <v>0</v>
      </c>
      <c r="D6074" s="56" t="b">
        <v>0</v>
      </c>
      <c r="E6074" s="56">
        <f ca="1">IF(PV[[#This Row],[Business Date]]=Control!$C$6, PV[[#This Row],[Notional Value Local Cur]], -PV[[#This Row],[Notional Value Local Cur]])</f>
        <v>0</v>
      </c>
    </row>
    <row r="6075" spans="1:5" x14ac:dyDescent="0.25">
      <c r="A6075" s="36" t="b">
        <v>0</v>
      </c>
      <c r="B6075" s="56" t="b">
        <v>0</v>
      </c>
      <c r="C6075" s="56" t="b">
        <v>0</v>
      </c>
      <c r="D6075" s="56" t="b">
        <v>0</v>
      </c>
      <c r="E6075" s="56">
        <f ca="1">IF(PV[[#This Row],[Business Date]]=Control!$C$6, PV[[#This Row],[Notional Value Local Cur]], -PV[[#This Row],[Notional Value Local Cur]])</f>
        <v>0</v>
      </c>
    </row>
    <row r="6076" spans="1:5" x14ac:dyDescent="0.25">
      <c r="A6076" s="36" t="b">
        <v>0</v>
      </c>
      <c r="B6076" s="56" t="b">
        <v>0</v>
      </c>
      <c r="C6076" s="56" t="b">
        <v>0</v>
      </c>
      <c r="D6076" s="56" t="b">
        <v>0</v>
      </c>
      <c r="E6076" s="56">
        <f ca="1">IF(PV[[#This Row],[Business Date]]=Control!$C$6, PV[[#This Row],[Notional Value Local Cur]], -PV[[#This Row],[Notional Value Local Cur]])</f>
        <v>0</v>
      </c>
    </row>
    <row r="6077" spans="1:5" x14ac:dyDescent="0.25">
      <c r="A6077" s="36" t="b">
        <v>0</v>
      </c>
      <c r="B6077" s="56" t="b">
        <v>0</v>
      </c>
      <c r="C6077" s="56" t="b">
        <v>0</v>
      </c>
      <c r="D6077" s="56" t="b">
        <v>0</v>
      </c>
      <c r="E6077" s="56">
        <f ca="1">IF(PV[[#This Row],[Business Date]]=Control!$C$6, PV[[#This Row],[Notional Value Local Cur]], -PV[[#This Row],[Notional Value Local Cur]])</f>
        <v>0</v>
      </c>
    </row>
    <row r="6078" spans="1:5" x14ac:dyDescent="0.25">
      <c r="A6078" s="36" t="b">
        <v>0</v>
      </c>
      <c r="B6078" s="56" t="b">
        <v>0</v>
      </c>
      <c r="C6078" s="56" t="b">
        <v>0</v>
      </c>
      <c r="D6078" s="56" t="b">
        <v>0</v>
      </c>
      <c r="E6078" s="56">
        <f ca="1">IF(PV[[#This Row],[Business Date]]=Control!$C$6, PV[[#This Row],[Notional Value Local Cur]], -PV[[#This Row],[Notional Value Local Cur]])</f>
        <v>0</v>
      </c>
    </row>
    <row r="6079" spans="1:5" x14ac:dyDescent="0.25">
      <c r="A6079" s="36" t="b">
        <v>0</v>
      </c>
      <c r="B6079" s="56" t="b">
        <v>0</v>
      </c>
      <c r="C6079" s="56" t="b">
        <v>0</v>
      </c>
      <c r="D6079" s="56" t="b">
        <v>0</v>
      </c>
      <c r="E6079" s="56">
        <f ca="1">IF(PV[[#This Row],[Business Date]]=Control!$C$6, PV[[#This Row],[Notional Value Local Cur]], -PV[[#This Row],[Notional Value Local Cur]])</f>
        <v>0</v>
      </c>
    </row>
    <row r="6080" spans="1:5" x14ac:dyDescent="0.25">
      <c r="A6080" s="36" t="b">
        <v>0</v>
      </c>
      <c r="B6080" s="56" t="b">
        <v>0</v>
      </c>
      <c r="C6080" s="56" t="b">
        <v>0</v>
      </c>
      <c r="D6080" s="56" t="b">
        <v>0</v>
      </c>
      <c r="E6080" s="56">
        <f ca="1">IF(PV[[#This Row],[Business Date]]=Control!$C$6, PV[[#This Row],[Notional Value Local Cur]], -PV[[#This Row],[Notional Value Local Cur]])</f>
        <v>0</v>
      </c>
    </row>
    <row r="6081" spans="1:5" x14ac:dyDescent="0.25">
      <c r="A6081" s="36" t="b">
        <v>0</v>
      </c>
      <c r="B6081" s="56" t="b">
        <v>0</v>
      </c>
      <c r="C6081" s="56" t="b">
        <v>0</v>
      </c>
      <c r="D6081" s="56" t="b">
        <v>0</v>
      </c>
      <c r="E6081" s="56">
        <f ca="1">IF(PV[[#This Row],[Business Date]]=Control!$C$6, PV[[#This Row],[Notional Value Local Cur]], -PV[[#This Row],[Notional Value Local Cur]])</f>
        <v>0</v>
      </c>
    </row>
    <row r="6082" spans="1:5" x14ac:dyDescent="0.25">
      <c r="A6082" s="36" t="b">
        <v>0</v>
      </c>
      <c r="B6082" s="56" t="b">
        <v>0</v>
      </c>
      <c r="C6082" s="56" t="b">
        <v>0</v>
      </c>
      <c r="D6082" s="56" t="b">
        <v>0</v>
      </c>
      <c r="E6082" s="56">
        <f ca="1">IF(PV[[#This Row],[Business Date]]=Control!$C$6, PV[[#This Row],[Notional Value Local Cur]], -PV[[#This Row],[Notional Value Local Cur]])</f>
        <v>0</v>
      </c>
    </row>
    <row r="6083" spans="1:5" x14ac:dyDescent="0.25">
      <c r="A6083" s="36" t="b">
        <v>0</v>
      </c>
      <c r="B6083" s="56" t="b">
        <v>0</v>
      </c>
      <c r="C6083" s="56" t="b">
        <v>0</v>
      </c>
      <c r="D6083" s="56" t="b">
        <v>0</v>
      </c>
      <c r="E6083" s="56">
        <f ca="1">IF(PV[[#This Row],[Business Date]]=Control!$C$6, PV[[#This Row],[Notional Value Local Cur]], -PV[[#This Row],[Notional Value Local Cur]])</f>
        <v>0</v>
      </c>
    </row>
    <row r="6084" spans="1:5" x14ac:dyDescent="0.25">
      <c r="A6084" s="36" t="b">
        <v>0</v>
      </c>
      <c r="B6084" s="56" t="b">
        <v>0</v>
      </c>
      <c r="C6084" s="56" t="b">
        <v>0</v>
      </c>
      <c r="D6084" s="56" t="b">
        <v>0</v>
      </c>
      <c r="E6084" s="56">
        <f ca="1">IF(PV[[#This Row],[Business Date]]=Control!$C$6, PV[[#This Row],[Notional Value Local Cur]], -PV[[#This Row],[Notional Value Local Cur]])</f>
        <v>0</v>
      </c>
    </row>
    <row r="6085" spans="1:5" x14ac:dyDescent="0.25">
      <c r="A6085" s="36" t="b">
        <v>0</v>
      </c>
      <c r="B6085" s="56" t="b">
        <v>0</v>
      </c>
      <c r="C6085" s="56" t="b">
        <v>0</v>
      </c>
      <c r="D6085" s="56" t="b">
        <v>0</v>
      </c>
      <c r="E6085" s="56">
        <f ca="1">IF(PV[[#This Row],[Business Date]]=Control!$C$6, PV[[#This Row],[Notional Value Local Cur]], -PV[[#This Row],[Notional Value Local Cur]])</f>
        <v>0</v>
      </c>
    </row>
    <row r="6086" spans="1:5" x14ac:dyDescent="0.25">
      <c r="A6086" s="36" t="b">
        <v>0</v>
      </c>
      <c r="B6086" s="56" t="b">
        <v>0</v>
      </c>
      <c r="C6086" s="56" t="b">
        <v>0</v>
      </c>
      <c r="D6086" s="56" t="b">
        <v>0</v>
      </c>
      <c r="E6086" s="56">
        <f ca="1">IF(PV[[#This Row],[Business Date]]=Control!$C$6, PV[[#This Row],[Notional Value Local Cur]], -PV[[#This Row],[Notional Value Local Cur]])</f>
        <v>0</v>
      </c>
    </row>
    <row r="6087" spans="1:5" x14ac:dyDescent="0.25">
      <c r="A6087" s="36" t="b">
        <v>0</v>
      </c>
      <c r="B6087" s="56" t="b">
        <v>0</v>
      </c>
      <c r="C6087" s="56" t="b">
        <v>0</v>
      </c>
      <c r="D6087" s="56" t="b">
        <v>0</v>
      </c>
      <c r="E6087" s="56">
        <f ca="1">IF(PV[[#This Row],[Business Date]]=Control!$C$6, PV[[#This Row],[Notional Value Local Cur]], -PV[[#This Row],[Notional Value Local Cur]])</f>
        <v>0</v>
      </c>
    </row>
    <row r="6088" spans="1:5" x14ac:dyDescent="0.25">
      <c r="A6088" s="36" t="b">
        <v>0</v>
      </c>
      <c r="B6088" s="56" t="b">
        <v>0</v>
      </c>
      <c r="C6088" s="56" t="b">
        <v>0</v>
      </c>
      <c r="D6088" s="56" t="b">
        <v>0</v>
      </c>
      <c r="E6088" s="56">
        <f ca="1">IF(PV[[#This Row],[Business Date]]=Control!$C$6, PV[[#This Row],[Notional Value Local Cur]], -PV[[#This Row],[Notional Value Local Cur]])</f>
        <v>0</v>
      </c>
    </row>
    <row r="6089" spans="1:5" x14ac:dyDescent="0.25">
      <c r="A6089" s="36" t="b">
        <v>0</v>
      </c>
      <c r="B6089" s="56" t="b">
        <v>0</v>
      </c>
      <c r="C6089" s="56" t="b">
        <v>0</v>
      </c>
      <c r="D6089" s="56" t="b">
        <v>0</v>
      </c>
      <c r="E6089" s="56">
        <f ca="1">IF(PV[[#This Row],[Business Date]]=Control!$C$6, PV[[#This Row],[Notional Value Local Cur]], -PV[[#This Row],[Notional Value Local Cur]])</f>
        <v>0</v>
      </c>
    </row>
    <row r="6090" spans="1:5" x14ac:dyDescent="0.25">
      <c r="A6090" s="36" t="b">
        <v>0</v>
      </c>
      <c r="B6090" s="56" t="b">
        <v>0</v>
      </c>
      <c r="C6090" s="56" t="b">
        <v>0</v>
      </c>
      <c r="D6090" s="56" t="b">
        <v>0</v>
      </c>
      <c r="E6090" s="56">
        <f ca="1">IF(PV[[#This Row],[Business Date]]=Control!$C$6, PV[[#This Row],[Notional Value Local Cur]], -PV[[#This Row],[Notional Value Local Cur]])</f>
        <v>0</v>
      </c>
    </row>
    <row r="6091" spans="1:5" x14ac:dyDescent="0.25">
      <c r="A6091" s="36" t="b">
        <v>0</v>
      </c>
      <c r="B6091" s="56" t="b">
        <v>0</v>
      </c>
      <c r="C6091" s="56" t="b">
        <v>0</v>
      </c>
      <c r="D6091" s="56" t="b">
        <v>0</v>
      </c>
      <c r="E6091" s="56">
        <f ca="1">IF(PV[[#This Row],[Business Date]]=Control!$C$6, PV[[#This Row],[Notional Value Local Cur]], -PV[[#This Row],[Notional Value Local Cur]])</f>
        <v>0</v>
      </c>
    </row>
    <row r="6092" spans="1:5" x14ac:dyDescent="0.25">
      <c r="A6092" s="36" t="b">
        <v>0</v>
      </c>
      <c r="B6092" s="56" t="b">
        <v>0</v>
      </c>
      <c r="C6092" s="56" t="b">
        <v>0</v>
      </c>
      <c r="D6092" s="56" t="b">
        <v>0</v>
      </c>
      <c r="E6092" s="56">
        <f ca="1">IF(PV[[#This Row],[Business Date]]=Control!$C$6, PV[[#This Row],[Notional Value Local Cur]], -PV[[#This Row],[Notional Value Local Cur]])</f>
        <v>0</v>
      </c>
    </row>
    <row r="6093" spans="1:5" x14ac:dyDescent="0.25">
      <c r="A6093" s="36" t="b">
        <v>0</v>
      </c>
      <c r="B6093" s="56" t="b">
        <v>0</v>
      </c>
      <c r="C6093" s="56" t="b">
        <v>0</v>
      </c>
      <c r="D6093" s="56" t="b">
        <v>0</v>
      </c>
      <c r="E6093" s="56">
        <f ca="1">IF(PV[[#This Row],[Business Date]]=Control!$C$6, PV[[#This Row],[Notional Value Local Cur]], -PV[[#This Row],[Notional Value Local Cur]])</f>
        <v>0</v>
      </c>
    </row>
    <row r="6094" spans="1:5" x14ac:dyDescent="0.25">
      <c r="A6094" s="36" t="b">
        <v>0</v>
      </c>
      <c r="B6094" s="56" t="b">
        <v>0</v>
      </c>
      <c r="C6094" s="56" t="b">
        <v>0</v>
      </c>
      <c r="D6094" s="56" t="b">
        <v>0</v>
      </c>
      <c r="E6094" s="56">
        <f ca="1">IF(PV[[#This Row],[Business Date]]=Control!$C$6, PV[[#This Row],[Notional Value Local Cur]], -PV[[#This Row],[Notional Value Local Cur]])</f>
        <v>0</v>
      </c>
    </row>
    <row r="6095" spans="1:5" x14ac:dyDescent="0.25">
      <c r="A6095" s="36" t="b">
        <v>0</v>
      </c>
      <c r="B6095" s="56" t="b">
        <v>0</v>
      </c>
      <c r="C6095" s="56" t="b">
        <v>0</v>
      </c>
      <c r="D6095" s="56" t="b">
        <v>0</v>
      </c>
      <c r="E6095" s="56">
        <f ca="1">IF(PV[[#This Row],[Business Date]]=Control!$C$6, PV[[#This Row],[Notional Value Local Cur]], -PV[[#This Row],[Notional Value Local Cur]])</f>
        <v>0</v>
      </c>
    </row>
    <row r="6096" spans="1:5" x14ac:dyDescent="0.25">
      <c r="A6096" s="36" t="b">
        <v>0</v>
      </c>
      <c r="B6096" s="56" t="b">
        <v>0</v>
      </c>
      <c r="C6096" s="56" t="b">
        <v>0</v>
      </c>
      <c r="D6096" s="56" t="b">
        <v>0</v>
      </c>
      <c r="E6096" s="56">
        <f ca="1">IF(PV[[#This Row],[Business Date]]=Control!$C$6, PV[[#This Row],[Notional Value Local Cur]], -PV[[#This Row],[Notional Value Local Cur]])</f>
        <v>0</v>
      </c>
    </row>
    <row r="6097" spans="1:5" x14ac:dyDescent="0.25">
      <c r="A6097" s="36" t="b">
        <v>0</v>
      </c>
      <c r="B6097" s="56" t="b">
        <v>0</v>
      </c>
      <c r="C6097" s="56" t="b">
        <v>0</v>
      </c>
      <c r="D6097" s="56" t="b">
        <v>0</v>
      </c>
      <c r="E6097" s="56">
        <f ca="1">IF(PV[[#This Row],[Business Date]]=Control!$C$6, PV[[#This Row],[Notional Value Local Cur]], -PV[[#This Row],[Notional Value Local Cur]])</f>
        <v>0</v>
      </c>
    </row>
    <row r="6098" spans="1:5" x14ac:dyDescent="0.25">
      <c r="A6098" s="36" t="b">
        <v>0</v>
      </c>
      <c r="B6098" s="56" t="b">
        <v>0</v>
      </c>
      <c r="C6098" s="56" t="b">
        <v>0</v>
      </c>
      <c r="D6098" s="56" t="b">
        <v>0</v>
      </c>
      <c r="E6098" s="56">
        <f ca="1">IF(PV[[#This Row],[Business Date]]=Control!$C$6, PV[[#This Row],[Notional Value Local Cur]], -PV[[#This Row],[Notional Value Local Cur]])</f>
        <v>0</v>
      </c>
    </row>
    <row r="6099" spans="1:5" x14ac:dyDescent="0.25">
      <c r="A6099" s="36" t="b">
        <v>0</v>
      </c>
      <c r="B6099" s="56" t="b">
        <v>0</v>
      </c>
      <c r="C6099" s="56" t="b">
        <v>0</v>
      </c>
      <c r="D6099" s="56" t="b">
        <v>0</v>
      </c>
      <c r="E6099" s="56">
        <f ca="1">IF(PV[[#This Row],[Business Date]]=Control!$C$6, PV[[#This Row],[Notional Value Local Cur]], -PV[[#This Row],[Notional Value Local Cur]])</f>
        <v>0</v>
      </c>
    </row>
    <row r="6100" spans="1:5" x14ac:dyDescent="0.25">
      <c r="A6100" s="36" t="b">
        <v>0</v>
      </c>
      <c r="B6100" s="56" t="b">
        <v>0</v>
      </c>
      <c r="C6100" s="56" t="b">
        <v>0</v>
      </c>
      <c r="D6100" s="56" t="b">
        <v>0</v>
      </c>
      <c r="E6100" s="56">
        <f ca="1">IF(PV[[#This Row],[Business Date]]=Control!$C$6, PV[[#This Row],[Notional Value Local Cur]], -PV[[#This Row],[Notional Value Local Cur]])</f>
        <v>0</v>
      </c>
    </row>
    <row r="6101" spans="1:5" x14ac:dyDescent="0.25">
      <c r="A6101" s="36" t="b">
        <v>0</v>
      </c>
      <c r="B6101" s="56" t="b">
        <v>0</v>
      </c>
      <c r="C6101" s="56" t="b">
        <v>0</v>
      </c>
      <c r="D6101" s="56" t="b">
        <v>0</v>
      </c>
      <c r="E6101" s="56">
        <f ca="1">IF(PV[[#This Row],[Business Date]]=Control!$C$6, PV[[#This Row],[Notional Value Local Cur]], -PV[[#This Row],[Notional Value Local Cur]])</f>
        <v>0</v>
      </c>
    </row>
    <row r="6102" spans="1:5" x14ac:dyDescent="0.25">
      <c r="A6102" s="36" t="b">
        <v>0</v>
      </c>
      <c r="B6102" s="56" t="b">
        <v>0</v>
      </c>
      <c r="C6102" s="56" t="b">
        <v>0</v>
      </c>
      <c r="D6102" s="56" t="b">
        <v>0</v>
      </c>
      <c r="E6102" s="56">
        <f ca="1">IF(PV[[#This Row],[Business Date]]=Control!$C$6, PV[[#This Row],[Notional Value Local Cur]], -PV[[#This Row],[Notional Value Local Cur]])</f>
        <v>0</v>
      </c>
    </row>
    <row r="6103" spans="1:5" x14ac:dyDescent="0.25">
      <c r="A6103" s="36" t="b">
        <v>0</v>
      </c>
      <c r="B6103" s="56" t="b">
        <v>0</v>
      </c>
      <c r="C6103" s="56" t="b">
        <v>0</v>
      </c>
      <c r="D6103" s="56" t="b">
        <v>0</v>
      </c>
      <c r="E6103" s="56">
        <f ca="1">IF(PV[[#This Row],[Business Date]]=Control!$C$6, PV[[#This Row],[Notional Value Local Cur]], -PV[[#This Row],[Notional Value Local Cur]])</f>
        <v>0</v>
      </c>
    </row>
    <row r="6104" spans="1:5" x14ac:dyDescent="0.25">
      <c r="A6104" s="36" t="b">
        <v>0</v>
      </c>
      <c r="B6104" s="56" t="b">
        <v>0</v>
      </c>
      <c r="C6104" s="56" t="b">
        <v>0</v>
      </c>
      <c r="D6104" s="56" t="b">
        <v>0</v>
      </c>
      <c r="E6104" s="56">
        <f ca="1">IF(PV[[#This Row],[Business Date]]=Control!$C$6, PV[[#This Row],[Notional Value Local Cur]], -PV[[#This Row],[Notional Value Local Cur]])</f>
        <v>0</v>
      </c>
    </row>
    <row r="6105" spans="1:5" x14ac:dyDescent="0.25">
      <c r="A6105" s="36" t="b">
        <v>0</v>
      </c>
      <c r="B6105" s="56" t="b">
        <v>0</v>
      </c>
      <c r="C6105" s="56" t="b">
        <v>0</v>
      </c>
      <c r="D6105" s="56" t="b">
        <v>0</v>
      </c>
      <c r="E6105" s="56">
        <f ca="1">IF(PV[[#This Row],[Business Date]]=Control!$C$6, PV[[#This Row],[Notional Value Local Cur]], -PV[[#This Row],[Notional Value Local Cur]])</f>
        <v>0</v>
      </c>
    </row>
    <row r="6106" spans="1:5" x14ac:dyDescent="0.25">
      <c r="A6106" s="36" t="b">
        <v>0</v>
      </c>
      <c r="B6106" s="56" t="b">
        <v>0</v>
      </c>
      <c r="C6106" s="56" t="b">
        <v>0</v>
      </c>
      <c r="D6106" s="56" t="b">
        <v>0</v>
      </c>
      <c r="E6106" s="56">
        <f ca="1">IF(PV[[#This Row],[Business Date]]=Control!$C$6, PV[[#This Row],[Notional Value Local Cur]], -PV[[#This Row],[Notional Value Local Cur]])</f>
        <v>0</v>
      </c>
    </row>
    <row r="6107" spans="1:5" x14ac:dyDescent="0.25">
      <c r="A6107" s="36" t="b">
        <v>0</v>
      </c>
      <c r="B6107" s="56" t="b">
        <v>0</v>
      </c>
      <c r="C6107" s="56" t="b">
        <v>0</v>
      </c>
      <c r="D6107" s="56" t="b">
        <v>0</v>
      </c>
      <c r="E6107" s="56">
        <f ca="1">IF(PV[[#This Row],[Business Date]]=Control!$C$6, PV[[#This Row],[Notional Value Local Cur]], -PV[[#This Row],[Notional Value Local Cur]])</f>
        <v>0</v>
      </c>
    </row>
    <row r="6108" spans="1:5" x14ac:dyDescent="0.25">
      <c r="A6108" s="36" t="b">
        <v>0</v>
      </c>
      <c r="B6108" s="56" t="b">
        <v>0</v>
      </c>
      <c r="C6108" s="56" t="b">
        <v>0</v>
      </c>
      <c r="D6108" s="56" t="b">
        <v>0</v>
      </c>
      <c r="E6108" s="56">
        <f ca="1">IF(PV[[#This Row],[Business Date]]=Control!$C$6, PV[[#This Row],[Notional Value Local Cur]], -PV[[#This Row],[Notional Value Local Cur]])</f>
        <v>0</v>
      </c>
    </row>
    <row r="6109" spans="1:5" x14ac:dyDescent="0.25">
      <c r="A6109" s="36" t="b">
        <v>0</v>
      </c>
      <c r="B6109" s="56" t="b">
        <v>0</v>
      </c>
      <c r="C6109" s="56" t="b">
        <v>0</v>
      </c>
      <c r="D6109" s="56" t="b">
        <v>0</v>
      </c>
      <c r="E6109" s="56">
        <f ca="1">IF(PV[[#This Row],[Business Date]]=Control!$C$6, PV[[#This Row],[Notional Value Local Cur]], -PV[[#This Row],[Notional Value Local Cur]])</f>
        <v>0</v>
      </c>
    </row>
    <row r="6110" spans="1:5" x14ac:dyDescent="0.25">
      <c r="A6110" s="36" t="b">
        <v>0</v>
      </c>
      <c r="B6110" s="56" t="b">
        <v>0</v>
      </c>
      <c r="C6110" s="56" t="b">
        <v>0</v>
      </c>
      <c r="D6110" s="56" t="b">
        <v>0</v>
      </c>
      <c r="E6110" s="56">
        <f ca="1">IF(PV[[#This Row],[Business Date]]=Control!$C$6, PV[[#This Row],[Notional Value Local Cur]], -PV[[#This Row],[Notional Value Local Cur]])</f>
        <v>0</v>
      </c>
    </row>
    <row r="6111" spans="1:5" x14ac:dyDescent="0.25">
      <c r="A6111" s="36" t="b">
        <v>0</v>
      </c>
      <c r="B6111" s="56" t="b">
        <v>0</v>
      </c>
      <c r="C6111" s="56" t="b">
        <v>0</v>
      </c>
      <c r="D6111" s="56" t="b">
        <v>0</v>
      </c>
      <c r="E6111" s="56">
        <f ca="1">IF(PV[[#This Row],[Business Date]]=Control!$C$6, PV[[#This Row],[Notional Value Local Cur]], -PV[[#This Row],[Notional Value Local Cur]])</f>
        <v>0</v>
      </c>
    </row>
    <row r="6112" spans="1:5" x14ac:dyDescent="0.25">
      <c r="A6112" s="36" t="b">
        <v>0</v>
      </c>
      <c r="B6112" s="56" t="b">
        <v>0</v>
      </c>
      <c r="C6112" s="56" t="b">
        <v>0</v>
      </c>
      <c r="D6112" s="56" t="b">
        <v>0</v>
      </c>
      <c r="E6112" s="56">
        <f ca="1">IF(PV[[#This Row],[Business Date]]=Control!$C$6, PV[[#This Row],[Notional Value Local Cur]], -PV[[#This Row],[Notional Value Local Cur]])</f>
        <v>0</v>
      </c>
    </row>
    <row r="6113" spans="1:5" x14ac:dyDescent="0.25">
      <c r="A6113" s="36" t="b">
        <v>0</v>
      </c>
      <c r="B6113" s="56" t="b">
        <v>0</v>
      </c>
      <c r="C6113" s="56" t="b">
        <v>0</v>
      </c>
      <c r="D6113" s="56" t="b">
        <v>0</v>
      </c>
      <c r="E6113" s="56">
        <f ca="1">IF(PV[[#This Row],[Business Date]]=Control!$C$6, PV[[#This Row],[Notional Value Local Cur]], -PV[[#This Row],[Notional Value Local Cur]])</f>
        <v>0</v>
      </c>
    </row>
    <row r="6114" spans="1:5" x14ac:dyDescent="0.25">
      <c r="A6114" s="36" t="b">
        <v>0</v>
      </c>
      <c r="B6114" s="56" t="b">
        <v>0</v>
      </c>
      <c r="C6114" s="56" t="b">
        <v>0</v>
      </c>
      <c r="D6114" s="56" t="b">
        <v>0</v>
      </c>
      <c r="E6114" s="56">
        <f ca="1">IF(PV[[#This Row],[Business Date]]=Control!$C$6, PV[[#This Row],[Notional Value Local Cur]], -PV[[#This Row],[Notional Value Local Cur]])</f>
        <v>0</v>
      </c>
    </row>
    <row r="6115" spans="1:5" x14ac:dyDescent="0.25">
      <c r="A6115" s="36" t="b">
        <v>0</v>
      </c>
      <c r="B6115" s="56" t="b">
        <v>0</v>
      </c>
      <c r="C6115" s="56" t="b">
        <v>0</v>
      </c>
      <c r="D6115" s="56" t="b">
        <v>0</v>
      </c>
      <c r="E6115" s="56">
        <f ca="1">IF(PV[[#This Row],[Business Date]]=Control!$C$6, PV[[#This Row],[Notional Value Local Cur]], -PV[[#This Row],[Notional Value Local Cur]])</f>
        <v>0</v>
      </c>
    </row>
    <row r="6116" spans="1:5" x14ac:dyDescent="0.25">
      <c r="A6116" s="36" t="b">
        <v>0</v>
      </c>
      <c r="B6116" s="56" t="b">
        <v>0</v>
      </c>
      <c r="C6116" s="56" t="b">
        <v>0</v>
      </c>
      <c r="D6116" s="56" t="b">
        <v>0</v>
      </c>
      <c r="E6116" s="56">
        <f ca="1">IF(PV[[#This Row],[Business Date]]=Control!$C$6, PV[[#This Row],[Notional Value Local Cur]], -PV[[#This Row],[Notional Value Local Cur]])</f>
        <v>0</v>
      </c>
    </row>
    <row r="6117" spans="1:5" x14ac:dyDescent="0.25">
      <c r="A6117" s="36" t="b">
        <v>0</v>
      </c>
      <c r="B6117" s="56" t="b">
        <v>0</v>
      </c>
      <c r="C6117" s="56" t="b">
        <v>0</v>
      </c>
      <c r="D6117" s="56" t="b">
        <v>0</v>
      </c>
      <c r="E6117" s="56">
        <f ca="1">IF(PV[[#This Row],[Business Date]]=Control!$C$6, PV[[#This Row],[Notional Value Local Cur]], -PV[[#This Row],[Notional Value Local Cur]])</f>
        <v>0</v>
      </c>
    </row>
    <row r="6118" spans="1:5" x14ac:dyDescent="0.25">
      <c r="A6118" s="36" t="b">
        <v>0</v>
      </c>
      <c r="B6118" s="56" t="b">
        <v>0</v>
      </c>
      <c r="C6118" s="56" t="b">
        <v>0</v>
      </c>
      <c r="D6118" s="56" t="b">
        <v>0</v>
      </c>
      <c r="E6118" s="56">
        <f ca="1">IF(PV[[#This Row],[Business Date]]=Control!$C$6, PV[[#This Row],[Notional Value Local Cur]], -PV[[#This Row],[Notional Value Local Cur]])</f>
        <v>0</v>
      </c>
    </row>
    <row r="6119" spans="1:5" x14ac:dyDescent="0.25">
      <c r="A6119" s="36" t="b">
        <v>0</v>
      </c>
      <c r="B6119" s="56" t="b">
        <v>0</v>
      </c>
      <c r="C6119" s="56" t="b">
        <v>0</v>
      </c>
      <c r="D6119" s="56" t="b">
        <v>0</v>
      </c>
      <c r="E6119" s="56">
        <f ca="1">IF(PV[[#This Row],[Business Date]]=Control!$C$6, PV[[#This Row],[Notional Value Local Cur]], -PV[[#This Row],[Notional Value Local Cur]])</f>
        <v>0</v>
      </c>
    </row>
    <row r="6120" spans="1:5" x14ac:dyDescent="0.25">
      <c r="A6120" s="36" t="b">
        <v>0</v>
      </c>
      <c r="B6120" s="56" t="b">
        <v>0</v>
      </c>
      <c r="C6120" s="56" t="b">
        <v>0</v>
      </c>
      <c r="D6120" s="56" t="b">
        <v>0</v>
      </c>
      <c r="E6120" s="56">
        <f ca="1">IF(PV[[#This Row],[Business Date]]=Control!$C$6, PV[[#This Row],[Notional Value Local Cur]], -PV[[#This Row],[Notional Value Local Cur]])</f>
        <v>0</v>
      </c>
    </row>
    <row r="6121" spans="1:5" x14ac:dyDescent="0.25">
      <c r="A6121" s="36" t="b">
        <v>0</v>
      </c>
      <c r="B6121" s="56" t="b">
        <v>0</v>
      </c>
      <c r="C6121" s="56" t="b">
        <v>0</v>
      </c>
      <c r="D6121" s="56" t="b">
        <v>0</v>
      </c>
      <c r="E6121" s="56">
        <f ca="1">IF(PV[[#This Row],[Business Date]]=Control!$C$6, PV[[#This Row],[Notional Value Local Cur]], -PV[[#This Row],[Notional Value Local Cur]])</f>
        <v>0</v>
      </c>
    </row>
    <row r="6122" spans="1:5" x14ac:dyDescent="0.25">
      <c r="A6122" s="36" t="b">
        <v>0</v>
      </c>
      <c r="B6122" s="56" t="b">
        <v>0</v>
      </c>
      <c r="C6122" s="56" t="b">
        <v>0</v>
      </c>
      <c r="D6122" s="56" t="b">
        <v>0</v>
      </c>
      <c r="E6122" s="56">
        <f ca="1">IF(PV[[#This Row],[Business Date]]=Control!$C$6, PV[[#This Row],[Notional Value Local Cur]], -PV[[#This Row],[Notional Value Local Cur]])</f>
        <v>0</v>
      </c>
    </row>
    <row r="6123" spans="1:5" x14ac:dyDescent="0.25">
      <c r="A6123" s="36" t="b">
        <v>0</v>
      </c>
      <c r="B6123" s="56" t="b">
        <v>0</v>
      </c>
      <c r="C6123" s="56" t="b">
        <v>0</v>
      </c>
      <c r="D6123" s="56" t="b">
        <v>0</v>
      </c>
      <c r="E6123" s="56">
        <f ca="1">IF(PV[[#This Row],[Business Date]]=Control!$C$6, PV[[#This Row],[Notional Value Local Cur]], -PV[[#This Row],[Notional Value Local Cur]])</f>
        <v>0</v>
      </c>
    </row>
    <row r="6124" spans="1:5" x14ac:dyDescent="0.25">
      <c r="A6124" s="36" t="b">
        <v>0</v>
      </c>
      <c r="B6124" s="56" t="b">
        <v>0</v>
      </c>
      <c r="C6124" s="56" t="b">
        <v>0</v>
      </c>
      <c r="D6124" s="56" t="b">
        <v>0</v>
      </c>
      <c r="E6124" s="56">
        <f ca="1">IF(PV[[#This Row],[Business Date]]=Control!$C$6, PV[[#This Row],[Notional Value Local Cur]], -PV[[#This Row],[Notional Value Local Cur]])</f>
        <v>0</v>
      </c>
    </row>
    <row r="6125" spans="1:5" x14ac:dyDescent="0.25">
      <c r="A6125" s="36" t="b">
        <v>0</v>
      </c>
      <c r="B6125" s="56" t="b">
        <v>0</v>
      </c>
      <c r="C6125" s="56" t="b">
        <v>0</v>
      </c>
      <c r="D6125" s="56" t="b">
        <v>0</v>
      </c>
      <c r="E6125" s="56">
        <f ca="1">IF(PV[[#This Row],[Business Date]]=Control!$C$6, PV[[#This Row],[Notional Value Local Cur]], -PV[[#This Row],[Notional Value Local Cur]])</f>
        <v>0</v>
      </c>
    </row>
    <row r="6126" spans="1:5" x14ac:dyDescent="0.25">
      <c r="A6126" s="36" t="b">
        <v>0</v>
      </c>
      <c r="B6126" s="56" t="b">
        <v>0</v>
      </c>
      <c r="C6126" s="56" t="b">
        <v>0</v>
      </c>
      <c r="D6126" s="56" t="b">
        <v>0</v>
      </c>
      <c r="E6126" s="56">
        <f ca="1">IF(PV[[#This Row],[Business Date]]=Control!$C$6, PV[[#This Row],[Notional Value Local Cur]], -PV[[#This Row],[Notional Value Local Cur]])</f>
        <v>0</v>
      </c>
    </row>
    <row r="6127" spans="1:5" x14ac:dyDescent="0.25">
      <c r="A6127" s="36" t="b">
        <v>0</v>
      </c>
      <c r="B6127" s="56" t="b">
        <v>0</v>
      </c>
      <c r="C6127" s="56" t="b">
        <v>0</v>
      </c>
      <c r="D6127" s="56" t="b">
        <v>0</v>
      </c>
      <c r="E6127" s="56">
        <f ca="1">IF(PV[[#This Row],[Business Date]]=Control!$C$6, PV[[#This Row],[Notional Value Local Cur]], -PV[[#This Row],[Notional Value Local Cur]])</f>
        <v>0</v>
      </c>
    </row>
    <row r="6128" spans="1:5" x14ac:dyDescent="0.25">
      <c r="A6128" s="36" t="b">
        <v>0</v>
      </c>
      <c r="B6128" s="56" t="b">
        <v>0</v>
      </c>
      <c r="C6128" s="56" t="b">
        <v>0</v>
      </c>
      <c r="D6128" s="56" t="b">
        <v>0</v>
      </c>
      <c r="E6128" s="56">
        <f ca="1">IF(PV[[#This Row],[Business Date]]=Control!$C$6, PV[[#This Row],[Notional Value Local Cur]], -PV[[#This Row],[Notional Value Local Cur]])</f>
        <v>0</v>
      </c>
    </row>
    <row r="6129" spans="1:5" x14ac:dyDescent="0.25">
      <c r="A6129" s="36" t="b">
        <v>0</v>
      </c>
      <c r="B6129" s="56" t="b">
        <v>0</v>
      </c>
      <c r="C6129" s="56" t="b">
        <v>0</v>
      </c>
      <c r="D6129" s="56" t="b">
        <v>0</v>
      </c>
      <c r="E6129" s="56">
        <f ca="1">IF(PV[[#This Row],[Business Date]]=Control!$C$6, PV[[#This Row],[Notional Value Local Cur]], -PV[[#This Row],[Notional Value Local Cur]])</f>
        <v>0</v>
      </c>
    </row>
    <row r="6130" spans="1:5" x14ac:dyDescent="0.25">
      <c r="A6130" s="36" t="b">
        <v>0</v>
      </c>
      <c r="B6130" s="56" t="b">
        <v>0</v>
      </c>
      <c r="C6130" s="56" t="b">
        <v>0</v>
      </c>
      <c r="D6130" s="56" t="b">
        <v>0</v>
      </c>
      <c r="E6130" s="56">
        <f ca="1">IF(PV[[#This Row],[Business Date]]=Control!$C$6, PV[[#This Row],[Notional Value Local Cur]], -PV[[#This Row],[Notional Value Local Cur]])</f>
        <v>0</v>
      </c>
    </row>
    <row r="6131" spans="1:5" x14ac:dyDescent="0.25">
      <c r="A6131" s="36" t="b">
        <v>0</v>
      </c>
      <c r="B6131" s="56" t="b">
        <v>0</v>
      </c>
      <c r="C6131" s="56" t="b">
        <v>0</v>
      </c>
      <c r="D6131" s="56" t="b">
        <v>0</v>
      </c>
      <c r="E6131" s="56">
        <f ca="1">IF(PV[[#This Row],[Business Date]]=Control!$C$6, PV[[#This Row],[Notional Value Local Cur]], -PV[[#This Row],[Notional Value Local Cur]])</f>
        <v>0</v>
      </c>
    </row>
    <row r="6132" spans="1:5" x14ac:dyDescent="0.25">
      <c r="A6132" s="36" t="b">
        <v>0</v>
      </c>
      <c r="B6132" s="56" t="b">
        <v>0</v>
      </c>
      <c r="C6132" s="56" t="b">
        <v>0</v>
      </c>
      <c r="D6132" s="56" t="b">
        <v>0</v>
      </c>
      <c r="E6132" s="56">
        <f ca="1">IF(PV[[#This Row],[Business Date]]=Control!$C$6, PV[[#This Row],[Notional Value Local Cur]], -PV[[#This Row],[Notional Value Local Cur]])</f>
        <v>0</v>
      </c>
    </row>
    <row r="6133" spans="1:5" x14ac:dyDescent="0.25">
      <c r="A6133" s="36" t="b">
        <v>0</v>
      </c>
      <c r="B6133" s="56" t="b">
        <v>0</v>
      </c>
      <c r="C6133" s="56" t="b">
        <v>0</v>
      </c>
      <c r="D6133" s="56" t="b">
        <v>0</v>
      </c>
      <c r="E6133" s="56">
        <f ca="1">IF(PV[[#This Row],[Business Date]]=Control!$C$6, PV[[#This Row],[Notional Value Local Cur]], -PV[[#This Row],[Notional Value Local Cur]])</f>
        <v>0</v>
      </c>
    </row>
    <row r="6134" spans="1:5" x14ac:dyDescent="0.25">
      <c r="A6134" s="36" t="b">
        <v>0</v>
      </c>
      <c r="B6134" s="56" t="b">
        <v>0</v>
      </c>
      <c r="C6134" s="56" t="b">
        <v>0</v>
      </c>
      <c r="D6134" s="56" t="b">
        <v>0</v>
      </c>
      <c r="E6134" s="56">
        <f ca="1">IF(PV[[#This Row],[Business Date]]=Control!$C$6, PV[[#This Row],[Notional Value Local Cur]], -PV[[#This Row],[Notional Value Local Cur]])</f>
        <v>0</v>
      </c>
    </row>
    <row r="6135" spans="1:5" x14ac:dyDescent="0.25">
      <c r="A6135" s="36" t="b">
        <v>0</v>
      </c>
      <c r="B6135" s="56" t="b">
        <v>0</v>
      </c>
      <c r="C6135" s="56" t="b">
        <v>0</v>
      </c>
      <c r="D6135" s="56" t="b">
        <v>0</v>
      </c>
      <c r="E6135" s="56">
        <f ca="1">IF(PV[[#This Row],[Business Date]]=Control!$C$6, PV[[#This Row],[Notional Value Local Cur]], -PV[[#This Row],[Notional Value Local Cur]])</f>
        <v>0</v>
      </c>
    </row>
    <row r="6136" spans="1:5" x14ac:dyDescent="0.25">
      <c r="A6136" s="36" t="b">
        <v>0</v>
      </c>
      <c r="B6136" s="56" t="b">
        <v>0</v>
      </c>
      <c r="C6136" s="56" t="b">
        <v>0</v>
      </c>
      <c r="D6136" s="56" t="b">
        <v>0</v>
      </c>
      <c r="E6136" s="56">
        <f ca="1">IF(PV[[#This Row],[Business Date]]=Control!$C$6, PV[[#This Row],[Notional Value Local Cur]], -PV[[#This Row],[Notional Value Local Cur]])</f>
        <v>0</v>
      </c>
    </row>
    <row r="6137" spans="1:5" x14ac:dyDescent="0.25">
      <c r="A6137" s="36" t="b">
        <v>0</v>
      </c>
      <c r="B6137" s="56" t="b">
        <v>0</v>
      </c>
      <c r="C6137" s="56" t="b">
        <v>0</v>
      </c>
      <c r="D6137" s="56" t="b">
        <v>0</v>
      </c>
      <c r="E6137" s="56">
        <f ca="1">IF(PV[[#This Row],[Business Date]]=Control!$C$6, PV[[#This Row],[Notional Value Local Cur]], -PV[[#This Row],[Notional Value Local Cur]])</f>
        <v>0</v>
      </c>
    </row>
    <row r="6138" spans="1:5" x14ac:dyDescent="0.25">
      <c r="A6138" s="36" t="b">
        <v>0</v>
      </c>
      <c r="B6138" s="56" t="b">
        <v>0</v>
      </c>
      <c r="C6138" s="56" t="b">
        <v>0</v>
      </c>
      <c r="D6138" s="56" t="b">
        <v>0</v>
      </c>
      <c r="E6138" s="56">
        <f ca="1">IF(PV[[#This Row],[Business Date]]=Control!$C$6, PV[[#This Row],[Notional Value Local Cur]], -PV[[#This Row],[Notional Value Local Cur]])</f>
        <v>0</v>
      </c>
    </row>
    <row r="6139" spans="1:5" x14ac:dyDescent="0.25">
      <c r="A6139" s="36" t="b">
        <v>0</v>
      </c>
      <c r="B6139" s="56" t="b">
        <v>0</v>
      </c>
      <c r="C6139" s="56" t="b">
        <v>0</v>
      </c>
      <c r="D6139" s="56" t="b">
        <v>0</v>
      </c>
      <c r="E6139" s="56">
        <f ca="1">IF(PV[[#This Row],[Business Date]]=Control!$C$6, PV[[#This Row],[Notional Value Local Cur]], -PV[[#This Row],[Notional Value Local Cur]])</f>
        <v>0</v>
      </c>
    </row>
    <row r="6140" spans="1:5" x14ac:dyDescent="0.25">
      <c r="A6140" s="36" t="b">
        <v>0</v>
      </c>
      <c r="B6140" s="56" t="b">
        <v>0</v>
      </c>
      <c r="C6140" s="56" t="b">
        <v>0</v>
      </c>
      <c r="D6140" s="56" t="b">
        <v>0</v>
      </c>
      <c r="E6140" s="56">
        <f ca="1">IF(PV[[#This Row],[Business Date]]=Control!$C$6, PV[[#This Row],[Notional Value Local Cur]], -PV[[#This Row],[Notional Value Local Cur]])</f>
        <v>0</v>
      </c>
    </row>
    <row r="6141" spans="1:5" x14ac:dyDescent="0.25">
      <c r="A6141" s="36" t="b">
        <v>0</v>
      </c>
      <c r="B6141" s="56" t="b">
        <v>0</v>
      </c>
      <c r="C6141" s="56" t="b">
        <v>0</v>
      </c>
      <c r="D6141" s="56" t="b">
        <v>0</v>
      </c>
      <c r="E6141" s="56">
        <f ca="1">IF(PV[[#This Row],[Business Date]]=Control!$C$6, PV[[#This Row],[Notional Value Local Cur]], -PV[[#This Row],[Notional Value Local Cur]])</f>
        <v>0</v>
      </c>
    </row>
    <row r="6142" spans="1:5" x14ac:dyDescent="0.25">
      <c r="A6142" s="36" t="b">
        <v>0</v>
      </c>
      <c r="B6142" s="56" t="b">
        <v>0</v>
      </c>
      <c r="C6142" s="56" t="b">
        <v>0</v>
      </c>
      <c r="D6142" s="56" t="b">
        <v>0</v>
      </c>
      <c r="E6142" s="56">
        <f ca="1">IF(PV[[#This Row],[Business Date]]=Control!$C$6, PV[[#This Row],[Notional Value Local Cur]], -PV[[#This Row],[Notional Value Local Cur]])</f>
        <v>0</v>
      </c>
    </row>
    <row r="6143" spans="1:5" x14ac:dyDescent="0.25">
      <c r="A6143" s="36" t="b">
        <v>0</v>
      </c>
      <c r="B6143" s="56" t="b">
        <v>0</v>
      </c>
      <c r="C6143" s="56" t="b">
        <v>0</v>
      </c>
      <c r="D6143" s="56" t="b">
        <v>0</v>
      </c>
      <c r="E6143" s="56">
        <f ca="1">IF(PV[[#This Row],[Business Date]]=Control!$C$6, PV[[#This Row],[Notional Value Local Cur]], -PV[[#This Row],[Notional Value Local Cur]])</f>
        <v>0</v>
      </c>
    </row>
    <row r="6144" spans="1:5" x14ac:dyDescent="0.25">
      <c r="A6144" s="36" t="b">
        <v>0</v>
      </c>
      <c r="B6144" s="56" t="b">
        <v>0</v>
      </c>
      <c r="C6144" s="56" t="b">
        <v>0</v>
      </c>
      <c r="D6144" s="56" t="b">
        <v>0</v>
      </c>
      <c r="E6144" s="56">
        <f ca="1">IF(PV[[#This Row],[Business Date]]=Control!$C$6, PV[[#This Row],[Notional Value Local Cur]], -PV[[#This Row],[Notional Value Local Cur]])</f>
        <v>0</v>
      </c>
    </row>
    <row r="6145" spans="1:5" x14ac:dyDescent="0.25">
      <c r="A6145" s="36" t="b">
        <v>0</v>
      </c>
      <c r="B6145" s="56" t="b">
        <v>0</v>
      </c>
      <c r="C6145" s="56" t="b">
        <v>0</v>
      </c>
      <c r="D6145" s="56" t="b">
        <v>0</v>
      </c>
      <c r="E6145" s="56">
        <f ca="1">IF(PV[[#This Row],[Business Date]]=Control!$C$6, PV[[#This Row],[Notional Value Local Cur]], -PV[[#This Row],[Notional Value Local Cur]])</f>
        <v>0</v>
      </c>
    </row>
    <row r="6146" spans="1:5" x14ac:dyDescent="0.25">
      <c r="A6146" s="36" t="b">
        <v>0</v>
      </c>
      <c r="B6146" s="56" t="b">
        <v>0</v>
      </c>
      <c r="C6146" s="56" t="b">
        <v>0</v>
      </c>
      <c r="D6146" s="56" t="b">
        <v>0</v>
      </c>
      <c r="E6146" s="56">
        <f ca="1">IF(PV[[#This Row],[Business Date]]=Control!$C$6, PV[[#This Row],[Notional Value Local Cur]], -PV[[#This Row],[Notional Value Local Cur]])</f>
        <v>0</v>
      </c>
    </row>
    <row r="6147" spans="1:5" x14ac:dyDescent="0.25">
      <c r="A6147" s="36" t="b">
        <v>0</v>
      </c>
      <c r="B6147" s="56" t="b">
        <v>0</v>
      </c>
      <c r="C6147" s="56" t="b">
        <v>0</v>
      </c>
      <c r="D6147" s="56" t="b">
        <v>0</v>
      </c>
      <c r="E6147" s="56">
        <f ca="1">IF(PV[[#This Row],[Business Date]]=Control!$C$6, PV[[#This Row],[Notional Value Local Cur]], -PV[[#This Row],[Notional Value Local Cur]])</f>
        <v>0</v>
      </c>
    </row>
    <row r="6148" spans="1:5" x14ac:dyDescent="0.25">
      <c r="A6148" s="36" t="b">
        <v>0</v>
      </c>
      <c r="B6148" s="56" t="b">
        <v>0</v>
      </c>
      <c r="C6148" s="56" t="b">
        <v>0</v>
      </c>
      <c r="D6148" s="56" t="b">
        <v>0</v>
      </c>
      <c r="E6148" s="56">
        <f ca="1">IF(PV[[#This Row],[Business Date]]=Control!$C$6, PV[[#This Row],[Notional Value Local Cur]], -PV[[#This Row],[Notional Value Local Cur]])</f>
        <v>0</v>
      </c>
    </row>
    <row r="6149" spans="1:5" x14ac:dyDescent="0.25">
      <c r="A6149" s="36" t="b">
        <v>0</v>
      </c>
      <c r="B6149" s="56" t="b">
        <v>0</v>
      </c>
      <c r="C6149" s="56" t="b">
        <v>0</v>
      </c>
      <c r="D6149" s="56" t="b">
        <v>0</v>
      </c>
      <c r="E6149" s="56">
        <f ca="1">IF(PV[[#This Row],[Business Date]]=Control!$C$6, PV[[#This Row],[Notional Value Local Cur]], -PV[[#This Row],[Notional Value Local Cur]])</f>
        <v>0</v>
      </c>
    </row>
    <row r="6150" spans="1:5" x14ac:dyDescent="0.25">
      <c r="A6150" s="36" t="b">
        <v>0</v>
      </c>
      <c r="B6150" s="56" t="b">
        <v>0</v>
      </c>
      <c r="C6150" s="56" t="b">
        <v>0</v>
      </c>
      <c r="D6150" s="56" t="b">
        <v>0</v>
      </c>
      <c r="E6150" s="56">
        <f ca="1">IF(PV[[#This Row],[Business Date]]=Control!$C$6, PV[[#This Row],[Notional Value Local Cur]], -PV[[#This Row],[Notional Value Local Cur]])</f>
        <v>0</v>
      </c>
    </row>
    <row r="6151" spans="1:5" x14ac:dyDescent="0.25">
      <c r="A6151" s="36" t="b">
        <v>0</v>
      </c>
      <c r="B6151" s="56" t="b">
        <v>0</v>
      </c>
      <c r="C6151" s="56" t="b">
        <v>0</v>
      </c>
      <c r="D6151" s="56" t="b">
        <v>0</v>
      </c>
      <c r="E6151" s="56">
        <f ca="1">IF(PV[[#This Row],[Business Date]]=Control!$C$6, PV[[#This Row],[Notional Value Local Cur]], -PV[[#This Row],[Notional Value Local Cur]])</f>
        <v>0</v>
      </c>
    </row>
    <row r="6152" spans="1:5" x14ac:dyDescent="0.25">
      <c r="A6152" s="36" t="b">
        <v>0</v>
      </c>
      <c r="B6152" s="56" t="b">
        <v>0</v>
      </c>
      <c r="C6152" s="56" t="b">
        <v>0</v>
      </c>
      <c r="D6152" s="56" t="b">
        <v>0</v>
      </c>
      <c r="E6152" s="56">
        <f ca="1">IF(PV[[#This Row],[Business Date]]=Control!$C$6, PV[[#This Row],[Notional Value Local Cur]], -PV[[#This Row],[Notional Value Local Cur]])</f>
        <v>0</v>
      </c>
    </row>
    <row r="6153" spans="1:5" x14ac:dyDescent="0.25">
      <c r="A6153" s="36" t="b">
        <v>0</v>
      </c>
      <c r="B6153" s="56" t="b">
        <v>0</v>
      </c>
      <c r="C6153" s="56" t="b">
        <v>0</v>
      </c>
      <c r="D6153" s="56" t="b">
        <v>0</v>
      </c>
      <c r="E6153" s="56">
        <f ca="1">IF(PV[[#This Row],[Business Date]]=Control!$C$6, PV[[#This Row],[Notional Value Local Cur]], -PV[[#This Row],[Notional Value Local Cur]])</f>
        <v>0</v>
      </c>
    </row>
    <row r="6154" spans="1:5" x14ac:dyDescent="0.25">
      <c r="A6154" s="36" t="b">
        <v>0</v>
      </c>
      <c r="B6154" s="56" t="b">
        <v>0</v>
      </c>
      <c r="C6154" s="56" t="b">
        <v>0</v>
      </c>
      <c r="D6154" s="56" t="b">
        <v>0</v>
      </c>
      <c r="E6154" s="56">
        <f ca="1">IF(PV[[#This Row],[Business Date]]=Control!$C$6, PV[[#This Row],[Notional Value Local Cur]], -PV[[#This Row],[Notional Value Local Cur]])</f>
        <v>0</v>
      </c>
    </row>
    <row r="6155" spans="1:5" x14ac:dyDescent="0.25">
      <c r="A6155" s="36" t="b">
        <v>0</v>
      </c>
      <c r="B6155" s="56" t="b">
        <v>0</v>
      </c>
      <c r="C6155" s="56" t="b">
        <v>0</v>
      </c>
      <c r="D6155" s="56" t="b">
        <v>0</v>
      </c>
      <c r="E6155" s="56">
        <f ca="1">IF(PV[[#This Row],[Business Date]]=Control!$C$6, PV[[#This Row],[Notional Value Local Cur]], -PV[[#This Row],[Notional Value Local Cur]])</f>
        <v>0</v>
      </c>
    </row>
    <row r="6156" spans="1:5" x14ac:dyDescent="0.25">
      <c r="A6156" s="36" t="b">
        <v>0</v>
      </c>
      <c r="B6156" s="56" t="b">
        <v>0</v>
      </c>
      <c r="C6156" s="56" t="b">
        <v>0</v>
      </c>
      <c r="D6156" s="56" t="b">
        <v>0</v>
      </c>
      <c r="E6156" s="56">
        <f ca="1">IF(PV[[#This Row],[Business Date]]=Control!$C$6, PV[[#This Row],[Notional Value Local Cur]], -PV[[#This Row],[Notional Value Local Cur]])</f>
        <v>0</v>
      </c>
    </row>
    <row r="6157" spans="1:5" x14ac:dyDescent="0.25">
      <c r="A6157" s="36" t="b">
        <v>0</v>
      </c>
      <c r="B6157" s="56" t="b">
        <v>0</v>
      </c>
      <c r="C6157" s="56" t="b">
        <v>0</v>
      </c>
      <c r="D6157" s="56" t="b">
        <v>0</v>
      </c>
      <c r="E6157" s="56">
        <f ca="1">IF(PV[[#This Row],[Business Date]]=Control!$C$6, PV[[#This Row],[Notional Value Local Cur]], -PV[[#This Row],[Notional Value Local Cur]])</f>
        <v>0</v>
      </c>
    </row>
    <row r="6158" spans="1:5" x14ac:dyDescent="0.25">
      <c r="A6158" s="36" t="b">
        <v>0</v>
      </c>
      <c r="B6158" s="56" t="b">
        <v>0</v>
      </c>
      <c r="C6158" s="56" t="b">
        <v>0</v>
      </c>
      <c r="D6158" s="56" t="b">
        <v>0</v>
      </c>
      <c r="E6158" s="56">
        <f ca="1">IF(PV[[#This Row],[Business Date]]=Control!$C$6, PV[[#This Row],[Notional Value Local Cur]], -PV[[#This Row],[Notional Value Local Cur]])</f>
        <v>0</v>
      </c>
    </row>
    <row r="6159" spans="1:5" x14ac:dyDescent="0.25">
      <c r="A6159" s="36" t="b">
        <v>0</v>
      </c>
      <c r="B6159" s="56" t="b">
        <v>0</v>
      </c>
      <c r="C6159" s="56" t="b">
        <v>0</v>
      </c>
      <c r="D6159" s="56" t="b">
        <v>0</v>
      </c>
      <c r="E6159" s="56">
        <f ca="1">IF(PV[[#This Row],[Business Date]]=Control!$C$6, PV[[#This Row],[Notional Value Local Cur]], -PV[[#This Row],[Notional Value Local Cur]])</f>
        <v>0</v>
      </c>
    </row>
    <row r="6160" spans="1:5" x14ac:dyDescent="0.25">
      <c r="A6160" s="36" t="b">
        <v>0</v>
      </c>
      <c r="B6160" s="56" t="b">
        <v>0</v>
      </c>
      <c r="C6160" s="56" t="b">
        <v>0</v>
      </c>
      <c r="D6160" s="56" t="b">
        <v>0</v>
      </c>
      <c r="E6160" s="56">
        <f ca="1">IF(PV[[#This Row],[Business Date]]=Control!$C$6, PV[[#This Row],[Notional Value Local Cur]], -PV[[#This Row],[Notional Value Local Cur]])</f>
        <v>0</v>
      </c>
    </row>
    <row r="6161" spans="1:5" x14ac:dyDescent="0.25">
      <c r="A6161" s="36" t="b">
        <v>0</v>
      </c>
      <c r="B6161" s="56" t="b">
        <v>0</v>
      </c>
      <c r="C6161" s="56" t="b">
        <v>0</v>
      </c>
      <c r="D6161" s="56" t="b">
        <v>0</v>
      </c>
      <c r="E6161" s="56">
        <f ca="1">IF(PV[[#This Row],[Business Date]]=Control!$C$6, PV[[#This Row],[Notional Value Local Cur]], -PV[[#This Row],[Notional Value Local Cur]])</f>
        <v>0</v>
      </c>
    </row>
    <row r="6162" spans="1:5" x14ac:dyDescent="0.25">
      <c r="A6162" s="36" t="b">
        <v>0</v>
      </c>
      <c r="B6162" s="56" t="b">
        <v>0</v>
      </c>
      <c r="C6162" s="56" t="b">
        <v>0</v>
      </c>
      <c r="D6162" s="56" t="b">
        <v>0</v>
      </c>
      <c r="E6162" s="56">
        <f ca="1">IF(PV[[#This Row],[Business Date]]=Control!$C$6, PV[[#This Row],[Notional Value Local Cur]], -PV[[#This Row],[Notional Value Local Cur]])</f>
        <v>0</v>
      </c>
    </row>
    <row r="6163" spans="1:5" x14ac:dyDescent="0.25">
      <c r="A6163" s="36" t="b">
        <v>0</v>
      </c>
      <c r="B6163" s="56" t="b">
        <v>0</v>
      </c>
      <c r="C6163" s="56" t="b">
        <v>0</v>
      </c>
      <c r="D6163" s="56" t="b">
        <v>0</v>
      </c>
      <c r="E6163" s="56">
        <f ca="1">IF(PV[[#This Row],[Business Date]]=Control!$C$6, PV[[#This Row],[Notional Value Local Cur]], -PV[[#This Row],[Notional Value Local Cur]])</f>
        <v>0</v>
      </c>
    </row>
    <row r="6164" spans="1:5" x14ac:dyDescent="0.25">
      <c r="A6164" s="36" t="b">
        <v>0</v>
      </c>
      <c r="B6164" s="56" t="b">
        <v>0</v>
      </c>
      <c r="C6164" s="56" t="b">
        <v>0</v>
      </c>
      <c r="D6164" s="56" t="b">
        <v>0</v>
      </c>
      <c r="E6164" s="56">
        <f ca="1">IF(PV[[#This Row],[Business Date]]=Control!$C$6, PV[[#This Row],[Notional Value Local Cur]], -PV[[#This Row],[Notional Value Local Cur]])</f>
        <v>0</v>
      </c>
    </row>
    <row r="6165" spans="1:5" x14ac:dyDescent="0.25">
      <c r="A6165" s="36" t="b">
        <v>0</v>
      </c>
      <c r="B6165" s="56" t="b">
        <v>0</v>
      </c>
      <c r="C6165" s="56" t="b">
        <v>0</v>
      </c>
      <c r="D6165" s="56" t="b">
        <v>0</v>
      </c>
      <c r="E6165" s="56">
        <f ca="1">IF(PV[[#This Row],[Business Date]]=Control!$C$6, PV[[#This Row],[Notional Value Local Cur]], -PV[[#This Row],[Notional Value Local Cur]])</f>
        <v>0</v>
      </c>
    </row>
    <row r="6166" spans="1:5" x14ac:dyDescent="0.25">
      <c r="A6166" s="36" t="b">
        <v>0</v>
      </c>
      <c r="B6166" s="56" t="b">
        <v>0</v>
      </c>
      <c r="C6166" s="56" t="b">
        <v>0</v>
      </c>
      <c r="D6166" s="56" t="b">
        <v>0</v>
      </c>
      <c r="E6166" s="56">
        <f ca="1">IF(PV[[#This Row],[Business Date]]=Control!$C$6, PV[[#This Row],[Notional Value Local Cur]], -PV[[#This Row],[Notional Value Local Cur]])</f>
        <v>0</v>
      </c>
    </row>
    <row r="6167" spans="1:5" x14ac:dyDescent="0.25">
      <c r="A6167" s="36" t="b">
        <v>0</v>
      </c>
      <c r="B6167" s="56" t="b">
        <v>0</v>
      </c>
      <c r="C6167" s="56" t="b">
        <v>0</v>
      </c>
      <c r="D6167" s="56" t="b">
        <v>0</v>
      </c>
      <c r="E6167" s="56">
        <f ca="1">IF(PV[[#This Row],[Business Date]]=Control!$C$6, PV[[#This Row],[Notional Value Local Cur]], -PV[[#This Row],[Notional Value Local Cur]])</f>
        <v>0</v>
      </c>
    </row>
    <row r="6168" spans="1:5" x14ac:dyDescent="0.25">
      <c r="A6168" s="36" t="b">
        <v>0</v>
      </c>
      <c r="B6168" s="56" t="b">
        <v>0</v>
      </c>
      <c r="C6168" s="56" t="b">
        <v>0</v>
      </c>
      <c r="D6168" s="56" t="b">
        <v>0</v>
      </c>
      <c r="E6168" s="56">
        <f ca="1">IF(PV[[#This Row],[Business Date]]=Control!$C$6, PV[[#This Row],[Notional Value Local Cur]], -PV[[#This Row],[Notional Value Local Cur]])</f>
        <v>0</v>
      </c>
    </row>
    <row r="6169" spans="1:5" x14ac:dyDescent="0.25">
      <c r="A6169" s="36" t="b">
        <v>0</v>
      </c>
      <c r="B6169" s="56" t="b">
        <v>0</v>
      </c>
      <c r="C6169" s="56" t="b">
        <v>0</v>
      </c>
      <c r="D6169" s="56" t="b">
        <v>0</v>
      </c>
      <c r="E6169" s="56">
        <f ca="1">IF(PV[[#This Row],[Business Date]]=Control!$C$6, PV[[#This Row],[Notional Value Local Cur]], -PV[[#This Row],[Notional Value Local Cur]])</f>
        <v>0</v>
      </c>
    </row>
    <row r="6170" spans="1:5" x14ac:dyDescent="0.25">
      <c r="A6170" s="36" t="b">
        <v>0</v>
      </c>
      <c r="B6170" s="56" t="b">
        <v>0</v>
      </c>
      <c r="C6170" s="56" t="b">
        <v>0</v>
      </c>
      <c r="D6170" s="56" t="b">
        <v>0</v>
      </c>
      <c r="E6170" s="56">
        <f ca="1">IF(PV[[#This Row],[Business Date]]=Control!$C$6, PV[[#This Row],[Notional Value Local Cur]], -PV[[#This Row],[Notional Value Local Cur]])</f>
        <v>0</v>
      </c>
    </row>
    <row r="6171" spans="1:5" x14ac:dyDescent="0.25">
      <c r="A6171" s="36" t="b">
        <v>0</v>
      </c>
      <c r="B6171" s="56" t="b">
        <v>0</v>
      </c>
      <c r="C6171" s="56" t="b">
        <v>0</v>
      </c>
      <c r="D6171" s="56" t="b">
        <v>0</v>
      </c>
      <c r="E6171" s="56">
        <f ca="1">IF(PV[[#This Row],[Business Date]]=Control!$C$6, PV[[#This Row],[Notional Value Local Cur]], -PV[[#This Row],[Notional Value Local Cur]])</f>
        <v>0</v>
      </c>
    </row>
    <row r="6172" spans="1:5" x14ac:dyDescent="0.25">
      <c r="A6172" s="36" t="b">
        <v>0</v>
      </c>
      <c r="B6172" s="56" t="b">
        <v>0</v>
      </c>
      <c r="C6172" s="56" t="b">
        <v>0</v>
      </c>
      <c r="D6172" s="56" t="b">
        <v>0</v>
      </c>
      <c r="E6172" s="56">
        <f ca="1">IF(PV[[#This Row],[Business Date]]=Control!$C$6, PV[[#This Row],[Notional Value Local Cur]], -PV[[#This Row],[Notional Value Local Cur]])</f>
        <v>0</v>
      </c>
    </row>
    <row r="6173" spans="1:5" x14ac:dyDescent="0.25">
      <c r="A6173" s="36" t="b">
        <v>0</v>
      </c>
      <c r="B6173" s="56" t="b">
        <v>0</v>
      </c>
      <c r="C6173" s="56" t="b">
        <v>0</v>
      </c>
      <c r="D6173" s="56" t="b">
        <v>0</v>
      </c>
      <c r="E6173" s="56">
        <f ca="1">IF(PV[[#This Row],[Business Date]]=Control!$C$6, PV[[#This Row],[Notional Value Local Cur]], -PV[[#This Row],[Notional Value Local Cur]])</f>
        <v>0</v>
      </c>
    </row>
    <row r="6174" spans="1:5" x14ac:dyDescent="0.25">
      <c r="A6174" s="36" t="b">
        <v>0</v>
      </c>
      <c r="B6174" s="56" t="b">
        <v>0</v>
      </c>
      <c r="C6174" s="56" t="b">
        <v>0</v>
      </c>
      <c r="D6174" s="56" t="b">
        <v>0</v>
      </c>
      <c r="E6174" s="56">
        <f ca="1">IF(PV[[#This Row],[Business Date]]=Control!$C$6, PV[[#This Row],[Notional Value Local Cur]], -PV[[#This Row],[Notional Value Local Cur]])</f>
        <v>0</v>
      </c>
    </row>
    <row r="6175" spans="1:5" x14ac:dyDescent="0.25">
      <c r="A6175" s="36" t="b">
        <v>0</v>
      </c>
      <c r="B6175" s="56" t="b">
        <v>0</v>
      </c>
      <c r="C6175" s="56" t="b">
        <v>0</v>
      </c>
      <c r="D6175" s="56" t="b">
        <v>0</v>
      </c>
      <c r="E6175" s="56">
        <f ca="1">IF(PV[[#This Row],[Business Date]]=Control!$C$6, PV[[#This Row],[Notional Value Local Cur]], -PV[[#This Row],[Notional Value Local Cur]])</f>
        <v>0</v>
      </c>
    </row>
    <row r="6176" spans="1:5" x14ac:dyDescent="0.25">
      <c r="A6176" s="36" t="b">
        <v>0</v>
      </c>
      <c r="B6176" s="56" t="b">
        <v>0</v>
      </c>
      <c r="C6176" s="56" t="b">
        <v>0</v>
      </c>
      <c r="D6176" s="56" t="b">
        <v>0</v>
      </c>
      <c r="E6176" s="56">
        <f ca="1">IF(PV[[#This Row],[Business Date]]=Control!$C$6, PV[[#This Row],[Notional Value Local Cur]], -PV[[#This Row],[Notional Value Local Cur]])</f>
        <v>0</v>
      </c>
    </row>
    <row r="6177" spans="1:5" x14ac:dyDescent="0.25">
      <c r="A6177" s="36" t="b">
        <v>0</v>
      </c>
      <c r="B6177" s="56" t="b">
        <v>0</v>
      </c>
      <c r="C6177" s="56" t="b">
        <v>0</v>
      </c>
      <c r="D6177" s="56" t="b">
        <v>0</v>
      </c>
      <c r="E6177" s="56">
        <f ca="1">IF(PV[[#This Row],[Business Date]]=Control!$C$6, PV[[#This Row],[Notional Value Local Cur]], -PV[[#This Row],[Notional Value Local Cur]])</f>
        <v>0</v>
      </c>
    </row>
    <row r="6178" spans="1:5" x14ac:dyDescent="0.25">
      <c r="A6178" s="36" t="b">
        <v>0</v>
      </c>
      <c r="B6178" s="56" t="b">
        <v>0</v>
      </c>
      <c r="C6178" s="56" t="b">
        <v>0</v>
      </c>
      <c r="D6178" s="56" t="b">
        <v>0</v>
      </c>
      <c r="E6178" s="56">
        <f ca="1">IF(PV[[#This Row],[Business Date]]=Control!$C$6, PV[[#This Row],[Notional Value Local Cur]], -PV[[#This Row],[Notional Value Local Cur]])</f>
        <v>0</v>
      </c>
    </row>
    <row r="6179" spans="1:5" x14ac:dyDescent="0.25">
      <c r="A6179" s="36" t="b">
        <v>0</v>
      </c>
      <c r="B6179" s="56" t="b">
        <v>0</v>
      </c>
      <c r="C6179" s="56" t="b">
        <v>0</v>
      </c>
      <c r="D6179" s="56" t="b">
        <v>0</v>
      </c>
      <c r="E6179" s="56">
        <f ca="1">IF(PV[[#This Row],[Business Date]]=Control!$C$6, PV[[#This Row],[Notional Value Local Cur]], -PV[[#This Row],[Notional Value Local Cur]])</f>
        <v>0</v>
      </c>
    </row>
    <row r="6180" spans="1:5" x14ac:dyDescent="0.25">
      <c r="A6180" s="36" t="b">
        <v>0</v>
      </c>
      <c r="B6180" s="56" t="b">
        <v>0</v>
      </c>
      <c r="C6180" s="56" t="b">
        <v>0</v>
      </c>
      <c r="D6180" s="56" t="b">
        <v>0</v>
      </c>
      <c r="E6180" s="56">
        <f ca="1">IF(PV[[#This Row],[Business Date]]=Control!$C$6, PV[[#This Row],[Notional Value Local Cur]], -PV[[#This Row],[Notional Value Local Cur]])</f>
        <v>0</v>
      </c>
    </row>
    <row r="6181" spans="1:5" x14ac:dyDescent="0.25">
      <c r="A6181" s="36" t="b">
        <v>0</v>
      </c>
      <c r="B6181" s="56" t="b">
        <v>0</v>
      </c>
      <c r="C6181" s="56" t="b">
        <v>0</v>
      </c>
      <c r="D6181" s="56" t="b">
        <v>0</v>
      </c>
      <c r="E6181" s="56">
        <f ca="1">IF(PV[[#This Row],[Business Date]]=Control!$C$6, PV[[#This Row],[Notional Value Local Cur]], -PV[[#This Row],[Notional Value Local Cur]])</f>
        <v>0</v>
      </c>
    </row>
    <row r="6182" spans="1:5" x14ac:dyDescent="0.25">
      <c r="A6182" s="36" t="b">
        <v>0</v>
      </c>
      <c r="B6182" s="56" t="b">
        <v>0</v>
      </c>
      <c r="C6182" s="56" t="b">
        <v>0</v>
      </c>
      <c r="D6182" s="56" t="b">
        <v>0</v>
      </c>
      <c r="E6182" s="56">
        <f ca="1">IF(PV[[#This Row],[Business Date]]=Control!$C$6, PV[[#This Row],[Notional Value Local Cur]], -PV[[#This Row],[Notional Value Local Cur]])</f>
        <v>0</v>
      </c>
    </row>
    <row r="6183" spans="1:5" x14ac:dyDescent="0.25">
      <c r="A6183" s="36" t="b">
        <v>0</v>
      </c>
      <c r="B6183" s="56" t="b">
        <v>0</v>
      </c>
      <c r="C6183" s="56" t="b">
        <v>0</v>
      </c>
      <c r="D6183" s="56" t="b">
        <v>0</v>
      </c>
      <c r="E6183" s="56">
        <f ca="1">IF(PV[[#This Row],[Business Date]]=Control!$C$6, PV[[#This Row],[Notional Value Local Cur]], -PV[[#This Row],[Notional Value Local Cur]])</f>
        <v>0</v>
      </c>
    </row>
    <row r="6184" spans="1:5" x14ac:dyDescent="0.25">
      <c r="A6184" s="36" t="b">
        <v>0</v>
      </c>
      <c r="B6184" s="56" t="b">
        <v>0</v>
      </c>
      <c r="C6184" s="56" t="b">
        <v>0</v>
      </c>
      <c r="D6184" s="56" t="b">
        <v>0</v>
      </c>
      <c r="E6184" s="56">
        <f ca="1">IF(PV[[#This Row],[Business Date]]=Control!$C$6, PV[[#This Row],[Notional Value Local Cur]], -PV[[#This Row],[Notional Value Local Cur]])</f>
        <v>0</v>
      </c>
    </row>
    <row r="6185" spans="1:5" x14ac:dyDescent="0.25">
      <c r="A6185" s="36" t="b">
        <v>0</v>
      </c>
      <c r="B6185" s="56" t="b">
        <v>0</v>
      </c>
      <c r="C6185" s="56" t="b">
        <v>0</v>
      </c>
      <c r="D6185" s="56" t="b">
        <v>0</v>
      </c>
      <c r="E6185" s="56">
        <f ca="1">IF(PV[[#This Row],[Business Date]]=Control!$C$6, PV[[#This Row],[Notional Value Local Cur]], -PV[[#This Row],[Notional Value Local Cur]])</f>
        <v>0</v>
      </c>
    </row>
    <row r="6186" spans="1:5" x14ac:dyDescent="0.25">
      <c r="A6186" s="36" t="b">
        <v>0</v>
      </c>
      <c r="B6186" s="56" t="b">
        <v>0</v>
      </c>
      <c r="C6186" s="56" t="b">
        <v>0</v>
      </c>
      <c r="D6186" s="56" t="b">
        <v>0</v>
      </c>
      <c r="E6186" s="56">
        <f ca="1">IF(PV[[#This Row],[Business Date]]=Control!$C$6, PV[[#This Row],[Notional Value Local Cur]], -PV[[#This Row],[Notional Value Local Cur]])</f>
        <v>0</v>
      </c>
    </row>
    <row r="6187" spans="1:5" x14ac:dyDescent="0.25">
      <c r="A6187" s="36" t="b">
        <v>0</v>
      </c>
      <c r="B6187" s="56" t="b">
        <v>0</v>
      </c>
      <c r="C6187" s="56" t="b">
        <v>0</v>
      </c>
      <c r="D6187" s="56" t="b">
        <v>0</v>
      </c>
      <c r="E6187" s="56">
        <f ca="1">IF(PV[[#This Row],[Business Date]]=Control!$C$6, PV[[#This Row],[Notional Value Local Cur]], -PV[[#This Row],[Notional Value Local Cur]])</f>
        <v>0</v>
      </c>
    </row>
    <row r="6188" spans="1:5" x14ac:dyDescent="0.25">
      <c r="A6188" s="36" t="b">
        <v>0</v>
      </c>
      <c r="B6188" s="56" t="b">
        <v>0</v>
      </c>
      <c r="C6188" s="56" t="b">
        <v>0</v>
      </c>
      <c r="D6188" s="56" t="b">
        <v>0</v>
      </c>
      <c r="E6188" s="56">
        <f ca="1">IF(PV[[#This Row],[Business Date]]=Control!$C$6, PV[[#This Row],[Notional Value Local Cur]], -PV[[#This Row],[Notional Value Local Cur]])</f>
        <v>0</v>
      </c>
    </row>
    <row r="6189" spans="1:5" x14ac:dyDescent="0.25">
      <c r="A6189" s="36" t="b">
        <v>0</v>
      </c>
      <c r="B6189" s="56" t="b">
        <v>0</v>
      </c>
      <c r="C6189" s="56" t="b">
        <v>0</v>
      </c>
      <c r="D6189" s="56" t="b">
        <v>0</v>
      </c>
      <c r="E6189" s="56">
        <f ca="1">IF(PV[[#This Row],[Business Date]]=Control!$C$6, PV[[#This Row],[Notional Value Local Cur]], -PV[[#This Row],[Notional Value Local Cur]])</f>
        <v>0</v>
      </c>
    </row>
    <row r="6190" spans="1:5" x14ac:dyDescent="0.25">
      <c r="A6190" s="36" t="b">
        <v>0</v>
      </c>
      <c r="B6190" s="56" t="b">
        <v>0</v>
      </c>
      <c r="C6190" s="56" t="b">
        <v>0</v>
      </c>
      <c r="D6190" s="56" t="b">
        <v>0</v>
      </c>
      <c r="E6190" s="56">
        <f ca="1">IF(PV[[#This Row],[Business Date]]=Control!$C$6, PV[[#This Row],[Notional Value Local Cur]], -PV[[#This Row],[Notional Value Local Cur]])</f>
        <v>0</v>
      </c>
    </row>
    <row r="6191" spans="1:5" x14ac:dyDescent="0.25">
      <c r="A6191" s="36" t="b">
        <v>0</v>
      </c>
      <c r="B6191" s="56" t="b">
        <v>0</v>
      </c>
      <c r="C6191" s="56" t="b">
        <v>0</v>
      </c>
      <c r="D6191" s="56" t="b">
        <v>0</v>
      </c>
      <c r="E6191" s="56">
        <f ca="1">IF(PV[[#This Row],[Business Date]]=Control!$C$6, PV[[#This Row],[Notional Value Local Cur]], -PV[[#This Row],[Notional Value Local Cur]])</f>
        <v>0</v>
      </c>
    </row>
    <row r="6192" spans="1:5" x14ac:dyDescent="0.25">
      <c r="A6192" s="36" t="b">
        <v>0</v>
      </c>
      <c r="B6192" s="56" t="b">
        <v>0</v>
      </c>
      <c r="C6192" s="56" t="b">
        <v>0</v>
      </c>
      <c r="D6192" s="56" t="b">
        <v>0</v>
      </c>
      <c r="E6192" s="56">
        <f ca="1">IF(PV[[#This Row],[Business Date]]=Control!$C$6, PV[[#This Row],[Notional Value Local Cur]], -PV[[#This Row],[Notional Value Local Cur]])</f>
        <v>0</v>
      </c>
    </row>
    <row r="6193" spans="1:5" x14ac:dyDescent="0.25">
      <c r="A6193" s="36" t="b">
        <v>0</v>
      </c>
      <c r="B6193" s="56" t="b">
        <v>0</v>
      </c>
      <c r="C6193" s="56" t="b">
        <v>0</v>
      </c>
      <c r="D6193" s="56" t="b">
        <v>0</v>
      </c>
      <c r="E6193" s="56">
        <f ca="1">IF(PV[[#This Row],[Business Date]]=Control!$C$6, PV[[#This Row],[Notional Value Local Cur]], -PV[[#This Row],[Notional Value Local Cur]])</f>
        <v>0</v>
      </c>
    </row>
    <row r="6194" spans="1:5" x14ac:dyDescent="0.25">
      <c r="A6194" s="36" t="b">
        <v>0</v>
      </c>
      <c r="B6194" s="56" t="b">
        <v>0</v>
      </c>
      <c r="C6194" s="56" t="b">
        <v>0</v>
      </c>
      <c r="D6194" s="56" t="b">
        <v>0</v>
      </c>
      <c r="E6194" s="56">
        <f ca="1">IF(PV[[#This Row],[Business Date]]=Control!$C$6, PV[[#This Row],[Notional Value Local Cur]], -PV[[#This Row],[Notional Value Local Cur]])</f>
        <v>0</v>
      </c>
    </row>
    <row r="6195" spans="1:5" x14ac:dyDescent="0.25">
      <c r="A6195" s="36" t="b">
        <v>0</v>
      </c>
      <c r="B6195" s="56" t="b">
        <v>0</v>
      </c>
      <c r="C6195" s="56" t="b">
        <v>0</v>
      </c>
      <c r="D6195" s="56" t="b">
        <v>0</v>
      </c>
      <c r="E6195" s="56">
        <f ca="1">IF(PV[[#This Row],[Business Date]]=Control!$C$6, PV[[#This Row],[Notional Value Local Cur]], -PV[[#This Row],[Notional Value Local Cur]])</f>
        <v>0</v>
      </c>
    </row>
    <row r="6196" spans="1:5" x14ac:dyDescent="0.25">
      <c r="A6196" s="36" t="b">
        <v>0</v>
      </c>
      <c r="B6196" s="56" t="b">
        <v>0</v>
      </c>
      <c r="C6196" s="56" t="b">
        <v>0</v>
      </c>
      <c r="D6196" s="56" t="b">
        <v>0</v>
      </c>
      <c r="E6196" s="56">
        <f ca="1">IF(PV[[#This Row],[Business Date]]=Control!$C$6, PV[[#This Row],[Notional Value Local Cur]], -PV[[#This Row],[Notional Value Local Cur]])</f>
        <v>0</v>
      </c>
    </row>
    <row r="6197" spans="1:5" x14ac:dyDescent="0.25">
      <c r="A6197" s="36" t="b">
        <v>0</v>
      </c>
      <c r="B6197" s="56" t="b">
        <v>0</v>
      </c>
      <c r="C6197" s="56" t="b">
        <v>0</v>
      </c>
      <c r="D6197" s="56" t="b">
        <v>0</v>
      </c>
      <c r="E6197" s="56">
        <f ca="1">IF(PV[[#This Row],[Business Date]]=Control!$C$6, PV[[#This Row],[Notional Value Local Cur]], -PV[[#This Row],[Notional Value Local Cur]])</f>
        <v>0</v>
      </c>
    </row>
    <row r="6198" spans="1:5" x14ac:dyDescent="0.25">
      <c r="A6198" s="36" t="b">
        <v>0</v>
      </c>
      <c r="B6198" s="56" t="b">
        <v>0</v>
      </c>
      <c r="C6198" s="56" t="b">
        <v>0</v>
      </c>
      <c r="D6198" s="56" t="b">
        <v>0</v>
      </c>
      <c r="E6198" s="56">
        <f ca="1">IF(PV[[#This Row],[Business Date]]=Control!$C$6, PV[[#This Row],[Notional Value Local Cur]], -PV[[#This Row],[Notional Value Local Cur]])</f>
        <v>0</v>
      </c>
    </row>
    <row r="6199" spans="1:5" x14ac:dyDescent="0.25">
      <c r="A6199" s="36" t="b">
        <v>0</v>
      </c>
      <c r="B6199" s="56" t="b">
        <v>0</v>
      </c>
      <c r="C6199" s="56" t="b">
        <v>0</v>
      </c>
      <c r="D6199" s="56" t="b">
        <v>0</v>
      </c>
      <c r="E6199" s="56">
        <f ca="1">IF(PV[[#This Row],[Business Date]]=Control!$C$6, PV[[#This Row],[Notional Value Local Cur]], -PV[[#This Row],[Notional Value Local Cur]])</f>
        <v>0</v>
      </c>
    </row>
    <row r="6200" spans="1:5" x14ac:dyDescent="0.25">
      <c r="A6200" s="36" t="b">
        <v>0</v>
      </c>
      <c r="B6200" s="56" t="b">
        <v>0</v>
      </c>
      <c r="C6200" s="56" t="b">
        <v>0</v>
      </c>
      <c r="D6200" s="56" t="b">
        <v>0</v>
      </c>
      <c r="E6200" s="56">
        <f ca="1">IF(PV[[#This Row],[Business Date]]=Control!$C$6, PV[[#This Row],[Notional Value Local Cur]], -PV[[#This Row],[Notional Value Local Cur]])</f>
        <v>0</v>
      </c>
    </row>
    <row r="6201" spans="1:5" x14ac:dyDescent="0.25">
      <c r="A6201" s="36" t="b">
        <v>0</v>
      </c>
      <c r="B6201" s="56" t="b">
        <v>0</v>
      </c>
      <c r="C6201" s="56" t="b">
        <v>0</v>
      </c>
      <c r="D6201" s="56" t="b">
        <v>0</v>
      </c>
      <c r="E6201" s="56">
        <f ca="1">IF(PV[[#This Row],[Business Date]]=Control!$C$6, PV[[#This Row],[Notional Value Local Cur]], -PV[[#This Row],[Notional Value Local Cur]])</f>
        <v>0</v>
      </c>
    </row>
    <row r="6202" spans="1:5" x14ac:dyDescent="0.25">
      <c r="A6202" s="36" t="b">
        <v>0</v>
      </c>
      <c r="B6202" s="56" t="b">
        <v>0</v>
      </c>
      <c r="C6202" s="56" t="b">
        <v>0</v>
      </c>
      <c r="D6202" s="56" t="b">
        <v>0</v>
      </c>
      <c r="E6202" s="56">
        <f ca="1">IF(PV[[#This Row],[Business Date]]=Control!$C$6, PV[[#This Row],[Notional Value Local Cur]], -PV[[#This Row],[Notional Value Local Cur]])</f>
        <v>0</v>
      </c>
    </row>
    <row r="6203" spans="1:5" x14ac:dyDescent="0.25">
      <c r="A6203" s="36" t="b">
        <v>0</v>
      </c>
      <c r="B6203" s="56" t="b">
        <v>0</v>
      </c>
      <c r="C6203" s="56" t="b">
        <v>0</v>
      </c>
      <c r="D6203" s="56" t="b">
        <v>0</v>
      </c>
      <c r="E6203" s="56">
        <f ca="1">IF(PV[[#This Row],[Business Date]]=Control!$C$6, PV[[#This Row],[Notional Value Local Cur]], -PV[[#This Row],[Notional Value Local Cur]])</f>
        <v>0</v>
      </c>
    </row>
    <row r="6204" spans="1:5" x14ac:dyDescent="0.25">
      <c r="A6204" s="36" t="b">
        <v>0</v>
      </c>
      <c r="B6204" s="56" t="b">
        <v>0</v>
      </c>
      <c r="C6204" s="56" t="b">
        <v>0</v>
      </c>
      <c r="D6204" s="56" t="b">
        <v>0</v>
      </c>
      <c r="E6204" s="56">
        <f ca="1">IF(PV[[#This Row],[Business Date]]=Control!$C$6, PV[[#This Row],[Notional Value Local Cur]], -PV[[#This Row],[Notional Value Local Cur]])</f>
        <v>0</v>
      </c>
    </row>
    <row r="6205" spans="1:5" x14ac:dyDescent="0.25">
      <c r="A6205" s="36" t="b">
        <v>0</v>
      </c>
      <c r="B6205" s="56" t="b">
        <v>0</v>
      </c>
      <c r="C6205" s="56" t="b">
        <v>0</v>
      </c>
      <c r="D6205" s="56" t="b">
        <v>0</v>
      </c>
      <c r="E6205" s="56">
        <f ca="1">IF(PV[[#This Row],[Business Date]]=Control!$C$6, PV[[#This Row],[Notional Value Local Cur]], -PV[[#This Row],[Notional Value Local Cur]])</f>
        <v>0</v>
      </c>
    </row>
    <row r="6206" spans="1:5" x14ac:dyDescent="0.25">
      <c r="A6206" s="36" t="b">
        <v>0</v>
      </c>
      <c r="B6206" s="56" t="b">
        <v>0</v>
      </c>
      <c r="C6206" s="56" t="b">
        <v>0</v>
      </c>
      <c r="D6206" s="56" t="b">
        <v>0</v>
      </c>
      <c r="E6206" s="56">
        <f ca="1">IF(PV[[#This Row],[Business Date]]=Control!$C$6, PV[[#This Row],[Notional Value Local Cur]], -PV[[#This Row],[Notional Value Local Cur]])</f>
        <v>0</v>
      </c>
    </row>
    <row r="6207" spans="1:5" x14ac:dyDescent="0.25">
      <c r="A6207" s="36" t="b">
        <v>0</v>
      </c>
      <c r="B6207" s="56" t="b">
        <v>0</v>
      </c>
      <c r="C6207" s="56" t="b">
        <v>0</v>
      </c>
      <c r="D6207" s="56" t="b">
        <v>0</v>
      </c>
      <c r="E6207" s="56">
        <f ca="1">IF(PV[[#This Row],[Business Date]]=Control!$C$6, PV[[#This Row],[Notional Value Local Cur]], -PV[[#This Row],[Notional Value Local Cur]])</f>
        <v>0</v>
      </c>
    </row>
    <row r="6208" spans="1:5" x14ac:dyDescent="0.25">
      <c r="A6208" s="36" t="b">
        <v>0</v>
      </c>
      <c r="B6208" s="56" t="b">
        <v>0</v>
      </c>
      <c r="C6208" s="56" t="b">
        <v>0</v>
      </c>
      <c r="D6208" s="56" t="b">
        <v>0</v>
      </c>
      <c r="E6208" s="56">
        <f ca="1">IF(PV[[#This Row],[Business Date]]=Control!$C$6, PV[[#This Row],[Notional Value Local Cur]], -PV[[#This Row],[Notional Value Local Cur]])</f>
        <v>0</v>
      </c>
    </row>
    <row r="6209" spans="1:5" x14ac:dyDescent="0.25">
      <c r="A6209" s="36" t="b">
        <v>0</v>
      </c>
      <c r="B6209" s="56" t="b">
        <v>0</v>
      </c>
      <c r="C6209" s="56" t="b">
        <v>0</v>
      </c>
      <c r="D6209" s="56" t="b">
        <v>0</v>
      </c>
      <c r="E6209" s="56">
        <f ca="1">IF(PV[[#This Row],[Business Date]]=Control!$C$6, PV[[#This Row],[Notional Value Local Cur]], -PV[[#This Row],[Notional Value Local Cur]])</f>
        <v>0</v>
      </c>
    </row>
    <row r="6210" spans="1:5" x14ac:dyDescent="0.25">
      <c r="A6210" s="36" t="b">
        <v>0</v>
      </c>
      <c r="B6210" s="56" t="b">
        <v>0</v>
      </c>
      <c r="C6210" s="56" t="b">
        <v>0</v>
      </c>
      <c r="D6210" s="56" t="b">
        <v>0</v>
      </c>
      <c r="E6210" s="56">
        <f ca="1">IF(PV[[#This Row],[Business Date]]=Control!$C$6, PV[[#This Row],[Notional Value Local Cur]], -PV[[#This Row],[Notional Value Local Cur]])</f>
        <v>0</v>
      </c>
    </row>
    <row r="6211" spans="1:5" x14ac:dyDescent="0.25">
      <c r="A6211" s="36" t="b">
        <v>0</v>
      </c>
      <c r="B6211" s="56" t="b">
        <v>0</v>
      </c>
      <c r="C6211" s="56" t="b">
        <v>0</v>
      </c>
      <c r="D6211" s="56" t="b">
        <v>0</v>
      </c>
      <c r="E6211" s="56">
        <f ca="1">IF(PV[[#This Row],[Business Date]]=Control!$C$6, PV[[#This Row],[Notional Value Local Cur]], -PV[[#This Row],[Notional Value Local Cur]])</f>
        <v>0</v>
      </c>
    </row>
    <row r="6212" spans="1:5" x14ac:dyDescent="0.25">
      <c r="A6212" s="36" t="b">
        <v>0</v>
      </c>
      <c r="B6212" s="56" t="b">
        <v>0</v>
      </c>
      <c r="C6212" s="56" t="b">
        <v>0</v>
      </c>
      <c r="D6212" s="56" t="b">
        <v>0</v>
      </c>
      <c r="E6212" s="56">
        <f ca="1">IF(PV[[#This Row],[Business Date]]=Control!$C$6, PV[[#This Row],[Notional Value Local Cur]], -PV[[#This Row],[Notional Value Local Cur]])</f>
        <v>0</v>
      </c>
    </row>
    <row r="6213" spans="1:5" x14ac:dyDescent="0.25">
      <c r="A6213" s="36" t="b">
        <v>0</v>
      </c>
      <c r="B6213" s="56" t="b">
        <v>0</v>
      </c>
      <c r="C6213" s="56" t="b">
        <v>0</v>
      </c>
      <c r="D6213" s="56" t="b">
        <v>0</v>
      </c>
      <c r="E6213" s="56">
        <f ca="1">IF(PV[[#This Row],[Business Date]]=Control!$C$6, PV[[#This Row],[Notional Value Local Cur]], -PV[[#This Row],[Notional Value Local Cur]])</f>
        <v>0</v>
      </c>
    </row>
    <row r="6214" spans="1:5" x14ac:dyDescent="0.25">
      <c r="A6214" s="36" t="b">
        <v>0</v>
      </c>
      <c r="B6214" s="56" t="b">
        <v>0</v>
      </c>
      <c r="C6214" s="56" t="b">
        <v>0</v>
      </c>
      <c r="D6214" s="56" t="b">
        <v>0</v>
      </c>
      <c r="E6214" s="56">
        <f ca="1">IF(PV[[#This Row],[Business Date]]=Control!$C$6, PV[[#This Row],[Notional Value Local Cur]], -PV[[#This Row],[Notional Value Local Cur]])</f>
        <v>0</v>
      </c>
    </row>
    <row r="6215" spans="1:5" x14ac:dyDescent="0.25">
      <c r="A6215" s="36" t="b">
        <v>0</v>
      </c>
      <c r="B6215" s="56" t="b">
        <v>0</v>
      </c>
      <c r="C6215" s="56" t="b">
        <v>0</v>
      </c>
      <c r="D6215" s="56" t="b">
        <v>0</v>
      </c>
      <c r="E6215" s="56">
        <f ca="1">IF(PV[[#This Row],[Business Date]]=Control!$C$6, PV[[#This Row],[Notional Value Local Cur]], -PV[[#This Row],[Notional Value Local Cur]])</f>
        <v>0</v>
      </c>
    </row>
    <row r="6216" spans="1:5" x14ac:dyDescent="0.25">
      <c r="A6216" s="36" t="b">
        <v>0</v>
      </c>
      <c r="B6216" s="56" t="b">
        <v>0</v>
      </c>
      <c r="C6216" s="56" t="b">
        <v>0</v>
      </c>
      <c r="D6216" s="56" t="b">
        <v>0</v>
      </c>
      <c r="E6216" s="56">
        <f ca="1">IF(PV[[#This Row],[Business Date]]=Control!$C$6, PV[[#This Row],[Notional Value Local Cur]], -PV[[#This Row],[Notional Value Local Cur]])</f>
        <v>0</v>
      </c>
    </row>
    <row r="6217" spans="1:5" x14ac:dyDescent="0.25">
      <c r="A6217" s="36" t="b">
        <v>0</v>
      </c>
      <c r="B6217" s="56" t="b">
        <v>0</v>
      </c>
      <c r="C6217" s="56" t="b">
        <v>0</v>
      </c>
      <c r="D6217" s="56" t="b">
        <v>0</v>
      </c>
      <c r="E6217" s="56">
        <f ca="1">IF(PV[[#This Row],[Business Date]]=Control!$C$6, PV[[#This Row],[Notional Value Local Cur]], -PV[[#This Row],[Notional Value Local Cur]])</f>
        <v>0</v>
      </c>
    </row>
    <row r="6218" spans="1:5" x14ac:dyDescent="0.25">
      <c r="A6218" s="36" t="b">
        <v>0</v>
      </c>
      <c r="B6218" s="56" t="b">
        <v>0</v>
      </c>
      <c r="C6218" s="56" t="b">
        <v>0</v>
      </c>
      <c r="D6218" s="56" t="b">
        <v>0</v>
      </c>
      <c r="E6218" s="56">
        <f ca="1">IF(PV[[#This Row],[Business Date]]=Control!$C$6, PV[[#This Row],[Notional Value Local Cur]], -PV[[#This Row],[Notional Value Local Cur]])</f>
        <v>0</v>
      </c>
    </row>
    <row r="6219" spans="1:5" x14ac:dyDescent="0.25">
      <c r="A6219" s="36" t="b">
        <v>0</v>
      </c>
      <c r="B6219" s="56" t="b">
        <v>0</v>
      </c>
      <c r="C6219" s="56" t="b">
        <v>0</v>
      </c>
      <c r="D6219" s="56" t="b">
        <v>0</v>
      </c>
      <c r="E6219" s="56">
        <f ca="1">IF(PV[[#This Row],[Business Date]]=Control!$C$6, PV[[#This Row],[Notional Value Local Cur]], -PV[[#This Row],[Notional Value Local Cur]])</f>
        <v>0</v>
      </c>
    </row>
    <row r="6220" spans="1:5" x14ac:dyDescent="0.25">
      <c r="A6220" s="36" t="b">
        <v>0</v>
      </c>
      <c r="B6220" s="56" t="b">
        <v>0</v>
      </c>
      <c r="C6220" s="56" t="b">
        <v>0</v>
      </c>
      <c r="D6220" s="56" t="b">
        <v>0</v>
      </c>
      <c r="E6220" s="56">
        <f ca="1">IF(PV[[#This Row],[Business Date]]=Control!$C$6, PV[[#This Row],[Notional Value Local Cur]], -PV[[#This Row],[Notional Value Local Cur]])</f>
        <v>0</v>
      </c>
    </row>
    <row r="6221" spans="1:5" x14ac:dyDescent="0.25">
      <c r="A6221" s="36" t="b">
        <v>0</v>
      </c>
      <c r="B6221" s="56" t="b">
        <v>0</v>
      </c>
      <c r="C6221" s="56" t="b">
        <v>0</v>
      </c>
      <c r="D6221" s="56" t="b">
        <v>0</v>
      </c>
      <c r="E6221" s="56">
        <f ca="1">IF(PV[[#This Row],[Business Date]]=Control!$C$6, PV[[#This Row],[Notional Value Local Cur]], -PV[[#This Row],[Notional Value Local Cur]])</f>
        <v>0</v>
      </c>
    </row>
    <row r="6222" spans="1:5" x14ac:dyDescent="0.25">
      <c r="A6222" s="36" t="b">
        <v>0</v>
      </c>
      <c r="B6222" s="56" t="b">
        <v>0</v>
      </c>
      <c r="C6222" s="56" t="b">
        <v>0</v>
      </c>
      <c r="D6222" s="56" t="b">
        <v>0</v>
      </c>
      <c r="E6222" s="56">
        <f ca="1">IF(PV[[#This Row],[Business Date]]=Control!$C$6, PV[[#This Row],[Notional Value Local Cur]], -PV[[#This Row],[Notional Value Local Cur]])</f>
        <v>0</v>
      </c>
    </row>
    <row r="6223" spans="1:5" x14ac:dyDescent="0.25">
      <c r="A6223" s="36" t="b">
        <v>0</v>
      </c>
      <c r="B6223" s="56" t="b">
        <v>0</v>
      </c>
      <c r="C6223" s="56" t="b">
        <v>0</v>
      </c>
      <c r="D6223" s="56" t="b">
        <v>0</v>
      </c>
      <c r="E6223" s="56">
        <f ca="1">IF(PV[[#This Row],[Business Date]]=Control!$C$6, PV[[#This Row],[Notional Value Local Cur]], -PV[[#This Row],[Notional Value Local Cur]])</f>
        <v>0</v>
      </c>
    </row>
    <row r="6224" spans="1:5" x14ac:dyDescent="0.25">
      <c r="A6224" s="36" t="b">
        <v>0</v>
      </c>
      <c r="B6224" s="56" t="b">
        <v>0</v>
      </c>
      <c r="C6224" s="56" t="b">
        <v>0</v>
      </c>
      <c r="D6224" s="56" t="b">
        <v>0</v>
      </c>
      <c r="E6224" s="56">
        <f ca="1">IF(PV[[#This Row],[Business Date]]=Control!$C$6, PV[[#This Row],[Notional Value Local Cur]], -PV[[#This Row],[Notional Value Local Cur]])</f>
        <v>0</v>
      </c>
    </row>
    <row r="6225" spans="1:5" x14ac:dyDescent="0.25">
      <c r="A6225" s="36" t="b">
        <v>0</v>
      </c>
      <c r="B6225" s="56" t="b">
        <v>0</v>
      </c>
      <c r="C6225" s="56" t="b">
        <v>0</v>
      </c>
      <c r="D6225" s="56" t="b">
        <v>0</v>
      </c>
      <c r="E6225" s="56">
        <f ca="1">IF(PV[[#This Row],[Business Date]]=Control!$C$6, PV[[#This Row],[Notional Value Local Cur]], -PV[[#This Row],[Notional Value Local Cur]])</f>
        <v>0</v>
      </c>
    </row>
    <row r="6226" spans="1:5" x14ac:dyDescent="0.25">
      <c r="A6226" s="36" t="b">
        <v>0</v>
      </c>
      <c r="B6226" s="56" t="b">
        <v>0</v>
      </c>
      <c r="C6226" s="56" t="b">
        <v>0</v>
      </c>
      <c r="D6226" s="56" t="b">
        <v>0</v>
      </c>
      <c r="E6226" s="56">
        <f ca="1">IF(PV[[#This Row],[Business Date]]=Control!$C$6, PV[[#This Row],[Notional Value Local Cur]], -PV[[#This Row],[Notional Value Local Cur]])</f>
        <v>0</v>
      </c>
    </row>
    <row r="6227" spans="1:5" x14ac:dyDescent="0.25">
      <c r="A6227" s="36" t="b">
        <v>0</v>
      </c>
      <c r="B6227" s="56" t="b">
        <v>0</v>
      </c>
      <c r="C6227" s="56" t="b">
        <v>0</v>
      </c>
      <c r="D6227" s="56" t="b">
        <v>0</v>
      </c>
      <c r="E6227" s="56">
        <f ca="1">IF(PV[[#This Row],[Business Date]]=Control!$C$6, PV[[#This Row],[Notional Value Local Cur]], -PV[[#This Row],[Notional Value Local Cur]])</f>
        <v>0</v>
      </c>
    </row>
    <row r="6228" spans="1:5" x14ac:dyDescent="0.25">
      <c r="A6228" s="36" t="b">
        <v>0</v>
      </c>
      <c r="B6228" s="56" t="b">
        <v>0</v>
      </c>
      <c r="C6228" s="56" t="b">
        <v>0</v>
      </c>
      <c r="D6228" s="56" t="b">
        <v>0</v>
      </c>
      <c r="E6228" s="56">
        <f ca="1">IF(PV[[#This Row],[Business Date]]=Control!$C$6, PV[[#This Row],[Notional Value Local Cur]], -PV[[#This Row],[Notional Value Local Cur]])</f>
        <v>0</v>
      </c>
    </row>
    <row r="6229" spans="1:5" x14ac:dyDescent="0.25">
      <c r="A6229" s="36" t="b">
        <v>0</v>
      </c>
      <c r="B6229" s="56" t="b">
        <v>0</v>
      </c>
      <c r="C6229" s="56" t="b">
        <v>0</v>
      </c>
      <c r="D6229" s="56" t="b">
        <v>0</v>
      </c>
      <c r="E6229" s="56">
        <f ca="1">IF(PV[[#This Row],[Business Date]]=Control!$C$6, PV[[#This Row],[Notional Value Local Cur]], -PV[[#This Row],[Notional Value Local Cur]])</f>
        <v>0</v>
      </c>
    </row>
    <row r="6230" spans="1:5" x14ac:dyDescent="0.25">
      <c r="A6230" s="36" t="b">
        <v>0</v>
      </c>
      <c r="B6230" s="56" t="b">
        <v>0</v>
      </c>
      <c r="C6230" s="56" t="b">
        <v>0</v>
      </c>
      <c r="D6230" s="56" t="b">
        <v>0</v>
      </c>
      <c r="E6230" s="56">
        <f ca="1">IF(PV[[#This Row],[Business Date]]=Control!$C$6, PV[[#This Row],[Notional Value Local Cur]], -PV[[#This Row],[Notional Value Local Cur]])</f>
        <v>0</v>
      </c>
    </row>
    <row r="6231" spans="1:5" x14ac:dyDescent="0.25">
      <c r="A6231" s="36" t="b">
        <v>0</v>
      </c>
      <c r="B6231" s="56" t="b">
        <v>0</v>
      </c>
      <c r="C6231" s="56" t="b">
        <v>0</v>
      </c>
      <c r="D6231" s="56" t="b">
        <v>0</v>
      </c>
      <c r="E6231" s="56">
        <f ca="1">IF(PV[[#This Row],[Business Date]]=Control!$C$6, PV[[#This Row],[Notional Value Local Cur]], -PV[[#This Row],[Notional Value Local Cur]])</f>
        <v>0</v>
      </c>
    </row>
    <row r="6232" spans="1:5" x14ac:dyDescent="0.25">
      <c r="A6232" s="36" t="b">
        <v>0</v>
      </c>
      <c r="B6232" s="56" t="b">
        <v>0</v>
      </c>
      <c r="C6232" s="56" t="b">
        <v>0</v>
      </c>
      <c r="D6232" s="56" t="b">
        <v>0</v>
      </c>
      <c r="E6232" s="56">
        <f ca="1">IF(PV[[#This Row],[Business Date]]=Control!$C$6, PV[[#This Row],[Notional Value Local Cur]], -PV[[#This Row],[Notional Value Local Cur]])</f>
        <v>0</v>
      </c>
    </row>
    <row r="6233" spans="1:5" x14ac:dyDescent="0.25">
      <c r="A6233" s="36" t="b">
        <v>0</v>
      </c>
      <c r="B6233" s="56" t="b">
        <v>0</v>
      </c>
      <c r="C6233" s="56" t="b">
        <v>0</v>
      </c>
      <c r="D6233" s="56" t="b">
        <v>0</v>
      </c>
      <c r="E6233" s="56">
        <f ca="1">IF(PV[[#This Row],[Business Date]]=Control!$C$6, PV[[#This Row],[Notional Value Local Cur]], -PV[[#This Row],[Notional Value Local Cur]])</f>
        <v>0</v>
      </c>
    </row>
    <row r="6234" spans="1:5" x14ac:dyDescent="0.25">
      <c r="A6234" s="36" t="b">
        <v>0</v>
      </c>
      <c r="B6234" s="56" t="b">
        <v>0</v>
      </c>
      <c r="C6234" s="56" t="b">
        <v>0</v>
      </c>
      <c r="D6234" s="56" t="b">
        <v>0</v>
      </c>
      <c r="E6234" s="56">
        <f ca="1">IF(PV[[#This Row],[Business Date]]=Control!$C$6, PV[[#This Row],[Notional Value Local Cur]], -PV[[#This Row],[Notional Value Local Cur]])</f>
        <v>0</v>
      </c>
    </row>
    <row r="6235" spans="1:5" x14ac:dyDescent="0.25">
      <c r="A6235" s="36" t="b">
        <v>0</v>
      </c>
      <c r="B6235" s="56" t="b">
        <v>0</v>
      </c>
      <c r="C6235" s="56" t="b">
        <v>0</v>
      </c>
      <c r="D6235" s="56" t="b">
        <v>0</v>
      </c>
      <c r="E6235" s="56">
        <f ca="1">IF(PV[[#This Row],[Business Date]]=Control!$C$6, PV[[#This Row],[Notional Value Local Cur]], -PV[[#This Row],[Notional Value Local Cur]])</f>
        <v>0</v>
      </c>
    </row>
    <row r="6236" spans="1:5" x14ac:dyDescent="0.25">
      <c r="A6236" s="36" t="b">
        <v>0</v>
      </c>
      <c r="B6236" s="56" t="b">
        <v>0</v>
      </c>
      <c r="C6236" s="56" t="b">
        <v>0</v>
      </c>
      <c r="D6236" s="56" t="b">
        <v>0</v>
      </c>
      <c r="E6236" s="56">
        <f ca="1">IF(PV[[#This Row],[Business Date]]=Control!$C$6, PV[[#This Row],[Notional Value Local Cur]], -PV[[#This Row],[Notional Value Local Cur]])</f>
        <v>0</v>
      </c>
    </row>
    <row r="6237" spans="1:5" x14ac:dyDescent="0.25">
      <c r="A6237" s="36" t="b">
        <v>0</v>
      </c>
      <c r="B6237" s="56" t="b">
        <v>0</v>
      </c>
      <c r="C6237" s="56" t="b">
        <v>0</v>
      </c>
      <c r="D6237" s="56" t="b">
        <v>0</v>
      </c>
      <c r="E6237" s="56">
        <f ca="1">IF(PV[[#This Row],[Business Date]]=Control!$C$6, PV[[#This Row],[Notional Value Local Cur]], -PV[[#This Row],[Notional Value Local Cur]])</f>
        <v>0</v>
      </c>
    </row>
    <row r="6238" spans="1:5" x14ac:dyDescent="0.25">
      <c r="A6238" s="36" t="b">
        <v>0</v>
      </c>
      <c r="B6238" s="56" t="b">
        <v>0</v>
      </c>
      <c r="C6238" s="56" t="b">
        <v>0</v>
      </c>
      <c r="D6238" s="56" t="b">
        <v>0</v>
      </c>
      <c r="E6238" s="56">
        <f ca="1">IF(PV[[#This Row],[Business Date]]=Control!$C$6, PV[[#This Row],[Notional Value Local Cur]], -PV[[#This Row],[Notional Value Local Cur]])</f>
        <v>0</v>
      </c>
    </row>
    <row r="6239" spans="1:5" x14ac:dyDescent="0.25">
      <c r="A6239" s="36" t="b">
        <v>0</v>
      </c>
      <c r="B6239" s="56" t="b">
        <v>0</v>
      </c>
      <c r="C6239" s="56" t="b">
        <v>0</v>
      </c>
      <c r="D6239" s="56" t="b">
        <v>0</v>
      </c>
      <c r="E6239" s="56">
        <f ca="1">IF(PV[[#This Row],[Business Date]]=Control!$C$6, PV[[#This Row],[Notional Value Local Cur]], -PV[[#This Row],[Notional Value Local Cur]])</f>
        <v>0</v>
      </c>
    </row>
    <row r="6240" spans="1:5" x14ac:dyDescent="0.25">
      <c r="A6240" s="36" t="b">
        <v>0</v>
      </c>
      <c r="B6240" s="56" t="b">
        <v>0</v>
      </c>
      <c r="C6240" s="56" t="b">
        <v>0</v>
      </c>
      <c r="D6240" s="56" t="b">
        <v>0</v>
      </c>
      <c r="E6240" s="56">
        <f ca="1">IF(PV[[#This Row],[Business Date]]=Control!$C$6, PV[[#This Row],[Notional Value Local Cur]], -PV[[#This Row],[Notional Value Local Cur]])</f>
        <v>0</v>
      </c>
    </row>
    <row r="6241" spans="1:5" x14ac:dyDescent="0.25">
      <c r="A6241" s="36" t="b">
        <v>0</v>
      </c>
      <c r="B6241" s="56" t="b">
        <v>0</v>
      </c>
      <c r="C6241" s="56" t="b">
        <v>0</v>
      </c>
      <c r="D6241" s="56" t="b">
        <v>0</v>
      </c>
      <c r="E6241" s="56">
        <f ca="1">IF(PV[[#This Row],[Business Date]]=Control!$C$6, PV[[#This Row],[Notional Value Local Cur]], -PV[[#This Row],[Notional Value Local Cur]])</f>
        <v>0</v>
      </c>
    </row>
    <row r="6242" spans="1:5" x14ac:dyDescent="0.25">
      <c r="A6242" s="36" t="b">
        <v>0</v>
      </c>
      <c r="B6242" s="56" t="b">
        <v>0</v>
      </c>
      <c r="C6242" s="56" t="b">
        <v>0</v>
      </c>
      <c r="D6242" s="56" t="b">
        <v>0</v>
      </c>
      <c r="E6242" s="56">
        <f ca="1">IF(PV[[#This Row],[Business Date]]=Control!$C$6, PV[[#This Row],[Notional Value Local Cur]], -PV[[#This Row],[Notional Value Local Cur]])</f>
        <v>0</v>
      </c>
    </row>
    <row r="6243" spans="1:5" x14ac:dyDescent="0.25">
      <c r="A6243" s="36" t="b">
        <v>0</v>
      </c>
      <c r="B6243" s="56" t="b">
        <v>0</v>
      </c>
      <c r="C6243" s="56" t="b">
        <v>0</v>
      </c>
      <c r="D6243" s="56" t="b">
        <v>0</v>
      </c>
      <c r="E6243" s="56">
        <f ca="1">IF(PV[[#This Row],[Business Date]]=Control!$C$6, PV[[#This Row],[Notional Value Local Cur]], -PV[[#This Row],[Notional Value Local Cur]])</f>
        <v>0</v>
      </c>
    </row>
    <row r="6244" spans="1:5" x14ac:dyDescent="0.25">
      <c r="A6244" s="36" t="b">
        <v>0</v>
      </c>
      <c r="B6244" s="56" t="b">
        <v>0</v>
      </c>
      <c r="C6244" s="56" t="b">
        <v>0</v>
      </c>
      <c r="D6244" s="56" t="b">
        <v>0</v>
      </c>
      <c r="E6244" s="56">
        <f ca="1">IF(PV[[#This Row],[Business Date]]=Control!$C$6, PV[[#This Row],[Notional Value Local Cur]], -PV[[#This Row],[Notional Value Local Cur]])</f>
        <v>0</v>
      </c>
    </row>
    <row r="6245" spans="1:5" x14ac:dyDescent="0.25">
      <c r="A6245" s="36" t="b">
        <v>0</v>
      </c>
      <c r="B6245" s="56" t="b">
        <v>0</v>
      </c>
      <c r="C6245" s="56" t="b">
        <v>0</v>
      </c>
      <c r="D6245" s="56" t="b">
        <v>0</v>
      </c>
      <c r="E6245" s="56">
        <f ca="1">IF(PV[[#This Row],[Business Date]]=Control!$C$6, PV[[#This Row],[Notional Value Local Cur]], -PV[[#This Row],[Notional Value Local Cur]])</f>
        <v>0</v>
      </c>
    </row>
    <row r="6246" spans="1:5" x14ac:dyDescent="0.25">
      <c r="A6246" s="36" t="b">
        <v>0</v>
      </c>
      <c r="B6246" s="56" t="b">
        <v>0</v>
      </c>
      <c r="C6246" s="56" t="b">
        <v>0</v>
      </c>
      <c r="D6246" s="56" t="b">
        <v>0</v>
      </c>
      <c r="E6246" s="56">
        <f ca="1">IF(PV[[#This Row],[Business Date]]=Control!$C$6, PV[[#This Row],[Notional Value Local Cur]], -PV[[#This Row],[Notional Value Local Cur]])</f>
        <v>0</v>
      </c>
    </row>
    <row r="6247" spans="1:5" x14ac:dyDescent="0.25">
      <c r="A6247" s="36" t="b">
        <v>0</v>
      </c>
      <c r="B6247" s="56" t="b">
        <v>0</v>
      </c>
      <c r="C6247" s="56" t="b">
        <v>0</v>
      </c>
      <c r="D6247" s="56" t="b">
        <v>0</v>
      </c>
      <c r="E6247" s="56">
        <f ca="1">IF(PV[[#This Row],[Business Date]]=Control!$C$6, PV[[#This Row],[Notional Value Local Cur]], -PV[[#This Row],[Notional Value Local Cur]])</f>
        <v>0</v>
      </c>
    </row>
    <row r="6248" spans="1:5" x14ac:dyDescent="0.25">
      <c r="A6248" s="36" t="b">
        <v>0</v>
      </c>
      <c r="B6248" s="56" t="b">
        <v>0</v>
      </c>
      <c r="C6248" s="56" t="b">
        <v>0</v>
      </c>
      <c r="D6248" s="56" t="b">
        <v>0</v>
      </c>
      <c r="E6248" s="56">
        <f ca="1">IF(PV[[#This Row],[Business Date]]=Control!$C$6, PV[[#This Row],[Notional Value Local Cur]], -PV[[#This Row],[Notional Value Local Cur]])</f>
        <v>0</v>
      </c>
    </row>
    <row r="6249" spans="1:5" x14ac:dyDescent="0.25">
      <c r="A6249" s="36" t="b">
        <v>0</v>
      </c>
      <c r="B6249" s="56" t="b">
        <v>0</v>
      </c>
      <c r="C6249" s="56" t="b">
        <v>0</v>
      </c>
      <c r="D6249" s="56" t="b">
        <v>0</v>
      </c>
      <c r="E6249" s="56">
        <f ca="1">IF(PV[[#This Row],[Business Date]]=Control!$C$6, PV[[#This Row],[Notional Value Local Cur]], -PV[[#This Row],[Notional Value Local Cur]])</f>
        <v>0</v>
      </c>
    </row>
    <row r="6250" spans="1:5" x14ac:dyDescent="0.25">
      <c r="A6250" s="36" t="b">
        <v>0</v>
      </c>
      <c r="B6250" s="56" t="b">
        <v>0</v>
      </c>
      <c r="C6250" s="56" t="b">
        <v>0</v>
      </c>
      <c r="D6250" s="56" t="b">
        <v>0</v>
      </c>
      <c r="E6250" s="56">
        <f ca="1">IF(PV[[#This Row],[Business Date]]=Control!$C$6, PV[[#This Row],[Notional Value Local Cur]], -PV[[#This Row],[Notional Value Local Cur]])</f>
        <v>0</v>
      </c>
    </row>
    <row r="6251" spans="1:5" x14ac:dyDescent="0.25">
      <c r="A6251" s="36" t="b">
        <v>0</v>
      </c>
      <c r="B6251" s="56" t="b">
        <v>0</v>
      </c>
      <c r="C6251" s="56" t="b">
        <v>0</v>
      </c>
      <c r="D6251" s="56" t="b">
        <v>0</v>
      </c>
      <c r="E6251" s="56">
        <f ca="1">IF(PV[[#This Row],[Business Date]]=Control!$C$6, PV[[#This Row],[Notional Value Local Cur]], -PV[[#This Row],[Notional Value Local Cur]])</f>
        <v>0</v>
      </c>
    </row>
    <row r="6252" spans="1:5" x14ac:dyDescent="0.25">
      <c r="A6252" s="36" t="b">
        <v>0</v>
      </c>
      <c r="B6252" s="56" t="b">
        <v>0</v>
      </c>
      <c r="C6252" s="56" t="b">
        <v>0</v>
      </c>
      <c r="D6252" s="56" t="b">
        <v>0</v>
      </c>
      <c r="E6252" s="56">
        <f ca="1">IF(PV[[#This Row],[Business Date]]=Control!$C$6, PV[[#This Row],[Notional Value Local Cur]], -PV[[#This Row],[Notional Value Local Cur]])</f>
        <v>0</v>
      </c>
    </row>
    <row r="6253" spans="1:5" x14ac:dyDescent="0.25">
      <c r="A6253" s="36" t="b">
        <v>0</v>
      </c>
      <c r="B6253" s="56" t="b">
        <v>0</v>
      </c>
      <c r="C6253" s="56" t="b">
        <v>0</v>
      </c>
      <c r="D6253" s="56" t="b">
        <v>0</v>
      </c>
      <c r="E6253" s="56">
        <f ca="1">IF(PV[[#This Row],[Business Date]]=Control!$C$6, PV[[#This Row],[Notional Value Local Cur]], -PV[[#This Row],[Notional Value Local Cur]])</f>
        <v>0</v>
      </c>
    </row>
    <row r="6254" spans="1:5" x14ac:dyDescent="0.25">
      <c r="A6254" s="36" t="b">
        <v>0</v>
      </c>
      <c r="B6254" s="56" t="b">
        <v>0</v>
      </c>
      <c r="C6254" s="56" t="b">
        <v>0</v>
      </c>
      <c r="D6254" s="56" t="b">
        <v>0</v>
      </c>
      <c r="E6254" s="56">
        <f ca="1">IF(PV[[#This Row],[Business Date]]=Control!$C$6, PV[[#This Row],[Notional Value Local Cur]], -PV[[#This Row],[Notional Value Local Cur]])</f>
        <v>0</v>
      </c>
    </row>
    <row r="6255" spans="1:5" x14ac:dyDescent="0.25">
      <c r="A6255" s="36" t="b">
        <v>0</v>
      </c>
      <c r="B6255" s="56" t="b">
        <v>0</v>
      </c>
      <c r="C6255" s="56" t="b">
        <v>0</v>
      </c>
      <c r="D6255" s="56" t="b">
        <v>0</v>
      </c>
      <c r="E6255" s="56">
        <f ca="1">IF(PV[[#This Row],[Business Date]]=Control!$C$6, PV[[#This Row],[Notional Value Local Cur]], -PV[[#This Row],[Notional Value Local Cur]])</f>
        <v>0</v>
      </c>
    </row>
    <row r="6256" spans="1:5" x14ac:dyDescent="0.25">
      <c r="A6256" s="36" t="b">
        <v>0</v>
      </c>
      <c r="B6256" s="56" t="b">
        <v>0</v>
      </c>
      <c r="C6256" s="56" t="b">
        <v>0</v>
      </c>
      <c r="D6256" s="56" t="b">
        <v>0</v>
      </c>
      <c r="E6256" s="56">
        <f ca="1">IF(PV[[#This Row],[Business Date]]=Control!$C$6, PV[[#This Row],[Notional Value Local Cur]], -PV[[#This Row],[Notional Value Local Cur]])</f>
        <v>0</v>
      </c>
    </row>
    <row r="6257" spans="1:5" x14ac:dyDescent="0.25">
      <c r="A6257" s="36" t="b">
        <v>0</v>
      </c>
      <c r="B6257" s="56" t="b">
        <v>0</v>
      </c>
      <c r="C6257" s="56" t="b">
        <v>0</v>
      </c>
      <c r="D6257" s="56" t="b">
        <v>0</v>
      </c>
      <c r="E6257" s="56">
        <f ca="1">IF(PV[[#This Row],[Business Date]]=Control!$C$6, PV[[#This Row],[Notional Value Local Cur]], -PV[[#This Row],[Notional Value Local Cur]])</f>
        <v>0</v>
      </c>
    </row>
    <row r="6258" spans="1:5" x14ac:dyDescent="0.25">
      <c r="A6258" s="36" t="b">
        <v>0</v>
      </c>
      <c r="B6258" s="56" t="b">
        <v>0</v>
      </c>
      <c r="C6258" s="56" t="b">
        <v>0</v>
      </c>
      <c r="D6258" s="56" t="b">
        <v>0</v>
      </c>
      <c r="E6258" s="56">
        <f ca="1">IF(PV[[#This Row],[Business Date]]=Control!$C$6, PV[[#This Row],[Notional Value Local Cur]], -PV[[#This Row],[Notional Value Local Cur]])</f>
        <v>0</v>
      </c>
    </row>
    <row r="6259" spans="1:5" x14ac:dyDescent="0.25">
      <c r="A6259" s="36" t="b">
        <v>0</v>
      </c>
      <c r="B6259" s="56" t="b">
        <v>0</v>
      </c>
      <c r="C6259" s="56" t="b">
        <v>0</v>
      </c>
      <c r="D6259" s="56" t="b">
        <v>0</v>
      </c>
      <c r="E6259" s="56">
        <f ca="1">IF(PV[[#This Row],[Business Date]]=Control!$C$6, PV[[#This Row],[Notional Value Local Cur]], -PV[[#This Row],[Notional Value Local Cur]])</f>
        <v>0</v>
      </c>
    </row>
    <row r="6260" spans="1:5" x14ac:dyDescent="0.25">
      <c r="A6260" s="36" t="b">
        <v>0</v>
      </c>
      <c r="B6260" s="56" t="b">
        <v>0</v>
      </c>
      <c r="C6260" s="56" t="b">
        <v>0</v>
      </c>
      <c r="D6260" s="56" t="b">
        <v>0</v>
      </c>
      <c r="E6260" s="56">
        <f ca="1">IF(PV[[#This Row],[Business Date]]=Control!$C$6, PV[[#This Row],[Notional Value Local Cur]], -PV[[#This Row],[Notional Value Local Cur]])</f>
        <v>0</v>
      </c>
    </row>
    <row r="6261" spans="1:5" x14ac:dyDescent="0.25">
      <c r="A6261" s="36" t="b">
        <v>0</v>
      </c>
      <c r="B6261" s="56" t="b">
        <v>0</v>
      </c>
      <c r="C6261" s="56" t="b">
        <v>0</v>
      </c>
      <c r="D6261" s="56" t="b">
        <v>0</v>
      </c>
      <c r="E6261" s="56">
        <f ca="1">IF(PV[[#This Row],[Business Date]]=Control!$C$6, PV[[#This Row],[Notional Value Local Cur]], -PV[[#This Row],[Notional Value Local Cur]])</f>
        <v>0</v>
      </c>
    </row>
    <row r="6262" spans="1:5" x14ac:dyDescent="0.25">
      <c r="A6262" s="36" t="b">
        <v>0</v>
      </c>
      <c r="B6262" s="56" t="b">
        <v>0</v>
      </c>
      <c r="C6262" s="56" t="b">
        <v>0</v>
      </c>
      <c r="D6262" s="56" t="b">
        <v>0</v>
      </c>
      <c r="E6262" s="56">
        <f ca="1">IF(PV[[#This Row],[Business Date]]=Control!$C$6, PV[[#This Row],[Notional Value Local Cur]], -PV[[#This Row],[Notional Value Local Cur]])</f>
        <v>0</v>
      </c>
    </row>
    <row r="6263" spans="1:5" x14ac:dyDescent="0.25">
      <c r="A6263" s="36" t="b">
        <v>0</v>
      </c>
      <c r="B6263" s="56" t="b">
        <v>0</v>
      </c>
      <c r="C6263" s="56" t="b">
        <v>0</v>
      </c>
      <c r="D6263" s="56" t="b">
        <v>0</v>
      </c>
      <c r="E6263" s="56">
        <f ca="1">IF(PV[[#This Row],[Business Date]]=Control!$C$6, PV[[#This Row],[Notional Value Local Cur]], -PV[[#This Row],[Notional Value Local Cur]])</f>
        <v>0</v>
      </c>
    </row>
    <row r="6264" spans="1:5" x14ac:dyDescent="0.25">
      <c r="A6264" s="36" t="b">
        <v>0</v>
      </c>
      <c r="B6264" s="56" t="b">
        <v>0</v>
      </c>
      <c r="C6264" s="56" t="b">
        <v>0</v>
      </c>
      <c r="D6264" s="56" t="b">
        <v>0</v>
      </c>
      <c r="E6264" s="56">
        <f ca="1">IF(PV[[#This Row],[Business Date]]=Control!$C$6, PV[[#This Row],[Notional Value Local Cur]], -PV[[#This Row],[Notional Value Local Cur]])</f>
        <v>0</v>
      </c>
    </row>
    <row r="6265" spans="1:5" x14ac:dyDescent="0.25">
      <c r="A6265" s="36" t="b">
        <v>0</v>
      </c>
      <c r="B6265" s="56" t="b">
        <v>0</v>
      </c>
      <c r="C6265" s="56" t="b">
        <v>0</v>
      </c>
      <c r="D6265" s="56" t="b">
        <v>0</v>
      </c>
      <c r="E6265" s="56">
        <f ca="1">IF(PV[[#This Row],[Business Date]]=Control!$C$6, PV[[#This Row],[Notional Value Local Cur]], -PV[[#This Row],[Notional Value Local Cur]])</f>
        <v>0</v>
      </c>
    </row>
    <row r="6266" spans="1:5" x14ac:dyDescent="0.25">
      <c r="A6266" s="36" t="b">
        <v>0</v>
      </c>
      <c r="B6266" s="56" t="b">
        <v>0</v>
      </c>
      <c r="C6266" s="56" t="b">
        <v>0</v>
      </c>
      <c r="D6266" s="56" t="b">
        <v>0</v>
      </c>
      <c r="E6266" s="56">
        <f ca="1">IF(PV[[#This Row],[Business Date]]=Control!$C$6, PV[[#This Row],[Notional Value Local Cur]], -PV[[#This Row],[Notional Value Local Cur]])</f>
        <v>0</v>
      </c>
    </row>
    <row r="6267" spans="1:5" x14ac:dyDescent="0.25">
      <c r="A6267" s="36" t="b">
        <v>0</v>
      </c>
      <c r="B6267" s="56" t="b">
        <v>0</v>
      </c>
      <c r="C6267" s="56" t="b">
        <v>0</v>
      </c>
      <c r="D6267" s="56" t="b">
        <v>0</v>
      </c>
      <c r="E6267" s="56">
        <f ca="1">IF(PV[[#This Row],[Business Date]]=Control!$C$6, PV[[#This Row],[Notional Value Local Cur]], -PV[[#This Row],[Notional Value Local Cur]])</f>
        <v>0</v>
      </c>
    </row>
    <row r="6268" spans="1:5" x14ac:dyDescent="0.25">
      <c r="A6268" s="36" t="b">
        <v>0</v>
      </c>
      <c r="B6268" s="56" t="b">
        <v>0</v>
      </c>
      <c r="C6268" s="56" t="b">
        <v>0</v>
      </c>
      <c r="D6268" s="56" t="b">
        <v>0</v>
      </c>
      <c r="E6268" s="56">
        <f ca="1">IF(PV[[#This Row],[Business Date]]=Control!$C$6, PV[[#This Row],[Notional Value Local Cur]], -PV[[#This Row],[Notional Value Local Cur]])</f>
        <v>0</v>
      </c>
    </row>
    <row r="6269" spans="1:5" x14ac:dyDescent="0.25">
      <c r="A6269" s="36" t="b">
        <v>0</v>
      </c>
      <c r="B6269" s="56" t="b">
        <v>0</v>
      </c>
      <c r="C6269" s="56" t="b">
        <v>0</v>
      </c>
      <c r="D6269" s="56" t="b">
        <v>0</v>
      </c>
      <c r="E6269" s="56">
        <f ca="1">IF(PV[[#This Row],[Business Date]]=Control!$C$6, PV[[#This Row],[Notional Value Local Cur]], -PV[[#This Row],[Notional Value Local Cur]])</f>
        <v>0</v>
      </c>
    </row>
    <row r="6270" spans="1:5" x14ac:dyDescent="0.25">
      <c r="A6270" s="36" t="b">
        <v>0</v>
      </c>
      <c r="B6270" s="56" t="b">
        <v>0</v>
      </c>
      <c r="C6270" s="56" t="b">
        <v>0</v>
      </c>
      <c r="D6270" s="56" t="b">
        <v>0</v>
      </c>
      <c r="E6270" s="56">
        <f ca="1">IF(PV[[#This Row],[Business Date]]=Control!$C$6, PV[[#This Row],[Notional Value Local Cur]], -PV[[#This Row],[Notional Value Local Cur]])</f>
        <v>0</v>
      </c>
    </row>
    <row r="6271" spans="1:5" x14ac:dyDescent="0.25">
      <c r="A6271" s="36" t="b">
        <v>0</v>
      </c>
      <c r="B6271" s="56" t="b">
        <v>0</v>
      </c>
      <c r="C6271" s="56" t="b">
        <v>0</v>
      </c>
      <c r="D6271" s="56" t="b">
        <v>0</v>
      </c>
      <c r="E6271" s="56">
        <f ca="1">IF(PV[[#This Row],[Business Date]]=Control!$C$6, PV[[#This Row],[Notional Value Local Cur]], -PV[[#This Row],[Notional Value Local Cur]])</f>
        <v>0</v>
      </c>
    </row>
    <row r="6272" spans="1:5" x14ac:dyDescent="0.25">
      <c r="A6272" s="36" t="b">
        <v>0</v>
      </c>
      <c r="B6272" s="56" t="b">
        <v>0</v>
      </c>
      <c r="C6272" s="56" t="b">
        <v>0</v>
      </c>
      <c r="D6272" s="56" t="b">
        <v>0</v>
      </c>
      <c r="E6272" s="56">
        <f ca="1">IF(PV[[#This Row],[Business Date]]=Control!$C$6, PV[[#This Row],[Notional Value Local Cur]], -PV[[#This Row],[Notional Value Local Cur]])</f>
        <v>0</v>
      </c>
    </row>
    <row r="6273" spans="1:5" x14ac:dyDescent="0.25">
      <c r="A6273" s="36" t="b">
        <v>0</v>
      </c>
      <c r="B6273" s="56" t="b">
        <v>0</v>
      </c>
      <c r="C6273" s="56" t="b">
        <v>0</v>
      </c>
      <c r="D6273" s="56" t="b">
        <v>0</v>
      </c>
      <c r="E6273" s="56">
        <f ca="1">IF(PV[[#This Row],[Business Date]]=Control!$C$6, PV[[#This Row],[Notional Value Local Cur]], -PV[[#This Row],[Notional Value Local Cur]])</f>
        <v>0</v>
      </c>
    </row>
    <row r="6274" spans="1:5" x14ac:dyDescent="0.25">
      <c r="A6274" s="36" t="b">
        <v>0</v>
      </c>
      <c r="B6274" s="56" t="b">
        <v>0</v>
      </c>
      <c r="C6274" s="56" t="b">
        <v>0</v>
      </c>
      <c r="D6274" s="56" t="b">
        <v>0</v>
      </c>
      <c r="E6274" s="56">
        <f ca="1">IF(PV[[#This Row],[Business Date]]=Control!$C$6, PV[[#This Row],[Notional Value Local Cur]], -PV[[#This Row],[Notional Value Local Cur]])</f>
        <v>0</v>
      </c>
    </row>
    <row r="6275" spans="1:5" x14ac:dyDescent="0.25">
      <c r="A6275" s="36" t="b">
        <v>0</v>
      </c>
      <c r="B6275" s="56" t="b">
        <v>0</v>
      </c>
      <c r="C6275" s="56" t="b">
        <v>0</v>
      </c>
      <c r="D6275" s="56" t="b">
        <v>0</v>
      </c>
      <c r="E6275" s="56">
        <f ca="1">IF(PV[[#This Row],[Business Date]]=Control!$C$6, PV[[#This Row],[Notional Value Local Cur]], -PV[[#This Row],[Notional Value Local Cur]])</f>
        <v>0</v>
      </c>
    </row>
    <row r="6276" spans="1:5" x14ac:dyDescent="0.25">
      <c r="A6276" s="36" t="b">
        <v>0</v>
      </c>
      <c r="B6276" s="56" t="b">
        <v>0</v>
      </c>
      <c r="C6276" s="56" t="b">
        <v>0</v>
      </c>
      <c r="D6276" s="56" t="b">
        <v>0</v>
      </c>
      <c r="E6276" s="56">
        <f ca="1">IF(PV[[#This Row],[Business Date]]=Control!$C$6, PV[[#This Row],[Notional Value Local Cur]], -PV[[#This Row],[Notional Value Local Cur]])</f>
        <v>0</v>
      </c>
    </row>
    <row r="6277" spans="1:5" x14ac:dyDescent="0.25">
      <c r="A6277" s="36" t="b">
        <v>0</v>
      </c>
      <c r="B6277" s="56" t="b">
        <v>0</v>
      </c>
      <c r="C6277" s="56" t="b">
        <v>0</v>
      </c>
      <c r="D6277" s="56" t="b">
        <v>0</v>
      </c>
      <c r="E6277" s="56">
        <f ca="1">IF(PV[[#This Row],[Business Date]]=Control!$C$6, PV[[#This Row],[Notional Value Local Cur]], -PV[[#This Row],[Notional Value Local Cur]])</f>
        <v>0</v>
      </c>
    </row>
    <row r="6278" spans="1:5" x14ac:dyDescent="0.25">
      <c r="A6278" s="36" t="b">
        <v>0</v>
      </c>
      <c r="B6278" s="56" t="b">
        <v>0</v>
      </c>
      <c r="C6278" s="56" t="b">
        <v>0</v>
      </c>
      <c r="D6278" s="56" t="b">
        <v>0</v>
      </c>
      <c r="E6278" s="56">
        <f ca="1">IF(PV[[#This Row],[Business Date]]=Control!$C$6, PV[[#This Row],[Notional Value Local Cur]], -PV[[#This Row],[Notional Value Local Cur]])</f>
        <v>0</v>
      </c>
    </row>
    <row r="6279" spans="1:5" x14ac:dyDescent="0.25">
      <c r="A6279" s="36" t="b">
        <v>0</v>
      </c>
      <c r="B6279" s="56" t="b">
        <v>0</v>
      </c>
      <c r="C6279" s="56" t="b">
        <v>0</v>
      </c>
      <c r="D6279" s="56" t="b">
        <v>0</v>
      </c>
      <c r="E6279" s="56">
        <f ca="1">IF(PV[[#This Row],[Business Date]]=Control!$C$6, PV[[#This Row],[Notional Value Local Cur]], -PV[[#This Row],[Notional Value Local Cur]])</f>
        <v>0</v>
      </c>
    </row>
    <row r="6280" spans="1:5" x14ac:dyDescent="0.25">
      <c r="A6280" s="36" t="b">
        <v>0</v>
      </c>
      <c r="B6280" s="56" t="b">
        <v>0</v>
      </c>
      <c r="C6280" s="56" t="b">
        <v>0</v>
      </c>
      <c r="D6280" s="56" t="b">
        <v>0</v>
      </c>
      <c r="E6280" s="56">
        <f ca="1">IF(PV[[#This Row],[Business Date]]=Control!$C$6, PV[[#This Row],[Notional Value Local Cur]], -PV[[#This Row],[Notional Value Local Cur]])</f>
        <v>0</v>
      </c>
    </row>
    <row r="6281" spans="1:5" x14ac:dyDescent="0.25">
      <c r="A6281" s="36" t="b">
        <v>0</v>
      </c>
      <c r="B6281" s="56" t="b">
        <v>0</v>
      </c>
      <c r="C6281" s="56" t="b">
        <v>0</v>
      </c>
      <c r="D6281" s="56" t="b">
        <v>0</v>
      </c>
      <c r="E6281" s="56">
        <f ca="1">IF(PV[[#This Row],[Business Date]]=Control!$C$6, PV[[#This Row],[Notional Value Local Cur]], -PV[[#This Row],[Notional Value Local Cur]])</f>
        <v>0</v>
      </c>
    </row>
    <row r="6282" spans="1:5" x14ac:dyDescent="0.25">
      <c r="A6282" s="36" t="b">
        <v>0</v>
      </c>
      <c r="B6282" s="56" t="b">
        <v>0</v>
      </c>
      <c r="C6282" s="56" t="b">
        <v>0</v>
      </c>
      <c r="D6282" s="56" t="b">
        <v>0</v>
      </c>
      <c r="E6282" s="56">
        <f ca="1">IF(PV[[#This Row],[Business Date]]=Control!$C$6, PV[[#This Row],[Notional Value Local Cur]], -PV[[#This Row],[Notional Value Local Cur]])</f>
        <v>0</v>
      </c>
    </row>
    <row r="6283" spans="1:5" x14ac:dyDescent="0.25">
      <c r="A6283" s="36" t="b">
        <v>0</v>
      </c>
      <c r="B6283" s="56" t="b">
        <v>0</v>
      </c>
      <c r="C6283" s="56" t="b">
        <v>0</v>
      </c>
      <c r="D6283" s="56" t="b">
        <v>0</v>
      </c>
      <c r="E6283" s="56">
        <f ca="1">IF(PV[[#This Row],[Business Date]]=Control!$C$6, PV[[#This Row],[Notional Value Local Cur]], -PV[[#This Row],[Notional Value Local Cur]])</f>
        <v>0</v>
      </c>
    </row>
    <row r="6284" spans="1:5" x14ac:dyDescent="0.25">
      <c r="A6284" s="36" t="b">
        <v>0</v>
      </c>
      <c r="B6284" s="56" t="b">
        <v>0</v>
      </c>
      <c r="C6284" s="56" t="b">
        <v>0</v>
      </c>
      <c r="D6284" s="56" t="b">
        <v>0</v>
      </c>
      <c r="E6284" s="56">
        <f ca="1">IF(PV[[#This Row],[Business Date]]=Control!$C$6, PV[[#This Row],[Notional Value Local Cur]], -PV[[#This Row],[Notional Value Local Cur]])</f>
        <v>0</v>
      </c>
    </row>
    <row r="6285" spans="1:5" x14ac:dyDescent="0.25">
      <c r="A6285" s="36" t="b">
        <v>0</v>
      </c>
      <c r="B6285" s="56" t="b">
        <v>0</v>
      </c>
      <c r="C6285" s="56" t="b">
        <v>0</v>
      </c>
      <c r="D6285" s="56" t="b">
        <v>0</v>
      </c>
      <c r="E6285" s="56">
        <f ca="1">IF(PV[[#This Row],[Business Date]]=Control!$C$6, PV[[#This Row],[Notional Value Local Cur]], -PV[[#This Row],[Notional Value Local Cur]])</f>
        <v>0</v>
      </c>
    </row>
    <row r="6286" spans="1:5" x14ac:dyDescent="0.25">
      <c r="A6286" s="36" t="b">
        <v>0</v>
      </c>
      <c r="B6286" s="56" t="b">
        <v>0</v>
      </c>
      <c r="C6286" s="56" t="b">
        <v>0</v>
      </c>
      <c r="D6286" s="56" t="b">
        <v>0</v>
      </c>
      <c r="E6286" s="56">
        <f ca="1">IF(PV[[#This Row],[Business Date]]=Control!$C$6, PV[[#This Row],[Notional Value Local Cur]], -PV[[#This Row],[Notional Value Local Cur]])</f>
        <v>0</v>
      </c>
    </row>
    <row r="6287" spans="1:5" x14ac:dyDescent="0.25">
      <c r="A6287" s="36" t="b">
        <v>0</v>
      </c>
      <c r="B6287" s="56" t="b">
        <v>0</v>
      </c>
      <c r="C6287" s="56" t="b">
        <v>0</v>
      </c>
      <c r="D6287" s="56" t="b">
        <v>0</v>
      </c>
      <c r="E6287" s="56">
        <f ca="1">IF(PV[[#This Row],[Business Date]]=Control!$C$6, PV[[#This Row],[Notional Value Local Cur]], -PV[[#This Row],[Notional Value Local Cur]])</f>
        <v>0</v>
      </c>
    </row>
    <row r="6288" spans="1:5" x14ac:dyDescent="0.25">
      <c r="A6288" s="36" t="b">
        <v>0</v>
      </c>
      <c r="B6288" s="56" t="b">
        <v>0</v>
      </c>
      <c r="C6288" s="56" t="b">
        <v>0</v>
      </c>
      <c r="D6288" s="56" t="b">
        <v>0</v>
      </c>
      <c r="E6288" s="56">
        <f ca="1">IF(PV[[#This Row],[Business Date]]=Control!$C$6, PV[[#This Row],[Notional Value Local Cur]], -PV[[#This Row],[Notional Value Local Cur]])</f>
        <v>0</v>
      </c>
    </row>
    <row r="6289" spans="1:5" x14ac:dyDescent="0.25">
      <c r="A6289" s="36" t="b">
        <v>0</v>
      </c>
      <c r="B6289" s="56" t="b">
        <v>0</v>
      </c>
      <c r="C6289" s="56" t="b">
        <v>0</v>
      </c>
      <c r="D6289" s="56" t="b">
        <v>0</v>
      </c>
      <c r="E6289" s="56">
        <f ca="1">IF(PV[[#This Row],[Business Date]]=Control!$C$6, PV[[#This Row],[Notional Value Local Cur]], -PV[[#This Row],[Notional Value Local Cur]])</f>
        <v>0</v>
      </c>
    </row>
    <row r="6290" spans="1:5" x14ac:dyDescent="0.25">
      <c r="A6290" s="36" t="b">
        <v>0</v>
      </c>
      <c r="B6290" s="56" t="b">
        <v>0</v>
      </c>
      <c r="C6290" s="56" t="b">
        <v>0</v>
      </c>
      <c r="D6290" s="56" t="b">
        <v>0</v>
      </c>
      <c r="E6290" s="56">
        <f ca="1">IF(PV[[#This Row],[Business Date]]=Control!$C$6, PV[[#This Row],[Notional Value Local Cur]], -PV[[#This Row],[Notional Value Local Cur]])</f>
        <v>0</v>
      </c>
    </row>
    <row r="6291" spans="1:5" x14ac:dyDescent="0.25">
      <c r="A6291" s="36" t="b">
        <v>0</v>
      </c>
      <c r="B6291" s="56" t="b">
        <v>0</v>
      </c>
      <c r="C6291" s="56" t="b">
        <v>0</v>
      </c>
      <c r="D6291" s="56" t="b">
        <v>0</v>
      </c>
      <c r="E6291" s="56">
        <f ca="1">IF(PV[[#This Row],[Business Date]]=Control!$C$6, PV[[#This Row],[Notional Value Local Cur]], -PV[[#This Row],[Notional Value Local Cur]])</f>
        <v>0</v>
      </c>
    </row>
    <row r="6292" spans="1:5" x14ac:dyDescent="0.25">
      <c r="A6292" s="36" t="b">
        <v>0</v>
      </c>
      <c r="B6292" s="56" t="b">
        <v>0</v>
      </c>
      <c r="C6292" s="56" t="b">
        <v>0</v>
      </c>
      <c r="D6292" s="56" t="b">
        <v>0</v>
      </c>
      <c r="E6292" s="56">
        <f ca="1">IF(PV[[#This Row],[Business Date]]=Control!$C$6, PV[[#This Row],[Notional Value Local Cur]], -PV[[#This Row],[Notional Value Local Cur]])</f>
        <v>0</v>
      </c>
    </row>
    <row r="6293" spans="1:5" x14ac:dyDescent="0.25">
      <c r="A6293" s="36" t="b">
        <v>0</v>
      </c>
      <c r="B6293" s="56" t="b">
        <v>0</v>
      </c>
      <c r="C6293" s="56" t="b">
        <v>0</v>
      </c>
      <c r="D6293" s="56" t="b">
        <v>0</v>
      </c>
      <c r="E6293" s="56">
        <f ca="1">IF(PV[[#This Row],[Business Date]]=Control!$C$6, PV[[#This Row],[Notional Value Local Cur]], -PV[[#This Row],[Notional Value Local Cur]])</f>
        <v>0</v>
      </c>
    </row>
    <row r="6294" spans="1:5" x14ac:dyDescent="0.25">
      <c r="A6294" s="36" t="b">
        <v>0</v>
      </c>
      <c r="B6294" s="56" t="b">
        <v>0</v>
      </c>
      <c r="C6294" s="56" t="b">
        <v>0</v>
      </c>
      <c r="D6294" s="56" t="b">
        <v>0</v>
      </c>
      <c r="E6294" s="56">
        <f ca="1">IF(PV[[#This Row],[Business Date]]=Control!$C$6, PV[[#This Row],[Notional Value Local Cur]], -PV[[#This Row],[Notional Value Local Cur]])</f>
        <v>0</v>
      </c>
    </row>
    <row r="6295" spans="1:5" x14ac:dyDescent="0.25">
      <c r="A6295" s="36" t="b">
        <v>0</v>
      </c>
      <c r="B6295" s="56" t="b">
        <v>0</v>
      </c>
      <c r="C6295" s="56" t="b">
        <v>0</v>
      </c>
      <c r="D6295" s="56" t="b">
        <v>0</v>
      </c>
      <c r="E6295" s="56">
        <f ca="1">IF(PV[[#This Row],[Business Date]]=Control!$C$6, PV[[#This Row],[Notional Value Local Cur]], -PV[[#This Row],[Notional Value Local Cur]])</f>
        <v>0</v>
      </c>
    </row>
    <row r="6296" spans="1:5" x14ac:dyDescent="0.25">
      <c r="A6296" s="36" t="b">
        <v>0</v>
      </c>
      <c r="B6296" s="56" t="b">
        <v>0</v>
      </c>
      <c r="C6296" s="56" t="b">
        <v>0</v>
      </c>
      <c r="D6296" s="56" t="b">
        <v>0</v>
      </c>
      <c r="E6296" s="56">
        <f ca="1">IF(PV[[#This Row],[Business Date]]=Control!$C$6, PV[[#This Row],[Notional Value Local Cur]], -PV[[#This Row],[Notional Value Local Cur]])</f>
        <v>0</v>
      </c>
    </row>
    <row r="6297" spans="1:5" x14ac:dyDescent="0.25">
      <c r="A6297" s="36" t="b">
        <v>0</v>
      </c>
      <c r="B6297" s="56" t="b">
        <v>0</v>
      </c>
      <c r="C6297" s="56" t="b">
        <v>0</v>
      </c>
      <c r="D6297" s="56" t="b">
        <v>0</v>
      </c>
      <c r="E6297" s="56">
        <f ca="1">IF(PV[[#This Row],[Business Date]]=Control!$C$6, PV[[#This Row],[Notional Value Local Cur]], -PV[[#This Row],[Notional Value Local Cur]])</f>
        <v>0</v>
      </c>
    </row>
    <row r="6298" spans="1:5" x14ac:dyDescent="0.25">
      <c r="A6298" s="36" t="b">
        <v>0</v>
      </c>
      <c r="B6298" s="56" t="b">
        <v>0</v>
      </c>
      <c r="C6298" s="56" t="b">
        <v>0</v>
      </c>
      <c r="D6298" s="56" t="b">
        <v>0</v>
      </c>
      <c r="E6298" s="56">
        <f ca="1">IF(PV[[#This Row],[Business Date]]=Control!$C$6, PV[[#This Row],[Notional Value Local Cur]], -PV[[#This Row],[Notional Value Local Cur]])</f>
        <v>0</v>
      </c>
    </row>
    <row r="6299" spans="1:5" x14ac:dyDescent="0.25">
      <c r="A6299" s="36" t="b">
        <v>0</v>
      </c>
      <c r="B6299" s="56" t="b">
        <v>0</v>
      </c>
      <c r="C6299" s="56" t="b">
        <v>0</v>
      </c>
      <c r="D6299" s="56" t="b">
        <v>0</v>
      </c>
      <c r="E6299" s="56">
        <f ca="1">IF(PV[[#This Row],[Business Date]]=Control!$C$6, PV[[#This Row],[Notional Value Local Cur]], -PV[[#This Row],[Notional Value Local Cur]])</f>
        <v>0</v>
      </c>
    </row>
    <row r="6300" spans="1:5" x14ac:dyDescent="0.25">
      <c r="A6300" s="36" t="b">
        <v>0</v>
      </c>
      <c r="B6300" s="56" t="b">
        <v>0</v>
      </c>
      <c r="C6300" s="56" t="b">
        <v>0</v>
      </c>
      <c r="D6300" s="56" t="b">
        <v>0</v>
      </c>
      <c r="E6300" s="56">
        <f ca="1">IF(PV[[#This Row],[Business Date]]=Control!$C$6, PV[[#This Row],[Notional Value Local Cur]], -PV[[#This Row],[Notional Value Local Cur]])</f>
        <v>0</v>
      </c>
    </row>
    <row r="6301" spans="1:5" x14ac:dyDescent="0.25">
      <c r="A6301" s="36" t="b">
        <v>0</v>
      </c>
      <c r="B6301" s="56" t="b">
        <v>0</v>
      </c>
      <c r="C6301" s="56" t="b">
        <v>0</v>
      </c>
      <c r="D6301" s="56" t="b">
        <v>0</v>
      </c>
      <c r="E6301" s="56">
        <f ca="1">IF(PV[[#This Row],[Business Date]]=Control!$C$6, PV[[#This Row],[Notional Value Local Cur]], -PV[[#This Row],[Notional Value Local Cur]])</f>
        <v>0</v>
      </c>
    </row>
    <row r="6302" spans="1:5" x14ac:dyDescent="0.25">
      <c r="A6302" s="36" t="b">
        <v>0</v>
      </c>
      <c r="B6302" s="56" t="b">
        <v>0</v>
      </c>
      <c r="C6302" s="56" t="b">
        <v>0</v>
      </c>
      <c r="D6302" s="56" t="b">
        <v>0</v>
      </c>
      <c r="E6302" s="56">
        <f ca="1">IF(PV[[#This Row],[Business Date]]=Control!$C$6, PV[[#This Row],[Notional Value Local Cur]], -PV[[#This Row],[Notional Value Local Cur]])</f>
        <v>0</v>
      </c>
    </row>
    <row r="6303" spans="1:5" x14ac:dyDescent="0.25">
      <c r="A6303" s="36" t="b">
        <v>0</v>
      </c>
      <c r="B6303" s="56" t="b">
        <v>0</v>
      </c>
      <c r="C6303" s="56" t="b">
        <v>0</v>
      </c>
      <c r="D6303" s="56" t="b">
        <v>0</v>
      </c>
      <c r="E6303" s="56">
        <f ca="1">IF(PV[[#This Row],[Business Date]]=Control!$C$6, PV[[#This Row],[Notional Value Local Cur]], -PV[[#This Row],[Notional Value Local Cur]])</f>
        <v>0</v>
      </c>
    </row>
    <row r="6304" spans="1:5" x14ac:dyDescent="0.25">
      <c r="A6304" s="36" t="b">
        <v>0</v>
      </c>
      <c r="B6304" s="56" t="b">
        <v>0</v>
      </c>
      <c r="C6304" s="56" t="b">
        <v>0</v>
      </c>
      <c r="D6304" s="56" t="b">
        <v>0</v>
      </c>
      <c r="E6304" s="56">
        <f ca="1">IF(PV[[#This Row],[Business Date]]=Control!$C$6, PV[[#This Row],[Notional Value Local Cur]], -PV[[#This Row],[Notional Value Local Cur]])</f>
        <v>0</v>
      </c>
    </row>
    <row r="6305" spans="1:5" x14ac:dyDescent="0.25">
      <c r="A6305" s="36" t="b">
        <v>0</v>
      </c>
      <c r="B6305" s="56" t="b">
        <v>0</v>
      </c>
      <c r="C6305" s="56" t="b">
        <v>0</v>
      </c>
      <c r="D6305" s="56" t="b">
        <v>0</v>
      </c>
      <c r="E6305" s="56">
        <f ca="1">IF(PV[[#This Row],[Business Date]]=Control!$C$6, PV[[#This Row],[Notional Value Local Cur]], -PV[[#This Row],[Notional Value Local Cur]])</f>
        <v>0</v>
      </c>
    </row>
    <row r="6306" spans="1:5" x14ac:dyDescent="0.25">
      <c r="A6306" s="36" t="b">
        <v>0</v>
      </c>
      <c r="B6306" s="56" t="b">
        <v>0</v>
      </c>
      <c r="C6306" s="56" t="b">
        <v>0</v>
      </c>
      <c r="D6306" s="56" t="b">
        <v>0</v>
      </c>
      <c r="E6306" s="56">
        <f ca="1">IF(PV[[#This Row],[Business Date]]=Control!$C$6, PV[[#This Row],[Notional Value Local Cur]], -PV[[#This Row],[Notional Value Local Cur]])</f>
        <v>0</v>
      </c>
    </row>
    <row r="6307" spans="1:5" x14ac:dyDescent="0.25">
      <c r="A6307" s="36" t="b">
        <v>0</v>
      </c>
      <c r="B6307" s="56" t="b">
        <v>0</v>
      </c>
      <c r="C6307" s="56" t="b">
        <v>0</v>
      </c>
      <c r="D6307" s="56" t="b">
        <v>0</v>
      </c>
      <c r="E6307" s="56">
        <f ca="1">IF(PV[[#This Row],[Business Date]]=Control!$C$6, PV[[#This Row],[Notional Value Local Cur]], -PV[[#This Row],[Notional Value Local Cur]])</f>
        <v>0</v>
      </c>
    </row>
    <row r="6308" spans="1:5" x14ac:dyDescent="0.25">
      <c r="A6308" s="36" t="b">
        <v>0</v>
      </c>
      <c r="B6308" s="56" t="b">
        <v>0</v>
      </c>
      <c r="C6308" s="56" t="b">
        <v>0</v>
      </c>
      <c r="D6308" s="56" t="b">
        <v>0</v>
      </c>
      <c r="E6308" s="56">
        <f ca="1">IF(PV[[#This Row],[Business Date]]=Control!$C$6, PV[[#This Row],[Notional Value Local Cur]], -PV[[#This Row],[Notional Value Local Cur]])</f>
        <v>0</v>
      </c>
    </row>
    <row r="6309" spans="1:5" x14ac:dyDescent="0.25">
      <c r="A6309" s="36" t="b">
        <v>0</v>
      </c>
      <c r="B6309" s="56" t="b">
        <v>0</v>
      </c>
      <c r="C6309" s="56" t="b">
        <v>0</v>
      </c>
      <c r="D6309" s="56" t="b">
        <v>0</v>
      </c>
      <c r="E6309" s="56">
        <f ca="1">IF(PV[[#This Row],[Business Date]]=Control!$C$6, PV[[#This Row],[Notional Value Local Cur]], -PV[[#This Row],[Notional Value Local Cur]])</f>
        <v>0</v>
      </c>
    </row>
    <row r="6310" spans="1:5" x14ac:dyDescent="0.25">
      <c r="A6310" s="36" t="b">
        <v>0</v>
      </c>
      <c r="B6310" s="56" t="b">
        <v>0</v>
      </c>
      <c r="C6310" s="56" t="b">
        <v>0</v>
      </c>
      <c r="D6310" s="56" t="b">
        <v>0</v>
      </c>
      <c r="E6310" s="56">
        <f ca="1">IF(PV[[#This Row],[Business Date]]=Control!$C$6, PV[[#This Row],[Notional Value Local Cur]], -PV[[#This Row],[Notional Value Local Cur]])</f>
        <v>0</v>
      </c>
    </row>
    <row r="6311" spans="1:5" x14ac:dyDescent="0.25">
      <c r="A6311" s="36" t="b">
        <v>0</v>
      </c>
      <c r="B6311" s="56" t="b">
        <v>0</v>
      </c>
      <c r="C6311" s="56" t="b">
        <v>0</v>
      </c>
      <c r="D6311" s="56" t="b">
        <v>0</v>
      </c>
      <c r="E6311" s="56">
        <f ca="1">IF(PV[[#This Row],[Business Date]]=Control!$C$6, PV[[#This Row],[Notional Value Local Cur]], -PV[[#This Row],[Notional Value Local Cur]])</f>
        <v>0</v>
      </c>
    </row>
    <row r="6312" spans="1:5" x14ac:dyDescent="0.25">
      <c r="A6312" s="36" t="b">
        <v>0</v>
      </c>
      <c r="B6312" s="56" t="b">
        <v>0</v>
      </c>
      <c r="C6312" s="56" t="b">
        <v>0</v>
      </c>
      <c r="D6312" s="56" t="b">
        <v>0</v>
      </c>
      <c r="E6312" s="56">
        <f ca="1">IF(PV[[#This Row],[Business Date]]=Control!$C$6, PV[[#This Row],[Notional Value Local Cur]], -PV[[#This Row],[Notional Value Local Cur]])</f>
        <v>0</v>
      </c>
    </row>
    <row r="6313" spans="1:5" x14ac:dyDescent="0.25">
      <c r="A6313" s="36" t="b">
        <v>0</v>
      </c>
      <c r="B6313" s="56" t="b">
        <v>0</v>
      </c>
      <c r="C6313" s="56" t="b">
        <v>0</v>
      </c>
      <c r="D6313" s="56" t="b">
        <v>0</v>
      </c>
      <c r="E6313" s="56">
        <f ca="1">IF(PV[[#This Row],[Business Date]]=Control!$C$6, PV[[#This Row],[Notional Value Local Cur]], -PV[[#This Row],[Notional Value Local Cur]])</f>
        <v>0</v>
      </c>
    </row>
    <row r="6314" spans="1:5" x14ac:dyDescent="0.25">
      <c r="A6314" s="36" t="b">
        <v>0</v>
      </c>
      <c r="B6314" s="56" t="b">
        <v>0</v>
      </c>
      <c r="C6314" s="56" t="b">
        <v>0</v>
      </c>
      <c r="D6314" s="56" t="b">
        <v>0</v>
      </c>
      <c r="E6314" s="56">
        <f ca="1">IF(PV[[#This Row],[Business Date]]=Control!$C$6, PV[[#This Row],[Notional Value Local Cur]], -PV[[#This Row],[Notional Value Local Cur]])</f>
        <v>0</v>
      </c>
    </row>
    <row r="6315" spans="1:5" x14ac:dyDescent="0.25">
      <c r="A6315" s="36" t="b">
        <v>0</v>
      </c>
      <c r="B6315" s="56" t="b">
        <v>0</v>
      </c>
      <c r="C6315" s="56" t="b">
        <v>0</v>
      </c>
      <c r="D6315" s="56" t="b">
        <v>0</v>
      </c>
      <c r="E6315" s="56">
        <f ca="1">IF(PV[[#This Row],[Business Date]]=Control!$C$6, PV[[#This Row],[Notional Value Local Cur]], -PV[[#This Row],[Notional Value Local Cur]])</f>
        <v>0</v>
      </c>
    </row>
    <row r="6316" spans="1:5" x14ac:dyDescent="0.25">
      <c r="A6316" s="36" t="b">
        <v>0</v>
      </c>
      <c r="B6316" s="56" t="b">
        <v>0</v>
      </c>
      <c r="C6316" s="56" t="b">
        <v>0</v>
      </c>
      <c r="D6316" s="56" t="b">
        <v>0</v>
      </c>
      <c r="E6316" s="56">
        <f ca="1">IF(PV[[#This Row],[Business Date]]=Control!$C$6, PV[[#This Row],[Notional Value Local Cur]], -PV[[#This Row],[Notional Value Local Cur]])</f>
        <v>0</v>
      </c>
    </row>
    <row r="6317" spans="1:5" x14ac:dyDescent="0.25">
      <c r="A6317" s="36" t="b">
        <v>0</v>
      </c>
      <c r="B6317" s="56" t="b">
        <v>0</v>
      </c>
      <c r="C6317" s="56" t="b">
        <v>0</v>
      </c>
      <c r="D6317" s="56" t="b">
        <v>0</v>
      </c>
      <c r="E6317" s="56">
        <f ca="1">IF(PV[[#This Row],[Business Date]]=Control!$C$6, PV[[#This Row],[Notional Value Local Cur]], -PV[[#This Row],[Notional Value Local Cur]])</f>
        <v>0</v>
      </c>
    </row>
    <row r="6318" spans="1:5" x14ac:dyDescent="0.25">
      <c r="A6318" s="36" t="b">
        <v>0</v>
      </c>
      <c r="B6318" s="56" t="b">
        <v>0</v>
      </c>
      <c r="C6318" s="56" t="b">
        <v>0</v>
      </c>
      <c r="D6318" s="56" t="b">
        <v>0</v>
      </c>
      <c r="E6318" s="56">
        <f ca="1">IF(PV[[#This Row],[Business Date]]=Control!$C$6, PV[[#This Row],[Notional Value Local Cur]], -PV[[#This Row],[Notional Value Local Cur]])</f>
        <v>0</v>
      </c>
    </row>
    <row r="6319" spans="1:5" x14ac:dyDescent="0.25">
      <c r="A6319" s="36" t="b">
        <v>0</v>
      </c>
      <c r="B6319" s="56" t="b">
        <v>0</v>
      </c>
      <c r="C6319" s="56" t="b">
        <v>0</v>
      </c>
      <c r="D6319" s="56" t="b">
        <v>0</v>
      </c>
      <c r="E6319" s="56">
        <f ca="1">IF(PV[[#This Row],[Business Date]]=Control!$C$6, PV[[#This Row],[Notional Value Local Cur]], -PV[[#This Row],[Notional Value Local Cur]])</f>
        <v>0</v>
      </c>
    </row>
    <row r="6320" spans="1:5" x14ac:dyDescent="0.25">
      <c r="A6320" s="36" t="b">
        <v>0</v>
      </c>
      <c r="B6320" s="56" t="b">
        <v>0</v>
      </c>
      <c r="C6320" s="56" t="b">
        <v>0</v>
      </c>
      <c r="D6320" s="56" t="b">
        <v>0</v>
      </c>
      <c r="E6320" s="56">
        <f ca="1">IF(PV[[#This Row],[Business Date]]=Control!$C$6, PV[[#This Row],[Notional Value Local Cur]], -PV[[#This Row],[Notional Value Local Cur]])</f>
        <v>0</v>
      </c>
    </row>
    <row r="6321" spans="1:5" x14ac:dyDescent="0.25">
      <c r="A6321" s="36" t="b">
        <v>0</v>
      </c>
      <c r="B6321" s="56" t="b">
        <v>0</v>
      </c>
      <c r="C6321" s="56" t="b">
        <v>0</v>
      </c>
      <c r="D6321" s="56" t="b">
        <v>0</v>
      </c>
      <c r="E6321" s="56">
        <f ca="1">IF(PV[[#This Row],[Business Date]]=Control!$C$6, PV[[#This Row],[Notional Value Local Cur]], -PV[[#This Row],[Notional Value Local Cur]])</f>
        <v>0</v>
      </c>
    </row>
    <row r="6322" spans="1:5" x14ac:dyDescent="0.25">
      <c r="A6322" s="36" t="b">
        <v>0</v>
      </c>
      <c r="B6322" s="56" t="b">
        <v>0</v>
      </c>
      <c r="C6322" s="56" t="b">
        <v>0</v>
      </c>
      <c r="D6322" s="56" t="b">
        <v>0</v>
      </c>
      <c r="E6322" s="56">
        <f ca="1">IF(PV[[#This Row],[Business Date]]=Control!$C$6, PV[[#This Row],[Notional Value Local Cur]], -PV[[#This Row],[Notional Value Local Cur]])</f>
        <v>0</v>
      </c>
    </row>
    <row r="6323" spans="1:5" x14ac:dyDescent="0.25">
      <c r="A6323" s="36" t="b">
        <v>0</v>
      </c>
      <c r="B6323" s="56" t="b">
        <v>0</v>
      </c>
      <c r="C6323" s="56" t="b">
        <v>0</v>
      </c>
      <c r="D6323" s="56" t="b">
        <v>0</v>
      </c>
      <c r="E6323" s="56">
        <f ca="1">IF(PV[[#This Row],[Business Date]]=Control!$C$6, PV[[#This Row],[Notional Value Local Cur]], -PV[[#This Row],[Notional Value Local Cur]])</f>
        <v>0</v>
      </c>
    </row>
    <row r="6324" spans="1:5" x14ac:dyDescent="0.25">
      <c r="A6324" s="36" t="b">
        <v>0</v>
      </c>
      <c r="B6324" s="56" t="b">
        <v>0</v>
      </c>
      <c r="C6324" s="56" t="b">
        <v>0</v>
      </c>
      <c r="D6324" s="56" t="b">
        <v>0</v>
      </c>
      <c r="E6324" s="56">
        <f ca="1">IF(PV[[#This Row],[Business Date]]=Control!$C$6, PV[[#This Row],[Notional Value Local Cur]], -PV[[#This Row],[Notional Value Local Cur]])</f>
        <v>0</v>
      </c>
    </row>
    <row r="6325" spans="1:5" x14ac:dyDescent="0.25">
      <c r="A6325" s="36" t="b">
        <v>0</v>
      </c>
      <c r="B6325" s="56" t="b">
        <v>0</v>
      </c>
      <c r="C6325" s="56" t="b">
        <v>0</v>
      </c>
      <c r="D6325" s="56" t="b">
        <v>0</v>
      </c>
      <c r="E6325" s="56">
        <f ca="1">IF(PV[[#This Row],[Business Date]]=Control!$C$6, PV[[#This Row],[Notional Value Local Cur]], -PV[[#This Row],[Notional Value Local Cur]])</f>
        <v>0</v>
      </c>
    </row>
    <row r="6326" spans="1:5" x14ac:dyDescent="0.25">
      <c r="A6326" s="36" t="b">
        <v>0</v>
      </c>
      <c r="B6326" s="56" t="b">
        <v>0</v>
      </c>
      <c r="C6326" s="56" t="b">
        <v>0</v>
      </c>
      <c r="D6326" s="56" t="b">
        <v>0</v>
      </c>
      <c r="E6326" s="56">
        <f ca="1">IF(PV[[#This Row],[Business Date]]=Control!$C$6, PV[[#This Row],[Notional Value Local Cur]], -PV[[#This Row],[Notional Value Local Cur]])</f>
        <v>0</v>
      </c>
    </row>
    <row r="6327" spans="1:5" x14ac:dyDescent="0.25">
      <c r="A6327" s="36" t="b">
        <v>0</v>
      </c>
      <c r="B6327" s="56" t="b">
        <v>0</v>
      </c>
      <c r="C6327" s="56" t="b">
        <v>0</v>
      </c>
      <c r="D6327" s="56" t="b">
        <v>0</v>
      </c>
      <c r="E6327" s="56">
        <f ca="1">IF(PV[[#This Row],[Business Date]]=Control!$C$6, PV[[#This Row],[Notional Value Local Cur]], -PV[[#This Row],[Notional Value Local Cur]])</f>
        <v>0</v>
      </c>
    </row>
    <row r="6328" spans="1:5" x14ac:dyDescent="0.25">
      <c r="A6328" s="36" t="b">
        <v>0</v>
      </c>
      <c r="B6328" s="56" t="b">
        <v>0</v>
      </c>
      <c r="C6328" s="56" t="b">
        <v>0</v>
      </c>
      <c r="D6328" s="56" t="b">
        <v>0</v>
      </c>
      <c r="E6328" s="56">
        <f ca="1">IF(PV[[#This Row],[Business Date]]=Control!$C$6, PV[[#This Row],[Notional Value Local Cur]], -PV[[#This Row],[Notional Value Local Cur]])</f>
        <v>0</v>
      </c>
    </row>
    <row r="6329" spans="1:5" x14ac:dyDescent="0.25">
      <c r="A6329" s="36" t="b">
        <v>0</v>
      </c>
      <c r="B6329" s="56" t="b">
        <v>0</v>
      </c>
      <c r="C6329" s="56" t="b">
        <v>0</v>
      </c>
      <c r="D6329" s="56" t="b">
        <v>0</v>
      </c>
      <c r="E6329" s="56">
        <f ca="1">IF(PV[[#This Row],[Business Date]]=Control!$C$6, PV[[#This Row],[Notional Value Local Cur]], -PV[[#This Row],[Notional Value Local Cur]])</f>
        <v>0</v>
      </c>
    </row>
    <row r="6330" spans="1:5" x14ac:dyDescent="0.25">
      <c r="A6330" s="36" t="b">
        <v>0</v>
      </c>
      <c r="B6330" s="56" t="b">
        <v>0</v>
      </c>
      <c r="C6330" s="56" t="b">
        <v>0</v>
      </c>
      <c r="D6330" s="56" t="b">
        <v>0</v>
      </c>
      <c r="E6330" s="56">
        <f ca="1">IF(PV[[#This Row],[Business Date]]=Control!$C$6, PV[[#This Row],[Notional Value Local Cur]], -PV[[#This Row],[Notional Value Local Cur]])</f>
        <v>0</v>
      </c>
    </row>
    <row r="6331" spans="1:5" x14ac:dyDescent="0.25">
      <c r="A6331" s="36" t="b">
        <v>0</v>
      </c>
      <c r="B6331" s="56" t="b">
        <v>0</v>
      </c>
      <c r="C6331" s="56" t="b">
        <v>0</v>
      </c>
      <c r="D6331" s="56" t="b">
        <v>0</v>
      </c>
      <c r="E6331" s="56">
        <f ca="1">IF(PV[[#This Row],[Business Date]]=Control!$C$6, PV[[#This Row],[Notional Value Local Cur]], -PV[[#This Row],[Notional Value Local Cur]])</f>
        <v>0</v>
      </c>
    </row>
    <row r="6332" spans="1:5" x14ac:dyDescent="0.25">
      <c r="A6332" s="36" t="b">
        <v>0</v>
      </c>
      <c r="B6332" s="56" t="b">
        <v>0</v>
      </c>
      <c r="C6332" s="56" t="b">
        <v>0</v>
      </c>
      <c r="D6332" s="56" t="b">
        <v>0</v>
      </c>
      <c r="E6332" s="56">
        <f ca="1">IF(PV[[#This Row],[Business Date]]=Control!$C$6, PV[[#This Row],[Notional Value Local Cur]], -PV[[#This Row],[Notional Value Local Cur]])</f>
        <v>0</v>
      </c>
    </row>
    <row r="6333" spans="1:5" x14ac:dyDescent="0.25">
      <c r="A6333" s="36" t="b">
        <v>0</v>
      </c>
      <c r="B6333" s="56" t="b">
        <v>0</v>
      </c>
      <c r="C6333" s="56" t="b">
        <v>0</v>
      </c>
      <c r="D6333" s="56" t="b">
        <v>0</v>
      </c>
      <c r="E6333" s="56">
        <f ca="1">IF(PV[[#This Row],[Business Date]]=Control!$C$6, PV[[#This Row],[Notional Value Local Cur]], -PV[[#This Row],[Notional Value Local Cur]])</f>
        <v>0</v>
      </c>
    </row>
    <row r="6334" spans="1:5" x14ac:dyDescent="0.25">
      <c r="A6334" s="36" t="b">
        <v>0</v>
      </c>
      <c r="B6334" s="56" t="b">
        <v>0</v>
      </c>
      <c r="C6334" s="56" t="b">
        <v>0</v>
      </c>
      <c r="D6334" s="56" t="b">
        <v>0</v>
      </c>
      <c r="E6334" s="56">
        <f ca="1">IF(PV[[#This Row],[Business Date]]=Control!$C$6, PV[[#This Row],[Notional Value Local Cur]], -PV[[#This Row],[Notional Value Local Cur]])</f>
        <v>0</v>
      </c>
    </row>
    <row r="6335" spans="1:5" x14ac:dyDescent="0.25">
      <c r="A6335" s="36" t="b">
        <v>0</v>
      </c>
      <c r="B6335" s="56" t="b">
        <v>0</v>
      </c>
      <c r="C6335" s="56" t="b">
        <v>0</v>
      </c>
      <c r="D6335" s="56" t="b">
        <v>0</v>
      </c>
      <c r="E6335" s="56">
        <f ca="1">IF(PV[[#This Row],[Business Date]]=Control!$C$6, PV[[#This Row],[Notional Value Local Cur]], -PV[[#This Row],[Notional Value Local Cur]])</f>
        <v>0</v>
      </c>
    </row>
    <row r="6336" spans="1:5" x14ac:dyDescent="0.25">
      <c r="A6336" s="36" t="b">
        <v>0</v>
      </c>
      <c r="B6336" s="56" t="b">
        <v>0</v>
      </c>
      <c r="C6336" s="56" t="b">
        <v>0</v>
      </c>
      <c r="D6336" s="56" t="b">
        <v>0</v>
      </c>
      <c r="E6336" s="56">
        <f ca="1">IF(PV[[#This Row],[Business Date]]=Control!$C$6, PV[[#This Row],[Notional Value Local Cur]], -PV[[#This Row],[Notional Value Local Cur]])</f>
        <v>0</v>
      </c>
    </row>
    <row r="6337" spans="1:5" x14ac:dyDescent="0.25">
      <c r="A6337" s="36" t="b">
        <v>0</v>
      </c>
      <c r="B6337" s="56" t="b">
        <v>0</v>
      </c>
      <c r="C6337" s="56" t="b">
        <v>0</v>
      </c>
      <c r="D6337" s="56" t="b">
        <v>0</v>
      </c>
      <c r="E6337" s="56">
        <f ca="1">IF(PV[[#This Row],[Business Date]]=Control!$C$6, PV[[#This Row],[Notional Value Local Cur]], -PV[[#This Row],[Notional Value Local Cur]])</f>
        <v>0</v>
      </c>
    </row>
    <row r="6338" spans="1:5" x14ac:dyDescent="0.25">
      <c r="A6338" s="36" t="b">
        <v>0</v>
      </c>
      <c r="B6338" s="56" t="b">
        <v>0</v>
      </c>
      <c r="C6338" s="56" t="b">
        <v>0</v>
      </c>
      <c r="D6338" s="56" t="b">
        <v>0</v>
      </c>
      <c r="E6338" s="56">
        <f ca="1">IF(PV[[#This Row],[Business Date]]=Control!$C$6, PV[[#This Row],[Notional Value Local Cur]], -PV[[#This Row],[Notional Value Local Cur]])</f>
        <v>0</v>
      </c>
    </row>
    <row r="6339" spans="1:5" x14ac:dyDescent="0.25">
      <c r="A6339" s="36" t="b">
        <v>0</v>
      </c>
      <c r="B6339" s="56" t="b">
        <v>0</v>
      </c>
      <c r="C6339" s="56" t="b">
        <v>0</v>
      </c>
      <c r="D6339" s="56" t="b">
        <v>0</v>
      </c>
      <c r="E6339" s="56">
        <f ca="1">IF(PV[[#This Row],[Business Date]]=Control!$C$6, PV[[#This Row],[Notional Value Local Cur]], -PV[[#This Row],[Notional Value Local Cur]])</f>
        <v>0</v>
      </c>
    </row>
    <row r="6340" spans="1:5" x14ac:dyDescent="0.25">
      <c r="A6340" s="36" t="b">
        <v>0</v>
      </c>
      <c r="B6340" s="56" t="b">
        <v>0</v>
      </c>
      <c r="C6340" s="56" t="b">
        <v>0</v>
      </c>
      <c r="D6340" s="56" t="b">
        <v>0</v>
      </c>
      <c r="E6340" s="56">
        <f ca="1">IF(PV[[#This Row],[Business Date]]=Control!$C$6, PV[[#This Row],[Notional Value Local Cur]], -PV[[#This Row],[Notional Value Local Cur]])</f>
        <v>0</v>
      </c>
    </row>
    <row r="6341" spans="1:5" x14ac:dyDescent="0.25">
      <c r="A6341" s="36" t="b">
        <v>0</v>
      </c>
      <c r="B6341" s="56" t="b">
        <v>0</v>
      </c>
      <c r="C6341" s="56" t="b">
        <v>0</v>
      </c>
      <c r="D6341" s="56" t="b">
        <v>0</v>
      </c>
      <c r="E6341" s="56">
        <f ca="1">IF(PV[[#This Row],[Business Date]]=Control!$C$6, PV[[#This Row],[Notional Value Local Cur]], -PV[[#This Row],[Notional Value Local Cur]])</f>
        <v>0</v>
      </c>
    </row>
    <row r="6342" spans="1:5" x14ac:dyDescent="0.25">
      <c r="A6342" s="36" t="b">
        <v>0</v>
      </c>
      <c r="B6342" s="56" t="b">
        <v>0</v>
      </c>
      <c r="C6342" s="56" t="b">
        <v>0</v>
      </c>
      <c r="D6342" s="56" t="b">
        <v>0</v>
      </c>
      <c r="E6342" s="56">
        <f ca="1">IF(PV[[#This Row],[Business Date]]=Control!$C$6, PV[[#This Row],[Notional Value Local Cur]], -PV[[#This Row],[Notional Value Local Cur]])</f>
        <v>0</v>
      </c>
    </row>
    <row r="6343" spans="1:5" x14ac:dyDescent="0.25">
      <c r="A6343" s="36" t="b">
        <v>0</v>
      </c>
      <c r="B6343" s="56" t="b">
        <v>0</v>
      </c>
      <c r="C6343" s="56" t="b">
        <v>0</v>
      </c>
      <c r="D6343" s="56" t="b">
        <v>0</v>
      </c>
      <c r="E6343" s="56">
        <f ca="1">IF(PV[[#This Row],[Business Date]]=Control!$C$6, PV[[#This Row],[Notional Value Local Cur]], -PV[[#This Row],[Notional Value Local Cur]])</f>
        <v>0</v>
      </c>
    </row>
    <row r="6344" spans="1:5" x14ac:dyDescent="0.25">
      <c r="A6344" s="36" t="b">
        <v>0</v>
      </c>
      <c r="B6344" s="56" t="b">
        <v>0</v>
      </c>
      <c r="C6344" s="56" t="b">
        <v>0</v>
      </c>
      <c r="D6344" s="56" t="b">
        <v>0</v>
      </c>
      <c r="E6344" s="56">
        <f ca="1">IF(PV[[#This Row],[Business Date]]=Control!$C$6, PV[[#This Row],[Notional Value Local Cur]], -PV[[#This Row],[Notional Value Local Cur]])</f>
        <v>0</v>
      </c>
    </row>
    <row r="6345" spans="1:5" x14ac:dyDescent="0.25">
      <c r="A6345" s="36" t="b">
        <v>0</v>
      </c>
      <c r="B6345" s="56" t="b">
        <v>0</v>
      </c>
      <c r="C6345" s="56" t="b">
        <v>0</v>
      </c>
      <c r="D6345" s="56" t="b">
        <v>0</v>
      </c>
      <c r="E6345" s="56">
        <f ca="1">IF(PV[[#This Row],[Business Date]]=Control!$C$6, PV[[#This Row],[Notional Value Local Cur]], -PV[[#This Row],[Notional Value Local Cur]])</f>
        <v>0</v>
      </c>
    </row>
    <row r="6346" spans="1:5" x14ac:dyDescent="0.25">
      <c r="A6346" s="36" t="b">
        <v>0</v>
      </c>
      <c r="B6346" s="56" t="b">
        <v>0</v>
      </c>
      <c r="C6346" s="56" t="b">
        <v>0</v>
      </c>
      <c r="D6346" s="56" t="b">
        <v>0</v>
      </c>
      <c r="E6346" s="56">
        <f ca="1">IF(PV[[#This Row],[Business Date]]=Control!$C$6, PV[[#This Row],[Notional Value Local Cur]], -PV[[#This Row],[Notional Value Local Cur]])</f>
        <v>0</v>
      </c>
    </row>
    <row r="6347" spans="1:5" x14ac:dyDescent="0.25">
      <c r="A6347" s="36" t="b">
        <v>0</v>
      </c>
      <c r="B6347" s="56" t="b">
        <v>0</v>
      </c>
      <c r="C6347" s="56" t="b">
        <v>0</v>
      </c>
      <c r="D6347" s="56" t="b">
        <v>0</v>
      </c>
      <c r="E6347" s="56">
        <f ca="1">IF(PV[[#This Row],[Business Date]]=Control!$C$6, PV[[#This Row],[Notional Value Local Cur]], -PV[[#This Row],[Notional Value Local Cur]])</f>
        <v>0</v>
      </c>
    </row>
    <row r="6348" spans="1:5" x14ac:dyDescent="0.25">
      <c r="A6348" s="36" t="b">
        <v>0</v>
      </c>
      <c r="B6348" s="56" t="b">
        <v>0</v>
      </c>
      <c r="C6348" s="56" t="b">
        <v>0</v>
      </c>
      <c r="D6348" s="56" t="b">
        <v>0</v>
      </c>
      <c r="E6348" s="56">
        <f ca="1">IF(PV[[#This Row],[Business Date]]=Control!$C$6, PV[[#This Row],[Notional Value Local Cur]], -PV[[#This Row],[Notional Value Local Cur]])</f>
        <v>0</v>
      </c>
    </row>
    <row r="6349" spans="1:5" x14ac:dyDescent="0.25">
      <c r="A6349" s="36" t="b">
        <v>0</v>
      </c>
      <c r="B6349" s="56" t="b">
        <v>0</v>
      </c>
      <c r="C6349" s="56" t="b">
        <v>0</v>
      </c>
      <c r="D6349" s="56" t="b">
        <v>0</v>
      </c>
      <c r="E6349" s="56">
        <f ca="1">IF(PV[[#This Row],[Business Date]]=Control!$C$6, PV[[#This Row],[Notional Value Local Cur]], -PV[[#This Row],[Notional Value Local Cur]])</f>
        <v>0</v>
      </c>
    </row>
    <row r="6350" spans="1:5" x14ac:dyDescent="0.25">
      <c r="A6350" s="36" t="b">
        <v>0</v>
      </c>
      <c r="B6350" s="56" t="b">
        <v>0</v>
      </c>
      <c r="C6350" s="56" t="b">
        <v>0</v>
      </c>
      <c r="D6350" s="56" t="b">
        <v>0</v>
      </c>
      <c r="E6350" s="56">
        <f ca="1">IF(PV[[#This Row],[Business Date]]=Control!$C$6, PV[[#This Row],[Notional Value Local Cur]], -PV[[#This Row],[Notional Value Local Cur]])</f>
        <v>0</v>
      </c>
    </row>
    <row r="6351" spans="1:5" x14ac:dyDescent="0.25">
      <c r="A6351" s="36" t="b">
        <v>0</v>
      </c>
      <c r="B6351" s="56" t="b">
        <v>0</v>
      </c>
      <c r="C6351" s="56" t="b">
        <v>0</v>
      </c>
      <c r="D6351" s="56" t="b">
        <v>0</v>
      </c>
      <c r="E6351" s="56">
        <f ca="1">IF(PV[[#This Row],[Business Date]]=Control!$C$6, PV[[#This Row],[Notional Value Local Cur]], -PV[[#This Row],[Notional Value Local Cur]])</f>
        <v>0</v>
      </c>
    </row>
    <row r="6352" spans="1:5" x14ac:dyDescent="0.25">
      <c r="A6352" s="36" t="b">
        <v>0</v>
      </c>
      <c r="B6352" s="56" t="b">
        <v>0</v>
      </c>
      <c r="C6352" s="56" t="b">
        <v>0</v>
      </c>
      <c r="D6352" s="56" t="b">
        <v>0</v>
      </c>
      <c r="E6352" s="56">
        <f ca="1">IF(PV[[#This Row],[Business Date]]=Control!$C$6, PV[[#This Row],[Notional Value Local Cur]], -PV[[#This Row],[Notional Value Local Cur]])</f>
        <v>0</v>
      </c>
    </row>
    <row r="6353" spans="1:5" x14ac:dyDescent="0.25">
      <c r="A6353" s="36" t="b">
        <v>0</v>
      </c>
      <c r="B6353" s="56" t="b">
        <v>0</v>
      </c>
      <c r="C6353" s="56" t="b">
        <v>0</v>
      </c>
      <c r="D6353" s="56" t="b">
        <v>0</v>
      </c>
      <c r="E6353" s="56">
        <f ca="1">IF(PV[[#This Row],[Business Date]]=Control!$C$6, PV[[#This Row],[Notional Value Local Cur]], -PV[[#This Row],[Notional Value Local Cur]])</f>
        <v>0</v>
      </c>
    </row>
    <row r="6354" spans="1:5" x14ac:dyDescent="0.25">
      <c r="A6354" s="36" t="b">
        <v>0</v>
      </c>
      <c r="B6354" s="56" t="b">
        <v>0</v>
      </c>
      <c r="C6354" s="56" t="b">
        <v>0</v>
      </c>
      <c r="D6354" s="56" t="b">
        <v>0</v>
      </c>
      <c r="E6354" s="56">
        <f ca="1">IF(PV[[#This Row],[Business Date]]=Control!$C$6, PV[[#This Row],[Notional Value Local Cur]], -PV[[#This Row],[Notional Value Local Cur]])</f>
        <v>0</v>
      </c>
    </row>
    <row r="6355" spans="1:5" x14ac:dyDescent="0.25">
      <c r="A6355" s="36" t="b">
        <v>0</v>
      </c>
      <c r="B6355" s="56" t="b">
        <v>0</v>
      </c>
      <c r="C6355" s="56" t="b">
        <v>0</v>
      </c>
      <c r="D6355" s="56" t="b">
        <v>0</v>
      </c>
      <c r="E6355" s="56">
        <f ca="1">IF(PV[[#This Row],[Business Date]]=Control!$C$6, PV[[#This Row],[Notional Value Local Cur]], -PV[[#This Row],[Notional Value Local Cur]])</f>
        <v>0</v>
      </c>
    </row>
    <row r="6356" spans="1:5" x14ac:dyDescent="0.25">
      <c r="A6356" s="36" t="b">
        <v>0</v>
      </c>
      <c r="B6356" s="56" t="b">
        <v>0</v>
      </c>
      <c r="C6356" s="56" t="b">
        <v>0</v>
      </c>
      <c r="D6356" s="56" t="b">
        <v>0</v>
      </c>
      <c r="E6356" s="56">
        <f ca="1">IF(PV[[#This Row],[Business Date]]=Control!$C$6, PV[[#This Row],[Notional Value Local Cur]], -PV[[#This Row],[Notional Value Local Cur]])</f>
        <v>0</v>
      </c>
    </row>
    <row r="6357" spans="1:5" x14ac:dyDescent="0.25">
      <c r="A6357" s="36" t="b">
        <v>0</v>
      </c>
      <c r="B6357" s="56" t="b">
        <v>0</v>
      </c>
      <c r="C6357" s="56" t="b">
        <v>0</v>
      </c>
      <c r="D6357" s="56" t="b">
        <v>0</v>
      </c>
      <c r="E6357" s="56">
        <f ca="1">IF(PV[[#This Row],[Business Date]]=Control!$C$6, PV[[#This Row],[Notional Value Local Cur]], -PV[[#This Row],[Notional Value Local Cur]])</f>
        <v>0</v>
      </c>
    </row>
    <row r="6358" spans="1:5" x14ac:dyDescent="0.25">
      <c r="A6358" s="36" t="b">
        <v>0</v>
      </c>
      <c r="B6358" s="56" t="b">
        <v>0</v>
      </c>
      <c r="C6358" s="56" t="b">
        <v>0</v>
      </c>
      <c r="D6358" s="56" t="b">
        <v>0</v>
      </c>
      <c r="E6358" s="56">
        <f ca="1">IF(PV[[#This Row],[Business Date]]=Control!$C$6, PV[[#This Row],[Notional Value Local Cur]], -PV[[#This Row],[Notional Value Local Cur]])</f>
        <v>0</v>
      </c>
    </row>
    <row r="6359" spans="1:5" x14ac:dyDescent="0.25">
      <c r="A6359" s="36" t="b">
        <v>0</v>
      </c>
      <c r="B6359" s="56" t="b">
        <v>0</v>
      </c>
      <c r="C6359" s="56" t="b">
        <v>0</v>
      </c>
      <c r="D6359" s="56" t="b">
        <v>0</v>
      </c>
      <c r="E6359" s="56">
        <f ca="1">IF(PV[[#This Row],[Business Date]]=Control!$C$6, PV[[#This Row],[Notional Value Local Cur]], -PV[[#This Row],[Notional Value Local Cur]])</f>
        <v>0</v>
      </c>
    </row>
    <row r="6360" spans="1:5" x14ac:dyDescent="0.25">
      <c r="A6360" s="36" t="b">
        <v>0</v>
      </c>
      <c r="B6360" s="56" t="b">
        <v>0</v>
      </c>
      <c r="C6360" s="56" t="b">
        <v>0</v>
      </c>
      <c r="D6360" s="56" t="b">
        <v>0</v>
      </c>
      <c r="E6360" s="56">
        <f ca="1">IF(PV[[#This Row],[Business Date]]=Control!$C$6, PV[[#This Row],[Notional Value Local Cur]], -PV[[#This Row],[Notional Value Local Cur]])</f>
        <v>0</v>
      </c>
    </row>
    <row r="6361" spans="1:5" x14ac:dyDescent="0.25">
      <c r="A6361" s="36" t="b">
        <v>0</v>
      </c>
      <c r="B6361" s="56" t="b">
        <v>0</v>
      </c>
      <c r="C6361" s="56" t="b">
        <v>0</v>
      </c>
      <c r="D6361" s="56" t="b">
        <v>0</v>
      </c>
      <c r="E6361" s="56">
        <f ca="1">IF(PV[[#This Row],[Business Date]]=Control!$C$6, PV[[#This Row],[Notional Value Local Cur]], -PV[[#This Row],[Notional Value Local Cur]])</f>
        <v>0</v>
      </c>
    </row>
    <row r="6362" spans="1:5" x14ac:dyDescent="0.25">
      <c r="A6362" s="36" t="b">
        <v>0</v>
      </c>
      <c r="B6362" s="56" t="b">
        <v>0</v>
      </c>
      <c r="C6362" s="56" t="b">
        <v>0</v>
      </c>
      <c r="D6362" s="56" t="b">
        <v>0</v>
      </c>
      <c r="E6362" s="56">
        <f ca="1">IF(PV[[#This Row],[Business Date]]=Control!$C$6, PV[[#This Row],[Notional Value Local Cur]], -PV[[#This Row],[Notional Value Local Cur]])</f>
        <v>0</v>
      </c>
    </row>
    <row r="6363" spans="1:5" x14ac:dyDescent="0.25">
      <c r="A6363" s="36" t="b">
        <v>0</v>
      </c>
      <c r="B6363" s="56" t="b">
        <v>0</v>
      </c>
      <c r="C6363" s="56" t="b">
        <v>0</v>
      </c>
      <c r="D6363" s="56" t="b">
        <v>0</v>
      </c>
      <c r="E6363" s="56">
        <f ca="1">IF(PV[[#This Row],[Business Date]]=Control!$C$6, PV[[#This Row],[Notional Value Local Cur]], -PV[[#This Row],[Notional Value Local Cur]])</f>
        <v>0</v>
      </c>
    </row>
    <row r="6364" spans="1:5" x14ac:dyDescent="0.25">
      <c r="A6364" s="36" t="b">
        <v>0</v>
      </c>
      <c r="B6364" s="56" t="b">
        <v>0</v>
      </c>
      <c r="C6364" s="56" t="b">
        <v>0</v>
      </c>
      <c r="D6364" s="56" t="b">
        <v>0</v>
      </c>
      <c r="E6364" s="56">
        <f ca="1">IF(PV[[#This Row],[Business Date]]=Control!$C$6, PV[[#This Row],[Notional Value Local Cur]], -PV[[#This Row],[Notional Value Local Cur]])</f>
        <v>0</v>
      </c>
    </row>
    <row r="6365" spans="1:5" x14ac:dyDescent="0.25">
      <c r="A6365" s="36" t="b">
        <v>0</v>
      </c>
      <c r="B6365" s="56" t="b">
        <v>0</v>
      </c>
      <c r="C6365" s="56" t="b">
        <v>0</v>
      </c>
      <c r="D6365" s="56" t="b">
        <v>0</v>
      </c>
      <c r="E6365" s="56">
        <f ca="1">IF(PV[[#This Row],[Business Date]]=Control!$C$6, PV[[#This Row],[Notional Value Local Cur]], -PV[[#This Row],[Notional Value Local Cur]])</f>
        <v>0</v>
      </c>
    </row>
    <row r="6366" spans="1:5" x14ac:dyDescent="0.25">
      <c r="A6366" s="36" t="b">
        <v>0</v>
      </c>
      <c r="B6366" s="56" t="b">
        <v>0</v>
      </c>
      <c r="C6366" s="56" t="b">
        <v>0</v>
      </c>
      <c r="D6366" s="56" t="b">
        <v>0</v>
      </c>
      <c r="E6366" s="56">
        <f ca="1">IF(PV[[#This Row],[Business Date]]=Control!$C$6, PV[[#This Row],[Notional Value Local Cur]], -PV[[#This Row],[Notional Value Local Cur]])</f>
        <v>0</v>
      </c>
    </row>
    <row r="6367" spans="1:5" x14ac:dyDescent="0.25">
      <c r="A6367" s="36" t="b">
        <v>0</v>
      </c>
      <c r="B6367" s="56" t="b">
        <v>0</v>
      </c>
      <c r="C6367" s="56" t="b">
        <v>0</v>
      </c>
      <c r="D6367" s="56" t="b">
        <v>0</v>
      </c>
      <c r="E6367" s="56">
        <f ca="1">IF(PV[[#This Row],[Business Date]]=Control!$C$6, PV[[#This Row],[Notional Value Local Cur]], -PV[[#This Row],[Notional Value Local Cur]])</f>
        <v>0</v>
      </c>
    </row>
    <row r="6368" spans="1:5" x14ac:dyDescent="0.25">
      <c r="A6368" s="36" t="b">
        <v>0</v>
      </c>
      <c r="B6368" s="56" t="b">
        <v>0</v>
      </c>
      <c r="C6368" s="56" t="b">
        <v>0</v>
      </c>
      <c r="D6368" s="56" t="b">
        <v>0</v>
      </c>
      <c r="E6368" s="56">
        <f ca="1">IF(PV[[#This Row],[Business Date]]=Control!$C$6, PV[[#This Row],[Notional Value Local Cur]], -PV[[#This Row],[Notional Value Local Cur]])</f>
        <v>0</v>
      </c>
    </row>
    <row r="6369" spans="1:5" x14ac:dyDescent="0.25">
      <c r="A6369" s="36" t="b">
        <v>0</v>
      </c>
      <c r="B6369" s="56" t="b">
        <v>0</v>
      </c>
      <c r="C6369" s="56" t="b">
        <v>0</v>
      </c>
      <c r="D6369" s="56" t="b">
        <v>0</v>
      </c>
      <c r="E6369" s="56">
        <f ca="1">IF(PV[[#This Row],[Business Date]]=Control!$C$6, PV[[#This Row],[Notional Value Local Cur]], -PV[[#This Row],[Notional Value Local Cur]])</f>
        <v>0</v>
      </c>
    </row>
    <row r="6370" spans="1:5" x14ac:dyDescent="0.25">
      <c r="A6370" s="36" t="b">
        <v>0</v>
      </c>
      <c r="B6370" s="56" t="b">
        <v>0</v>
      </c>
      <c r="C6370" s="56" t="b">
        <v>0</v>
      </c>
      <c r="D6370" s="56" t="b">
        <v>0</v>
      </c>
      <c r="E6370" s="56">
        <f ca="1">IF(PV[[#This Row],[Business Date]]=Control!$C$6, PV[[#This Row],[Notional Value Local Cur]], -PV[[#This Row],[Notional Value Local Cur]])</f>
        <v>0</v>
      </c>
    </row>
    <row r="6371" spans="1:5" x14ac:dyDescent="0.25">
      <c r="A6371" s="36" t="b">
        <v>0</v>
      </c>
      <c r="B6371" s="56" t="b">
        <v>0</v>
      </c>
      <c r="C6371" s="56" t="b">
        <v>0</v>
      </c>
      <c r="D6371" s="56" t="b">
        <v>0</v>
      </c>
      <c r="E6371" s="56">
        <f ca="1">IF(PV[[#This Row],[Business Date]]=Control!$C$6, PV[[#This Row],[Notional Value Local Cur]], -PV[[#This Row],[Notional Value Local Cur]])</f>
        <v>0</v>
      </c>
    </row>
    <row r="6372" spans="1:5" x14ac:dyDescent="0.25">
      <c r="A6372" s="36" t="b">
        <v>0</v>
      </c>
      <c r="B6372" s="56" t="b">
        <v>0</v>
      </c>
      <c r="C6372" s="56" t="b">
        <v>0</v>
      </c>
      <c r="D6372" s="56" t="b">
        <v>0</v>
      </c>
      <c r="E6372" s="56">
        <f ca="1">IF(PV[[#This Row],[Business Date]]=Control!$C$6, PV[[#This Row],[Notional Value Local Cur]], -PV[[#This Row],[Notional Value Local Cur]])</f>
        <v>0</v>
      </c>
    </row>
    <row r="6373" spans="1:5" x14ac:dyDescent="0.25">
      <c r="A6373" s="36" t="b">
        <v>0</v>
      </c>
      <c r="B6373" s="56" t="b">
        <v>0</v>
      </c>
      <c r="C6373" s="56" t="b">
        <v>0</v>
      </c>
      <c r="D6373" s="56" t="b">
        <v>0</v>
      </c>
      <c r="E6373" s="56">
        <f ca="1">IF(PV[[#This Row],[Business Date]]=Control!$C$6, PV[[#This Row],[Notional Value Local Cur]], -PV[[#This Row],[Notional Value Local Cur]])</f>
        <v>0</v>
      </c>
    </row>
    <row r="6374" spans="1:5" x14ac:dyDescent="0.25">
      <c r="A6374" s="36" t="b">
        <v>0</v>
      </c>
      <c r="B6374" s="56" t="b">
        <v>0</v>
      </c>
      <c r="C6374" s="56" t="b">
        <v>0</v>
      </c>
      <c r="D6374" s="56" t="b">
        <v>0</v>
      </c>
      <c r="E6374" s="56">
        <f ca="1">IF(PV[[#This Row],[Business Date]]=Control!$C$6, PV[[#This Row],[Notional Value Local Cur]], -PV[[#This Row],[Notional Value Local Cur]])</f>
        <v>0</v>
      </c>
    </row>
    <row r="6375" spans="1:5" x14ac:dyDescent="0.25">
      <c r="A6375" s="36" t="b">
        <v>0</v>
      </c>
      <c r="B6375" s="56" t="b">
        <v>0</v>
      </c>
      <c r="C6375" s="56" t="b">
        <v>0</v>
      </c>
      <c r="D6375" s="56" t="b">
        <v>0</v>
      </c>
      <c r="E6375" s="56">
        <f ca="1">IF(PV[[#This Row],[Business Date]]=Control!$C$6, PV[[#This Row],[Notional Value Local Cur]], -PV[[#This Row],[Notional Value Local Cur]])</f>
        <v>0</v>
      </c>
    </row>
    <row r="6376" spans="1:5" x14ac:dyDescent="0.25">
      <c r="A6376" s="36" t="b">
        <v>0</v>
      </c>
      <c r="B6376" s="56" t="b">
        <v>0</v>
      </c>
      <c r="C6376" s="56" t="b">
        <v>0</v>
      </c>
      <c r="D6376" s="56" t="b">
        <v>0</v>
      </c>
      <c r="E6376" s="56">
        <f ca="1">IF(PV[[#This Row],[Business Date]]=Control!$C$6, PV[[#This Row],[Notional Value Local Cur]], -PV[[#This Row],[Notional Value Local Cur]])</f>
        <v>0</v>
      </c>
    </row>
    <row r="6377" spans="1:5" x14ac:dyDescent="0.25">
      <c r="A6377" s="36" t="b">
        <v>0</v>
      </c>
      <c r="B6377" s="56" t="b">
        <v>0</v>
      </c>
      <c r="C6377" s="56" t="b">
        <v>0</v>
      </c>
      <c r="D6377" s="56" t="b">
        <v>0</v>
      </c>
      <c r="E6377" s="56">
        <f ca="1">IF(PV[[#This Row],[Business Date]]=Control!$C$6, PV[[#This Row],[Notional Value Local Cur]], -PV[[#This Row],[Notional Value Local Cur]])</f>
        <v>0</v>
      </c>
    </row>
    <row r="6378" spans="1:5" x14ac:dyDescent="0.25">
      <c r="A6378" s="36" t="b">
        <v>0</v>
      </c>
      <c r="B6378" s="56" t="b">
        <v>0</v>
      </c>
      <c r="C6378" s="56" t="b">
        <v>0</v>
      </c>
      <c r="D6378" s="56" t="b">
        <v>0</v>
      </c>
      <c r="E6378" s="56">
        <f ca="1">IF(PV[[#This Row],[Business Date]]=Control!$C$6, PV[[#This Row],[Notional Value Local Cur]], -PV[[#This Row],[Notional Value Local Cur]])</f>
        <v>0</v>
      </c>
    </row>
    <row r="6379" spans="1:5" x14ac:dyDescent="0.25">
      <c r="A6379" s="36" t="b">
        <v>0</v>
      </c>
      <c r="B6379" s="56" t="b">
        <v>0</v>
      </c>
      <c r="C6379" s="56" t="b">
        <v>0</v>
      </c>
      <c r="D6379" s="56" t="b">
        <v>0</v>
      </c>
      <c r="E6379" s="56">
        <f ca="1">IF(PV[[#This Row],[Business Date]]=Control!$C$6, PV[[#This Row],[Notional Value Local Cur]], -PV[[#This Row],[Notional Value Local Cur]])</f>
        <v>0</v>
      </c>
    </row>
    <row r="6380" spans="1:5" x14ac:dyDescent="0.25">
      <c r="A6380" s="36" t="b">
        <v>0</v>
      </c>
      <c r="B6380" s="56" t="b">
        <v>0</v>
      </c>
      <c r="C6380" s="56" t="b">
        <v>0</v>
      </c>
      <c r="D6380" s="56" t="b">
        <v>0</v>
      </c>
      <c r="E6380" s="56">
        <f ca="1">IF(PV[[#This Row],[Business Date]]=Control!$C$6, PV[[#This Row],[Notional Value Local Cur]], -PV[[#This Row],[Notional Value Local Cur]])</f>
        <v>0</v>
      </c>
    </row>
    <row r="6381" spans="1:5" x14ac:dyDescent="0.25">
      <c r="A6381" s="36" t="b">
        <v>0</v>
      </c>
      <c r="B6381" s="56" t="b">
        <v>0</v>
      </c>
      <c r="C6381" s="56" t="b">
        <v>0</v>
      </c>
      <c r="D6381" s="56" t="b">
        <v>0</v>
      </c>
      <c r="E6381" s="56">
        <f ca="1">IF(PV[[#This Row],[Business Date]]=Control!$C$6, PV[[#This Row],[Notional Value Local Cur]], -PV[[#This Row],[Notional Value Local Cur]])</f>
        <v>0</v>
      </c>
    </row>
    <row r="6382" spans="1:5" x14ac:dyDescent="0.25">
      <c r="A6382" s="36" t="b">
        <v>0</v>
      </c>
      <c r="B6382" s="56" t="b">
        <v>0</v>
      </c>
      <c r="C6382" s="56" t="b">
        <v>0</v>
      </c>
      <c r="D6382" s="56" t="b">
        <v>0</v>
      </c>
      <c r="E6382" s="56">
        <f ca="1">IF(PV[[#This Row],[Business Date]]=Control!$C$6, PV[[#This Row],[Notional Value Local Cur]], -PV[[#This Row],[Notional Value Local Cur]])</f>
        <v>0</v>
      </c>
    </row>
    <row r="6383" spans="1:5" x14ac:dyDescent="0.25">
      <c r="A6383" s="36" t="b">
        <v>0</v>
      </c>
      <c r="B6383" s="56" t="b">
        <v>0</v>
      </c>
      <c r="C6383" s="56" t="b">
        <v>0</v>
      </c>
      <c r="D6383" s="56" t="b">
        <v>0</v>
      </c>
      <c r="E6383" s="56">
        <f ca="1">IF(PV[[#This Row],[Business Date]]=Control!$C$6, PV[[#This Row],[Notional Value Local Cur]], -PV[[#This Row],[Notional Value Local Cur]])</f>
        <v>0</v>
      </c>
    </row>
    <row r="6384" spans="1:5" x14ac:dyDescent="0.25">
      <c r="A6384" s="36" t="b">
        <v>0</v>
      </c>
      <c r="B6384" s="56" t="b">
        <v>0</v>
      </c>
      <c r="C6384" s="56" t="b">
        <v>0</v>
      </c>
      <c r="D6384" s="56" t="b">
        <v>0</v>
      </c>
      <c r="E6384" s="56">
        <f ca="1">IF(PV[[#This Row],[Business Date]]=Control!$C$6, PV[[#This Row],[Notional Value Local Cur]], -PV[[#This Row],[Notional Value Local Cur]])</f>
        <v>0</v>
      </c>
    </row>
    <row r="6385" spans="1:5" x14ac:dyDescent="0.25">
      <c r="A6385" s="36" t="b">
        <v>0</v>
      </c>
      <c r="B6385" s="56" t="b">
        <v>0</v>
      </c>
      <c r="C6385" s="56" t="b">
        <v>0</v>
      </c>
      <c r="D6385" s="56" t="b">
        <v>0</v>
      </c>
      <c r="E6385" s="56">
        <f ca="1">IF(PV[[#This Row],[Business Date]]=Control!$C$6, PV[[#This Row],[Notional Value Local Cur]], -PV[[#This Row],[Notional Value Local Cur]])</f>
        <v>0</v>
      </c>
    </row>
    <row r="6386" spans="1:5" x14ac:dyDescent="0.25">
      <c r="A6386" s="36" t="b">
        <v>0</v>
      </c>
      <c r="B6386" s="56" t="b">
        <v>0</v>
      </c>
      <c r="C6386" s="56" t="b">
        <v>0</v>
      </c>
      <c r="D6386" s="56" t="b">
        <v>0</v>
      </c>
      <c r="E6386" s="56">
        <f ca="1">IF(PV[[#This Row],[Business Date]]=Control!$C$6, PV[[#This Row],[Notional Value Local Cur]], -PV[[#This Row],[Notional Value Local Cur]])</f>
        <v>0</v>
      </c>
    </row>
    <row r="6387" spans="1:5" x14ac:dyDescent="0.25">
      <c r="A6387" s="36" t="b">
        <v>0</v>
      </c>
      <c r="B6387" s="56" t="b">
        <v>0</v>
      </c>
      <c r="C6387" s="56" t="b">
        <v>0</v>
      </c>
      <c r="D6387" s="56" t="b">
        <v>0</v>
      </c>
      <c r="E6387" s="56">
        <f ca="1">IF(PV[[#This Row],[Business Date]]=Control!$C$6, PV[[#This Row],[Notional Value Local Cur]], -PV[[#This Row],[Notional Value Local Cur]])</f>
        <v>0</v>
      </c>
    </row>
    <row r="6388" spans="1:5" x14ac:dyDescent="0.25">
      <c r="A6388" s="36" t="b">
        <v>0</v>
      </c>
      <c r="B6388" s="56" t="b">
        <v>0</v>
      </c>
      <c r="C6388" s="56" t="b">
        <v>0</v>
      </c>
      <c r="D6388" s="56" t="b">
        <v>0</v>
      </c>
      <c r="E6388" s="56">
        <f ca="1">IF(PV[[#This Row],[Business Date]]=Control!$C$6, PV[[#This Row],[Notional Value Local Cur]], -PV[[#This Row],[Notional Value Local Cur]])</f>
        <v>0</v>
      </c>
    </row>
    <row r="6389" spans="1:5" x14ac:dyDescent="0.25">
      <c r="A6389" s="36" t="b">
        <v>0</v>
      </c>
      <c r="B6389" s="56" t="b">
        <v>0</v>
      </c>
      <c r="C6389" s="56" t="b">
        <v>0</v>
      </c>
      <c r="D6389" s="56" t="b">
        <v>0</v>
      </c>
      <c r="E6389" s="56">
        <f ca="1">IF(PV[[#This Row],[Business Date]]=Control!$C$6, PV[[#This Row],[Notional Value Local Cur]], -PV[[#This Row],[Notional Value Local Cur]])</f>
        <v>0</v>
      </c>
    </row>
    <row r="6390" spans="1:5" x14ac:dyDescent="0.25">
      <c r="A6390" s="36" t="b">
        <v>0</v>
      </c>
      <c r="B6390" s="56" t="b">
        <v>0</v>
      </c>
      <c r="C6390" s="56" t="b">
        <v>0</v>
      </c>
      <c r="D6390" s="56" t="b">
        <v>0</v>
      </c>
      <c r="E6390" s="56">
        <f ca="1">IF(PV[[#This Row],[Business Date]]=Control!$C$6, PV[[#This Row],[Notional Value Local Cur]], -PV[[#This Row],[Notional Value Local Cur]])</f>
        <v>0</v>
      </c>
    </row>
    <row r="6391" spans="1:5" x14ac:dyDescent="0.25">
      <c r="A6391" s="36" t="b">
        <v>0</v>
      </c>
      <c r="B6391" s="56" t="b">
        <v>0</v>
      </c>
      <c r="C6391" s="56" t="b">
        <v>0</v>
      </c>
      <c r="D6391" s="56" t="b">
        <v>0</v>
      </c>
      <c r="E6391" s="56">
        <f ca="1">IF(PV[[#This Row],[Business Date]]=Control!$C$6, PV[[#This Row],[Notional Value Local Cur]], -PV[[#This Row],[Notional Value Local Cur]])</f>
        <v>0</v>
      </c>
    </row>
    <row r="6392" spans="1:5" x14ac:dyDescent="0.25">
      <c r="A6392" s="36" t="b">
        <v>0</v>
      </c>
      <c r="B6392" s="56" t="b">
        <v>0</v>
      </c>
      <c r="C6392" s="56" t="b">
        <v>0</v>
      </c>
      <c r="D6392" s="56" t="b">
        <v>0</v>
      </c>
      <c r="E6392" s="56">
        <f ca="1">IF(PV[[#This Row],[Business Date]]=Control!$C$6, PV[[#This Row],[Notional Value Local Cur]], -PV[[#This Row],[Notional Value Local Cur]])</f>
        <v>0</v>
      </c>
    </row>
    <row r="6393" spans="1:5" x14ac:dyDescent="0.25">
      <c r="A6393" s="36" t="b">
        <v>0</v>
      </c>
      <c r="B6393" s="56" t="b">
        <v>0</v>
      </c>
      <c r="C6393" s="56" t="b">
        <v>0</v>
      </c>
      <c r="D6393" s="56" t="b">
        <v>0</v>
      </c>
      <c r="E6393" s="56">
        <f ca="1">IF(PV[[#This Row],[Business Date]]=Control!$C$6, PV[[#This Row],[Notional Value Local Cur]], -PV[[#This Row],[Notional Value Local Cur]])</f>
        <v>0</v>
      </c>
    </row>
    <row r="6394" spans="1:5" x14ac:dyDescent="0.25">
      <c r="A6394" s="36" t="b">
        <v>0</v>
      </c>
      <c r="B6394" s="56" t="b">
        <v>0</v>
      </c>
      <c r="C6394" s="56" t="b">
        <v>0</v>
      </c>
      <c r="D6394" s="56" t="b">
        <v>0</v>
      </c>
      <c r="E6394" s="56">
        <f ca="1">IF(PV[[#This Row],[Business Date]]=Control!$C$6, PV[[#This Row],[Notional Value Local Cur]], -PV[[#This Row],[Notional Value Local Cur]])</f>
        <v>0</v>
      </c>
    </row>
    <row r="6395" spans="1:5" x14ac:dyDescent="0.25">
      <c r="A6395" s="36" t="b">
        <v>0</v>
      </c>
      <c r="B6395" s="56" t="b">
        <v>0</v>
      </c>
      <c r="C6395" s="56" t="b">
        <v>0</v>
      </c>
      <c r="D6395" s="56" t="b">
        <v>0</v>
      </c>
      <c r="E6395" s="56">
        <f ca="1">IF(PV[[#This Row],[Business Date]]=Control!$C$6, PV[[#This Row],[Notional Value Local Cur]], -PV[[#This Row],[Notional Value Local Cur]])</f>
        <v>0</v>
      </c>
    </row>
    <row r="6396" spans="1:5" x14ac:dyDescent="0.25">
      <c r="A6396" s="36" t="b">
        <v>0</v>
      </c>
      <c r="B6396" s="56" t="b">
        <v>0</v>
      </c>
      <c r="C6396" s="56" t="b">
        <v>0</v>
      </c>
      <c r="D6396" s="56" t="b">
        <v>0</v>
      </c>
      <c r="E6396" s="56">
        <f ca="1">IF(PV[[#This Row],[Business Date]]=Control!$C$6, PV[[#This Row],[Notional Value Local Cur]], -PV[[#This Row],[Notional Value Local Cur]])</f>
        <v>0</v>
      </c>
    </row>
    <row r="6397" spans="1:5" x14ac:dyDescent="0.25">
      <c r="A6397" s="36" t="b">
        <v>0</v>
      </c>
      <c r="B6397" s="56" t="b">
        <v>0</v>
      </c>
      <c r="C6397" s="56" t="b">
        <v>0</v>
      </c>
      <c r="D6397" s="56" t="b">
        <v>0</v>
      </c>
      <c r="E6397" s="56">
        <f ca="1">IF(PV[[#This Row],[Business Date]]=Control!$C$6, PV[[#This Row],[Notional Value Local Cur]], -PV[[#This Row],[Notional Value Local Cur]])</f>
        <v>0</v>
      </c>
    </row>
    <row r="6398" spans="1:5" x14ac:dyDescent="0.25">
      <c r="A6398" s="36" t="b">
        <v>0</v>
      </c>
      <c r="B6398" s="56" t="b">
        <v>0</v>
      </c>
      <c r="C6398" s="56" t="b">
        <v>0</v>
      </c>
      <c r="D6398" s="56" t="b">
        <v>0</v>
      </c>
      <c r="E6398" s="56">
        <f ca="1">IF(PV[[#This Row],[Business Date]]=Control!$C$6, PV[[#This Row],[Notional Value Local Cur]], -PV[[#This Row],[Notional Value Local Cur]])</f>
        <v>0</v>
      </c>
    </row>
    <row r="6399" spans="1:5" x14ac:dyDescent="0.25">
      <c r="A6399" s="36" t="b">
        <v>0</v>
      </c>
      <c r="B6399" s="56" t="b">
        <v>0</v>
      </c>
      <c r="C6399" s="56" t="b">
        <v>0</v>
      </c>
      <c r="D6399" s="56" t="b">
        <v>0</v>
      </c>
      <c r="E6399" s="56">
        <f ca="1">IF(PV[[#This Row],[Business Date]]=Control!$C$6, PV[[#This Row],[Notional Value Local Cur]], -PV[[#This Row],[Notional Value Local Cur]])</f>
        <v>0</v>
      </c>
    </row>
    <row r="6400" spans="1:5" x14ac:dyDescent="0.25">
      <c r="A6400" s="36" t="b">
        <v>0</v>
      </c>
      <c r="B6400" s="56" t="b">
        <v>0</v>
      </c>
      <c r="C6400" s="56" t="b">
        <v>0</v>
      </c>
      <c r="D6400" s="56" t="b">
        <v>0</v>
      </c>
      <c r="E6400" s="56">
        <f ca="1">IF(PV[[#This Row],[Business Date]]=Control!$C$6, PV[[#This Row],[Notional Value Local Cur]], -PV[[#This Row],[Notional Value Local Cur]])</f>
        <v>0</v>
      </c>
    </row>
    <row r="6401" spans="1:5" x14ac:dyDescent="0.25">
      <c r="A6401" s="36" t="b">
        <v>0</v>
      </c>
      <c r="B6401" s="56" t="b">
        <v>0</v>
      </c>
      <c r="C6401" s="56" t="b">
        <v>0</v>
      </c>
      <c r="D6401" s="56" t="b">
        <v>0</v>
      </c>
      <c r="E6401" s="56">
        <f ca="1">IF(PV[[#This Row],[Business Date]]=Control!$C$6, PV[[#This Row],[Notional Value Local Cur]], -PV[[#This Row],[Notional Value Local Cur]])</f>
        <v>0</v>
      </c>
    </row>
    <row r="6402" spans="1:5" x14ac:dyDescent="0.25">
      <c r="A6402" s="36" t="b">
        <v>0</v>
      </c>
      <c r="B6402" s="56" t="b">
        <v>0</v>
      </c>
      <c r="C6402" s="56" t="b">
        <v>0</v>
      </c>
      <c r="D6402" s="56" t="b">
        <v>0</v>
      </c>
      <c r="E6402" s="56">
        <f ca="1">IF(PV[[#This Row],[Business Date]]=Control!$C$6, PV[[#This Row],[Notional Value Local Cur]], -PV[[#This Row],[Notional Value Local Cur]])</f>
        <v>0</v>
      </c>
    </row>
    <row r="6403" spans="1:5" x14ac:dyDescent="0.25">
      <c r="A6403" s="36" t="b">
        <v>0</v>
      </c>
      <c r="B6403" s="56" t="b">
        <v>0</v>
      </c>
      <c r="C6403" s="56" t="b">
        <v>0</v>
      </c>
      <c r="D6403" s="56" t="b">
        <v>0</v>
      </c>
      <c r="E6403" s="56">
        <f ca="1">IF(PV[[#This Row],[Business Date]]=Control!$C$6, PV[[#This Row],[Notional Value Local Cur]], -PV[[#This Row],[Notional Value Local Cur]])</f>
        <v>0</v>
      </c>
    </row>
    <row r="6404" spans="1:5" x14ac:dyDescent="0.25">
      <c r="A6404" s="36" t="b">
        <v>0</v>
      </c>
      <c r="B6404" s="56" t="b">
        <v>0</v>
      </c>
      <c r="C6404" s="56" t="b">
        <v>0</v>
      </c>
      <c r="D6404" s="56" t="b">
        <v>0</v>
      </c>
      <c r="E6404" s="56">
        <f ca="1">IF(PV[[#This Row],[Business Date]]=Control!$C$6, PV[[#This Row],[Notional Value Local Cur]], -PV[[#This Row],[Notional Value Local Cur]])</f>
        <v>0</v>
      </c>
    </row>
    <row r="6405" spans="1:5" x14ac:dyDescent="0.25">
      <c r="A6405" s="36" t="b">
        <v>0</v>
      </c>
      <c r="B6405" s="56" t="b">
        <v>0</v>
      </c>
      <c r="C6405" s="56" t="b">
        <v>0</v>
      </c>
      <c r="D6405" s="56" t="b">
        <v>0</v>
      </c>
      <c r="E6405" s="56">
        <f ca="1">IF(PV[[#This Row],[Business Date]]=Control!$C$6, PV[[#This Row],[Notional Value Local Cur]], -PV[[#This Row],[Notional Value Local Cur]])</f>
        <v>0</v>
      </c>
    </row>
    <row r="6406" spans="1:5" x14ac:dyDescent="0.25">
      <c r="A6406" s="36" t="b">
        <v>0</v>
      </c>
      <c r="B6406" s="56" t="b">
        <v>0</v>
      </c>
      <c r="C6406" s="56" t="b">
        <v>0</v>
      </c>
      <c r="D6406" s="56" t="b">
        <v>0</v>
      </c>
      <c r="E6406" s="56">
        <f ca="1">IF(PV[[#This Row],[Business Date]]=Control!$C$6, PV[[#This Row],[Notional Value Local Cur]], -PV[[#This Row],[Notional Value Local Cur]])</f>
        <v>0</v>
      </c>
    </row>
    <row r="6407" spans="1:5" x14ac:dyDescent="0.25">
      <c r="A6407" s="36" t="b">
        <v>0</v>
      </c>
      <c r="B6407" s="56" t="b">
        <v>0</v>
      </c>
      <c r="C6407" s="56" t="b">
        <v>0</v>
      </c>
      <c r="D6407" s="56" t="b">
        <v>0</v>
      </c>
      <c r="E6407" s="56">
        <f ca="1">IF(PV[[#This Row],[Business Date]]=Control!$C$6, PV[[#This Row],[Notional Value Local Cur]], -PV[[#This Row],[Notional Value Local Cur]])</f>
        <v>0</v>
      </c>
    </row>
    <row r="6408" spans="1:5" x14ac:dyDescent="0.25">
      <c r="A6408" s="36" t="b">
        <v>0</v>
      </c>
      <c r="B6408" s="56" t="b">
        <v>0</v>
      </c>
      <c r="C6408" s="56" t="b">
        <v>0</v>
      </c>
      <c r="D6408" s="56" t="b">
        <v>0</v>
      </c>
      <c r="E6408" s="56">
        <f ca="1">IF(PV[[#This Row],[Business Date]]=Control!$C$6, PV[[#This Row],[Notional Value Local Cur]], -PV[[#This Row],[Notional Value Local Cur]])</f>
        <v>0</v>
      </c>
    </row>
    <row r="6409" spans="1:5" x14ac:dyDescent="0.25">
      <c r="A6409" s="36" t="b">
        <v>0</v>
      </c>
      <c r="B6409" s="56" t="b">
        <v>0</v>
      </c>
      <c r="C6409" s="56" t="b">
        <v>0</v>
      </c>
      <c r="D6409" s="56" t="b">
        <v>0</v>
      </c>
      <c r="E6409" s="56">
        <f ca="1">IF(PV[[#This Row],[Business Date]]=Control!$C$6, PV[[#This Row],[Notional Value Local Cur]], -PV[[#This Row],[Notional Value Local Cur]])</f>
        <v>0</v>
      </c>
    </row>
    <row r="6410" spans="1:5" x14ac:dyDescent="0.25">
      <c r="A6410" s="36" t="b">
        <v>0</v>
      </c>
      <c r="B6410" s="56" t="b">
        <v>0</v>
      </c>
      <c r="C6410" s="56" t="b">
        <v>0</v>
      </c>
      <c r="D6410" s="56" t="b">
        <v>0</v>
      </c>
      <c r="E6410" s="56">
        <f ca="1">IF(PV[[#This Row],[Business Date]]=Control!$C$6, PV[[#This Row],[Notional Value Local Cur]], -PV[[#This Row],[Notional Value Local Cur]])</f>
        <v>0</v>
      </c>
    </row>
    <row r="6411" spans="1:5" x14ac:dyDescent="0.25">
      <c r="A6411" s="36" t="b">
        <v>0</v>
      </c>
      <c r="B6411" s="56" t="b">
        <v>0</v>
      </c>
      <c r="C6411" s="56" t="b">
        <v>0</v>
      </c>
      <c r="D6411" s="56" t="b">
        <v>0</v>
      </c>
      <c r="E6411" s="56">
        <f ca="1">IF(PV[[#This Row],[Business Date]]=Control!$C$6, PV[[#This Row],[Notional Value Local Cur]], -PV[[#This Row],[Notional Value Local Cur]])</f>
        <v>0</v>
      </c>
    </row>
    <row r="6412" spans="1:5" x14ac:dyDescent="0.25">
      <c r="A6412" s="36" t="b">
        <v>0</v>
      </c>
      <c r="B6412" s="56" t="b">
        <v>0</v>
      </c>
      <c r="C6412" s="56" t="b">
        <v>0</v>
      </c>
      <c r="D6412" s="56" t="b">
        <v>0</v>
      </c>
      <c r="E6412" s="56">
        <f ca="1">IF(PV[[#This Row],[Business Date]]=Control!$C$6, PV[[#This Row],[Notional Value Local Cur]], -PV[[#This Row],[Notional Value Local Cur]])</f>
        <v>0</v>
      </c>
    </row>
    <row r="6413" spans="1:5" x14ac:dyDescent="0.25">
      <c r="A6413" s="36" t="b">
        <v>0</v>
      </c>
      <c r="B6413" s="56" t="b">
        <v>0</v>
      </c>
      <c r="C6413" s="56" t="b">
        <v>0</v>
      </c>
      <c r="D6413" s="56" t="b">
        <v>0</v>
      </c>
      <c r="E6413" s="56">
        <f ca="1">IF(PV[[#This Row],[Business Date]]=Control!$C$6, PV[[#This Row],[Notional Value Local Cur]], -PV[[#This Row],[Notional Value Local Cur]])</f>
        <v>0</v>
      </c>
    </row>
    <row r="6414" spans="1:5" x14ac:dyDescent="0.25">
      <c r="A6414" s="36" t="b">
        <v>0</v>
      </c>
      <c r="B6414" s="56" t="b">
        <v>0</v>
      </c>
      <c r="C6414" s="56" t="b">
        <v>0</v>
      </c>
      <c r="D6414" s="56" t="b">
        <v>0</v>
      </c>
      <c r="E6414" s="56">
        <f ca="1">IF(PV[[#This Row],[Business Date]]=Control!$C$6, PV[[#This Row],[Notional Value Local Cur]], -PV[[#This Row],[Notional Value Local Cur]])</f>
        <v>0</v>
      </c>
    </row>
    <row r="6415" spans="1:5" x14ac:dyDescent="0.25">
      <c r="A6415" s="36" t="b">
        <v>0</v>
      </c>
      <c r="B6415" s="56" t="b">
        <v>0</v>
      </c>
      <c r="C6415" s="56" t="b">
        <v>0</v>
      </c>
      <c r="D6415" s="56" t="b">
        <v>0</v>
      </c>
      <c r="E6415" s="56">
        <f ca="1">IF(PV[[#This Row],[Business Date]]=Control!$C$6, PV[[#This Row],[Notional Value Local Cur]], -PV[[#This Row],[Notional Value Local Cur]])</f>
        <v>0</v>
      </c>
    </row>
    <row r="6416" spans="1:5" x14ac:dyDescent="0.25">
      <c r="A6416" s="36" t="b">
        <v>0</v>
      </c>
      <c r="B6416" s="56" t="b">
        <v>0</v>
      </c>
      <c r="C6416" s="56" t="b">
        <v>0</v>
      </c>
      <c r="D6416" s="56" t="b">
        <v>0</v>
      </c>
      <c r="E6416" s="56">
        <f ca="1">IF(PV[[#This Row],[Business Date]]=Control!$C$6, PV[[#This Row],[Notional Value Local Cur]], -PV[[#This Row],[Notional Value Local Cur]])</f>
        <v>0</v>
      </c>
    </row>
    <row r="6417" spans="1:5" x14ac:dyDescent="0.25">
      <c r="A6417" s="36" t="b">
        <v>0</v>
      </c>
      <c r="B6417" s="56" t="b">
        <v>0</v>
      </c>
      <c r="C6417" s="56" t="b">
        <v>0</v>
      </c>
      <c r="D6417" s="56" t="b">
        <v>0</v>
      </c>
      <c r="E6417" s="56">
        <f ca="1">IF(PV[[#This Row],[Business Date]]=Control!$C$6, PV[[#This Row],[Notional Value Local Cur]], -PV[[#This Row],[Notional Value Local Cur]])</f>
        <v>0</v>
      </c>
    </row>
    <row r="6418" spans="1:5" x14ac:dyDescent="0.25">
      <c r="A6418" s="36" t="b">
        <v>0</v>
      </c>
      <c r="B6418" s="56" t="b">
        <v>0</v>
      </c>
      <c r="C6418" s="56" t="b">
        <v>0</v>
      </c>
      <c r="D6418" s="56" t="b">
        <v>0</v>
      </c>
      <c r="E6418" s="56">
        <f ca="1">IF(PV[[#This Row],[Business Date]]=Control!$C$6, PV[[#This Row],[Notional Value Local Cur]], -PV[[#This Row],[Notional Value Local Cur]])</f>
        <v>0</v>
      </c>
    </row>
    <row r="6419" spans="1:5" x14ac:dyDescent="0.25">
      <c r="A6419" s="36" t="b">
        <v>0</v>
      </c>
      <c r="B6419" s="56" t="b">
        <v>0</v>
      </c>
      <c r="C6419" s="56" t="b">
        <v>0</v>
      </c>
      <c r="D6419" s="56" t="b">
        <v>0</v>
      </c>
      <c r="E6419" s="56">
        <f ca="1">IF(PV[[#This Row],[Business Date]]=Control!$C$6, PV[[#This Row],[Notional Value Local Cur]], -PV[[#This Row],[Notional Value Local Cur]])</f>
        <v>0</v>
      </c>
    </row>
    <row r="6420" spans="1:5" x14ac:dyDescent="0.25">
      <c r="A6420" s="36" t="b">
        <v>0</v>
      </c>
      <c r="B6420" s="56" t="b">
        <v>0</v>
      </c>
      <c r="C6420" s="56" t="b">
        <v>0</v>
      </c>
      <c r="D6420" s="56" t="b">
        <v>0</v>
      </c>
      <c r="E6420" s="56">
        <f ca="1">IF(PV[[#This Row],[Business Date]]=Control!$C$6, PV[[#This Row],[Notional Value Local Cur]], -PV[[#This Row],[Notional Value Local Cur]])</f>
        <v>0</v>
      </c>
    </row>
    <row r="6421" spans="1:5" x14ac:dyDescent="0.25">
      <c r="A6421" s="36" t="b">
        <v>0</v>
      </c>
      <c r="B6421" s="56" t="b">
        <v>0</v>
      </c>
      <c r="C6421" s="56" t="b">
        <v>0</v>
      </c>
      <c r="D6421" s="56" t="b">
        <v>0</v>
      </c>
      <c r="E6421" s="56">
        <f ca="1">IF(PV[[#This Row],[Business Date]]=Control!$C$6, PV[[#This Row],[Notional Value Local Cur]], -PV[[#This Row],[Notional Value Local Cur]])</f>
        <v>0</v>
      </c>
    </row>
    <row r="6422" spans="1:5" x14ac:dyDescent="0.25">
      <c r="A6422" s="36" t="b">
        <v>0</v>
      </c>
      <c r="B6422" s="56" t="b">
        <v>0</v>
      </c>
      <c r="C6422" s="56" t="b">
        <v>0</v>
      </c>
      <c r="D6422" s="56" t="b">
        <v>0</v>
      </c>
      <c r="E6422" s="56">
        <f ca="1">IF(PV[[#This Row],[Business Date]]=Control!$C$6, PV[[#This Row],[Notional Value Local Cur]], -PV[[#This Row],[Notional Value Local Cur]])</f>
        <v>0</v>
      </c>
    </row>
    <row r="6423" spans="1:5" x14ac:dyDescent="0.25">
      <c r="A6423" s="36" t="b">
        <v>0</v>
      </c>
      <c r="B6423" s="56" t="b">
        <v>0</v>
      </c>
      <c r="C6423" s="56" t="b">
        <v>0</v>
      </c>
      <c r="D6423" s="56" t="b">
        <v>0</v>
      </c>
      <c r="E6423" s="56">
        <f ca="1">IF(PV[[#This Row],[Business Date]]=Control!$C$6, PV[[#This Row],[Notional Value Local Cur]], -PV[[#This Row],[Notional Value Local Cur]])</f>
        <v>0</v>
      </c>
    </row>
    <row r="6424" spans="1:5" x14ac:dyDescent="0.25">
      <c r="A6424" s="36" t="b">
        <v>0</v>
      </c>
      <c r="B6424" s="56" t="b">
        <v>0</v>
      </c>
      <c r="C6424" s="56" t="b">
        <v>0</v>
      </c>
      <c r="D6424" s="56" t="b">
        <v>0</v>
      </c>
      <c r="E6424" s="56">
        <f ca="1">IF(PV[[#This Row],[Business Date]]=Control!$C$6, PV[[#This Row],[Notional Value Local Cur]], -PV[[#This Row],[Notional Value Local Cur]])</f>
        <v>0</v>
      </c>
    </row>
    <row r="6425" spans="1:5" x14ac:dyDescent="0.25">
      <c r="A6425" s="36" t="b">
        <v>0</v>
      </c>
      <c r="B6425" s="56" t="b">
        <v>0</v>
      </c>
      <c r="C6425" s="56" t="b">
        <v>0</v>
      </c>
      <c r="D6425" s="56" t="b">
        <v>0</v>
      </c>
      <c r="E6425" s="56">
        <f ca="1">IF(PV[[#This Row],[Business Date]]=Control!$C$6, PV[[#This Row],[Notional Value Local Cur]], -PV[[#This Row],[Notional Value Local Cur]])</f>
        <v>0</v>
      </c>
    </row>
    <row r="6426" spans="1:5" x14ac:dyDescent="0.25">
      <c r="A6426" s="36" t="b">
        <v>0</v>
      </c>
      <c r="B6426" s="56" t="b">
        <v>0</v>
      </c>
      <c r="C6426" s="56" t="b">
        <v>0</v>
      </c>
      <c r="D6426" s="56" t="b">
        <v>0</v>
      </c>
      <c r="E6426" s="56">
        <f ca="1">IF(PV[[#This Row],[Business Date]]=Control!$C$6, PV[[#This Row],[Notional Value Local Cur]], -PV[[#This Row],[Notional Value Local Cur]])</f>
        <v>0</v>
      </c>
    </row>
    <row r="6427" spans="1:5" x14ac:dyDescent="0.25">
      <c r="A6427" s="36" t="b">
        <v>0</v>
      </c>
      <c r="B6427" s="56" t="b">
        <v>0</v>
      </c>
      <c r="C6427" s="56" t="b">
        <v>0</v>
      </c>
      <c r="D6427" s="56" t="b">
        <v>0</v>
      </c>
      <c r="E6427" s="56">
        <f ca="1">IF(PV[[#This Row],[Business Date]]=Control!$C$6, PV[[#This Row],[Notional Value Local Cur]], -PV[[#This Row],[Notional Value Local Cur]])</f>
        <v>0</v>
      </c>
    </row>
    <row r="6428" spans="1:5" x14ac:dyDescent="0.25">
      <c r="A6428" s="36" t="b">
        <v>0</v>
      </c>
      <c r="B6428" s="56" t="b">
        <v>0</v>
      </c>
      <c r="C6428" s="56" t="b">
        <v>0</v>
      </c>
      <c r="D6428" s="56" t="b">
        <v>0</v>
      </c>
      <c r="E6428" s="56">
        <f ca="1">IF(PV[[#This Row],[Business Date]]=Control!$C$6, PV[[#This Row],[Notional Value Local Cur]], -PV[[#This Row],[Notional Value Local Cur]])</f>
        <v>0</v>
      </c>
    </row>
    <row r="6429" spans="1:5" x14ac:dyDescent="0.25">
      <c r="A6429" s="36" t="b">
        <v>0</v>
      </c>
      <c r="B6429" s="56" t="b">
        <v>0</v>
      </c>
      <c r="C6429" s="56" t="b">
        <v>0</v>
      </c>
      <c r="D6429" s="56" t="b">
        <v>0</v>
      </c>
      <c r="E6429" s="56">
        <f ca="1">IF(PV[[#This Row],[Business Date]]=Control!$C$6, PV[[#This Row],[Notional Value Local Cur]], -PV[[#This Row],[Notional Value Local Cur]])</f>
        <v>0</v>
      </c>
    </row>
    <row r="6430" spans="1:5" x14ac:dyDescent="0.25">
      <c r="A6430" s="36" t="b">
        <v>0</v>
      </c>
      <c r="B6430" s="56" t="b">
        <v>0</v>
      </c>
      <c r="C6430" s="56" t="b">
        <v>0</v>
      </c>
      <c r="D6430" s="56" t="b">
        <v>0</v>
      </c>
      <c r="E6430" s="56">
        <f ca="1">IF(PV[[#This Row],[Business Date]]=Control!$C$6, PV[[#This Row],[Notional Value Local Cur]], -PV[[#This Row],[Notional Value Local Cur]])</f>
        <v>0</v>
      </c>
    </row>
    <row r="6431" spans="1:5" x14ac:dyDescent="0.25">
      <c r="A6431" s="36" t="b">
        <v>0</v>
      </c>
      <c r="B6431" s="56" t="b">
        <v>0</v>
      </c>
      <c r="C6431" s="56" t="b">
        <v>0</v>
      </c>
      <c r="D6431" s="56" t="b">
        <v>0</v>
      </c>
      <c r="E6431" s="56">
        <f ca="1">IF(PV[[#This Row],[Business Date]]=Control!$C$6, PV[[#This Row],[Notional Value Local Cur]], -PV[[#This Row],[Notional Value Local Cur]])</f>
        <v>0</v>
      </c>
    </row>
    <row r="6432" spans="1:5" x14ac:dyDescent="0.25">
      <c r="A6432" s="36" t="b">
        <v>0</v>
      </c>
      <c r="B6432" s="56" t="b">
        <v>0</v>
      </c>
      <c r="C6432" s="56" t="b">
        <v>0</v>
      </c>
      <c r="D6432" s="56" t="b">
        <v>0</v>
      </c>
      <c r="E6432" s="56">
        <f ca="1">IF(PV[[#This Row],[Business Date]]=Control!$C$6, PV[[#This Row],[Notional Value Local Cur]], -PV[[#This Row],[Notional Value Local Cur]])</f>
        <v>0</v>
      </c>
    </row>
    <row r="6433" spans="1:5" x14ac:dyDescent="0.25">
      <c r="A6433" s="36" t="b">
        <v>0</v>
      </c>
      <c r="B6433" s="56" t="b">
        <v>0</v>
      </c>
      <c r="C6433" s="56" t="b">
        <v>0</v>
      </c>
      <c r="D6433" s="56" t="b">
        <v>0</v>
      </c>
      <c r="E6433" s="56">
        <f ca="1">IF(PV[[#This Row],[Business Date]]=Control!$C$6, PV[[#This Row],[Notional Value Local Cur]], -PV[[#This Row],[Notional Value Local Cur]])</f>
        <v>0</v>
      </c>
    </row>
    <row r="6434" spans="1:5" x14ac:dyDescent="0.25">
      <c r="A6434" s="36" t="b">
        <v>0</v>
      </c>
      <c r="B6434" s="56" t="b">
        <v>0</v>
      </c>
      <c r="C6434" s="56" t="b">
        <v>0</v>
      </c>
      <c r="D6434" s="56" t="b">
        <v>0</v>
      </c>
      <c r="E6434" s="56">
        <f ca="1">IF(PV[[#This Row],[Business Date]]=Control!$C$6, PV[[#This Row],[Notional Value Local Cur]], -PV[[#This Row],[Notional Value Local Cur]])</f>
        <v>0</v>
      </c>
    </row>
    <row r="6435" spans="1:5" x14ac:dyDescent="0.25">
      <c r="A6435" s="36" t="b">
        <v>0</v>
      </c>
      <c r="B6435" s="56" t="b">
        <v>0</v>
      </c>
      <c r="C6435" s="56" t="b">
        <v>0</v>
      </c>
      <c r="D6435" s="56" t="b">
        <v>0</v>
      </c>
      <c r="E6435" s="56">
        <f ca="1">IF(PV[[#This Row],[Business Date]]=Control!$C$6, PV[[#This Row],[Notional Value Local Cur]], -PV[[#This Row],[Notional Value Local Cur]])</f>
        <v>0</v>
      </c>
    </row>
    <row r="6436" spans="1:5" x14ac:dyDescent="0.25">
      <c r="A6436" s="36" t="b">
        <v>0</v>
      </c>
      <c r="B6436" s="56" t="b">
        <v>0</v>
      </c>
      <c r="C6436" s="56" t="b">
        <v>0</v>
      </c>
      <c r="D6436" s="56" t="b">
        <v>0</v>
      </c>
      <c r="E6436" s="56">
        <f ca="1">IF(PV[[#This Row],[Business Date]]=Control!$C$6, PV[[#This Row],[Notional Value Local Cur]], -PV[[#This Row],[Notional Value Local Cur]])</f>
        <v>0</v>
      </c>
    </row>
    <row r="6437" spans="1:5" x14ac:dyDescent="0.25">
      <c r="A6437" s="36" t="b">
        <v>0</v>
      </c>
      <c r="B6437" s="56" t="b">
        <v>0</v>
      </c>
      <c r="C6437" s="56" t="b">
        <v>0</v>
      </c>
      <c r="D6437" s="56" t="b">
        <v>0</v>
      </c>
      <c r="E6437" s="56">
        <f ca="1">IF(PV[[#This Row],[Business Date]]=Control!$C$6, PV[[#This Row],[Notional Value Local Cur]], -PV[[#This Row],[Notional Value Local Cur]])</f>
        <v>0</v>
      </c>
    </row>
    <row r="6438" spans="1:5" x14ac:dyDescent="0.25">
      <c r="A6438" s="36" t="b">
        <v>0</v>
      </c>
      <c r="B6438" s="56" t="b">
        <v>0</v>
      </c>
      <c r="C6438" s="56" t="b">
        <v>0</v>
      </c>
      <c r="D6438" s="56" t="b">
        <v>0</v>
      </c>
      <c r="E6438" s="56">
        <f ca="1">IF(PV[[#This Row],[Business Date]]=Control!$C$6, PV[[#This Row],[Notional Value Local Cur]], -PV[[#This Row],[Notional Value Local Cur]])</f>
        <v>0</v>
      </c>
    </row>
    <row r="6439" spans="1:5" x14ac:dyDescent="0.25">
      <c r="A6439" s="36" t="b">
        <v>0</v>
      </c>
      <c r="B6439" s="56" t="b">
        <v>0</v>
      </c>
      <c r="C6439" s="56" t="b">
        <v>0</v>
      </c>
      <c r="D6439" s="56" t="b">
        <v>0</v>
      </c>
      <c r="E6439" s="56">
        <f ca="1">IF(PV[[#This Row],[Business Date]]=Control!$C$6, PV[[#This Row],[Notional Value Local Cur]], -PV[[#This Row],[Notional Value Local Cur]])</f>
        <v>0</v>
      </c>
    </row>
    <row r="6440" spans="1:5" x14ac:dyDescent="0.25">
      <c r="A6440" s="36" t="b">
        <v>0</v>
      </c>
      <c r="B6440" s="56" t="b">
        <v>0</v>
      </c>
      <c r="C6440" s="56" t="b">
        <v>0</v>
      </c>
      <c r="D6440" s="56" t="b">
        <v>0</v>
      </c>
      <c r="E6440" s="56">
        <f ca="1">IF(PV[[#This Row],[Business Date]]=Control!$C$6, PV[[#This Row],[Notional Value Local Cur]], -PV[[#This Row],[Notional Value Local Cur]])</f>
        <v>0</v>
      </c>
    </row>
    <row r="6441" spans="1:5" x14ac:dyDescent="0.25">
      <c r="A6441" s="36" t="b">
        <v>0</v>
      </c>
      <c r="B6441" s="56" t="b">
        <v>0</v>
      </c>
      <c r="C6441" s="56" t="b">
        <v>0</v>
      </c>
      <c r="D6441" s="56" t="b">
        <v>0</v>
      </c>
      <c r="E6441" s="56">
        <f ca="1">IF(PV[[#This Row],[Business Date]]=Control!$C$6, PV[[#This Row],[Notional Value Local Cur]], -PV[[#This Row],[Notional Value Local Cur]])</f>
        <v>0</v>
      </c>
    </row>
    <row r="6442" spans="1:5" x14ac:dyDescent="0.25">
      <c r="A6442" s="36" t="b">
        <v>0</v>
      </c>
      <c r="B6442" s="56" t="b">
        <v>0</v>
      </c>
      <c r="C6442" s="56" t="b">
        <v>0</v>
      </c>
      <c r="D6442" s="56" t="b">
        <v>0</v>
      </c>
      <c r="E6442" s="56">
        <f ca="1">IF(PV[[#This Row],[Business Date]]=Control!$C$6, PV[[#This Row],[Notional Value Local Cur]], -PV[[#This Row],[Notional Value Local Cur]])</f>
        <v>0</v>
      </c>
    </row>
    <row r="6443" spans="1:5" x14ac:dyDescent="0.25">
      <c r="A6443" s="36" t="b">
        <v>0</v>
      </c>
      <c r="B6443" s="56" t="b">
        <v>0</v>
      </c>
      <c r="C6443" s="56" t="b">
        <v>0</v>
      </c>
      <c r="D6443" s="56" t="b">
        <v>0</v>
      </c>
      <c r="E6443" s="56">
        <f ca="1">IF(PV[[#This Row],[Business Date]]=Control!$C$6, PV[[#This Row],[Notional Value Local Cur]], -PV[[#This Row],[Notional Value Local Cur]])</f>
        <v>0</v>
      </c>
    </row>
    <row r="6444" spans="1:5" x14ac:dyDescent="0.25">
      <c r="A6444" s="36" t="b">
        <v>0</v>
      </c>
      <c r="B6444" s="56" t="b">
        <v>0</v>
      </c>
      <c r="C6444" s="56" t="b">
        <v>0</v>
      </c>
      <c r="D6444" s="56" t="b">
        <v>0</v>
      </c>
      <c r="E6444" s="56">
        <f ca="1">IF(PV[[#This Row],[Business Date]]=Control!$C$6, PV[[#This Row],[Notional Value Local Cur]], -PV[[#This Row],[Notional Value Local Cur]])</f>
        <v>0</v>
      </c>
    </row>
    <row r="6445" spans="1:5" x14ac:dyDescent="0.25">
      <c r="A6445" s="36" t="b">
        <v>0</v>
      </c>
      <c r="B6445" s="56" t="b">
        <v>0</v>
      </c>
      <c r="C6445" s="56" t="b">
        <v>0</v>
      </c>
      <c r="D6445" s="56" t="b">
        <v>0</v>
      </c>
      <c r="E6445" s="56">
        <f ca="1">IF(PV[[#This Row],[Business Date]]=Control!$C$6, PV[[#This Row],[Notional Value Local Cur]], -PV[[#This Row],[Notional Value Local Cur]])</f>
        <v>0</v>
      </c>
    </row>
    <row r="6446" spans="1:5" x14ac:dyDescent="0.25">
      <c r="A6446" s="36" t="b">
        <v>0</v>
      </c>
      <c r="B6446" s="56" t="b">
        <v>0</v>
      </c>
      <c r="C6446" s="56" t="b">
        <v>0</v>
      </c>
      <c r="D6446" s="56" t="b">
        <v>0</v>
      </c>
      <c r="E6446" s="56">
        <f ca="1">IF(PV[[#This Row],[Business Date]]=Control!$C$6, PV[[#This Row],[Notional Value Local Cur]], -PV[[#This Row],[Notional Value Local Cur]])</f>
        <v>0</v>
      </c>
    </row>
    <row r="6447" spans="1:5" x14ac:dyDescent="0.25">
      <c r="A6447" s="36" t="b">
        <v>0</v>
      </c>
      <c r="B6447" s="56" t="b">
        <v>0</v>
      </c>
      <c r="C6447" s="56" t="b">
        <v>0</v>
      </c>
      <c r="D6447" s="56" t="b">
        <v>0</v>
      </c>
      <c r="E6447" s="56">
        <f ca="1">IF(PV[[#This Row],[Business Date]]=Control!$C$6, PV[[#This Row],[Notional Value Local Cur]], -PV[[#This Row],[Notional Value Local Cur]])</f>
        <v>0</v>
      </c>
    </row>
    <row r="6448" spans="1:5" x14ac:dyDescent="0.25">
      <c r="A6448" s="36" t="b">
        <v>0</v>
      </c>
      <c r="B6448" s="56" t="b">
        <v>0</v>
      </c>
      <c r="C6448" s="56" t="b">
        <v>0</v>
      </c>
      <c r="D6448" s="56" t="b">
        <v>0</v>
      </c>
      <c r="E6448" s="56">
        <f ca="1">IF(PV[[#This Row],[Business Date]]=Control!$C$6, PV[[#This Row],[Notional Value Local Cur]], -PV[[#This Row],[Notional Value Local Cur]])</f>
        <v>0</v>
      </c>
    </row>
    <row r="6449" spans="1:5" x14ac:dyDescent="0.25">
      <c r="A6449" s="36" t="b">
        <v>0</v>
      </c>
      <c r="B6449" s="56" t="b">
        <v>0</v>
      </c>
      <c r="C6449" s="56" t="b">
        <v>0</v>
      </c>
      <c r="D6449" s="56" t="b">
        <v>0</v>
      </c>
      <c r="E6449" s="56">
        <f ca="1">IF(PV[[#This Row],[Business Date]]=Control!$C$6, PV[[#This Row],[Notional Value Local Cur]], -PV[[#This Row],[Notional Value Local Cur]])</f>
        <v>0</v>
      </c>
    </row>
    <row r="6450" spans="1:5" x14ac:dyDescent="0.25">
      <c r="A6450" s="36" t="b">
        <v>0</v>
      </c>
      <c r="B6450" s="56" t="b">
        <v>0</v>
      </c>
      <c r="C6450" s="56" t="b">
        <v>0</v>
      </c>
      <c r="D6450" s="56" t="b">
        <v>0</v>
      </c>
      <c r="E6450" s="56">
        <f ca="1">IF(PV[[#This Row],[Business Date]]=Control!$C$6, PV[[#This Row],[Notional Value Local Cur]], -PV[[#This Row],[Notional Value Local Cur]])</f>
        <v>0</v>
      </c>
    </row>
    <row r="6451" spans="1:5" x14ac:dyDescent="0.25">
      <c r="A6451" s="36" t="b">
        <v>0</v>
      </c>
      <c r="B6451" s="56" t="b">
        <v>0</v>
      </c>
      <c r="C6451" s="56" t="b">
        <v>0</v>
      </c>
      <c r="D6451" s="56" t="b">
        <v>0</v>
      </c>
      <c r="E6451" s="56">
        <f ca="1">IF(PV[[#This Row],[Business Date]]=Control!$C$6, PV[[#This Row],[Notional Value Local Cur]], -PV[[#This Row],[Notional Value Local Cur]])</f>
        <v>0</v>
      </c>
    </row>
    <row r="6452" spans="1:5" x14ac:dyDescent="0.25">
      <c r="A6452" s="36" t="b">
        <v>0</v>
      </c>
      <c r="B6452" s="56" t="b">
        <v>0</v>
      </c>
      <c r="C6452" s="56" t="b">
        <v>0</v>
      </c>
      <c r="D6452" s="56" t="b">
        <v>0</v>
      </c>
      <c r="E6452" s="56">
        <f ca="1">IF(PV[[#This Row],[Business Date]]=Control!$C$6, PV[[#This Row],[Notional Value Local Cur]], -PV[[#This Row],[Notional Value Local Cur]])</f>
        <v>0</v>
      </c>
    </row>
    <row r="6453" spans="1:5" x14ac:dyDescent="0.25">
      <c r="A6453" s="36" t="b">
        <v>0</v>
      </c>
      <c r="B6453" s="56" t="b">
        <v>0</v>
      </c>
      <c r="C6453" s="56" t="b">
        <v>0</v>
      </c>
      <c r="D6453" s="56" t="b">
        <v>0</v>
      </c>
      <c r="E6453" s="56">
        <f ca="1">IF(PV[[#This Row],[Business Date]]=Control!$C$6, PV[[#This Row],[Notional Value Local Cur]], -PV[[#This Row],[Notional Value Local Cur]])</f>
        <v>0</v>
      </c>
    </row>
    <row r="6454" spans="1:5" x14ac:dyDescent="0.25">
      <c r="A6454" s="36" t="b">
        <v>0</v>
      </c>
      <c r="B6454" s="56" t="b">
        <v>0</v>
      </c>
      <c r="C6454" s="56" t="b">
        <v>0</v>
      </c>
      <c r="D6454" s="56" t="b">
        <v>0</v>
      </c>
      <c r="E6454" s="56">
        <f ca="1">IF(PV[[#This Row],[Business Date]]=Control!$C$6, PV[[#This Row],[Notional Value Local Cur]], -PV[[#This Row],[Notional Value Local Cur]])</f>
        <v>0</v>
      </c>
    </row>
    <row r="6455" spans="1:5" x14ac:dyDescent="0.25">
      <c r="A6455" s="36" t="b">
        <v>0</v>
      </c>
      <c r="B6455" s="56" t="b">
        <v>0</v>
      </c>
      <c r="C6455" s="56" t="b">
        <v>0</v>
      </c>
      <c r="D6455" s="56" t="b">
        <v>0</v>
      </c>
      <c r="E6455" s="56">
        <f ca="1">IF(PV[[#This Row],[Business Date]]=Control!$C$6, PV[[#This Row],[Notional Value Local Cur]], -PV[[#This Row],[Notional Value Local Cur]])</f>
        <v>0</v>
      </c>
    </row>
    <row r="6456" spans="1:5" x14ac:dyDescent="0.25">
      <c r="A6456" s="36" t="b">
        <v>0</v>
      </c>
      <c r="B6456" s="56" t="b">
        <v>0</v>
      </c>
      <c r="C6456" s="56" t="b">
        <v>0</v>
      </c>
      <c r="D6456" s="56" t="b">
        <v>0</v>
      </c>
      <c r="E6456" s="56">
        <f ca="1">IF(PV[[#This Row],[Business Date]]=Control!$C$6, PV[[#This Row],[Notional Value Local Cur]], -PV[[#This Row],[Notional Value Local Cur]])</f>
        <v>0</v>
      </c>
    </row>
    <row r="6457" spans="1:5" x14ac:dyDescent="0.25">
      <c r="A6457" s="36" t="b">
        <v>0</v>
      </c>
      <c r="B6457" s="56" t="b">
        <v>0</v>
      </c>
      <c r="C6457" s="56" t="b">
        <v>0</v>
      </c>
      <c r="D6457" s="56" t="b">
        <v>0</v>
      </c>
      <c r="E6457" s="56">
        <f ca="1">IF(PV[[#This Row],[Business Date]]=Control!$C$6, PV[[#This Row],[Notional Value Local Cur]], -PV[[#This Row],[Notional Value Local Cur]])</f>
        <v>0</v>
      </c>
    </row>
    <row r="6458" spans="1:5" x14ac:dyDescent="0.25">
      <c r="A6458" s="36" t="b">
        <v>0</v>
      </c>
      <c r="B6458" s="56" t="b">
        <v>0</v>
      </c>
      <c r="C6458" s="56" t="b">
        <v>0</v>
      </c>
      <c r="D6458" s="56" t="b">
        <v>0</v>
      </c>
      <c r="E6458" s="56">
        <f ca="1">IF(PV[[#This Row],[Business Date]]=Control!$C$6, PV[[#This Row],[Notional Value Local Cur]], -PV[[#This Row],[Notional Value Local Cur]])</f>
        <v>0</v>
      </c>
    </row>
    <row r="6459" spans="1:5" x14ac:dyDescent="0.25">
      <c r="A6459" s="36" t="b">
        <v>0</v>
      </c>
      <c r="B6459" s="56" t="b">
        <v>0</v>
      </c>
      <c r="C6459" s="56" t="b">
        <v>0</v>
      </c>
      <c r="D6459" s="56" t="b">
        <v>0</v>
      </c>
      <c r="E6459" s="56">
        <f ca="1">IF(PV[[#This Row],[Business Date]]=Control!$C$6, PV[[#This Row],[Notional Value Local Cur]], -PV[[#This Row],[Notional Value Local Cur]])</f>
        <v>0</v>
      </c>
    </row>
    <row r="6460" spans="1:5" x14ac:dyDescent="0.25">
      <c r="A6460" s="36" t="b">
        <v>0</v>
      </c>
      <c r="B6460" s="56" t="b">
        <v>0</v>
      </c>
      <c r="C6460" s="56" t="b">
        <v>0</v>
      </c>
      <c r="D6460" s="56" t="b">
        <v>0</v>
      </c>
      <c r="E6460" s="56">
        <f ca="1">IF(PV[[#This Row],[Business Date]]=Control!$C$6, PV[[#This Row],[Notional Value Local Cur]], -PV[[#This Row],[Notional Value Local Cur]])</f>
        <v>0</v>
      </c>
    </row>
    <row r="6461" spans="1:5" x14ac:dyDescent="0.25">
      <c r="A6461" s="36" t="b">
        <v>0</v>
      </c>
      <c r="B6461" s="56" t="b">
        <v>0</v>
      </c>
      <c r="C6461" s="56" t="b">
        <v>0</v>
      </c>
      <c r="D6461" s="56" t="b">
        <v>0</v>
      </c>
      <c r="E6461" s="56">
        <f ca="1">IF(PV[[#This Row],[Business Date]]=Control!$C$6, PV[[#This Row],[Notional Value Local Cur]], -PV[[#This Row],[Notional Value Local Cur]])</f>
        <v>0</v>
      </c>
    </row>
    <row r="6462" spans="1:5" x14ac:dyDescent="0.25">
      <c r="A6462" s="36" t="b">
        <v>0</v>
      </c>
      <c r="B6462" s="56" t="b">
        <v>0</v>
      </c>
      <c r="C6462" s="56" t="b">
        <v>0</v>
      </c>
      <c r="D6462" s="56" t="b">
        <v>0</v>
      </c>
      <c r="E6462" s="56">
        <f ca="1">IF(PV[[#This Row],[Business Date]]=Control!$C$6, PV[[#This Row],[Notional Value Local Cur]], -PV[[#This Row],[Notional Value Local Cur]])</f>
        <v>0</v>
      </c>
    </row>
    <row r="6463" spans="1:5" x14ac:dyDescent="0.25">
      <c r="A6463" s="36" t="b">
        <v>0</v>
      </c>
      <c r="B6463" s="56" t="b">
        <v>0</v>
      </c>
      <c r="C6463" s="56" t="b">
        <v>0</v>
      </c>
      <c r="D6463" s="56" t="b">
        <v>0</v>
      </c>
      <c r="E6463" s="56">
        <f ca="1">IF(PV[[#This Row],[Business Date]]=Control!$C$6, PV[[#This Row],[Notional Value Local Cur]], -PV[[#This Row],[Notional Value Local Cur]])</f>
        <v>0</v>
      </c>
    </row>
    <row r="6464" spans="1:5" x14ac:dyDescent="0.25">
      <c r="A6464" s="36" t="b">
        <v>0</v>
      </c>
      <c r="B6464" s="56" t="b">
        <v>0</v>
      </c>
      <c r="C6464" s="56" t="b">
        <v>0</v>
      </c>
      <c r="D6464" s="56" t="b">
        <v>0</v>
      </c>
      <c r="E6464" s="56">
        <f ca="1">IF(PV[[#This Row],[Business Date]]=Control!$C$6, PV[[#This Row],[Notional Value Local Cur]], -PV[[#This Row],[Notional Value Local Cur]])</f>
        <v>0</v>
      </c>
    </row>
    <row r="6465" spans="1:5" x14ac:dyDescent="0.25">
      <c r="A6465" s="36" t="b">
        <v>0</v>
      </c>
      <c r="B6465" s="56" t="b">
        <v>0</v>
      </c>
      <c r="C6465" s="56" t="b">
        <v>0</v>
      </c>
      <c r="D6465" s="56" t="b">
        <v>0</v>
      </c>
      <c r="E6465" s="56">
        <f ca="1">IF(PV[[#This Row],[Business Date]]=Control!$C$6, PV[[#This Row],[Notional Value Local Cur]], -PV[[#This Row],[Notional Value Local Cur]])</f>
        <v>0</v>
      </c>
    </row>
    <row r="6466" spans="1:5" x14ac:dyDescent="0.25">
      <c r="A6466" s="36" t="b">
        <v>0</v>
      </c>
      <c r="B6466" s="56" t="b">
        <v>0</v>
      </c>
      <c r="C6466" s="56" t="b">
        <v>0</v>
      </c>
      <c r="D6466" s="56" t="b">
        <v>0</v>
      </c>
      <c r="E6466" s="56">
        <f ca="1">IF(PV[[#This Row],[Business Date]]=Control!$C$6, PV[[#This Row],[Notional Value Local Cur]], -PV[[#This Row],[Notional Value Local Cur]])</f>
        <v>0</v>
      </c>
    </row>
    <row r="6467" spans="1:5" x14ac:dyDescent="0.25">
      <c r="A6467" s="36" t="b">
        <v>0</v>
      </c>
      <c r="B6467" s="56" t="b">
        <v>0</v>
      </c>
      <c r="C6467" s="56" t="b">
        <v>0</v>
      </c>
      <c r="D6467" s="56" t="b">
        <v>0</v>
      </c>
      <c r="E6467" s="56">
        <f ca="1">IF(PV[[#This Row],[Business Date]]=Control!$C$6, PV[[#This Row],[Notional Value Local Cur]], -PV[[#This Row],[Notional Value Local Cur]])</f>
        <v>0</v>
      </c>
    </row>
    <row r="6468" spans="1:5" x14ac:dyDescent="0.25">
      <c r="A6468" s="36" t="b">
        <v>0</v>
      </c>
      <c r="B6468" s="56" t="b">
        <v>0</v>
      </c>
      <c r="C6468" s="56" t="b">
        <v>0</v>
      </c>
      <c r="D6468" s="56" t="b">
        <v>0</v>
      </c>
      <c r="E6468" s="56">
        <f ca="1">IF(PV[[#This Row],[Business Date]]=Control!$C$6, PV[[#This Row],[Notional Value Local Cur]], -PV[[#This Row],[Notional Value Local Cur]])</f>
        <v>0</v>
      </c>
    </row>
    <row r="6469" spans="1:5" x14ac:dyDescent="0.25">
      <c r="A6469" s="36" t="b">
        <v>0</v>
      </c>
      <c r="B6469" s="56" t="b">
        <v>0</v>
      </c>
      <c r="C6469" s="56" t="b">
        <v>0</v>
      </c>
      <c r="D6469" s="56" t="b">
        <v>0</v>
      </c>
      <c r="E6469" s="56">
        <f ca="1">IF(PV[[#This Row],[Business Date]]=Control!$C$6, PV[[#This Row],[Notional Value Local Cur]], -PV[[#This Row],[Notional Value Local Cur]])</f>
        <v>0</v>
      </c>
    </row>
    <row r="6470" spans="1:5" x14ac:dyDescent="0.25">
      <c r="A6470" s="36" t="b">
        <v>0</v>
      </c>
      <c r="B6470" s="56" t="b">
        <v>0</v>
      </c>
      <c r="C6470" s="56" t="b">
        <v>0</v>
      </c>
      <c r="D6470" s="56" t="b">
        <v>0</v>
      </c>
      <c r="E6470" s="56">
        <f ca="1">IF(PV[[#This Row],[Business Date]]=Control!$C$6, PV[[#This Row],[Notional Value Local Cur]], -PV[[#This Row],[Notional Value Local Cur]])</f>
        <v>0</v>
      </c>
    </row>
    <row r="6471" spans="1:5" x14ac:dyDescent="0.25">
      <c r="A6471" s="36" t="b">
        <v>0</v>
      </c>
      <c r="B6471" s="56" t="b">
        <v>0</v>
      </c>
      <c r="C6471" s="56" t="b">
        <v>0</v>
      </c>
      <c r="D6471" s="56" t="b">
        <v>0</v>
      </c>
      <c r="E6471" s="56">
        <f ca="1">IF(PV[[#This Row],[Business Date]]=Control!$C$6, PV[[#This Row],[Notional Value Local Cur]], -PV[[#This Row],[Notional Value Local Cur]])</f>
        <v>0</v>
      </c>
    </row>
    <row r="6472" spans="1:5" x14ac:dyDescent="0.25">
      <c r="A6472" s="36" t="b">
        <v>0</v>
      </c>
      <c r="B6472" s="56" t="b">
        <v>0</v>
      </c>
      <c r="C6472" s="56" t="b">
        <v>0</v>
      </c>
      <c r="D6472" s="56" t="b">
        <v>0</v>
      </c>
      <c r="E6472" s="56">
        <f ca="1">IF(PV[[#This Row],[Business Date]]=Control!$C$6, PV[[#This Row],[Notional Value Local Cur]], -PV[[#This Row],[Notional Value Local Cur]])</f>
        <v>0</v>
      </c>
    </row>
    <row r="6473" spans="1:5" x14ac:dyDescent="0.25">
      <c r="A6473" s="36" t="b">
        <v>0</v>
      </c>
      <c r="B6473" s="56" t="b">
        <v>0</v>
      </c>
      <c r="C6473" s="56" t="b">
        <v>0</v>
      </c>
      <c r="D6473" s="56" t="b">
        <v>0</v>
      </c>
      <c r="E6473" s="56">
        <f ca="1">IF(PV[[#This Row],[Business Date]]=Control!$C$6, PV[[#This Row],[Notional Value Local Cur]], -PV[[#This Row],[Notional Value Local Cur]])</f>
        <v>0</v>
      </c>
    </row>
    <row r="6474" spans="1:5" x14ac:dyDescent="0.25">
      <c r="A6474" s="36" t="b">
        <v>0</v>
      </c>
      <c r="B6474" s="56" t="b">
        <v>0</v>
      </c>
      <c r="C6474" s="56" t="b">
        <v>0</v>
      </c>
      <c r="D6474" s="56" t="b">
        <v>0</v>
      </c>
      <c r="E6474" s="56">
        <f ca="1">IF(PV[[#This Row],[Business Date]]=Control!$C$6, PV[[#This Row],[Notional Value Local Cur]], -PV[[#This Row],[Notional Value Local Cur]])</f>
        <v>0</v>
      </c>
    </row>
    <row r="6475" spans="1:5" x14ac:dyDescent="0.25">
      <c r="A6475" s="36" t="b">
        <v>0</v>
      </c>
      <c r="B6475" s="56" t="b">
        <v>0</v>
      </c>
      <c r="C6475" s="56" t="b">
        <v>0</v>
      </c>
      <c r="D6475" s="56" t="b">
        <v>0</v>
      </c>
      <c r="E6475" s="56">
        <f ca="1">IF(PV[[#This Row],[Business Date]]=Control!$C$6, PV[[#This Row],[Notional Value Local Cur]], -PV[[#This Row],[Notional Value Local Cur]])</f>
        <v>0</v>
      </c>
    </row>
    <row r="6476" spans="1:5" x14ac:dyDescent="0.25">
      <c r="A6476" s="36" t="b">
        <v>0</v>
      </c>
      <c r="B6476" s="56" t="b">
        <v>0</v>
      </c>
      <c r="C6476" s="56" t="b">
        <v>0</v>
      </c>
      <c r="D6476" s="56" t="b">
        <v>0</v>
      </c>
      <c r="E6476" s="56">
        <f ca="1">IF(PV[[#This Row],[Business Date]]=Control!$C$6, PV[[#This Row],[Notional Value Local Cur]], -PV[[#This Row],[Notional Value Local Cur]])</f>
        <v>0</v>
      </c>
    </row>
    <row r="6477" spans="1:5" x14ac:dyDescent="0.25">
      <c r="A6477" s="36" t="b">
        <v>0</v>
      </c>
      <c r="B6477" s="56" t="b">
        <v>0</v>
      </c>
      <c r="C6477" s="56" t="b">
        <v>0</v>
      </c>
      <c r="D6477" s="56" t="b">
        <v>0</v>
      </c>
      <c r="E6477" s="56">
        <f ca="1">IF(PV[[#This Row],[Business Date]]=Control!$C$6, PV[[#This Row],[Notional Value Local Cur]], -PV[[#This Row],[Notional Value Local Cur]])</f>
        <v>0</v>
      </c>
    </row>
    <row r="6478" spans="1:5" x14ac:dyDescent="0.25">
      <c r="A6478" s="36" t="b">
        <v>0</v>
      </c>
      <c r="B6478" s="56" t="b">
        <v>0</v>
      </c>
      <c r="C6478" s="56" t="b">
        <v>0</v>
      </c>
      <c r="D6478" s="56" t="b">
        <v>0</v>
      </c>
      <c r="E6478" s="56">
        <f ca="1">IF(PV[[#This Row],[Business Date]]=Control!$C$6, PV[[#This Row],[Notional Value Local Cur]], -PV[[#This Row],[Notional Value Local Cur]])</f>
        <v>0</v>
      </c>
    </row>
    <row r="6479" spans="1:5" x14ac:dyDescent="0.25">
      <c r="A6479" s="36" t="b">
        <v>0</v>
      </c>
      <c r="B6479" s="56" t="b">
        <v>0</v>
      </c>
      <c r="C6479" s="56" t="b">
        <v>0</v>
      </c>
      <c r="D6479" s="56" t="b">
        <v>0</v>
      </c>
      <c r="E6479" s="56">
        <f ca="1">IF(PV[[#This Row],[Business Date]]=Control!$C$6, PV[[#This Row],[Notional Value Local Cur]], -PV[[#This Row],[Notional Value Local Cur]])</f>
        <v>0</v>
      </c>
    </row>
    <row r="6480" spans="1:5" x14ac:dyDescent="0.25">
      <c r="A6480" s="36" t="b">
        <v>0</v>
      </c>
      <c r="B6480" s="56" t="b">
        <v>0</v>
      </c>
      <c r="C6480" s="56" t="b">
        <v>0</v>
      </c>
      <c r="D6480" s="56" t="b">
        <v>0</v>
      </c>
      <c r="E6480" s="56">
        <f ca="1">IF(PV[[#This Row],[Business Date]]=Control!$C$6, PV[[#This Row],[Notional Value Local Cur]], -PV[[#This Row],[Notional Value Local Cur]])</f>
        <v>0</v>
      </c>
    </row>
    <row r="6481" spans="1:5" x14ac:dyDescent="0.25">
      <c r="A6481" s="36" t="b">
        <v>0</v>
      </c>
      <c r="B6481" s="56" t="b">
        <v>0</v>
      </c>
      <c r="C6481" s="56" t="b">
        <v>0</v>
      </c>
      <c r="D6481" s="56" t="b">
        <v>0</v>
      </c>
      <c r="E6481" s="56">
        <f ca="1">IF(PV[[#This Row],[Business Date]]=Control!$C$6, PV[[#This Row],[Notional Value Local Cur]], -PV[[#This Row],[Notional Value Local Cur]])</f>
        <v>0</v>
      </c>
    </row>
    <row r="6482" spans="1:5" x14ac:dyDescent="0.25">
      <c r="A6482" s="36" t="b">
        <v>0</v>
      </c>
      <c r="B6482" s="56" t="b">
        <v>0</v>
      </c>
      <c r="C6482" s="56" t="b">
        <v>0</v>
      </c>
      <c r="D6482" s="56" t="b">
        <v>0</v>
      </c>
      <c r="E6482" s="56">
        <f ca="1">IF(PV[[#This Row],[Business Date]]=Control!$C$6, PV[[#This Row],[Notional Value Local Cur]], -PV[[#This Row],[Notional Value Local Cur]])</f>
        <v>0</v>
      </c>
    </row>
    <row r="6483" spans="1:5" x14ac:dyDescent="0.25">
      <c r="A6483" s="36" t="b">
        <v>0</v>
      </c>
      <c r="B6483" s="56" t="b">
        <v>0</v>
      </c>
      <c r="C6483" s="56" t="b">
        <v>0</v>
      </c>
      <c r="D6483" s="56" t="b">
        <v>0</v>
      </c>
      <c r="E6483" s="56">
        <f ca="1">IF(PV[[#This Row],[Business Date]]=Control!$C$6, PV[[#This Row],[Notional Value Local Cur]], -PV[[#This Row],[Notional Value Local Cur]])</f>
        <v>0</v>
      </c>
    </row>
    <row r="6484" spans="1:5" x14ac:dyDescent="0.25">
      <c r="A6484" s="36" t="b">
        <v>0</v>
      </c>
      <c r="B6484" s="56" t="b">
        <v>0</v>
      </c>
      <c r="C6484" s="56" t="b">
        <v>0</v>
      </c>
      <c r="D6484" s="56" t="b">
        <v>0</v>
      </c>
      <c r="E6484" s="56">
        <f ca="1">IF(PV[[#This Row],[Business Date]]=Control!$C$6, PV[[#This Row],[Notional Value Local Cur]], -PV[[#This Row],[Notional Value Local Cur]])</f>
        <v>0</v>
      </c>
    </row>
    <row r="6485" spans="1:5" x14ac:dyDescent="0.25">
      <c r="A6485" s="36" t="b">
        <v>0</v>
      </c>
      <c r="B6485" s="56" t="b">
        <v>0</v>
      </c>
      <c r="C6485" s="56" t="b">
        <v>0</v>
      </c>
      <c r="D6485" s="56" t="b">
        <v>0</v>
      </c>
      <c r="E6485" s="56">
        <f ca="1">IF(PV[[#This Row],[Business Date]]=Control!$C$6, PV[[#This Row],[Notional Value Local Cur]], -PV[[#This Row],[Notional Value Local Cur]])</f>
        <v>0</v>
      </c>
    </row>
    <row r="6486" spans="1:5" x14ac:dyDescent="0.25">
      <c r="A6486" s="36" t="b">
        <v>0</v>
      </c>
      <c r="B6486" s="56" t="b">
        <v>0</v>
      </c>
      <c r="C6486" s="56" t="b">
        <v>0</v>
      </c>
      <c r="D6486" s="56" t="b">
        <v>0</v>
      </c>
      <c r="E6486" s="56">
        <f ca="1">IF(PV[[#This Row],[Business Date]]=Control!$C$6, PV[[#This Row],[Notional Value Local Cur]], -PV[[#This Row],[Notional Value Local Cur]])</f>
        <v>0</v>
      </c>
    </row>
    <row r="6487" spans="1:5" x14ac:dyDescent="0.25">
      <c r="A6487" s="36" t="b">
        <v>0</v>
      </c>
      <c r="B6487" s="56" t="b">
        <v>0</v>
      </c>
      <c r="C6487" s="56" t="b">
        <v>0</v>
      </c>
      <c r="D6487" s="56" t="b">
        <v>0</v>
      </c>
      <c r="E6487" s="56">
        <f ca="1">IF(PV[[#This Row],[Business Date]]=Control!$C$6, PV[[#This Row],[Notional Value Local Cur]], -PV[[#This Row],[Notional Value Local Cur]])</f>
        <v>0</v>
      </c>
    </row>
    <row r="6488" spans="1:5" x14ac:dyDescent="0.25">
      <c r="A6488" s="36" t="b">
        <v>0</v>
      </c>
      <c r="B6488" s="56" t="b">
        <v>0</v>
      </c>
      <c r="C6488" s="56" t="b">
        <v>0</v>
      </c>
      <c r="D6488" s="56" t="b">
        <v>0</v>
      </c>
      <c r="E6488" s="56">
        <f ca="1">IF(PV[[#This Row],[Business Date]]=Control!$C$6, PV[[#This Row],[Notional Value Local Cur]], -PV[[#This Row],[Notional Value Local Cur]])</f>
        <v>0</v>
      </c>
    </row>
    <row r="6489" spans="1:5" x14ac:dyDescent="0.25">
      <c r="A6489" s="36" t="b">
        <v>0</v>
      </c>
      <c r="B6489" s="56" t="b">
        <v>0</v>
      </c>
      <c r="C6489" s="56" t="b">
        <v>0</v>
      </c>
      <c r="D6489" s="56" t="b">
        <v>0</v>
      </c>
      <c r="E6489" s="56">
        <f ca="1">IF(PV[[#This Row],[Business Date]]=Control!$C$6, PV[[#This Row],[Notional Value Local Cur]], -PV[[#This Row],[Notional Value Local Cur]])</f>
        <v>0</v>
      </c>
    </row>
    <row r="6490" spans="1:5" x14ac:dyDescent="0.25">
      <c r="A6490" s="36" t="b">
        <v>0</v>
      </c>
      <c r="B6490" s="56" t="b">
        <v>0</v>
      </c>
      <c r="C6490" s="56" t="b">
        <v>0</v>
      </c>
      <c r="D6490" s="56" t="b">
        <v>0</v>
      </c>
      <c r="E6490" s="56">
        <f ca="1">IF(PV[[#This Row],[Business Date]]=Control!$C$6, PV[[#This Row],[Notional Value Local Cur]], -PV[[#This Row],[Notional Value Local Cur]])</f>
        <v>0</v>
      </c>
    </row>
    <row r="6491" spans="1:5" x14ac:dyDescent="0.25">
      <c r="A6491" s="36" t="b">
        <v>0</v>
      </c>
      <c r="B6491" s="56" t="b">
        <v>0</v>
      </c>
      <c r="C6491" s="56" t="b">
        <v>0</v>
      </c>
      <c r="D6491" s="56" t="b">
        <v>0</v>
      </c>
      <c r="E6491" s="56">
        <f ca="1">IF(PV[[#This Row],[Business Date]]=Control!$C$6, PV[[#This Row],[Notional Value Local Cur]], -PV[[#This Row],[Notional Value Local Cur]])</f>
        <v>0</v>
      </c>
    </row>
    <row r="6492" spans="1:5" x14ac:dyDescent="0.25">
      <c r="A6492" s="36" t="b">
        <v>0</v>
      </c>
      <c r="B6492" s="56" t="b">
        <v>0</v>
      </c>
      <c r="C6492" s="56" t="b">
        <v>0</v>
      </c>
      <c r="D6492" s="56" t="b">
        <v>0</v>
      </c>
      <c r="E6492" s="56">
        <f ca="1">IF(PV[[#This Row],[Business Date]]=Control!$C$6, PV[[#This Row],[Notional Value Local Cur]], -PV[[#This Row],[Notional Value Local Cur]])</f>
        <v>0</v>
      </c>
    </row>
    <row r="6493" spans="1:5" x14ac:dyDescent="0.25">
      <c r="A6493" s="36" t="b">
        <v>0</v>
      </c>
      <c r="B6493" s="56" t="b">
        <v>0</v>
      </c>
      <c r="C6493" s="56" t="b">
        <v>0</v>
      </c>
      <c r="D6493" s="56" t="b">
        <v>0</v>
      </c>
      <c r="E6493" s="56">
        <f ca="1">IF(PV[[#This Row],[Business Date]]=Control!$C$6, PV[[#This Row],[Notional Value Local Cur]], -PV[[#This Row],[Notional Value Local Cur]])</f>
        <v>0</v>
      </c>
    </row>
    <row r="6494" spans="1:5" x14ac:dyDescent="0.25">
      <c r="A6494" s="36" t="b">
        <v>0</v>
      </c>
      <c r="B6494" s="56" t="b">
        <v>0</v>
      </c>
      <c r="C6494" s="56" t="b">
        <v>0</v>
      </c>
      <c r="D6494" s="56" t="b">
        <v>0</v>
      </c>
      <c r="E6494" s="56">
        <f ca="1">IF(PV[[#This Row],[Business Date]]=Control!$C$6, PV[[#This Row],[Notional Value Local Cur]], -PV[[#This Row],[Notional Value Local Cur]])</f>
        <v>0</v>
      </c>
    </row>
    <row r="6495" spans="1:5" x14ac:dyDescent="0.25">
      <c r="A6495" s="36" t="b">
        <v>0</v>
      </c>
      <c r="B6495" s="56" t="b">
        <v>0</v>
      </c>
      <c r="C6495" s="56" t="b">
        <v>0</v>
      </c>
      <c r="D6495" s="56" t="b">
        <v>0</v>
      </c>
      <c r="E6495" s="56">
        <f ca="1">IF(PV[[#This Row],[Business Date]]=Control!$C$6, PV[[#This Row],[Notional Value Local Cur]], -PV[[#This Row],[Notional Value Local Cur]])</f>
        <v>0</v>
      </c>
    </row>
    <row r="6496" spans="1:5" x14ac:dyDescent="0.25">
      <c r="A6496" s="36" t="b">
        <v>0</v>
      </c>
      <c r="B6496" s="56" t="b">
        <v>0</v>
      </c>
      <c r="C6496" s="56" t="b">
        <v>0</v>
      </c>
      <c r="D6496" s="56" t="b">
        <v>0</v>
      </c>
      <c r="E6496" s="56">
        <f ca="1">IF(PV[[#This Row],[Business Date]]=Control!$C$6, PV[[#This Row],[Notional Value Local Cur]], -PV[[#This Row],[Notional Value Local Cur]])</f>
        <v>0</v>
      </c>
    </row>
    <row r="6497" spans="1:5" x14ac:dyDescent="0.25">
      <c r="A6497" s="36" t="b">
        <v>0</v>
      </c>
      <c r="B6497" s="56" t="b">
        <v>0</v>
      </c>
      <c r="C6497" s="56" t="b">
        <v>0</v>
      </c>
      <c r="D6497" s="56" t="b">
        <v>0</v>
      </c>
      <c r="E6497" s="56">
        <f ca="1">IF(PV[[#This Row],[Business Date]]=Control!$C$6, PV[[#This Row],[Notional Value Local Cur]], -PV[[#This Row],[Notional Value Local Cur]])</f>
        <v>0</v>
      </c>
    </row>
    <row r="6498" spans="1:5" x14ac:dyDescent="0.25">
      <c r="A6498" s="36" t="b">
        <v>0</v>
      </c>
      <c r="B6498" s="56" t="b">
        <v>0</v>
      </c>
      <c r="C6498" s="56" t="b">
        <v>0</v>
      </c>
      <c r="D6498" s="56" t="b">
        <v>0</v>
      </c>
      <c r="E6498" s="56">
        <f ca="1">IF(PV[[#This Row],[Business Date]]=Control!$C$6, PV[[#This Row],[Notional Value Local Cur]], -PV[[#This Row],[Notional Value Local Cur]])</f>
        <v>0</v>
      </c>
    </row>
    <row r="6499" spans="1:5" x14ac:dyDescent="0.25">
      <c r="A6499" s="36" t="b">
        <v>0</v>
      </c>
      <c r="B6499" s="56" t="b">
        <v>0</v>
      </c>
      <c r="C6499" s="56" t="b">
        <v>0</v>
      </c>
      <c r="D6499" s="56" t="b">
        <v>0</v>
      </c>
      <c r="E6499" s="56">
        <f ca="1">IF(PV[[#This Row],[Business Date]]=Control!$C$6, PV[[#This Row],[Notional Value Local Cur]], -PV[[#This Row],[Notional Value Local Cur]])</f>
        <v>0</v>
      </c>
    </row>
    <row r="6500" spans="1:5" x14ac:dyDescent="0.25">
      <c r="A6500" s="36" t="b">
        <v>0</v>
      </c>
      <c r="B6500" s="56" t="b">
        <v>0</v>
      </c>
      <c r="C6500" s="56" t="b">
        <v>0</v>
      </c>
      <c r="D6500" s="56" t="b">
        <v>0</v>
      </c>
      <c r="E6500" s="56">
        <f ca="1">IF(PV[[#This Row],[Business Date]]=Control!$C$6, PV[[#This Row],[Notional Value Local Cur]], -PV[[#This Row],[Notional Value Local Cur]])</f>
        <v>0</v>
      </c>
    </row>
    <row r="6501" spans="1:5" x14ac:dyDescent="0.25">
      <c r="A6501" s="36" t="b">
        <v>0</v>
      </c>
      <c r="B6501" s="56" t="b">
        <v>0</v>
      </c>
      <c r="C6501" s="56" t="b">
        <v>0</v>
      </c>
      <c r="D6501" s="56" t="b">
        <v>0</v>
      </c>
      <c r="E6501" s="56">
        <f ca="1">IF(PV[[#This Row],[Business Date]]=Control!$C$6, PV[[#This Row],[Notional Value Local Cur]], -PV[[#This Row],[Notional Value Local Cur]])</f>
        <v>0</v>
      </c>
    </row>
    <row r="6502" spans="1:5" x14ac:dyDescent="0.25">
      <c r="A6502" s="36" t="b">
        <v>0</v>
      </c>
      <c r="B6502" s="56" t="b">
        <v>0</v>
      </c>
      <c r="C6502" s="56" t="b">
        <v>0</v>
      </c>
      <c r="D6502" s="56" t="b">
        <v>0</v>
      </c>
      <c r="E6502" s="56">
        <f ca="1">IF(PV[[#This Row],[Business Date]]=Control!$C$6, PV[[#This Row],[Notional Value Local Cur]], -PV[[#This Row],[Notional Value Local Cur]])</f>
        <v>0</v>
      </c>
    </row>
    <row r="6503" spans="1:5" x14ac:dyDescent="0.25">
      <c r="A6503" s="36" t="b">
        <v>0</v>
      </c>
      <c r="B6503" s="56" t="b">
        <v>0</v>
      </c>
      <c r="C6503" s="56" t="b">
        <v>0</v>
      </c>
      <c r="D6503" s="56" t="b">
        <v>0</v>
      </c>
      <c r="E6503" s="56">
        <f ca="1">IF(PV[[#This Row],[Business Date]]=Control!$C$6, PV[[#This Row],[Notional Value Local Cur]], -PV[[#This Row],[Notional Value Local Cur]])</f>
        <v>0</v>
      </c>
    </row>
    <row r="6504" spans="1:5" x14ac:dyDescent="0.25">
      <c r="A6504" s="36" t="b">
        <v>0</v>
      </c>
      <c r="B6504" s="56" t="b">
        <v>0</v>
      </c>
      <c r="C6504" s="56" t="b">
        <v>0</v>
      </c>
      <c r="D6504" s="56" t="b">
        <v>0</v>
      </c>
      <c r="E6504" s="56">
        <f ca="1">IF(PV[[#This Row],[Business Date]]=Control!$C$6, PV[[#This Row],[Notional Value Local Cur]], -PV[[#This Row],[Notional Value Local Cur]])</f>
        <v>0</v>
      </c>
    </row>
    <row r="6505" spans="1:5" x14ac:dyDescent="0.25">
      <c r="A6505" s="36" t="b">
        <v>0</v>
      </c>
      <c r="B6505" s="56" t="b">
        <v>0</v>
      </c>
      <c r="C6505" s="56" t="b">
        <v>0</v>
      </c>
      <c r="D6505" s="56" t="b">
        <v>0</v>
      </c>
      <c r="E6505" s="56">
        <f ca="1">IF(PV[[#This Row],[Business Date]]=Control!$C$6, PV[[#This Row],[Notional Value Local Cur]], -PV[[#This Row],[Notional Value Local Cur]])</f>
        <v>0</v>
      </c>
    </row>
    <row r="6506" spans="1:5" x14ac:dyDescent="0.25">
      <c r="A6506" s="36" t="b">
        <v>0</v>
      </c>
      <c r="B6506" s="56" t="b">
        <v>0</v>
      </c>
      <c r="C6506" s="56" t="b">
        <v>0</v>
      </c>
      <c r="D6506" s="56" t="b">
        <v>0</v>
      </c>
      <c r="E6506" s="56">
        <f ca="1">IF(PV[[#This Row],[Business Date]]=Control!$C$6, PV[[#This Row],[Notional Value Local Cur]], -PV[[#This Row],[Notional Value Local Cur]])</f>
        <v>0</v>
      </c>
    </row>
    <row r="6507" spans="1:5" x14ac:dyDescent="0.25">
      <c r="A6507" s="36" t="b">
        <v>0</v>
      </c>
      <c r="B6507" s="56" t="b">
        <v>0</v>
      </c>
      <c r="C6507" s="56" t="b">
        <v>0</v>
      </c>
      <c r="D6507" s="56" t="b">
        <v>0</v>
      </c>
      <c r="E6507" s="56">
        <f ca="1">IF(PV[[#This Row],[Business Date]]=Control!$C$6, PV[[#This Row],[Notional Value Local Cur]], -PV[[#This Row],[Notional Value Local Cur]])</f>
        <v>0</v>
      </c>
    </row>
    <row r="6508" spans="1:5" x14ac:dyDescent="0.25">
      <c r="A6508" s="36" t="b">
        <v>0</v>
      </c>
      <c r="B6508" s="56" t="b">
        <v>0</v>
      </c>
      <c r="C6508" s="56" t="b">
        <v>0</v>
      </c>
      <c r="D6508" s="56" t="b">
        <v>0</v>
      </c>
      <c r="E6508" s="56">
        <f ca="1">IF(PV[[#This Row],[Business Date]]=Control!$C$6, PV[[#This Row],[Notional Value Local Cur]], -PV[[#This Row],[Notional Value Local Cur]])</f>
        <v>0</v>
      </c>
    </row>
    <row r="6509" spans="1:5" x14ac:dyDescent="0.25">
      <c r="A6509" s="36" t="b">
        <v>0</v>
      </c>
      <c r="B6509" s="56" t="b">
        <v>0</v>
      </c>
      <c r="C6509" s="56" t="b">
        <v>0</v>
      </c>
      <c r="D6509" s="56" t="b">
        <v>0</v>
      </c>
      <c r="E6509" s="56">
        <f ca="1">IF(PV[[#This Row],[Business Date]]=Control!$C$6, PV[[#This Row],[Notional Value Local Cur]], -PV[[#This Row],[Notional Value Local Cur]])</f>
        <v>0</v>
      </c>
    </row>
    <row r="6510" spans="1:5" x14ac:dyDescent="0.25">
      <c r="A6510" s="36" t="b">
        <v>0</v>
      </c>
      <c r="B6510" s="56" t="b">
        <v>0</v>
      </c>
      <c r="C6510" s="56" t="b">
        <v>0</v>
      </c>
      <c r="D6510" s="56" t="b">
        <v>0</v>
      </c>
      <c r="E6510" s="56">
        <f ca="1">IF(PV[[#This Row],[Business Date]]=Control!$C$6, PV[[#This Row],[Notional Value Local Cur]], -PV[[#This Row],[Notional Value Local Cur]])</f>
        <v>0</v>
      </c>
    </row>
    <row r="6511" spans="1:5" x14ac:dyDescent="0.25">
      <c r="A6511" s="36" t="b">
        <v>0</v>
      </c>
      <c r="B6511" s="56" t="b">
        <v>0</v>
      </c>
      <c r="C6511" s="56" t="b">
        <v>0</v>
      </c>
      <c r="D6511" s="56" t="b">
        <v>0</v>
      </c>
      <c r="E6511" s="56">
        <f ca="1">IF(PV[[#This Row],[Business Date]]=Control!$C$6, PV[[#This Row],[Notional Value Local Cur]], -PV[[#This Row],[Notional Value Local Cur]])</f>
        <v>0</v>
      </c>
    </row>
    <row r="6512" spans="1:5" x14ac:dyDescent="0.25">
      <c r="A6512" s="36" t="b">
        <v>0</v>
      </c>
      <c r="B6512" s="56" t="b">
        <v>0</v>
      </c>
      <c r="C6512" s="56" t="b">
        <v>0</v>
      </c>
      <c r="D6512" s="56" t="b">
        <v>0</v>
      </c>
      <c r="E6512" s="56">
        <f ca="1">IF(PV[[#This Row],[Business Date]]=Control!$C$6, PV[[#This Row],[Notional Value Local Cur]], -PV[[#This Row],[Notional Value Local Cur]])</f>
        <v>0</v>
      </c>
    </row>
    <row r="6513" spans="1:5" x14ac:dyDescent="0.25">
      <c r="A6513" s="36" t="b">
        <v>0</v>
      </c>
      <c r="B6513" s="56" t="b">
        <v>0</v>
      </c>
      <c r="C6513" s="56" t="b">
        <v>0</v>
      </c>
      <c r="D6513" s="56" t="b">
        <v>0</v>
      </c>
      <c r="E6513" s="56">
        <f ca="1">IF(PV[[#This Row],[Business Date]]=Control!$C$6, PV[[#This Row],[Notional Value Local Cur]], -PV[[#This Row],[Notional Value Local Cur]])</f>
        <v>0</v>
      </c>
    </row>
    <row r="6514" spans="1:5" x14ac:dyDescent="0.25">
      <c r="A6514" s="36" t="b">
        <v>0</v>
      </c>
      <c r="B6514" s="56" t="b">
        <v>0</v>
      </c>
      <c r="C6514" s="56" t="b">
        <v>0</v>
      </c>
      <c r="D6514" s="56" t="b">
        <v>0</v>
      </c>
      <c r="E6514" s="56">
        <f ca="1">IF(PV[[#This Row],[Business Date]]=Control!$C$6, PV[[#This Row],[Notional Value Local Cur]], -PV[[#This Row],[Notional Value Local Cur]])</f>
        <v>0</v>
      </c>
    </row>
    <row r="6515" spans="1:5" x14ac:dyDescent="0.25">
      <c r="A6515" s="36" t="b">
        <v>0</v>
      </c>
      <c r="B6515" s="56" t="b">
        <v>0</v>
      </c>
      <c r="C6515" s="56" t="b">
        <v>0</v>
      </c>
      <c r="D6515" s="56" t="b">
        <v>0</v>
      </c>
      <c r="E6515" s="56">
        <f ca="1">IF(PV[[#This Row],[Business Date]]=Control!$C$6, PV[[#This Row],[Notional Value Local Cur]], -PV[[#This Row],[Notional Value Local Cur]])</f>
        <v>0</v>
      </c>
    </row>
    <row r="6516" spans="1:5" x14ac:dyDescent="0.25">
      <c r="A6516" s="36" t="b">
        <v>0</v>
      </c>
      <c r="B6516" s="56" t="b">
        <v>0</v>
      </c>
      <c r="C6516" s="56" t="b">
        <v>0</v>
      </c>
      <c r="D6516" s="56" t="b">
        <v>0</v>
      </c>
      <c r="E6516" s="56">
        <f ca="1">IF(PV[[#This Row],[Business Date]]=Control!$C$6, PV[[#This Row],[Notional Value Local Cur]], -PV[[#This Row],[Notional Value Local Cur]])</f>
        <v>0</v>
      </c>
    </row>
    <row r="6517" spans="1:5" x14ac:dyDescent="0.25">
      <c r="A6517" s="36" t="b">
        <v>0</v>
      </c>
      <c r="B6517" s="56" t="b">
        <v>0</v>
      </c>
      <c r="C6517" s="56" t="b">
        <v>0</v>
      </c>
      <c r="D6517" s="56" t="b">
        <v>0</v>
      </c>
      <c r="E6517" s="56">
        <f ca="1">IF(PV[[#This Row],[Business Date]]=Control!$C$6, PV[[#This Row],[Notional Value Local Cur]], -PV[[#This Row],[Notional Value Local Cur]])</f>
        <v>0</v>
      </c>
    </row>
    <row r="6518" spans="1:5" x14ac:dyDescent="0.25">
      <c r="A6518" s="36" t="b">
        <v>0</v>
      </c>
      <c r="B6518" s="56" t="b">
        <v>0</v>
      </c>
      <c r="C6518" s="56" t="b">
        <v>0</v>
      </c>
      <c r="D6518" s="56" t="b">
        <v>0</v>
      </c>
      <c r="E6518" s="56">
        <f ca="1">IF(PV[[#This Row],[Business Date]]=Control!$C$6, PV[[#This Row],[Notional Value Local Cur]], -PV[[#This Row],[Notional Value Local Cur]])</f>
        <v>0</v>
      </c>
    </row>
    <row r="6519" spans="1:5" x14ac:dyDescent="0.25">
      <c r="A6519" s="36" t="b">
        <v>0</v>
      </c>
      <c r="B6519" s="56" t="b">
        <v>0</v>
      </c>
      <c r="C6519" s="56" t="b">
        <v>0</v>
      </c>
      <c r="D6519" s="56" t="b">
        <v>0</v>
      </c>
      <c r="E6519" s="56">
        <f ca="1">IF(PV[[#This Row],[Business Date]]=Control!$C$6, PV[[#This Row],[Notional Value Local Cur]], -PV[[#This Row],[Notional Value Local Cur]])</f>
        <v>0</v>
      </c>
    </row>
    <row r="6520" spans="1:5" x14ac:dyDescent="0.25">
      <c r="A6520" s="36" t="b">
        <v>0</v>
      </c>
      <c r="B6520" s="56" t="b">
        <v>0</v>
      </c>
      <c r="C6520" s="56" t="b">
        <v>0</v>
      </c>
      <c r="D6520" s="56" t="b">
        <v>0</v>
      </c>
      <c r="E6520" s="56">
        <f ca="1">IF(PV[[#This Row],[Business Date]]=Control!$C$6, PV[[#This Row],[Notional Value Local Cur]], -PV[[#This Row],[Notional Value Local Cur]])</f>
        <v>0</v>
      </c>
    </row>
    <row r="6521" spans="1:5" x14ac:dyDescent="0.25">
      <c r="A6521" s="36" t="b">
        <v>0</v>
      </c>
      <c r="B6521" s="56" t="b">
        <v>0</v>
      </c>
      <c r="C6521" s="56" t="b">
        <v>0</v>
      </c>
      <c r="D6521" s="56" t="b">
        <v>0</v>
      </c>
      <c r="E6521" s="56">
        <f ca="1">IF(PV[[#This Row],[Business Date]]=Control!$C$6, PV[[#This Row],[Notional Value Local Cur]], -PV[[#This Row],[Notional Value Local Cur]])</f>
        <v>0</v>
      </c>
    </row>
    <row r="6522" spans="1:5" x14ac:dyDescent="0.25">
      <c r="A6522" s="36" t="b">
        <v>0</v>
      </c>
      <c r="B6522" s="56" t="b">
        <v>0</v>
      </c>
      <c r="C6522" s="56" t="b">
        <v>0</v>
      </c>
      <c r="D6522" s="56" t="b">
        <v>0</v>
      </c>
      <c r="E6522" s="56">
        <f ca="1">IF(PV[[#This Row],[Business Date]]=Control!$C$6, PV[[#This Row],[Notional Value Local Cur]], -PV[[#This Row],[Notional Value Local Cur]])</f>
        <v>0</v>
      </c>
    </row>
    <row r="6523" spans="1:5" x14ac:dyDescent="0.25">
      <c r="A6523" s="36" t="b">
        <v>0</v>
      </c>
      <c r="B6523" s="56" t="b">
        <v>0</v>
      </c>
      <c r="C6523" s="56" t="b">
        <v>0</v>
      </c>
      <c r="D6523" s="56" t="b">
        <v>0</v>
      </c>
      <c r="E6523" s="56">
        <f ca="1">IF(PV[[#This Row],[Business Date]]=Control!$C$6, PV[[#This Row],[Notional Value Local Cur]], -PV[[#This Row],[Notional Value Local Cur]])</f>
        <v>0</v>
      </c>
    </row>
    <row r="6524" spans="1:5" x14ac:dyDescent="0.25">
      <c r="A6524" s="36" t="b">
        <v>0</v>
      </c>
      <c r="B6524" s="56" t="b">
        <v>0</v>
      </c>
      <c r="C6524" s="56" t="b">
        <v>0</v>
      </c>
      <c r="D6524" s="56" t="b">
        <v>0</v>
      </c>
      <c r="E6524" s="56">
        <f ca="1">IF(PV[[#This Row],[Business Date]]=Control!$C$6, PV[[#This Row],[Notional Value Local Cur]], -PV[[#This Row],[Notional Value Local Cur]])</f>
        <v>0</v>
      </c>
    </row>
    <row r="6525" spans="1:5" x14ac:dyDescent="0.25">
      <c r="A6525" s="36" t="b">
        <v>0</v>
      </c>
      <c r="B6525" s="56" t="b">
        <v>0</v>
      </c>
      <c r="C6525" s="56" t="b">
        <v>0</v>
      </c>
      <c r="D6525" s="56" t="b">
        <v>0</v>
      </c>
      <c r="E6525" s="56">
        <f ca="1">IF(PV[[#This Row],[Business Date]]=Control!$C$6, PV[[#This Row],[Notional Value Local Cur]], -PV[[#This Row],[Notional Value Local Cur]])</f>
        <v>0</v>
      </c>
    </row>
    <row r="6526" spans="1:5" x14ac:dyDescent="0.25">
      <c r="A6526" s="36" t="b">
        <v>0</v>
      </c>
      <c r="B6526" s="56" t="b">
        <v>0</v>
      </c>
      <c r="C6526" s="56" t="b">
        <v>0</v>
      </c>
      <c r="D6526" s="56" t="b">
        <v>0</v>
      </c>
      <c r="E6526" s="56">
        <f ca="1">IF(PV[[#This Row],[Business Date]]=Control!$C$6, PV[[#This Row],[Notional Value Local Cur]], -PV[[#This Row],[Notional Value Local Cur]])</f>
        <v>0</v>
      </c>
    </row>
    <row r="6527" spans="1:5" x14ac:dyDescent="0.25">
      <c r="A6527" s="36" t="b">
        <v>0</v>
      </c>
      <c r="B6527" s="56" t="b">
        <v>0</v>
      </c>
      <c r="C6527" s="56" t="b">
        <v>0</v>
      </c>
      <c r="D6527" s="56" t="b">
        <v>0</v>
      </c>
      <c r="E6527" s="56">
        <f ca="1">IF(PV[[#This Row],[Business Date]]=Control!$C$6, PV[[#This Row],[Notional Value Local Cur]], -PV[[#This Row],[Notional Value Local Cur]])</f>
        <v>0</v>
      </c>
    </row>
    <row r="6528" spans="1:5" x14ac:dyDescent="0.25">
      <c r="A6528" s="36" t="b">
        <v>0</v>
      </c>
      <c r="B6528" s="56" t="b">
        <v>0</v>
      </c>
      <c r="C6528" s="56" t="b">
        <v>0</v>
      </c>
      <c r="D6528" s="56" t="b">
        <v>0</v>
      </c>
      <c r="E6528" s="56">
        <f ca="1">IF(PV[[#This Row],[Business Date]]=Control!$C$6, PV[[#This Row],[Notional Value Local Cur]], -PV[[#This Row],[Notional Value Local Cur]])</f>
        <v>0</v>
      </c>
    </row>
    <row r="6529" spans="1:5" x14ac:dyDescent="0.25">
      <c r="A6529" s="36" t="b">
        <v>0</v>
      </c>
      <c r="B6529" s="56" t="b">
        <v>0</v>
      </c>
      <c r="C6529" s="56" t="b">
        <v>0</v>
      </c>
      <c r="D6529" s="56" t="b">
        <v>0</v>
      </c>
      <c r="E6529" s="56">
        <f ca="1">IF(PV[[#This Row],[Business Date]]=Control!$C$6, PV[[#This Row],[Notional Value Local Cur]], -PV[[#This Row],[Notional Value Local Cur]])</f>
        <v>0</v>
      </c>
    </row>
    <row r="6530" spans="1:5" x14ac:dyDescent="0.25">
      <c r="A6530" s="36" t="b">
        <v>0</v>
      </c>
      <c r="B6530" s="56" t="b">
        <v>0</v>
      </c>
      <c r="C6530" s="56" t="b">
        <v>0</v>
      </c>
      <c r="D6530" s="56" t="b">
        <v>0</v>
      </c>
      <c r="E6530" s="56">
        <f ca="1">IF(PV[[#This Row],[Business Date]]=Control!$C$6, PV[[#This Row],[Notional Value Local Cur]], -PV[[#This Row],[Notional Value Local Cur]])</f>
        <v>0</v>
      </c>
    </row>
    <row r="6531" spans="1:5" x14ac:dyDescent="0.25">
      <c r="A6531" s="36" t="b">
        <v>0</v>
      </c>
      <c r="B6531" s="56" t="b">
        <v>0</v>
      </c>
      <c r="C6531" s="56" t="b">
        <v>0</v>
      </c>
      <c r="D6531" s="56" t="b">
        <v>0</v>
      </c>
      <c r="E6531" s="56">
        <f ca="1">IF(PV[[#This Row],[Business Date]]=Control!$C$6, PV[[#This Row],[Notional Value Local Cur]], -PV[[#This Row],[Notional Value Local Cur]])</f>
        <v>0</v>
      </c>
    </row>
    <row r="6532" spans="1:5" x14ac:dyDescent="0.25">
      <c r="A6532" s="36" t="b">
        <v>0</v>
      </c>
      <c r="B6532" s="56" t="b">
        <v>0</v>
      </c>
      <c r="C6532" s="56" t="b">
        <v>0</v>
      </c>
      <c r="D6532" s="56" t="b">
        <v>0</v>
      </c>
      <c r="E6532" s="56">
        <f ca="1">IF(PV[[#This Row],[Business Date]]=Control!$C$6, PV[[#This Row],[Notional Value Local Cur]], -PV[[#This Row],[Notional Value Local Cur]])</f>
        <v>0</v>
      </c>
    </row>
    <row r="6533" spans="1:5" x14ac:dyDescent="0.25">
      <c r="A6533" s="36" t="b">
        <v>0</v>
      </c>
      <c r="B6533" s="56" t="b">
        <v>0</v>
      </c>
      <c r="C6533" s="56" t="b">
        <v>0</v>
      </c>
      <c r="D6533" s="56" t="b">
        <v>0</v>
      </c>
      <c r="E6533" s="56">
        <f ca="1">IF(PV[[#This Row],[Business Date]]=Control!$C$6, PV[[#This Row],[Notional Value Local Cur]], -PV[[#This Row],[Notional Value Local Cur]])</f>
        <v>0</v>
      </c>
    </row>
    <row r="6534" spans="1:5" x14ac:dyDescent="0.25">
      <c r="A6534" s="36" t="b">
        <v>0</v>
      </c>
      <c r="B6534" s="56" t="b">
        <v>0</v>
      </c>
      <c r="C6534" s="56" t="b">
        <v>0</v>
      </c>
      <c r="D6534" s="56" t="b">
        <v>0</v>
      </c>
      <c r="E6534" s="56">
        <f ca="1">IF(PV[[#This Row],[Business Date]]=Control!$C$6, PV[[#This Row],[Notional Value Local Cur]], -PV[[#This Row],[Notional Value Local Cur]])</f>
        <v>0</v>
      </c>
    </row>
    <row r="6535" spans="1:5" x14ac:dyDescent="0.25">
      <c r="A6535" s="36" t="b">
        <v>0</v>
      </c>
      <c r="B6535" s="56" t="b">
        <v>0</v>
      </c>
      <c r="C6535" s="56" t="b">
        <v>0</v>
      </c>
      <c r="D6535" s="56" t="b">
        <v>0</v>
      </c>
      <c r="E6535" s="56">
        <f ca="1">IF(PV[[#This Row],[Business Date]]=Control!$C$6, PV[[#This Row],[Notional Value Local Cur]], -PV[[#This Row],[Notional Value Local Cur]])</f>
        <v>0</v>
      </c>
    </row>
    <row r="6536" spans="1:5" x14ac:dyDescent="0.25">
      <c r="A6536" s="36" t="b">
        <v>0</v>
      </c>
      <c r="B6536" s="56" t="b">
        <v>0</v>
      </c>
      <c r="C6536" s="56" t="b">
        <v>0</v>
      </c>
      <c r="D6536" s="56" t="b">
        <v>0</v>
      </c>
      <c r="E6536" s="56">
        <f ca="1">IF(PV[[#This Row],[Business Date]]=Control!$C$6, PV[[#This Row],[Notional Value Local Cur]], -PV[[#This Row],[Notional Value Local Cur]])</f>
        <v>0</v>
      </c>
    </row>
    <row r="6537" spans="1:5" x14ac:dyDescent="0.25">
      <c r="A6537" s="36" t="b">
        <v>0</v>
      </c>
      <c r="B6537" s="56" t="b">
        <v>0</v>
      </c>
      <c r="C6537" s="56" t="b">
        <v>0</v>
      </c>
      <c r="D6537" s="56" t="b">
        <v>0</v>
      </c>
      <c r="E6537" s="56">
        <f ca="1">IF(PV[[#This Row],[Business Date]]=Control!$C$6, PV[[#This Row],[Notional Value Local Cur]], -PV[[#This Row],[Notional Value Local Cur]])</f>
        <v>0</v>
      </c>
    </row>
    <row r="6538" spans="1:5" x14ac:dyDescent="0.25">
      <c r="A6538" s="36" t="b">
        <v>0</v>
      </c>
      <c r="B6538" s="56" t="b">
        <v>0</v>
      </c>
      <c r="C6538" s="56" t="b">
        <v>0</v>
      </c>
      <c r="D6538" s="56" t="b">
        <v>0</v>
      </c>
      <c r="E6538" s="56">
        <f ca="1">IF(PV[[#This Row],[Business Date]]=Control!$C$6, PV[[#This Row],[Notional Value Local Cur]], -PV[[#This Row],[Notional Value Local Cur]])</f>
        <v>0</v>
      </c>
    </row>
    <row r="6539" spans="1:5" x14ac:dyDescent="0.25">
      <c r="A6539" s="36" t="b">
        <v>0</v>
      </c>
      <c r="B6539" s="56" t="b">
        <v>0</v>
      </c>
      <c r="C6539" s="56" t="b">
        <v>0</v>
      </c>
      <c r="D6539" s="56" t="b">
        <v>0</v>
      </c>
      <c r="E6539" s="56">
        <f ca="1">IF(PV[[#This Row],[Business Date]]=Control!$C$6, PV[[#This Row],[Notional Value Local Cur]], -PV[[#This Row],[Notional Value Local Cur]])</f>
        <v>0</v>
      </c>
    </row>
    <row r="6540" spans="1:5" x14ac:dyDescent="0.25">
      <c r="A6540" s="36" t="b">
        <v>0</v>
      </c>
      <c r="B6540" s="56" t="b">
        <v>0</v>
      </c>
      <c r="C6540" s="56" t="b">
        <v>0</v>
      </c>
      <c r="D6540" s="56" t="b">
        <v>0</v>
      </c>
      <c r="E6540" s="56">
        <f ca="1">IF(PV[[#This Row],[Business Date]]=Control!$C$6, PV[[#This Row],[Notional Value Local Cur]], -PV[[#This Row],[Notional Value Local Cur]])</f>
        <v>0</v>
      </c>
    </row>
    <row r="6541" spans="1:5" x14ac:dyDescent="0.25">
      <c r="A6541" s="36" t="b">
        <v>0</v>
      </c>
      <c r="B6541" s="56" t="b">
        <v>0</v>
      </c>
      <c r="C6541" s="56" t="b">
        <v>0</v>
      </c>
      <c r="D6541" s="56" t="b">
        <v>0</v>
      </c>
      <c r="E6541" s="56">
        <f ca="1">IF(PV[[#This Row],[Business Date]]=Control!$C$6, PV[[#This Row],[Notional Value Local Cur]], -PV[[#This Row],[Notional Value Local Cur]])</f>
        <v>0</v>
      </c>
    </row>
    <row r="6542" spans="1:5" x14ac:dyDescent="0.25">
      <c r="A6542" s="36" t="b">
        <v>0</v>
      </c>
      <c r="B6542" s="56" t="b">
        <v>0</v>
      </c>
      <c r="C6542" s="56" t="b">
        <v>0</v>
      </c>
      <c r="D6542" s="56" t="b">
        <v>0</v>
      </c>
      <c r="E6542" s="56">
        <f ca="1">IF(PV[[#This Row],[Business Date]]=Control!$C$6, PV[[#This Row],[Notional Value Local Cur]], -PV[[#This Row],[Notional Value Local Cur]])</f>
        <v>0</v>
      </c>
    </row>
    <row r="6543" spans="1:5" x14ac:dyDescent="0.25">
      <c r="A6543" s="36" t="b">
        <v>0</v>
      </c>
      <c r="B6543" s="56" t="b">
        <v>0</v>
      </c>
      <c r="C6543" s="56" t="b">
        <v>0</v>
      </c>
      <c r="D6543" s="56" t="b">
        <v>0</v>
      </c>
      <c r="E6543" s="56">
        <f ca="1">IF(PV[[#This Row],[Business Date]]=Control!$C$6, PV[[#This Row],[Notional Value Local Cur]], -PV[[#This Row],[Notional Value Local Cur]])</f>
        <v>0</v>
      </c>
    </row>
    <row r="6544" spans="1:5" x14ac:dyDescent="0.25">
      <c r="A6544" s="36" t="b">
        <v>0</v>
      </c>
      <c r="B6544" s="56" t="b">
        <v>0</v>
      </c>
      <c r="C6544" s="56" t="b">
        <v>0</v>
      </c>
      <c r="D6544" s="56" t="b">
        <v>0</v>
      </c>
      <c r="E6544" s="56">
        <f ca="1">IF(PV[[#This Row],[Business Date]]=Control!$C$6, PV[[#This Row],[Notional Value Local Cur]], -PV[[#This Row],[Notional Value Local Cur]])</f>
        <v>0</v>
      </c>
    </row>
    <row r="6545" spans="1:5" x14ac:dyDescent="0.25">
      <c r="A6545" s="36" t="b">
        <v>0</v>
      </c>
      <c r="B6545" s="56" t="b">
        <v>0</v>
      </c>
      <c r="C6545" s="56" t="b">
        <v>0</v>
      </c>
      <c r="D6545" s="56" t="b">
        <v>0</v>
      </c>
      <c r="E6545" s="56">
        <f ca="1">IF(PV[[#This Row],[Business Date]]=Control!$C$6, PV[[#This Row],[Notional Value Local Cur]], -PV[[#This Row],[Notional Value Local Cur]])</f>
        <v>0</v>
      </c>
    </row>
    <row r="6546" spans="1:5" x14ac:dyDescent="0.25">
      <c r="A6546" s="36" t="b">
        <v>0</v>
      </c>
      <c r="B6546" s="56" t="b">
        <v>0</v>
      </c>
      <c r="C6546" s="56" t="b">
        <v>0</v>
      </c>
      <c r="D6546" s="56" t="b">
        <v>0</v>
      </c>
      <c r="E6546" s="56">
        <f ca="1">IF(PV[[#This Row],[Business Date]]=Control!$C$6, PV[[#This Row],[Notional Value Local Cur]], -PV[[#This Row],[Notional Value Local Cur]])</f>
        <v>0</v>
      </c>
    </row>
    <row r="6547" spans="1:5" x14ac:dyDescent="0.25">
      <c r="A6547" s="36" t="b">
        <v>0</v>
      </c>
      <c r="B6547" s="56" t="b">
        <v>0</v>
      </c>
      <c r="C6547" s="56" t="b">
        <v>0</v>
      </c>
      <c r="D6547" s="56" t="b">
        <v>0</v>
      </c>
      <c r="E6547" s="56">
        <f ca="1">IF(PV[[#This Row],[Business Date]]=Control!$C$6, PV[[#This Row],[Notional Value Local Cur]], -PV[[#This Row],[Notional Value Local Cur]])</f>
        <v>0</v>
      </c>
    </row>
    <row r="6548" spans="1:5" x14ac:dyDescent="0.25">
      <c r="A6548" s="36" t="b">
        <v>0</v>
      </c>
      <c r="B6548" s="56" t="b">
        <v>0</v>
      </c>
      <c r="C6548" s="56" t="b">
        <v>0</v>
      </c>
      <c r="D6548" s="56" t="b">
        <v>0</v>
      </c>
      <c r="E6548" s="56">
        <f ca="1">IF(PV[[#This Row],[Business Date]]=Control!$C$6, PV[[#This Row],[Notional Value Local Cur]], -PV[[#This Row],[Notional Value Local Cur]])</f>
        <v>0</v>
      </c>
    </row>
    <row r="6549" spans="1:5" x14ac:dyDescent="0.25">
      <c r="A6549" s="36" t="b">
        <v>0</v>
      </c>
      <c r="B6549" s="56" t="b">
        <v>0</v>
      </c>
      <c r="C6549" s="56" t="b">
        <v>0</v>
      </c>
      <c r="D6549" s="56" t="b">
        <v>0</v>
      </c>
      <c r="E6549" s="56">
        <f ca="1">IF(PV[[#This Row],[Business Date]]=Control!$C$6, PV[[#This Row],[Notional Value Local Cur]], -PV[[#This Row],[Notional Value Local Cur]])</f>
        <v>0</v>
      </c>
    </row>
    <row r="6550" spans="1:5" x14ac:dyDescent="0.25">
      <c r="A6550" s="36" t="b">
        <v>0</v>
      </c>
      <c r="B6550" s="56" t="b">
        <v>0</v>
      </c>
      <c r="C6550" s="56" t="b">
        <v>0</v>
      </c>
      <c r="D6550" s="56" t="b">
        <v>0</v>
      </c>
      <c r="E6550" s="56">
        <f ca="1">IF(PV[[#This Row],[Business Date]]=Control!$C$6, PV[[#This Row],[Notional Value Local Cur]], -PV[[#This Row],[Notional Value Local Cur]])</f>
        <v>0</v>
      </c>
    </row>
    <row r="6551" spans="1:5" x14ac:dyDescent="0.25">
      <c r="A6551" s="36" t="b">
        <v>0</v>
      </c>
      <c r="B6551" s="56" t="b">
        <v>0</v>
      </c>
      <c r="C6551" s="56" t="b">
        <v>0</v>
      </c>
      <c r="D6551" s="56" t="b">
        <v>0</v>
      </c>
      <c r="E6551" s="56">
        <f ca="1">IF(PV[[#This Row],[Business Date]]=Control!$C$6, PV[[#This Row],[Notional Value Local Cur]], -PV[[#This Row],[Notional Value Local Cur]])</f>
        <v>0</v>
      </c>
    </row>
    <row r="6552" spans="1:5" x14ac:dyDescent="0.25">
      <c r="A6552" s="36" t="b">
        <v>0</v>
      </c>
      <c r="B6552" s="56" t="b">
        <v>0</v>
      </c>
      <c r="C6552" s="56" t="b">
        <v>0</v>
      </c>
      <c r="D6552" s="56" t="b">
        <v>0</v>
      </c>
      <c r="E6552" s="56">
        <f ca="1">IF(PV[[#This Row],[Business Date]]=Control!$C$6, PV[[#This Row],[Notional Value Local Cur]], -PV[[#This Row],[Notional Value Local Cur]])</f>
        <v>0</v>
      </c>
    </row>
    <row r="6553" spans="1:5" x14ac:dyDescent="0.25">
      <c r="A6553" s="36" t="b">
        <v>0</v>
      </c>
      <c r="B6553" s="56" t="b">
        <v>0</v>
      </c>
      <c r="C6553" s="56" t="b">
        <v>0</v>
      </c>
      <c r="D6553" s="56" t="b">
        <v>0</v>
      </c>
      <c r="E6553" s="56">
        <f ca="1">IF(PV[[#This Row],[Business Date]]=Control!$C$6, PV[[#This Row],[Notional Value Local Cur]], -PV[[#This Row],[Notional Value Local Cur]])</f>
        <v>0</v>
      </c>
    </row>
    <row r="6554" spans="1:5" x14ac:dyDescent="0.25">
      <c r="A6554" s="36" t="b">
        <v>0</v>
      </c>
      <c r="B6554" s="56" t="b">
        <v>0</v>
      </c>
      <c r="C6554" s="56" t="b">
        <v>0</v>
      </c>
      <c r="D6554" s="56" t="b">
        <v>0</v>
      </c>
      <c r="E6554" s="56">
        <f ca="1">IF(PV[[#This Row],[Business Date]]=Control!$C$6, PV[[#This Row],[Notional Value Local Cur]], -PV[[#This Row],[Notional Value Local Cur]])</f>
        <v>0</v>
      </c>
    </row>
    <row r="6555" spans="1:5" x14ac:dyDescent="0.25">
      <c r="A6555" s="36" t="b">
        <v>0</v>
      </c>
      <c r="B6555" s="56" t="b">
        <v>0</v>
      </c>
      <c r="C6555" s="56" t="b">
        <v>0</v>
      </c>
      <c r="D6555" s="56" t="b">
        <v>0</v>
      </c>
      <c r="E6555" s="56">
        <f ca="1">IF(PV[[#This Row],[Business Date]]=Control!$C$6, PV[[#This Row],[Notional Value Local Cur]], -PV[[#This Row],[Notional Value Local Cur]])</f>
        <v>0</v>
      </c>
    </row>
    <row r="6556" spans="1:5" x14ac:dyDescent="0.25">
      <c r="A6556" s="36" t="b">
        <v>0</v>
      </c>
      <c r="B6556" s="56" t="b">
        <v>0</v>
      </c>
      <c r="C6556" s="56" t="b">
        <v>0</v>
      </c>
      <c r="D6556" s="56" t="b">
        <v>0</v>
      </c>
      <c r="E6556" s="56">
        <f ca="1">IF(PV[[#This Row],[Business Date]]=Control!$C$6, PV[[#This Row],[Notional Value Local Cur]], -PV[[#This Row],[Notional Value Local Cur]])</f>
        <v>0</v>
      </c>
    </row>
    <row r="6557" spans="1:5" x14ac:dyDescent="0.25">
      <c r="A6557" s="36" t="b">
        <v>0</v>
      </c>
      <c r="B6557" s="56" t="b">
        <v>0</v>
      </c>
      <c r="C6557" s="56" t="b">
        <v>0</v>
      </c>
      <c r="D6557" s="56" t="b">
        <v>0</v>
      </c>
      <c r="E6557" s="56">
        <f ca="1">IF(PV[[#This Row],[Business Date]]=Control!$C$6, PV[[#This Row],[Notional Value Local Cur]], -PV[[#This Row],[Notional Value Local Cur]])</f>
        <v>0</v>
      </c>
    </row>
    <row r="6558" spans="1:5" x14ac:dyDescent="0.25">
      <c r="A6558" s="36" t="b">
        <v>0</v>
      </c>
      <c r="B6558" s="56" t="b">
        <v>0</v>
      </c>
      <c r="C6558" s="56" t="b">
        <v>0</v>
      </c>
      <c r="D6558" s="56" t="b">
        <v>0</v>
      </c>
      <c r="E6558" s="56">
        <f ca="1">IF(PV[[#This Row],[Business Date]]=Control!$C$6, PV[[#This Row],[Notional Value Local Cur]], -PV[[#This Row],[Notional Value Local Cur]])</f>
        <v>0</v>
      </c>
    </row>
    <row r="6559" spans="1:5" x14ac:dyDescent="0.25">
      <c r="A6559" s="36" t="b">
        <v>0</v>
      </c>
      <c r="B6559" s="56" t="b">
        <v>0</v>
      </c>
      <c r="C6559" s="56" t="b">
        <v>0</v>
      </c>
      <c r="D6559" s="56" t="b">
        <v>0</v>
      </c>
      <c r="E6559" s="56">
        <f ca="1">IF(PV[[#This Row],[Business Date]]=Control!$C$6, PV[[#This Row],[Notional Value Local Cur]], -PV[[#This Row],[Notional Value Local Cur]])</f>
        <v>0</v>
      </c>
    </row>
    <row r="6560" spans="1:5" x14ac:dyDescent="0.25">
      <c r="A6560" s="36" t="b">
        <v>0</v>
      </c>
      <c r="B6560" s="56" t="b">
        <v>0</v>
      </c>
      <c r="C6560" s="56" t="b">
        <v>0</v>
      </c>
      <c r="D6560" s="56" t="b">
        <v>0</v>
      </c>
      <c r="E6560" s="56">
        <f ca="1">IF(PV[[#This Row],[Business Date]]=Control!$C$6, PV[[#This Row],[Notional Value Local Cur]], -PV[[#This Row],[Notional Value Local Cur]])</f>
        <v>0</v>
      </c>
    </row>
    <row r="6561" spans="1:5" x14ac:dyDescent="0.25">
      <c r="A6561" s="36" t="b">
        <v>0</v>
      </c>
      <c r="B6561" s="56" t="b">
        <v>0</v>
      </c>
      <c r="C6561" s="56" t="b">
        <v>0</v>
      </c>
      <c r="D6561" s="56" t="b">
        <v>0</v>
      </c>
      <c r="E6561" s="56">
        <f ca="1">IF(PV[[#This Row],[Business Date]]=Control!$C$6, PV[[#This Row],[Notional Value Local Cur]], -PV[[#This Row],[Notional Value Local Cur]])</f>
        <v>0</v>
      </c>
    </row>
    <row r="6562" spans="1:5" x14ac:dyDescent="0.25">
      <c r="A6562" s="36" t="b">
        <v>0</v>
      </c>
      <c r="B6562" s="56" t="b">
        <v>0</v>
      </c>
      <c r="C6562" s="56" t="b">
        <v>0</v>
      </c>
      <c r="D6562" s="56" t="b">
        <v>0</v>
      </c>
      <c r="E6562" s="56">
        <f ca="1">IF(PV[[#This Row],[Business Date]]=Control!$C$6, PV[[#This Row],[Notional Value Local Cur]], -PV[[#This Row],[Notional Value Local Cur]])</f>
        <v>0</v>
      </c>
    </row>
    <row r="6563" spans="1:5" x14ac:dyDescent="0.25">
      <c r="A6563" s="36" t="b">
        <v>0</v>
      </c>
      <c r="B6563" s="56" t="b">
        <v>0</v>
      </c>
      <c r="C6563" s="56" t="b">
        <v>0</v>
      </c>
      <c r="D6563" s="56" t="b">
        <v>0</v>
      </c>
      <c r="E6563" s="56">
        <f ca="1">IF(PV[[#This Row],[Business Date]]=Control!$C$6, PV[[#This Row],[Notional Value Local Cur]], -PV[[#This Row],[Notional Value Local Cur]])</f>
        <v>0</v>
      </c>
    </row>
    <row r="6564" spans="1:5" x14ac:dyDescent="0.25">
      <c r="A6564" s="36" t="b">
        <v>0</v>
      </c>
      <c r="B6564" s="56" t="b">
        <v>0</v>
      </c>
      <c r="C6564" s="56" t="b">
        <v>0</v>
      </c>
      <c r="D6564" s="56" t="b">
        <v>0</v>
      </c>
      <c r="E6564" s="56">
        <f ca="1">IF(PV[[#This Row],[Business Date]]=Control!$C$6, PV[[#This Row],[Notional Value Local Cur]], -PV[[#This Row],[Notional Value Local Cur]])</f>
        <v>0</v>
      </c>
    </row>
    <row r="6565" spans="1:5" x14ac:dyDescent="0.25">
      <c r="A6565" s="36" t="b">
        <v>0</v>
      </c>
      <c r="B6565" s="56" t="b">
        <v>0</v>
      </c>
      <c r="C6565" s="56" t="b">
        <v>0</v>
      </c>
      <c r="D6565" s="56" t="b">
        <v>0</v>
      </c>
      <c r="E6565" s="56">
        <f ca="1">IF(PV[[#This Row],[Business Date]]=Control!$C$6, PV[[#This Row],[Notional Value Local Cur]], -PV[[#This Row],[Notional Value Local Cur]])</f>
        <v>0</v>
      </c>
    </row>
    <row r="6566" spans="1:5" x14ac:dyDescent="0.25">
      <c r="A6566" s="36" t="b">
        <v>0</v>
      </c>
      <c r="B6566" s="56" t="b">
        <v>0</v>
      </c>
      <c r="C6566" s="56" t="b">
        <v>0</v>
      </c>
      <c r="D6566" s="56" t="b">
        <v>0</v>
      </c>
      <c r="E6566" s="56">
        <f ca="1">IF(PV[[#This Row],[Business Date]]=Control!$C$6, PV[[#This Row],[Notional Value Local Cur]], -PV[[#This Row],[Notional Value Local Cur]])</f>
        <v>0</v>
      </c>
    </row>
    <row r="6567" spans="1:5" x14ac:dyDescent="0.25">
      <c r="A6567" s="36" t="b">
        <v>0</v>
      </c>
      <c r="B6567" s="56" t="b">
        <v>0</v>
      </c>
      <c r="C6567" s="56" t="b">
        <v>0</v>
      </c>
      <c r="D6567" s="56" t="b">
        <v>0</v>
      </c>
      <c r="E6567" s="56">
        <f ca="1">IF(PV[[#This Row],[Business Date]]=Control!$C$6, PV[[#This Row],[Notional Value Local Cur]], -PV[[#This Row],[Notional Value Local Cur]])</f>
        <v>0</v>
      </c>
    </row>
    <row r="6568" spans="1:5" x14ac:dyDescent="0.25">
      <c r="A6568" s="36" t="b">
        <v>0</v>
      </c>
      <c r="B6568" s="56" t="b">
        <v>0</v>
      </c>
      <c r="C6568" s="56" t="b">
        <v>0</v>
      </c>
      <c r="D6568" s="56" t="b">
        <v>0</v>
      </c>
      <c r="E6568" s="56">
        <f ca="1">IF(PV[[#This Row],[Business Date]]=Control!$C$6, PV[[#This Row],[Notional Value Local Cur]], -PV[[#This Row],[Notional Value Local Cur]])</f>
        <v>0</v>
      </c>
    </row>
    <row r="6569" spans="1:5" x14ac:dyDescent="0.25">
      <c r="A6569" s="36" t="b">
        <v>0</v>
      </c>
      <c r="B6569" s="56" t="b">
        <v>0</v>
      </c>
      <c r="C6569" s="56" t="b">
        <v>0</v>
      </c>
      <c r="D6569" s="56" t="b">
        <v>0</v>
      </c>
      <c r="E6569" s="56">
        <f ca="1">IF(PV[[#This Row],[Business Date]]=Control!$C$6, PV[[#This Row],[Notional Value Local Cur]], -PV[[#This Row],[Notional Value Local Cur]])</f>
        <v>0</v>
      </c>
    </row>
    <row r="6570" spans="1:5" x14ac:dyDescent="0.25">
      <c r="A6570" s="36" t="b">
        <v>0</v>
      </c>
      <c r="B6570" s="56" t="b">
        <v>0</v>
      </c>
      <c r="C6570" s="56" t="b">
        <v>0</v>
      </c>
      <c r="D6570" s="56" t="b">
        <v>0</v>
      </c>
      <c r="E6570" s="56">
        <f ca="1">IF(PV[[#This Row],[Business Date]]=Control!$C$6, PV[[#This Row],[Notional Value Local Cur]], -PV[[#This Row],[Notional Value Local Cur]])</f>
        <v>0</v>
      </c>
    </row>
    <row r="6571" spans="1:5" x14ac:dyDescent="0.25">
      <c r="A6571" s="36" t="b">
        <v>0</v>
      </c>
      <c r="B6571" s="56" t="b">
        <v>0</v>
      </c>
      <c r="C6571" s="56" t="b">
        <v>0</v>
      </c>
      <c r="D6571" s="56" t="b">
        <v>0</v>
      </c>
      <c r="E6571" s="56">
        <f ca="1">IF(PV[[#This Row],[Business Date]]=Control!$C$6, PV[[#This Row],[Notional Value Local Cur]], -PV[[#This Row],[Notional Value Local Cur]])</f>
        <v>0</v>
      </c>
    </row>
    <row r="6572" spans="1:5" x14ac:dyDescent="0.25">
      <c r="A6572" s="36" t="b">
        <v>0</v>
      </c>
      <c r="B6572" s="56" t="b">
        <v>0</v>
      </c>
      <c r="C6572" s="56" t="b">
        <v>0</v>
      </c>
      <c r="D6572" s="56" t="b">
        <v>0</v>
      </c>
      <c r="E6572" s="56">
        <f ca="1">IF(PV[[#This Row],[Business Date]]=Control!$C$6, PV[[#This Row],[Notional Value Local Cur]], -PV[[#This Row],[Notional Value Local Cur]])</f>
        <v>0</v>
      </c>
    </row>
    <row r="6573" spans="1:5" x14ac:dyDescent="0.25">
      <c r="A6573" s="36" t="b">
        <v>0</v>
      </c>
      <c r="B6573" s="56" t="b">
        <v>0</v>
      </c>
      <c r="C6573" s="56" t="b">
        <v>0</v>
      </c>
      <c r="D6573" s="56" t="b">
        <v>0</v>
      </c>
      <c r="E6573" s="56">
        <f ca="1">IF(PV[[#This Row],[Business Date]]=Control!$C$6, PV[[#This Row],[Notional Value Local Cur]], -PV[[#This Row],[Notional Value Local Cur]])</f>
        <v>0</v>
      </c>
    </row>
    <row r="6574" spans="1:5" x14ac:dyDescent="0.25">
      <c r="A6574" s="36" t="b">
        <v>0</v>
      </c>
      <c r="B6574" s="56" t="b">
        <v>0</v>
      </c>
      <c r="C6574" s="56" t="b">
        <v>0</v>
      </c>
      <c r="D6574" s="56" t="b">
        <v>0</v>
      </c>
      <c r="E6574" s="56">
        <f ca="1">IF(PV[[#This Row],[Business Date]]=Control!$C$6, PV[[#This Row],[Notional Value Local Cur]], -PV[[#This Row],[Notional Value Local Cur]])</f>
        <v>0</v>
      </c>
    </row>
    <row r="6575" spans="1:5" x14ac:dyDescent="0.25">
      <c r="A6575" s="36" t="b">
        <v>0</v>
      </c>
      <c r="B6575" s="56" t="b">
        <v>0</v>
      </c>
      <c r="C6575" s="56" t="b">
        <v>0</v>
      </c>
      <c r="D6575" s="56" t="b">
        <v>0</v>
      </c>
      <c r="E6575" s="56">
        <f ca="1">IF(PV[[#This Row],[Business Date]]=Control!$C$6, PV[[#This Row],[Notional Value Local Cur]], -PV[[#This Row],[Notional Value Local Cur]])</f>
        <v>0</v>
      </c>
    </row>
    <row r="6576" spans="1:5" x14ac:dyDescent="0.25">
      <c r="A6576" s="36" t="b">
        <v>0</v>
      </c>
      <c r="B6576" s="56" t="b">
        <v>0</v>
      </c>
      <c r="C6576" s="56" t="b">
        <v>0</v>
      </c>
      <c r="D6576" s="56" t="b">
        <v>0</v>
      </c>
      <c r="E6576" s="56">
        <f ca="1">IF(PV[[#This Row],[Business Date]]=Control!$C$6, PV[[#This Row],[Notional Value Local Cur]], -PV[[#This Row],[Notional Value Local Cur]])</f>
        <v>0</v>
      </c>
    </row>
    <row r="6577" spans="1:5" x14ac:dyDescent="0.25">
      <c r="A6577" s="36" t="b">
        <v>0</v>
      </c>
      <c r="B6577" s="56" t="b">
        <v>0</v>
      </c>
      <c r="C6577" s="56" t="b">
        <v>0</v>
      </c>
      <c r="D6577" s="56" t="b">
        <v>0</v>
      </c>
      <c r="E6577" s="56">
        <f ca="1">IF(PV[[#This Row],[Business Date]]=Control!$C$6, PV[[#This Row],[Notional Value Local Cur]], -PV[[#This Row],[Notional Value Local Cur]])</f>
        <v>0</v>
      </c>
    </row>
    <row r="6578" spans="1:5" x14ac:dyDescent="0.25">
      <c r="A6578" s="36" t="b">
        <v>0</v>
      </c>
      <c r="B6578" s="56" t="b">
        <v>0</v>
      </c>
      <c r="C6578" s="56" t="b">
        <v>0</v>
      </c>
      <c r="D6578" s="56" t="b">
        <v>0</v>
      </c>
      <c r="E6578" s="56">
        <f ca="1">IF(PV[[#This Row],[Business Date]]=Control!$C$6, PV[[#This Row],[Notional Value Local Cur]], -PV[[#This Row],[Notional Value Local Cur]])</f>
        <v>0</v>
      </c>
    </row>
    <row r="6579" spans="1:5" x14ac:dyDescent="0.25">
      <c r="A6579" s="36" t="b">
        <v>0</v>
      </c>
      <c r="B6579" s="56" t="b">
        <v>0</v>
      </c>
      <c r="C6579" s="56" t="b">
        <v>0</v>
      </c>
      <c r="D6579" s="56" t="b">
        <v>0</v>
      </c>
      <c r="E6579" s="56">
        <f ca="1">IF(PV[[#This Row],[Business Date]]=Control!$C$6, PV[[#This Row],[Notional Value Local Cur]], -PV[[#This Row],[Notional Value Local Cur]])</f>
        <v>0</v>
      </c>
    </row>
    <row r="6580" spans="1:5" x14ac:dyDescent="0.25">
      <c r="A6580" s="36" t="b">
        <v>0</v>
      </c>
      <c r="B6580" s="56" t="b">
        <v>0</v>
      </c>
      <c r="C6580" s="56" t="b">
        <v>0</v>
      </c>
      <c r="D6580" s="56" t="b">
        <v>0</v>
      </c>
      <c r="E6580" s="56">
        <f ca="1">IF(PV[[#This Row],[Business Date]]=Control!$C$6, PV[[#This Row],[Notional Value Local Cur]], -PV[[#This Row],[Notional Value Local Cur]])</f>
        <v>0</v>
      </c>
    </row>
    <row r="6581" spans="1:5" x14ac:dyDescent="0.25">
      <c r="A6581" s="36" t="b">
        <v>0</v>
      </c>
      <c r="B6581" s="56" t="b">
        <v>0</v>
      </c>
      <c r="C6581" s="56" t="b">
        <v>0</v>
      </c>
      <c r="D6581" s="56" t="b">
        <v>0</v>
      </c>
      <c r="E6581" s="56">
        <f ca="1">IF(PV[[#This Row],[Business Date]]=Control!$C$6, PV[[#This Row],[Notional Value Local Cur]], -PV[[#This Row],[Notional Value Local Cur]])</f>
        <v>0</v>
      </c>
    </row>
    <row r="6582" spans="1:5" x14ac:dyDescent="0.25">
      <c r="A6582" s="36" t="b">
        <v>0</v>
      </c>
      <c r="B6582" s="56" t="b">
        <v>0</v>
      </c>
      <c r="C6582" s="56" t="b">
        <v>0</v>
      </c>
      <c r="D6582" s="56" t="b">
        <v>0</v>
      </c>
      <c r="E6582" s="56">
        <f ca="1">IF(PV[[#This Row],[Business Date]]=Control!$C$6, PV[[#This Row],[Notional Value Local Cur]], -PV[[#This Row],[Notional Value Local Cur]])</f>
        <v>0</v>
      </c>
    </row>
    <row r="6583" spans="1:5" x14ac:dyDescent="0.25">
      <c r="A6583" s="36" t="b">
        <v>0</v>
      </c>
      <c r="B6583" s="56" t="b">
        <v>0</v>
      </c>
      <c r="C6583" s="56" t="b">
        <v>0</v>
      </c>
      <c r="D6583" s="56" t="b">
        <v>0</v>
      </c>
      <c r="E6583" s="56">
        <f ca="1">IF(PV[[#This Row],[Business Date]]=Control!$C$6, PV[[#This Row],[Notional Value Local Cur]], -PV[[#This Row],[Notional Value Local Cur]])</f>
        <v>0</v>
      </c>
    </row>
    <row r="6584" spans="1:5" x14ac:dyDescent="0.25">
      <c r="A6584" s="36" t="b">
        <v>0</v>
      </c>
      <c r="B6584" s="56" t="b">
        <v>0</v>
      </c>
      <c r="C6584" s="56" t="b">
        <v>0</v>
      </c>
      <c r="D6584" s="56" t="b">
        <v>0</v>
      </c>
      <c r="E6584" s="56">
        <f ca="1">IF(PV[[#This Row],[Business Date]]=Control!$C$6, PV[[#This Row],[Notional Value Local Cur]], -PV[[#This Row],[Notional Value Local Cur]])</f>
        <v>0</v>
      </c>
    </row>
    <row r="6585" spans="1:5" x14ac:dyDescent="0.25">
      <c r="A6585" s="36" t="b">
        <v>0</v>
      </c>
      <c r="B6585" s="56" t="b">
        <v>0</v>
      </c>
      <c r="C6585" s="56" t="b">
        <v>0</v>
      </c>
      <c r="D6585" s="56" t="b">
        <v>0</v>
      </c>
      <c r="E6585" s="56">
        <f ca="1">IF(PV[[#This Row],[Business Date]]=Control!$C$6, PV[[#This Row],[Notional Value Local Cur]], -PV[[#This Row],[Notional Value Local Cur]])</f>
        <v>0</v>
      </c>
    </row>
    <row r="6586" spans="1:5" x14ac:dyDescent="0.25">
      <c r="A6586" s="36" t="b">
        <v>0</v>
      </c>
      <c r="B6586" s="56" t="b">
        <v>0</v>
      </c>
      <c r="C6586" s="56" t="b">
        <v>0</v>
      </c>
      <c r="D6586" s="56" t="b">
        <v>0</v>
      </c>
      <c r="E6586" s="56">
        <f ca="1">IF(PV[[#This Row],[Business Date]]=Control!$C$6, PV[[#This Row],[Notional Value Local Cur]], -PV[[#This Row],[Notional Value Local Cur]])</f>
        <v>0</v>
      </c>
    </row>
    <row r="6587" spans="1:5" x14ac:dyDescent="0.25">
      <c r="A6587" s="36" t="b">
        <v>0</v>
      </c>
      <c r="B6587" s="56" t="b">
        <v>0</v>
      </c>
      <c r="C6587" s="56" t="b">
        <v>0</v>
      </c>
      <c r="D6587" s="56" t="b">
        <v>0</v>
      </c>
      <c r="E6587" s="56">
        <f ca="1">IF(PV[[#This Row],[Business Date]]=Control!$C$6, PV[[#This Row],[Notional Value Local Cur]], -PV[[#This Row],[Notional Value Local Cur]])</f>
        <v>0</v>
      </c>
    </row>
    <row r="6588" spans="1:5" x14ac:dyDescent="0.25">
      <c r="A6588" s="36" t="b">
        <v>0</v>
      </c>
      <c r="B6588" s="56" t="b">
        <v>0</v>
      </c>
      <c r="C6588" s="56" t="b">
        <v>0</v>
      </c>
      <c r="D6588" s="56" t="b">
        <v>0</v>
      </c>
      <c r="E6588" s="56">
        <f ca="1">IF(PV[[#This Row],[Business Date]]=Control!$C$6, PV[[#This Row],[Notional Value Local Cur]], -PV[[#This Row],[Notional Value Local Cur]])</f>
        <v>0</v>
      </c>
    </row>
    <row r="6589" spans="1:5" x14ac:dyDescent="0.25">
      <c r="A6589" s="36" t="b">
        <v>0</v>
      </c>
      <c r="B6589" s="56" t="b">
        <v>0</v>
      </c>
      <c r="C6589" s="56" t="b">
        <v>0</v>
      </c>
      <c r="D6589" s="56" t="b">
        <v>0</v>
      </c>
      <c r="E6589" s="56">
        <f ca="1">IF(PV[[#This Row],[Business Date]]=Control!$C$6, PV[[#This Row],[Notional Value Local Cur]], -PV[[#This Row],[Notional Value Local Cur]])</f>
        <v>0</v>
      </c>
    </row>
    <row r="6590" spans="1:5" x14ac:dyDescent="0.25">
      <c r="A6590" s="36" t="b">
        <v>0</v>
      </c>
      <c r="B6590" s="56" t="b">
        <v>0</v>
      </c>
      <c r="C6590" s="56" t="b">
        <v>0</v>
      </c>
      <c r="D6590" s="56" t="b">
        <v>0</v>
      </c>
      <c r="E6590" s="56">
        <f ca="1">IF(PV[[#This Row],[Business Date]]=Control!$C$6, PV[[#This Row],[Notional Value Local Cur]], -PV[[#This Row],[Notional Value Local Cur]])</f>
        <v>0</v>
      </c>
    </row>
    <row r="6591" spans="1:5" x14ac:dyDescent="0.25">
      <c r="A6591" s="36" t="b">
        <v>0</v>
      </c>
      <c r="B6591" s="56" t="b">
        <v>0</v>
      </c>
      <c r="C6591" s="56" t="b">
        <v>0</v>
      </c>
      <c r="D6591" s="56" t="b">
        <v>0</v>
      </c>
      <c r="E6591" s="56">
        <f ca="1">IF(PV[[#This Row],[Business Date]]=Control!$C$6, PV[[#This Row],[Notional Value Local Cur]], -PV[[#This Row],[Notional Value Local Cur]])</f>
        <v>0</v>
      </c>
    </row>
    <row r="6592" spans="1:5" x14ac:dyDescent="0.25">
      <c r="A6592" s="36" t="b">
        <v>0</v>
      </c>
      <c r="B6592" s="56" t="b">
        <v>0</v>
      </c>
      <c r="C6592" s="56" t="b">
        <v>0</v>
      </c>
      <c r="D6592" s="56" t="b">
        <v>0</v>
      </c>
      <c r="E6592" s="56">
        <f ca="1">IF(PV[[#This Row],[Business Date]]=Control!$C$6, PV[[#This Row],[Notional Value Local Cur]], -PV[[#This Row],[Notional Value Local Cur]])</f>
        <v>0</v>
      </c>
    </row>
    <row r="6593" spans="1:5" x14ac:dyDescent="0.25">
      <c r="A6593" s="36" t="b">
        <v>0</v>
      </c>
      <c r="B6593" s="56" t="b">
        <v>0</v>
      </c>
      <c r="C6593" s="56" t="b">
        <v>0</v>
      </c>
      <c r="D6593" s="56" t="b">
        <v>0</v>
      </c>
      <c r="E6593" s="56">
        <f ca="1">IF(PV[[#This Row],[Business Date]]=Control!$C$6, PV[[#This Row],[Notional Value Local Cur]], -PV[[#This Row],[Notional Value Local Cur]])</f>
        <v>0</v>
      </c>
    </row>
    <row r="6594" spans="1:5" x14ac:dyDescent="0.25">
      <c r="A6594" s="36" t="b">
        <v>0</v>
      </c>
      <c r="B6594" s="56" t="b">
        <v>0</v>
      </c>
      <c r="C6594" s="56" t="b">
        <v>0</v>
      </c>
      <c r="D6594" s="56" t="b">
        <v>0</v>
      </c>
      <c r="E6594" s="56">
        <f ca="1">IF(PV[[#This Row],[Business Date]]=Control!$C$6, PV[[#This Row],[Notional Value Local Cur]], -PV[[#This Row],[Notional Value Local Cur]])</f>
        <v>0</v>
      </c>
    </row>
    <row r="6595" spans="1:5" x14ac:dyDescent="0.25">
      <c r="A6595" s="36" t="b">
        <v>0</v>
      </c>
      <c r="B6595" s="56" t="b">
        <v>0</v>
      </c>
      <c r="C6595" s="56" t="b">
        <v>0</v>
      </c>
      <c r="D6595" s="56" t="b">
        <v>0</v>
      </c>
      <c r="E6595" s="56">
        <f ca="1">IF(PV[[#This Row],[Business Date]]=Control!$C$6, PV[[#This Row],[Notional Value Local Cur]], -PV[[#This Row],[Notional Value Local Cur]])</f>
        <v>0</v>
      </c>
    </row>
    <row r="6596" spans="1:5" x14ac:dyDescent="0.25">
      <c r="A6596" s="36" t="b">
        <v>0</v>
      </c>
      <c r="B6596" s="56" t="b">
        <v>0</v>
      </c>
      <c r="C6596" s="56" t="b">
        <v>0</v>
      </c>
      <c r="D6596" s="56" t="b">
        <v>0</v>
      </c>
      <c r="E6596" s="56">
        <f ca="1">IF(PV[[#This Row],[Business Date]]=Control!$C$6, PV[[#This Row],[Notional Value Local Cur]], -PV[[#This Row],[Notional Value Local Cur]])</f>
        <v>0</v>
      </c>
    </row>
    <row r="6597" spans="1:5" x14ac:dyDescent="0.25">
      <c r="A6597" s="36" t="b">
        <v>0</v>
      </c>
      <c r="B6597" s="56" t="b">
        <v>0</v>
      </c>
      <c r="C6597" s="56" t="b">
        <v>0</v>
      </c>
      <c r="D6597" s="56" t="b">
        <v>0</v>
      </c>
      <c r="E6597" s="56">
        <f ca="1">IF(PV[[#This Row],[Business Date]]=Control!$C$6, PV[[#This Row],[Notional Value Local Cur]], -PV[[#This Row],[Notional Value Local Cur]])</f>
        <v>0</v>
      </c>
    </row>
    <row r="6598" spans="1:5" x14ac:dyDescent="0.25">
      <c r="A6598" s="36" t="b">
        <v>0</v>
      </c>
      <c r="B6598" s="56" t="b">
        <v>0</v>
      </c>
      <c r="C6598" s="56" t="b">
        <v>0</v>
      </c>
      <c r="D6598" s="56" t="b">
        <v>0</v>
      </c>
      <c r="E6598" s="56">
        <f ca="1">IF(PV[[#This Row],[Business Date]]=Control!$C$6, PV[[#This Row],[Notional Value Local Cur]], -PV[[#This Row],[Notional Value Local Cur]])</f>
        <v>0</v>
      </c>
    </row>
    <row r="6599" spans="1:5" x14ac:dyDescent="0.25">
      <c r="A6599" s="36" t="b">
        <v>0</v>
      </c>
      <c r="B6599" s="56" t="b">
        <v>0</v>
      </c>
      <c r="C6599" s="56" t="b">
        <v>0</v>
      </c>
      <c r="D6599" s="56" t="b">
        <v>0</v>
      </c>
      <c r="E6599" s="56">
        <f ca="1">IF(PV[[#This Row],[Business Date]]=Control!$C$6, PV[[#This Row],[Notional Value Local Cur]], -PV[[#This Row],[Notional Value Local Cur]])</f>
        <v>0</v>
      </c>
    </row>
    <row r="6600" spans="1:5" x14ac:dyDescent="0.25">
      <c r="A6600" s="36" t="b">
        <v>0</v>
      </c>
      <c r="B6600" s="56" t="b">
        <v>0</v>
      </c>
      <c r="C6600" s="56" t="b">
        <v>0</v>
      </c>
      <c r="D6600" s="56" t="b">
        <v>0</v>
      </c>
      <c r="E6600" s="56">
        <f ca="1">IF(PV[[#This Row],[Business Date]]=Control!$C$6, PV[[#This Row],[Notional Value Local Cur]], -PV[[#This Row],[Notional Value Local Cur]])</f>
        <v>0</v>
      </c>
    </row>
    <row r="6601" spans="1:5" x14ac:dyDescent="0.25">
      <c r="A6601" s="36" t="b">
        <v>0</v>
      </c>
      <c r="B6601" s="56" t="b">
        <v>0</v>
      </c>
      <c r="C6601" s="56" t="b">
        <v>0</v>
      </c>
      <c r="D6601" s="56" t="b">
        <v>0</v>
      </c>
      <c r="E6601" s="56">
        <f ca="1">IF(PV[[#This Row],[Business Date]]=Control!$C$6, PV[[#This Row],[Notional Value Local Cur]], -PV[[#This Row],[Notional Value Local Cur]])</f>
        <v>0</v>
      </c>
    </row>
    <row r="6602" spans="1:5" x14ac:dyDescent="0.25">
      <c r="A6602" s="36" t="b">
        <v>0</v>
      </c>
      <c r="B6602" s="56" t="b">
        <v>0</v>
      </c>
      <c r="C6602" s="56" t="b">
        <v>0</v>
      </c>
      <c r="D6602" s="56" t="b">
        <v>0</v>
      </c>
      <c r="E6602" s="56">
        <f ca="1">IF(PV[[#This Row],[Business Date]]=Control!$C$6, PV[[#This Row],[Notional Value Local Cur]], -PV[[#This Row],[Notional Value Local Cur]])</f>
        <v>0</v>
      </c>
    </row>
    <row r="6603" spans="1:5" x14ac:dyDescent="0.25">
      <c r="A6603" s="36" t="b">
        <v>0</v>
      </c>
      <c r="B6603" s="56" t="b">
        <v>0</v>
      </c>
      <c r="C6603" s="56" t="b">
        <v>0</v>
      </c>
      <c r="D6603" s="56" t="b">
        <v>0</v>
      </c>
      <c r="E6603" s="56">
        <f ca="1">IF(PV[[#This Row],[Business Date]]=Control!$C$6, PV[[#This Row],[Notional Value Local Cur]], -PV[[#This Row],[Notional Value Local Cur]])</f>
        <v>0</v>
      </c>
    </row>
    <row r="6604" spans="1:5" x14ac:dyDescent="0.25">
      <c r="A6604" s="36" t="b">
        <v>0</v>
      </c>
      <c r="B6604" s="56" t="b">
        <v>0</v>
      </c>
      <c r="C6604" s="56" t="b">
        <v>0</v>
      </c>
      <c r="D6604" s="56" t="b">
        <v>0</v>
      </c>
      <c r="E6604" s="56">
        <f ca="1">IF(PV[[#This Row],[Business Date]]=Control!$C$6, PV[[#This Row],[Notional Value Local Cur]], -PV[[#This Row],[Notional Value Local Cur]])</f>
        <v>0</v>
      </c>
    </row>
    <row r="6605" spans="1:5" x14ac:dyDescent="0.25">
      <c r="A6605" s="36" t="b">
        <v>0</v>
      </c>
      <c r="B6605" s="56" t="b">
        <v>0</v>
      </c>
      <c r="C6605" s="56" t="b">
        <v>0</v>
      </c>
      <c r="D6605" s="56" t="b">
        <v>0</v>
      </c>
      <c r="E6605" s="56">
        <f ca="1">IF(PV[[#This Row],[Business Date]]=Control!$C$6, PV[[#This Row],[Notional Value Local Cur]], -PV[[#This Row],[Notional Value Local Cur]])</f>
        <v>0</v>
      </c>
    </row>
    <row r="6606" spans="1:5" x14ac:dyDescent="0.25">
      <c r="A6606" s="36" t="b">
        <v>0</v>
      </c>
      <c r="B6606" s="56" t="b">
        <v>0</v>
      </c>
      <c r="C6606" s="56" t="b">
        <v>0</v>
      </c>
      <c r="D6606" s="56" t="b">
        <v>0</v>
      </c>
      <c r="E6606" s="56">
        <f ca="1">IF(PV[[#This Row],[Business Date]]=Control!$C$6, PV[[#This Row],[Notional Value Local Cur]], -PV[[#This Row],[Notional Value Local Cur]])</f>
        <v>0</v>
      </c>
    </row>
    <row r="6607" spans="1:5" x14ac:dyDescent="0.25">
      <c r="A6607" s="36" t="b">
        <v>0</v>
      </c>
      <c r="B6607" s="56" t="b">
        <v>0</v>
      </c>
      <c r="C6607" s="56" t="b">
        <v>0</v>
      </c>
      <c r="D6607" s="56" t="b">
        <v>0</v>
      </c>
      <c r="E6607" s="56">
        <f ca="1">IF(PV[[#This Row],[Business Date]]=Control!$C$6, PV[[#This Row],[Notional Value Local Cur]], -PV[[#This Row],[Notional Value Local Cur]])</f>
        <v>0</v>
      </c>
    </row>
    <row r="6608" spans="1:5" x14ac:dyDescent="0.25">
      <c r="A6608" s="36" t="b">
        <v>0</v>
      </c>
      <c r="B6608" s="56" t="b">
        <v>0</v>
      </c>
      <c r="C6608" s="56" t="b">
        <v>0</v>
      </c>
      <c r="D6608" s="56" t="b">
        <v>0</v>
      </c>
      <c r="E6608" s="56">
        <f ca="1">IF(PV[[#This Row],[Business Date]]=Control!$C$6, PV[[#This Row],[Notional Value Local Cur]], -PV[[#This Row],[Notional Value Local Cur]])</f>
        <v>0</v>
      </c>
    </row>
    <row r="6609" spans="1:5" x14ac:dyDescent="0.25">
      <c r="A6609" s="36" t="b">
        <v>0</v>
      </c>
      <c r="B6609" s="56" t="b">
        <v>0</v>
      </c>
      <c r="C6609" s="56" t="b">
        <v>0</v>
      </c>
      <c r="D6609" s="56" t="b">
        <v>0</v>
      </c>
      <c r="E6609" s="56">
        <f ca="1">IF(PV[[#This Row],[Business Date]]=Control!$C$6, PV[[#This Row],[Notional Value Local Cur]], -PV[[#This Row],[Notional Value Local Cur]])</f>
        <v>0</v>
      </c>
    </row>
    <row r="6610" spans="1:5" x14ac:dyDescent="0.25">
      <c r="A6610" s="36" t="b">
        <v>0</v>
      </c>
      <c r="B6610" s="56" t="b">
        <v>0</v>
      </c>
      <c r="C6610" s="56" t="b">
        <v>0</v>
      </c>
      <c r="D6610" s="56" t="b">
        <v>0</v>
      </c>
      <c r="E6610" s="56">
        <f ca="1">IF(PV[[#This Row],[Business Date]]=Control!$C$6, PV[[#This Row],[Notional Value Local Cur]], -PV[[#This Row],[Notional Value Local Cur]])</f>
        <v>0</v>
      </c>
    </row>
    <row r="6611" spans="1:5" x14ac:dyDescent="0.25">
      <c r="A6611" s="36" t="b">
        <v>0</v>
      </c>
      <c r="B6611" s="56" t="b">
        <v>0</v>
      </c>
      <c r="C6611" s="56" t="b">
        <v>0</v>
      </c>
      <c r="D6611" s="56" t="b">
        <v>0</v>
      </c>
      <c r="E6611" s="56">
        <f ca="1">IF(PV[[#This Row],[Business Date]]=Control!$C$6, PV[[#This Row],[Notional Value Local Cur]], -PV[[#This Row],[Notional Value Local Cur]])</f>
        <v>0</v>
      </c>
    </row>
    <row r="6612" spans="1:5" x14ac:dyDescent="0.25">
      <c r="A6612" s="36" t="b">
        <v>0</v>
      </c>
      <c r="B6612" s="56" t="b">
        <v>0</v>
      </c>
      <c r="C6612" s="56" t="b">
        <v>0</v>
      </c>
      <c r="D6612" s="56" t="b">
        <v>0</v>
      </c>
      <c r="E6612" s="56">
        <f ca="1">IF(PV[[#This Row],[Business Date]]=Control!$C$6, PV[[#This Row],[Notional Value Local Cur]], -PV[[#This Row],[Notional Value Local Cur]])</f>
        <v>0</v>
      </c>
    </row>
    <row r="6613" spans="1:5" x14ac:dyDescent="0.25">
      <c r="A6613" s="36" t="b">
        <v>0</v>
      </c>
      <c r="B6613" s="56" t="b">
        <v>0</v>
      </c>
      <c r="C6613" s="56" t="b">
        <v>0</v>
      </c>
      <c r="D6613" s="56" t="b">
        <v>0</v>
      </c>
      <c r="E6613" s="56">
        <f ca="1">IF(PV[[#This Row],[Business Date]]=Control!$C$6, PV[[#This Row],[Notional Value Local Cur]], -PV[[#This Row],[Notional Value Local Cur]])</f>
        <v>0</v>
      </c>
    </row>
    <row r="6614" spans="1:5" x14ac:dyDescent="0.25">
      <c r="A6614" s="36" t="b">
        <v>0</v>
      </c>
      <c r="B6614" s="56" t="b">
        <v>0</v>
      </c>
      <c r="C6614" s="56" t="b">
        <v>0</v>
      </c>
      <c r="D6614" s="56" t="b">
        <v>0</v>
      </c>
      <c r="E6614" s="56">
        <f ca="1">IF(PV[[#This Row],[Business Date]]=Control!$C$6, PV[[#This Row],[Notional Value Local Cur]], -PV[[#This Row],[Notional Value Local Cur]])</f>
        <v>0</v>
      </c>
    </row>
    <row r="6615" spans="1:5" x14ac:dyDescent="0.25">
      <c r="A6615" s="36" t="b">
        <v>0</v>
      </c>
      <c r="B6615" s="56" t="b">
        <v>0</v>
      </c>
      <c r="C6615" s="56" t="b">
        <v>0</v>
      </c>
      <c r="D6615" s="56" t="b">
        <v>0</v>
      </c>
      <c r="E6615" s="56">
        <f ca="1">IF(PV[[#This Row],[Business Date]]=Control!$C$6, PV[[#This Row],[Notional Value Local Cur]], -PV[[#This Row],[Notional Value Local Cur]])</f>
        <v>0</v>
      </c>
    </row>
    <row r="6616" spans="1:5" x14ac:dyDescent="0.25">
      <c r="A6616" s="36" t="b">
        <v>0</v>
      </c>
      <c r="B6616" s="56" t="b">
        <v>0</v>
      </c>
      <c r="C6616" s="56" t="b">
        <v>0</v>
      </c>
      <c r="D6616" s="56" t="b">
        <v>0</v>
      </c>
      <c r="E6616" s="56">
        <f ca="1">IF(PV[[#This Row],[Business Date]]=Control!$C$6, PV[[#This Row],[Notional Value Local Cur]], -PV[[#This Row],[Notional Value Local Cur]])</f>
        <v>0</v>
      </c>
    </row>
    <row r="6617" spans="1:5" x14ac:dyDescent="0.25">
      <c r="A6617" s="36" t="b">
        <v>0</v>
      </c>
      <c r="B6617" s="56" t="b">
        <v>0</v>
      </c>
      <c r="C6617" s="56" t="b">
        <v>0</v>
      </c>
      <c r="D6617" s="56" t="b">
        <v>0</v>
      </c>
      <c r="E6617" s="56">
        <f ca="1">IF(PV[[#This Row],[Business Date]]=Control!$C$6, PV[[#This Row],[Notional Value Local Cur]], -PV[[#This Row],[Notional Value Local Cur]])</f>
        <v>0</v>
      </c>
    </row>
    <row r="6618" spans="1:5" x14ac:dyDescent="0.25">
      <c r="A6618" s="36" t="b">
        <v>0</v>
      </c>
      <c r="B6618" s="56" t="b">
        <v>0</v>
      </c>
      <c r="C6618" s="56" t="b">
        <v>0</v>
      </c>
      <c r="D6618" s="56" t="b">
        <v>0</v>
      </c>
      <c r="E6618" s="56">
        <f ca="1">IF(PV[[#This Row],[Business Date]]=Control!$C$6, PV[[#This Row],[Notional Value Local Cur]], -PV[[#This Row],[Notional Value Local Cur]])</f>
        <v>0</v>
      </c>
    </row>
    <row r="6619" spans="1:5" x14ac:dyDescent="0.25">
      <c r="A6619" s="36" t="b">
        <v>0</v>
      </c>
      <c r="B6619" s="56" t="b">
        <v>0</v>
      </c>
      <c r="C6619" s="56" t="b">
        <v>0</v>
      </c>
      <c r="D6619" s="56" t="b">
        <v>0</v>
      </c>
      <c r="E6619" s="56">
        <f ca="1">IF(PV[[#This Row],[Business Date]]=Control!$C$6, PV[[#This Row],[Notional Value Local Cur]], -PV[[#This Row],[Notional Value Local Cur]])</f>
        <v>0</v>
      </c>
    </row>
    <row r="6620" spans="1:5" x14ac:dyDescent="0.25">
      <c r="A6620" s="36" t="b">
        <v>0</v>
      </c>
      <c r="B6620" s="56" t="b">
        <v>0</v>
      </c>
      <c r="C6620" s="56" t="b">
        <v>0</v>
      </c>
      <c r="D6620" s="56" t="b">
        <v>0</v>
      </c>
      <c r="E6620" s="56">
        <f ca="1">IF(PV[[#This Row],[Business Date]]=Control!$C$6, PV[[#This Row],[Notional Value Local Cur]], -PV[[#This Row],[Notional Value Local Cur]])</f>
        <v>0</v>
      </c>
    </row>
    <row r="6621" spans="1:5" x14ac:dyDescent="0.25">
      <c r="A6621" s="36" t="b">
        <v>0</v>
      </c>
      <c r="B6621" s="56" t="b">
        <v>0</v>
      </c>
      <c r="C6621" s="56" t="b">
        <v>0</v>
      </c>
      <c r="D6621" s="56" t="b">
        <v>0</v>
      </c>
      <c r="E6621" s="56">
        <f ca="1">IF(PV[[#This Row],[Business Date]]=Control!$C$6, PV[[#This Row],[Notional Value Local Cur]], -PV[[#This Row],[Notional Value Local Cur]])</f>
        <v>0</v>
      </c>
    </row>
    <row r="6622" spans="1:5" x14ac:dyDescent="0.25">
      <c r="A6622" s="36" t="b">
        <v>0</v>
      </c>
      <c r="B6622" s="56" t="b">
        <v>0</v>
      </c>
      <c r="C6622" s="56" t="b">
        <v>0</v>
      </c>
      <c r="D6622" s="56" t="b">
        <v>0</v>
      </c>
      <c r="E6622" s="56">
        <f ca="1">IF(PV[[#This Row],[Business Date]]=Control!$C$6, PV[[#This Row],[Notional Value Local Cur]], -PV[[#This Row],[Notional Value Local Cur]])</f>
        <v>0</v>
      </c>
    </row>
    <row r="6623" spans="1:5" x14ac:dyDescent="0.25">
      <c r="A6623" s="36" t="b">
        <v>0</v>
      </c>
      <c r="B6623" s="56" t="b">
        <v>0</v>
      </c>
      <c r="C6623" s="56" t="b">
        <v>0</v>
      </c>
      <c r="D6623" s="56" t="b">
        <v>0</v>
      </c>
      <c r="E6623" s="56">
        <f ca="1">IF(PV[[#This Row],[Business Date]]=Control!$C$6, PV[[#This Row],[Notional Value Local Cur]], -PV[[#This Row],[Notional Value Local Cur]])</f>
        <v>0</v>
      </c>
    </row>
    <row r="6624" spans="1:5" x14ac:dyDescent="0.25">
      <c r="A6624" s="36" t="b">
        <v>0</v>
      </c>
      <c r="B6624" s="56" t="b">
        <v>0</v>
      </c>
      <c r="C6624" s="56" t="b">
        <v>0</v>
      </c>
      <c r="D6624" s="56" t="b">
        <v>0</v>
      </c>
      <c r="E6624" s="56">
        <f ca="1">IF(PV[[#This Row],[Business Date]]=Control!$C$6, PV[[#This Row],[Notional Value Local Cur]], -PV[[#This Row],[Notional Value Local Cur]])</f>
        <v>0</v>
      </c>
    </row>
    <row r="6625" spans="1:5" x14ac:dyDescent="0.25">
      <c r="A6625" s="36" t="b">
        <v>0</v>
      </c>
      <c r="B6625" s="56" t="b">
        <v>0</v>
      </c>
      <c r="C6625" s="56" t="b">
        <v>0</v>
      </c>
      <c r="D6625" s="56" t="b">
        <v>0</v>
      </c>
      <c r="E6625" s="56">
        <f ca="1">IF(PV[[#This Row],[Business Date]]=Control!$C$6, PV[[#This Row],[Notional Value Local Cur]], -PV[[#This Row],[Notional Value Local Cur]])</f>
        <v>0</v>
      </c>
    </row>
    <row r="6626" spans="1:5" x14ac:dyDescent="0.25">
      <c r="A6626" s="36" t="b">
        <v>0</v>
      </c>
      <c r="B6626" s="56" t="b">
        <v>0</v>
      </c>
      <c r="C6626" s="56" t="b">
        <v>0</v>
      </c>
      <c r="D6626" s="56" t="b">
        <v>0</v>
      </c>
      <c r="E6626" s="56">
        <f ca="1">IF(PV[[#This Row],[Business Date]]=Control!$C$6, PV[[#This Row],[Notional Value Local Cur]], -PV[[#This Row],[Notional Value Local Cur]])</f>
        <v>0</v>
      </c>
    </row>
    <row r="6627" spans="1:5" x14ac:dyDescent="0.25">
      <c r="A6627" s="36" t="b">
        <v>0</v>
      </c>
      <c r="B6627" s="56" t="b">
        <v>0</v>
      </c>
      <c r="C6627" s="56" t="b">
        <v>0</v>
      </c>
      <c r="D6627" s="56" t="b">
        <v>0</v>
      </c>
      <c r="E6627" s="56">
        <f ca="1">IF(PV[[#This Row],[Business Date]]=Control!$C$6, PV[[#This Row],[Notional Value Local Cur]], -PV[[#This Row],[Notional Value Local Cur]])</f>
        <v>0</v>
      </c>
    </row>
    <row r="6628" spans="1:5" x14ac:dyDescent="0.25">
      <c r="A6628" s="36" t="b">
        <v>0</v>
      </c>
      <c r="B6628" s="56" t="b">
        <v>0</v>
      </c>
      <c r="C6628" s="56" t="b">
        <v>0</v>
      </c>
      <c r="D6628" s="56" t="b">
        <v>0</v>
      </c>
      <c r="E6628" s="56">
        <f ca="1">IF(PV[[#This Row],[Business Date]]=Control!$C$6, PV[[#This Row],[Notional Value Local Cur]], -PV[[#This Row],[Notional Value Local Cur]])</f>
        <v>0</v>
      </c>
    </row>
    <row r="6629" spans="1:5" x14ac:dyDescent="0.25">
      <c r="A6629" s="36" t="b">
        <v>0</v>
      </c>
      <c r="B6629" s="56" t="b">
        <v>0</v>
      </c>
      <c r="C6629" s="56" t="b">
        <v>0</v>
      </c>
      <c r="D6629" s="56" t="b">
        <v>0</v>
      </c>
      <c r="E6629" s="56">
        <f ca="1">IF(PV[[#This Row],[Business Date]]=Control!$C$6, PV[[#This Row],[Notional Value Local Cur]], -PV[[#This Row],[Notional Value Local Cur]])</f>
        <v>0</v>
      </c>
    </row>
    <row r="6630" spans="1:5" x14ac:dyDescent="0.25">
      <c r="A6630" s="36" t="b">
        <v>0</v>
      </c>
      <c r="B6630" s="56" t="b">
        <v>0</v>
      </c>
      <c r="C6630" s="56" t="b">
        <v>0</v>
      </c>
      <c r="D6630" s="56" t="b">
        <v>0</v>
      </c>
      <c r="E6630" s="56">
        <f ca="1">IF(PV[[#This Row],[Business Date]]=Control!$C$6, PV[[#This Row],[Notional Value Local Cur]], -PV[[#This Row],[Notional Value Local Cur]])</f>
        <v>0</v>
      </c>
    </row>
    <row r="6631" spans="1:5" x14ac:dyDescent="0.25">
      <c r="A6631" s="36" t="b">
        <v>0</v>
      </c>
      <c r="B6631" s="56" t="b">
        <v>0</v>
      </c>
      <c r="C6631" s="56" t="b">
        <v>0</v>
      </c>
      <c r="D6631" s="56" t="b">
        <v>0</v>
      </c>
      <c r="E6631" s="56">
        <f ca="1">IF(PV[[#This Row],[Business Date]]=Control!$C$6, PV[[#This Row],[Notional Value Local Cur]], -PV[[#This Row],[Notional Value Local Cur]])</f>
        <v>0</v>
      </c>
    </row>
    <row r="6632" spans="1:5" x14ac:dyDescent="0.25">
      <c r="A6632" s="36" t="b">
        <v>0</v>
      </c>
      <c r="B6632" s="56" t="b">
        <v>0</v>
      </c>
      <c r="C6632" s="56" t="b">
        <v>0</v>
      </c>
      <c r="D6632" s="56" t="b">
        <v>0</v>
      </c>
      <c r="E6632" s="56">
        <f ca="1">IF(PV[[#This Row],[Business Date]]=Control!$C$6, PV[[#This Row],[Notional Value Local Cur]], -PV[[#This Row],[Notional Value Local Cur]])</f>
        <v>0</v>
      </c>
    </row>
    <row r="6633" spans="1:5" x14ac:dyDescent="0.25">
      <c r="A6633" s="36" t="b">
        <v>0</v>
      </c>
      <c r="B6633" s="56" t="b">
        <v>0</v>
      </c>
      <c r="C6633" s="56" t="b">
        <v>0</v>
      </c>
      <c r="D6633" s="56" t="b">
        <v>0</v>
      </c>
      <c r="E6633" s="56">
        <f ca="1">IF(PV[[#This Row],[Business Date]]=Control!$C$6, PV[[#This Row],[Notional Value Local Cur]], -PV[[#This Row],[Notional Value Local Cur]])</f>
        <v>0</v>
      </c>
    </row>
    <row r="6634" spans="1:5" x14ac:dyDescent="0.25">
      <c r="A6634" s="36" t="b">
        <v>0</v>
      </c>
      <c r="B6634" s="56" t="b">
        <v>0</v>
      </c>
      <c r="C6634" s="56" t="b">
        <v>0</v>
      </c>
      <c r="D6634" s="56" t="b">
        <v>0</v>
      </c>
      <c r="E6634" s="56">
        <f ca="1">IF(PV[[#This Row],[Business Date]]=Control!$C$6, PV[[#This Row],[Notional Value Local Cur]], -PV[[#This Row],[Notional Value Local Cur]])</f>
        <v>0</v>
      </c>
    </row>
    <row r="6635" spans="1:5" x14ac:dyDescent="0.25">
      <c r="A6635" s="36" t="b">
        <v>0</v>
      </c>
      <c r="B6635" s="56" t="b">
        <v>0</v>
      </c>
      <c r="C6635" s="56" t="b">
        <v>0</v>
      </c>
      <c r="D6635" s="56" t="b">
        <v>0</v>
      </c>
      <c r="E6635" s="56">
        <f ca="1">IF(PV[[#This Row],[Business Date]]=Control!$C$6, PV[[#This Row],[Notional Value Local Cur]], -PV[[#This Row],[Notional Value Local Cur]])</f>
        <v>0</v>
      </c>
    </row>
    <row r="6636" spans="1:5" x14ac:dyDescent="0.25">
      <c r="A6636" s="36" t="b">
        <v>0</v>
      </c>
      <c r="B6636" s="56" t="b">
        <v>0</v>
      </c>
      <c r="C6636" s="56" t="b">
        <v>0</v>
      </c>
      <c r="D6636" s="56" t="b">
        <v>0</v>
      </c>
      <c r="E6636" s="56">
        <f ca="1">IF(PV[[#This Row],[Business Date]]=Control!$C$6, PV[[#This Row],[Notional Value Local Cur]], -PV[[#This Row],[Notional Value Local Cur]])</f>
        <v>0</v>
      </c>
    </row>
    <row r="6637" spans="1:5" x14ac:dyDescent="0.25">
      <c r="A6637" s="36" t="b">
        <v>0</v>
      </c>
      <c r="B6637" s="56" t="b">
        <v>0</v>
      </c>
      <c r="C6637" s="56" t="b">
        <v>0</v>
      </c>
      <c r="D6637" s="56" t="b">
        <v>0</v>
      </c>
      <c r="E6637" s="56">
        <f ca="1">IF(PV[[#This Row],[Business Date]]=Control!$C$6, PV[[#This Row],[Notional Value Local Cur]], -PV[[#This Row],[Notional Value Local Cur]])</f>
        <v>0</v>
      </c>
    </row>
    <row r="6638" spans="1:5" x14ac:dyDescent="0.25">
      <c r="A6638" s="36" t="b">
        <v>0</v>
      </c>
      <c r="B6638" s="56" t="b">
        <v>0</v>
      </c>
      <c r="C6638" s="56" t="b">
        <v>0</v>
      </c>
      <c r="D6638" s="56" t="b">
        <v>0</v>
      </c>
      <c r="E6638" s="56">
        <f ca="1">IF(PV[[#This Row],[Business Date]]=Control!$C$6, PV[[#This Row],[Notional Value Local Cur]], -PV[[#This Row],[Notional Value Local Cur]])</f>
        <v>0</v>
      </c>
    </row>
    <row r="6639" spans="1:5" x14ac:dyDescent="0.25">
      <c r="A6639" s="36" t="b">
        <v>0</v>
      </c>
      <c r="B6639" s="56" t="b">
        <v>0</v>
      </c>
      <c r="C6639" s="56" t="b">
        <v>0</v>
      </c>
      <c r="D6639" s="56" t="b">
        <v>0</v>
      </c>
      <c r="E6639" s="56">
        <f ca="1">IF(PV[[#This Row],[Business Date]]=Control!$C$6, PV[[#This Row],[Notional Value Local Cur]], -PV[[#This Row],[Notional Value Local Cur]])</f>
        <v>0</v>
      </c>
    </row>
    <row r="6640" spans="1:5" x14ac:dyDescent="0.25">
      <c r="A6640" s="36" t="b">
        <v>0</v>
      </c>
      <c r="B6640" s="56" t="b">
        <v>0</v>
      </c>
      <c r="C6640" s="56" t="b">
        <v>0</v>
      </c>
      <c r="D6640" s="56" t="b">
        <v>0</v>
      </c>
      <c r="E6640" s="56">
        <f ca="1">IF(PV[[#This Row],[Business Date]]=Control!$C$6, PV[[#This Row],[Notional Value Local Cur]], -PV[[#This Row],[Notional Value Local Cur]])</f>
        <v>0</v>
      </c>
    </row>
    <row r="6641" spans="1:5" x14ac:dyDescent="0.25">
      <c r="A6641" s="36" t="b">
        <v>0</v>
      </c>
      <c r="B6641" s="56" t="b">
        <v>0</v>
      </c>
      <c r="C6641" s="56" t="b">
        <v>0</v>
      </c>
      <c r="D6641" s="56" t="b">
        <v>0</v>
      </c>
      <c r="E6641" s="56">
        <f ca="1">IF(PV[[#This Row],[Business Date]]=Control!$C$6, PV[[#This Row],[Notional Value Local Cur]], -PV[[#This Row],[Notional Value Local Cur]])</f>
        <v>0</v>
      </c>
    </row>
    <row r="6642" spans="1:5" x14ac:dyDescent="0.25">
      <c r="A6642" s="36" t="b">
        <v>0</v>
      </c>
      <c r="B6642" s="56" t="b">
        <v>0</v>
      </c>
      <c r="C6642" s="56" t="b">
        <v>0</v>
      </c>
      <c r="D6642" s="56" t="b">
        <v>0</v>
      </c>
      <c r="E6642" s="56">
        <f ca="1">IF(PV[[#This Row],[Business Date]]=Control!$C$6, PV[[#This Row],[Notional Value Local Cur]], -PV[[#This Row],[Notional Value Local Cur]])</f>
        <v>0</v>
      </c>
    </row>
    <row r="6643" spans="1:5" x14ac:dyDescent="0.25">
      <c r="A6643" s="36" t="b">
        <v>0</v>
      </c>
      <c r="B6643" s="56" t="b">
        <v>0</v>
      </c>
      <c r="C6643" s="56" t="b">
        <v>0</v>
      </c>
      <c r="D6643" s="56" t="b">
        <v>0</v>
      </c>
      <c r="E6643" s="56">
        <f ca="1">IF(PV[[#This Row],[Business Date]]=Control!$C$6, PV[[#This Row],[Notional Value Local Cur]], -PV[[#This Row],[Notional Value Local Cur]])</f>
        <v>0</v>
      </c>
    </row>
    <row r="6644" spans="1:5" x14ac:dyDescent="0.25">
      <c r="A6644" s="36" t="b">
        <v>0</v>
      </c>
      <c r="B6644" s="56" t="b">
        <v>0</v>
      </c>
      <c r="C6644" s="56" t="b">
        <v>0</v>
      </c>
      <c r="D6644" s="56" t="b">
        <v>0</v>
      </c>
      <c r="E6644" s="56">
        <f ca="1">IF(PV[[#This Row],[Business Date]]=Control!$C$6, PV[[#This Row],[Notional Value Local Cur]], -PV[[#This Row],[Notional Value Local Cur]])</f>
        <v>0</v>
      </c>
    </row>
    <row r="6645" spans="1:5" x14ac:dyDescent="0.25">
      <c r="A6645" s="36" t="b">
        <v>0</v>
      </c>
      <c r="B6645" s="56" t="b">
        <v>0</v>
      </c>
      <c r="C6645" s="56" t="b">
        <v>0</v>
      </c>
      <c r="D6645" s="56" t="b">
        <v>0</v>
      </c>
      <c r="E6645" s="56">
        <f ca="1">IF(PV[[#This Row],[Business Date]]=Control!$C$6, PV[[#This Row],[Notional Value Local Cur]], -PV[[#This Row],[Notional Value Local Cur]])</f>
        <v>0</v>
      </c>
    </row>
    <row r="6646" spans="1:5" x14ac:dyDescent="0.25">
      <c r="A6646" s="36" t="b">
        <v>0</v>
      </c>
      <c r="B6646" s="56" t="b">
        <v>0</v>
      </c>
      <c r="C6646" s="56" t="b">
        <v>0</v>
      </c>
      <c r="D6646" s="56" t="b">
        <v>0</v>
      </c>
      <c r="E6646" s="56">
        <f ca="1">IF(PV[[#This Row],[Business Date]]=Control!$C$6, PV[[#This Row],[Notional Value Local Cur]], -PV[[#This Row],[Notional Value Local Cur]])</f>
        <v>0</v>
      </c>
    </row>
    <row r="6647" spans="1:5" x14ac:dyDescent="0.25">
      <c r="A6647" s="36" t="b">
        <v>0</v>
      </c>
      <c r="B6647" s="56" t="b">
        <v>0</v>
      </c>
      <c r="C6647" s="56" t="b">
        <v>0</v>
      </c>
      <c r="D6647" s="56" t="b">
        <v>0</v>
      </c>
      <c r="E6647" s="56">
        <f ca="1">IF(PV[[#This Row],[Business Date]]=Control!$C$6, PV[[#This Row],[Notional Value Local Cur]], -PV[[#This Row],[Notional Value Local Cur]])</f>
        <v>0</v>
      </c>
    </row>
    <row r="6648" spans="1:5" x14ac:dyDescent="0.25">
      <c r="A6648" s="36" t="b">
        <v>0</v>
      </c>
      <c r="B6648" s="56" t="b">
        <v>0</v>
      </c>
      <c r="C6648" s="56" t="b">
        <v>0</v>
      </c>
      <c r="D6648" s="56" t="b">
        <v>0</v>
      </c>
      <c r="E6648" s="56">
        <f ca="1">IF(PV[[#This Row],[Business Date]]=Control!$C$6, PV[[#This Row],[Notional Value Local Cur]], -PV[[#This Row],[Notional Value Local Cur]])</f>
        <v>0</v>
      </c>
    </row>
    <row r="6649" spans="1:5" x14ac:dyDescent="0.25">
      <c r="A6649" s="36" t="b">
        <v>0</v>
      </c>
      <c r="B6649" s="56" t="b">
        <v>0</v>
      </c>
      <c r="C6649" s="56" t="b">
        <v>0</v>
      </c>
      <c r="D6649" s="56" t="b">
        <v>0</v>
      </c>
      <c r="E6649" s="56">
        <f ca="1">IF(PV[[#This Row],[Business Date]]=Control!$C$6, PV[[#This Row],[Notional Value Local Cur]], -PV[[#This Row],[Notional Value Local Cur]])</f>
        <v>0</v>
      </c>
    </row>
    <row r="6650" spans="1:5" x14ac:dyDescent="0.25">
      <c r="A6650" s="36" t="b">
        <v>0</v>
      </c>
      <c r="B6650" s="56" t="b">
        <v>0</v>
      </c>
      <c r="C6650" s="56" t="b">
        <v>0</v>
      </c>
      <c r="D6650" s="56" t="b">
        <v>0</v>
      </c>
      <c r="E6650" s="56">
        <f ca="1">IF(PV[[#This Row],[Business Date]]=Control!$C$6, PV[[#This Row],[Notional Value Local Cur]], -PV[[#This Row],[Notional Value Local Cur]])</f>
        <v>0</v>
      </c>
    </row>
    <row r="6651" spans="1:5" x14ac:dyDescent="0.25">
      <c r="A6651" s="36" t="b">
        <v>0</v>
      </c>
      <c r="B6651" s="56" t="b">
        <v>0</v>
      </c>
      <c r="C6651" s="56" t="b">
        <v>0</v>
      </c>
      <c r="D6651" s="56" t="b">
        <v>0</v>
      </c>
      <c r="E6651" s="56">
        <f ca="1">IF(PV[[#This Row],[Business Date]]=Control!$C$6, PV[[#This Row],[Notional Value Local Cur]], -PV[[#This Row],[Notional Value Local Cur]])</f>
        <v>0</v>
      </c>
    </row>
    <row r="6652" spans="1:5" x14ac:dyDescent="0.25">
      <c r="A6652" s="36" t="b">
        <v>0</v>
      </c>
      <c r="B6652" s="56" t="b">
        <v>0</v>
      </c>
      <c r="C6652" s="56" t="b">
        <v>0</v>
      </c>
      <c r="D6652" s="56" t="b">
        <v>0</v>
      </c>
      <c r="E6652" s="56">
        <f ca="1">IF(PV[[#This Row],[Business Date]]=Control!$C$6, PV[[#This Row],[Notional Value Local Cur]], -PV[[#This Row],[Notional Value Local Cur]])</f>
        <v>0</v>
      </c>
    </row>
    <row r="6653" spans="1:5" x14ac:dyDescent="0.25">
      <c r="A6653" s="36" t="b">
        <v>0</v>
      </c>
      <c r="B6653" s="56" t="b">
        <v>0</v>
      </c>
      <c r="C6653" s="56" t="b">
        <v>0</v>
      </c>
      <c r="D6653" s="56" t="b">
        <v>0</v>
      </c>
      <c r="E6653" s="56">
        <f ca="1">IF(PV[[#This Row],[Business Date]]=Control!$C$6, PV[[#This Row],[Notional Value Local Cur]], -PV[[#This Row],[Notional Value Local Cur]])</f>
        <v>0</v>
      </c>
    </row>
    <row r="6654" spans="1:5" x14ac:dyDescent="0.25">
      <c r="A6654" s="36" t="b">
        <v>0</v>
      </c>
      <c r="B6654" s="56" t="b">
        <v>0</v>
      </c>
      <c r="C6654" s="56" t="b">
        <v>0</v>
      </c>
      <c r="D6654" s="56" t="b">
        <v>0</v>
      </c>
      <c r="E6654" s="56">
        <f ca="1">IF(PV[[#This Row],[Business Date]]=Control!$C$6, PV[[#This Row],[Notional Value Local Cur]], -PV[[#This Row],[Notional Value Local Cur]])</f>
        <v>0</v>
      </c>
    </row>
    <row r="6655" spans="1:5" x14ac:dyDescent="0.25">
      <c r="A6655" s="36" t="b">
        <v>0</v>
      </c>
      <c r="B6655" s="56" t="b">
        <v>0</v>
      </c>
      <c r="C6655" s="56" t="b">
        <v>0</v>
      </c>
      <c r="D6655" s="56" t="b">
        <v>0</v>
      </c>
      <c r="E6655" s="56">
        <f ca="1">IF(PV[[#This Row],[Business Date]]=Control!$C$6, PV[[#This Row],[Notional Value Local Cur]], -PV[[#This Row],[Notional Value Local Cur]])</f>
        <v>0</v>
      </c>
    </row>
    <row r="6656" spans="1:5" x14ac:dyDescent="0.25">
      <c r="A6656" s="36" t="b">
        <v>0</v>
      </c>
      <c r="B6656" s="56" t="b">
        <v>0</v>
      </c>
      <c r="C6656" s="56" t="b">
        <v>0</v>
      </c>
      <c r="D6656" s="56" t="b">
        <v>0</v>
      </c>
      <c r="E6656" s="56">
        <f ca="1">IF(PV[[#This Row],[Business Date]]=Control!$C$6, PV[[#This Row],[Notional Value Local Cur]], -PV[[#This Row],[Notional Value Local Cur]])</f>
        <v>0</v>
      </c>
    </row>
    <row r="6657" spans="1:5" x14ac:dyDescent="0.25">
      <c r="A6657" s="36" t="b">
        <v>0</v>
      </c>
      <c r="B6657" s="56" t="b">
        <v>0</v>
      </c>
      <c r="C6657" s="56" t="b">
        <v>0</v>
      </c>
      <c r="D6657" s="56" t="b">
        <v>0</v>
      </c>
      <c r="E6657" s="56">
        <f ca="1">IF(PV[[#This Row],[Business Date]]=Control!$C$6, PV[[#This Row],[Notional Value Local Cur]], -PV[[#This Row],[Notional Value Local Cur]])</f>
        <v>0</v>
      </c>
    </row>
    <row r="6658" spans="1:5" x14ac:dyDescent="0.25">
      <c r="A6658" s="36" t="b">
        <v>0</v>
      </c>
      <c r="B6658" s="56" t="b">
        <v>0</v>
      </c>
      <c r="C6658" s="56" t="b">
        <v>0</v>
      </c>
      <c r="D6658" s="56" t="b">
        <v>0</v>
      </c>
      <c r="E6658" s="56">
        <f ca="1">IF(PV[[#This Row],[Business Date]]=Control!$C$6, PV[[#This Row],[Notional Value Local Cur]], -PV[[#This Row],[Notional Value Local Cur]])</f>
        <v>0</v>
      </c>
    </row>
    <row r="6659" spans="1:5" x14ac:dyDescent="0.25">
      <c r="A6659" s="36" t="b">
        <v>0</v>
      </c>
      <c r="B6659" s="56" t="b">
        <v>0</v>
      </c>
      <c r="C6659" s="56" t="b">
        <v>0</v>
      </c>
      <c r="D6659" s="56" t="b">
        <v>0</v>
      </c>
      <c r="E6659" s="56">
        <f ca="1">IF(PV[[#This Row],[Business Date]]=Control!$C$6, PV[[#This Row],[Notional Value Local Cur]], -PV[[#This Row],[Notional Value Local Cur]])</f>
        <v>0</v>
      </c>
    </row>
    <row r="6660" spans="1:5" x14ac:dyDescent="0.25">
      <c r="A6660" s="36" t="b">
        <v>0</v>
      </c>
      <c r="B6660" s="56" t="b">
        <v>0</v>
      </c>
      <c r="C6660" s="56" t="b">
        <v>0</v>
      </c>
      <c r="D6660" s="56" t="b">
        <v>0</v>
      </c>
      <c r="E6660" s="56">
        <f ca="1">IF(PV[[#This Row],[Business Date]]=Control!$C$6, PV[[#This Row],[Notional Value Local Cur]], -PV[[#This Row],[Notional Value Local Cur]])</f>
        <v>0</v>
      </c>
    </row>
    <row r="6661" spans="1:5" x14ac:dyDescent="0.25">
      <c r="A6661" s="36" t="b">
        <v>0</v>
      </c>
      <c r="B6661" s="56" t="b">
        <v>0</v>
      </c>
      <c r="C6661" s="56" t="b">
        <v>0</v>
      </c>
      <c r="D6661" s="56" t="b">
        <v>0</v>
      </c>
      <c r="E6661" s="56">
        <f ca="1">IF(PV[[#This Row],[Business Date]]=Control!$C$6, PV[[#This Row],[Notional Value Local Cur]], -PV[[#This Row],[Notional Value Local Cur]])</f>
        <v>0</v>
      </c>
    </row>
    <row r="6662" spans="1:5" x14ac:dyDescent="0.25">
      <c r="A6662" s="36" t="b">
        <v>0</v>
      </c>
      <c r="B6662" s="56" t="b">
        <v>0</v>
      </c>
      <c r="C6662" s="56" t="b">
        <v>0</v>
      </c>
      <c r="D6662" s="56" t="b">
        <v>0</v>
      </c>
      <c r="E6662" s="56">
        <f ca="1">IF(PV[[#This Row],[Business Date]]=Control!$C$6, PV[[#This Row],[Notional Value Local Cur]], -PV[[#This Row],[Notional Value Local Cur]])</f>
        <v>0</v>
      </c>
    </row>
    <row r="6663" spans="1:5" x14ac:dyDescent="0.25">
      <c r="A6663" s="36" t="b">
        <v>0</v>
      </c>
      <c r="B6663" s="56" t="b">
        <v>0</v>
      </c>
      <c r="C6663" s="56" t="b">
        <v>0</v>
      </c>
      <c r="D6663" s="56" t="b">
        <v>0</v>
      </c>
      <c r="E6663" s="56">
        <f ca="1">IF(PV[[#This Row],[Business Date]]=Control!$C$6, PV[[#This Row],[Notional Value Local Cur]], -PV[[#This Row],[Notional Value Local Cur]])</f>
        <v>0</v>
      </c>
    </row>
    <row r="6664" spans="1:5" x14ac:dyDescent="0.25">
      <c r="A6664" s="36" t="b">
        <v>0</v>
      </c>
      <c r="B6664" s="56" t="b">
        <v>0</v>
      </c>
      <c r="C6664" s="56" t="b">
        <v>0</v>
      </c>
      <c r="D6664" s="56" t="b">
        <v>0</v>
      </c>
      <c r="E6664" s="56">
        <f ca="1">IF(PV[[#This Row],[Business Date]]=Control!$C$6, PV[[#This Row],[Notional Value Local Cur]], -PV[[#This Row],[Notional Value Local Cur]])</f>
        <v>0</v>
      </c>
    </row>
    <row r="6665" spans="1:5" x14ac:dyDescent="0.25">
      <c r="A6665" s="36" t="b">
        <v>0</v>
      </c>
      <c r="B6665" s="56" t="b">
        <v>0</v>
      </c>
      <c r="C6665" s="56" t="b">
        <v>0</v>
      </c>
      <c r="D6665" s="56" t="b">
        <v>0</v>
      </c>
      <c r="E6665" s="56">
        <f ca="1">IF(PV[[#This Row],[Business Date]]=Control!$C$6, PV[[#This Row],[Notional Value Local Cur]], -PV[[#This Row],[Notional Value Local Cur]])</f>
        <v>0</v>
      </c>
    </row>
    <row r="6666" spans="1:5" x14ac:dyDescent="0.25">
      <c r="A6666" s="36" t="b">
        <v>0</v>
      </c>
      <c r="B6666" s="56" t="b">
        <v>0</v>
      </c>
      <c r="C6666" s="56" t="b">
        <v>0</v>
      </c>
      <c r="D6666" s="56" t="b">
        <v>0</v>
      </c>
      <c r="E6666" s="56">
        <f ca="1">IF(PV[[#This Row],[Business Date]]=Control!$C$6, PV[[#This Row],[Notional Value Local Cur]], -PV[[#This Row],[Notional Value Local Cur]])</f>
        <v>0</v>
      </c>
    </row>
    <row r="6667" spans="1:5" x14ac:dyDescent="0.25">
      <c r="A6667" s="36" t="b">
        <v>0</v>
      </c>
      <c r="B6667" s="56" t="b">
        <v>0</v>
      </c>
      <c r="C6667" s="56" t="b">
        <v>0</v>
      </c>
      <c r="D6667" s="56" t="b">
        <v>0</v>
      </c>
      <c r="E6667" s="56">
        <f ca="1">IF(PV[[#This Row],[Business Date]]=Control!$C$6, PV[[#This Row],[Notional Value Local Cur]], -PV[[#This Row],[Notional Value Local Cur]])</f>
        <v>0</v>
      </c>
    </row>
    <row r="6668" spans="1:5" x14ac:dyDescent="0.25">
      <c r="A6668" s="36" t="b">
        <v>0</v>
      </c>
      <c r="B6668" s="56" t="b">
        <v>0</v>
      </c>
      <c r="C6668" s="56" t="b">
        <v>0</v>
      </c>
      <c r="D6668" s="56" t="b">
        <v>0</v>
      </c>
      <c r="E6668" s="56">
        <f ca="1">IF(PV[[#This Row],[Business Date]]=Control!$C$6, PV[[#This Row],[Notional Value Local Cur]], -PV[[#This Row],[Notional Value Local Cur]])</f>
        <v>0</v>
      </c>
    </row>
    <row r="6669" spans="1:5" x14ac:dyDescent="0.25">
      <c r="A6669" s="36" t="b">
        <v>0</v>
      </c>
      <c r="B6669" s="56" t="b">
        <v>0</v>
      </c>
      <c r="C6669" s="56" t="b">
        <v>0</v>
      </c>
      <c r="D6669" s="56" t="b">
        <v>0</v>
      </c>
      <c r="E6669" s="56">
        <f ca="1">IF(PV[[#This Row],[Business Date]]=Control!$C$6, PV[[#This Row],[Notional Value Local Cur]], -PV[[#This Row],[Notional Value Local Cur]])</f>
        <v>0</v>
      </c>
    </row>
    <row r="6670" spans="1:5" x14ac:dyDescent="0.25">
      <c r="A6670" s="36" t="b">
        <v>0</v>
      </c>
      <c r="B6670" s="56" t="b">
        <v>0</v>
      </c>
      <c r="C6670" s="56" t="b">
        <v>0</v>
      </c>
      <c r="D6670" s="56" t="b">
        <v>0</v>
      </c>
      <c r="E6670" s="56">
        <f ca="1">IF(PV[[#This Row],[Business Date]]=Control!$C$6, PV[[#This Row],[Notional Value Local Cur]], -PV[[#This Row],[Notional Value Local Cur]])</f>
        <v>0</v>
      </c>
    </row>
    <row r="6671" spans="1:5" x14ac:dyDescent="0.25">
      <c r="A6671" s="36" t="b">
        <v>0</v>
      </c>
      <c r="B6671" s="56" t="b">
        <v>0</v>
      </c>
      <c r="C6671" s="56" t="b">
        <v>0</v>
      </c>
      <c r="D6671" s="56" t="b">
        <v>0</v>
      </c>
      <c r="E6671" s="56">
        <f ca="1">IF(PV[[#This Row],[Business Date]]=Control!$C$6, PV[[#This Row],[Notional Value Local Cur]], -PV[[#This Row],[Notional Value Local Cur]])</f>
        <v>0</v>
      </c>
    </row>
    <row r="6672" spans="1:5" x14ac:dyDescent="0.25">
      <c r="A6672" s="36" t="b">
        <v>0</v>
      </c>
      <c r="B6672" s="56" t="b">
        <v>0</v>
      </c>
      <c r="C6672" s="56" t="b">
        <v>0</v>
      </c>
      <c r="D6672" s="56" t="b">
        <v>0</v>
      </c>
      <c r="E6672" s="56">
        <f ca="1">IF(PV[[#This Row],[Business Date]]=Control!$C$6, PV[[#This Row],[Notional Value Local Cur]], -PV[[#This Row],[Notional Value Local Cur]])</f>
        <v>0</v>
      </c>
    </row>
    <row r="6673" spans="1:5" x14ac:dyDescent="0.25">
      <c r="A6673" s="36" t="b">
        <v>0</v>
      </c>
      <c r="B6673" s="56" t="b">
        <v>0</v>
      </c>
      <c r="C6673" s="56" t="b">
        <v>0</v>
      </c>
      <c r="D6673" s="56" t="b">
        <v>0</v>
      </c>
      <c r="E6673" s="56">
        <f ca="1">IF(PV[[#This Row],[Business Date]]=Control!$C$6, PV[[#This Row],[Notional Value Local Cur]], -PV[[#This Row],[Notional Value Local Cur]])</f>
        <v>0</v>
      </c>
    </row>
    <row r="6674" spans="1:5" x14ac:dyDescent="0.25">
      <c r="A6674" s="36" t="b">
        <v>0</v>
      </c>
      <c r="B6674" s="56" t="b">
        <v>0</v>
      </c>
      <c r="C6674" s="56" t="b">
        <v>0</v>
      </c>
      <c r="D6674" s="56" t="b">
        <v>0</v>
      </c>
      <c r="E6674" s="56">
        <f ca="1">IF(PV[[#This Row],[Business Date]]=Control!$C$6, PV[[#This Row],[Notional Value Local Cur]], -PV[[#This Row],[Notional Value Local Cur]])</f>
        <v>0</v>
      </c>
    </row>
    <row r="6675" spans="1:5" x14ac:dyDescent="0.25">
      <c r="A6675" s="36" t="b">
        <v>0</v>
      </c>
      <c r="B6675" s="56" t="b">
        <v>0</v>
      </c>
      <c r="C6675" s="56" t="b">
        <v>0</v>
      </c>
      <c r="D6675" s="56" t="b">
        <v>0</v>
      </c>
      <c r="E6675" s="56">
        <f ca="1">IF(PV[[#This Row],[Business Date]]=Control!$C$6, PV[[#This Row],[Notional Value Local Cur]], -PV[[#This Row],[Notional Value Local Cur]])</f>
        <v>0</v>
      </c>
    </row>
    <row r="6676" spans="1:5" x14ac:dyDescent="0.25">
      <c r="A6676" s="36" t="b">
        <v>0</v>
      </c>
      <c r="B6676" s="56" t="b">
        <v>0</v>
      </c>
      <c r="C6676" s="56" t="b">
        <v>0</v>
      </c>
      <c r="D6676" s="56" t="b">
        <v>0</v>
      </c>
      <c r="E6676" s="56">
        <f ca="1">IF(PV[[#This Row],[Business Date]]=Control!$C$6, PV[[#This Row],[Notional Value Local Cur]], -PV[[#This Row],[Notional Value Local Cur]])</f>
        <v>0</v>
      </c>
    </row>
    <row r="6677" spans="1:5" x14ac:dyDescent="0.25">
      <c r="A6677" s="36" t="b">
        <v>0</v>
      </c>
      <c r="B6677" s="56" t="b">
        <v>0</v>
      </c>
      <c r="C6677" s="56" t="b">
        <v>0</v>
      </c>
      <c r="D6677" s="56" t="b">
        <v>0</v>
      </c>
      <c r="E6677" s="56">
        <f ca="1">IF(PV[[#This Row],[Business Date]]=Control!$C$6, PV[[#This Row],[Notional Value Local Cur]], -PV[[#This Row],[Notional Value Local Cur]])</f>
        <v>0</v>
      </c>
    </row>
    <row r="6678" spans="1:5" x14ac:dyDescent="0.25">
      <c r="A6678" s="36" t="b">
        <v>0</v>
      </c>
      <c r="B6678" s="56" t="b">
        <v>0</v>
      </c>
      <c r="C6678" s="56" t="b">
        <v>0</v>
      </c>
      <c r="D6678" s="56" t="b">
        <v>0</v>
      </c>
      <c r="E6678" s="56">
        <f ca="1">IF(PV[[#This Row],[Business Date]]=Control!$C$6, PV[[#This Row],[Notional Value Local Cur]], -PV[[#This Row],[Notional Value Local Cur]])</f>
        <v>0</v>
      </c>
    </row>
    <row r="6679" spans="1:5" x14ac:dyDescent="0.25">
      <c r="A6679" s="36" t="b">
        <v>0</v>
      </c>
      <c r="B6679" s="56" t="b">
        <v>0</v>
      </c>
      <c r="C6679" s="56" t="b">
        <v>0</v>
      </c>
      <c r="D6679" s="56" t="b">
        <v>0</v>
      </c>
      <c r="E6679" s="56">
        <f ca="1">IF(PV[[#This Row],[Business Date]]=Control!$C$6, PV[[#This Row],[Notional Value Local Cur]], -PV[[#This Row],[Notional Value Local Cur]])</f>
        <v>0</v>
      </c>
    </row>
    <row r="6680" spans="1:5" x14ac:dyDescent="0.25">
      <c r="A6680" s="36" t="b">
        <v>0</v>
      </c>
      <c r="B6680" s="56" t="b">
        <v>0</v>
      </c>
      <c r="C6680" s="56" t="b">
        <v>0</v>
      </c>
      <c r="D6680" s="56" t="b">
        <v>0</v>
      </c>
      <c r="E6680" s="56">
        <f ca="1">IF(PV[[#This Row],[Business Date]]=Control!$C$6, PV[[#This Row],[Notional Value Local Cur]], -PV[[#This Row],[Notional Value Local Cur]])</f>
        <v>0</v>
      </c>
    </row>
    <row r="6681" spans="1:5" x14ac:dyDescent="0.25">
      <c r="A6681" s="36" t="b">
        <v>0</v>
      </c>
      <c r="B6681" s="56" t="b">
        <v>0</v>
      </c>
      <c r="C6681" s="56" t="b">
        <v>0</v>
      </c>
      <c r="D6681" s="56" t="b">
        <v>0</v>
      </c>
      <c r="E6681" s="56">
        <f ca="1">IF(PV[[#This Row],[Business Date]]=Control!$C$6, PV[[#This Row],[Notional Value Local Cur]], -PV[[#This Row],[Notional Value Local Cur]])</f>
        <v>0</v>
      </c>
    </row>
    <row r="6682" spans="1:5" x14ac:dyDescent="0.25">
      <c r="A6682" s="36" t="b">
        <v>0</v>
      </c>
      <c r="B6682" s="56" t="b">
        <v>0</v>
      </c>
      <c r="C6682" s="56" t="b">
        <v>0</v>
      </c>
      <c r="D6682" s="56" t="b">
        <v>0</v>
      </c>
      <c r="E6682" s="56">
        <f ca="1">IF(PV[[#This Row],[Business Date]]=Control!$C$6, PV[[#This Row],[Notional Value Local Cur]], -PV[[#This Row],[Notional Value Local Cur]])</f>
        <v>0</v>
      </c>
    </row>
    <row r="6683" spans="1:5" x14ac:dyDescent="0.25">
      <c r="A6683" s="36" t="b">
        <v>0</v>
      </c>
      <c r="B6683" s="56" t="b">
        <v>0</v>
      </c>
      <c r="C6683" s="56" t="b">
        <v>0</v>
      </c>
      <c r="D6683" s="56" t="b">
        <v>0</v>
      </c>
      <c r="E6683" s="56">
        <f ca="1">IF(PV[[#This Row],[Business Date]]=Control!$C$6, PV[[#This Row],[Notional Value Local Cur]], -PV[[#This Row],[Notional Value Local Cur]])</f>
        <v>0</v>
      </c>
    </row>
    <row r="6684" spans="1:5" x14ac:dyDescent="0.25">
      <c r="A6684" s="36" t="b">
        <v>0</v>
      </c>
      <c r="B6684" s="56" t="b">
        <v>0</v>
      </c>
      <c r="C6684" s="56" t="b">
        <v>0</v>
      </c>
      <c r="D6684" s="56" t="b">
        <v>0</v>
      </c>
      <c r="E6684" s="56">
        <f ca="1">IF(PV[[#This Row],[Business Date]]=Control!$C$6, PV[[#This Row],[Notional Value Local Cur]], -PV[[#This Row],[Notional Value Local Cur]])</f>
        <v>0</v>
      </c>
    </row>
    <row r="6685" spans="1:5" x14ac:dyDescent="0.25">
      <c r="A6685" s="36" t="b">
        <v>0</v>
      </c>
      <c r="B6685" s="56" t="b">
        <v>0</v>
      </c>
      <c r="C6685" s="56" t="b">
        <v>0</v>
      </c>
      <c r="D6685" s="56" t="b">
        <v>0</v>
      </c>
      <c r="E6685" s="56">
        <f ca="1">IF(PV[[#This Row],[Business Date]]=Control!$C$6, PV[[#This Row],[Notional Value Local Cur]], -PV[[#This Row],[Notional Value Local Cur]])</f>
        <v>0</v>
      </c>
    </row>
    <row r="6686" spans="1:5" x14ac:dyDescent="0.25">
      <c r="A6686" s="36" t="b">
        <v>0</v>
      </c>
      <c r="B6686" s="56" t="b">
        <v>0</v>
      </c>
      <c r="C6686" s="56" t="b">
        <v>0</v>
      </c>
      <c r="D6686" s="56" t="b">
        <v>0</v>
      </c>
      <c r="E6686" s="56">
        <f ca="1">IF(PV[[#This Row],[Business Date]]=Control!$C$6, PV[[#This Row],[Notional Value Local Cur]], -PV[[#This Row],[Notional Value Local Cur]])</f>
        <v>0</v>
      </c>
    </row>
    <row r="6687" spans="1:5" x14ac:dyDescent="0.25">
      <c r="A6687" s="36" t="b">
        <v>0</v>
      </c>
      <c r="B6687" s="56" t="b">
        <v>0</v>
      </c>
      <c r="C6687" s="56" t="b">
        <v>0</v>
      </c>
      <c r="D6687" s="56" t="b">
        <v>0</v>
      </c>
      <c r="E6687" s="56">
        <f ca="1">IF(PV[[#This Row],[Business Date]]=Control!$C$6, PV[[#This Row],[Notional Value Local Cur]], -PV[[#This Row],[Notional Value Local Cur]])</f>
        <v>0</v>
      </c>
    </row>
    <row r="6688" spans="1:5" x14ac:dyDescent="0.25">
      <c r="A6688" s="36" t="b">
        <v>0</v>
      </c>
      <c r="B6688" s="56" t="b">
        <v>0</v>
      </c>
      <c r="C6688" s="56" t="b">
        <v>0</v>
      </c>
      <c r="D6688" s="56" t="b">
        <v>0</v>
      </c>
      <c r="E6688" s="56">
        <f ca="1">IF(PV[[#This Row],[Business Date]]=Control!$C$6, PV[[#This Row],[Notional Value Local Cur]], -PV[[#This Row],[Notional Value Local Cur]])</f>
        <v>0</v>
      </c>
    </row>
    <row r="6689" spans="1:5" x14ac:dyDescent="0.25">
      <c r="A6689" s="36" t="b">
        <v>0</v>
      </c>
      <c r="B6689" s="56" t="b">
        <v>0</v>
      </c>
      <c r="C6689" s="56" t="b">
        <v>0</v>
      </c>
      <c r="D6689" s="56" t="b">
        <v>0</v>
      </c>
      <c r="E6689" s="56">
        <f ca="1">IF(PV[[#This Row],[Business Date]]=Control!$C$6, PV[[#This Row],[Notional Value Local Cur]], -PV[[#This Row],[Notional Value Local Cur]])</f>
        <v>0</v>
      </c>
    </row>
    <row r="6690" spans="1:5" x14ac:dyDescent="0.25">
      <c r="A6690" s="36" t="b">
        <v>0</v>
      </c>
      <c r="B6690" s="56" t="b">
        <v>0</v>
      </c>
      <c r="C6690" s="56" t="b">
        <v>0</v>
      </c>
      <c r="D6690" s="56" t="b">
        <v>0</v>
      </c>
      <c r="E6690" s="56">
        <f ca="1">IF(PV[[#This Row],[Business Date]]=Control!$C$6, PV[[#This Row],[Notional Value Local Cur]], -PV[[#This Row],[Notional Value Local Cur]])</f>
        <v>0</v>
      </c>
    </row>
    <row r="6691" spans="1:5" x14ac:dyDescent="0.25">
      <c r="A6691" s="36" t="b">
        <v>0</v>
      </c>
      <c r="B6691" s="56" t="b">
        <v>0</v>
      </c>
      <c r="C6691" s="56" t="b">
        <v>0</v>
      </c>
      <c r="D6691" s="56" t="b">
        <v>0</v>
      </c>
      <c r="E6691" s="56">
        <f ca="1">IF(PV[[#This Row],[Business Date]]=Control!$C$6, PV[[#This Row],[Notional Value Local Cur]], -PV[[#This Row],[Notional Value Local Cur]])</f>
        <v>0</v>
      </c>
    </row>
    <row r="6692" spans="1:5" x14ac:dyDescent="0.25">
      <c r="A6692" s="36" t="b">
        <v>0</v>
      </c>
      <c r="B6692" s="56" t="b">
        <v>0</v>
      </c>
      <c r="C6692" s="56" t="b">
        <v>0</v>
      </c>
      <c r="D6692" s="56" t="b">
        <v>0</v>
      </c>
      <c r="E6692" s="56">
        <f ca="1">IF(PV[[#This Row],[Business Date]]=Control!$C$6, PV[[#This Row],[Notional Value Local Cur]], -PV[[#This Row],[Notional Value Local Cur]])</f>
        <v>0</v>
      </c>
    </row>
    <row r="6693" spans="1:5" x14ac:dyDescent="0.25">
      <c r="A6693" s="36" t="b">
        <v>0</v>
      </c>
      <c r="B6693" s="56" t="b">
        <v>0</v>
      </c>
      <c r="C6693" s="56" t="b">
        <v>0</v>
      </c>
      <c r="D6693" s="56" t="b">
        <v>0</v>
      </c>
      <c r="E6693" s="56">
        <f ca="1">IF(PV[[#This Row],[Business Date]]=Control!$C$6, PV[[#This Row],[Notional Value Local Cur]], -PV[[#This Row],[Notional Value Local Cur]])</f>
        <v>0</v>
      </c>
    </row>
    <row r="6694" spans="1:5" x14ac:dyDescent="0.25">
      <c r="A6694" s="36" t="b">
        <v>0</v>
      </c>
      <c r="B6694" s="56" t="b">
        <v>0</v>
      </c>
      <c r="C6694" s="56" t="b">
        <v>0</v>
      </c>
      <c r="D6694" s="56" t="b">
        <v>0</v>
      </c>
      <c r="E6694" s="56">
        <f ca="1">IF(PV[[#This Row],[Business Date]]=Control!$C$6, PV[[#This Row],[Notional Value Local Cur]], -PV[[#This Row],[Notional Value Local Cur]])</f>
        <v>0</v>
      </c>
    </row>
    <row r="6695" spans="1:5" x14ac:dyDescent="0.25">
      <c r="A6695" s="36" t="b">
        <v>0</v>
      </c>
      <c r="B6695" s="56" t="b">
        <v>0</v>
      </c>
      <c r="C6695" s="56" t="b">
        <v>0</v>
      </c>
      <c r="D6695" s="56" t="b">
        <v>0</v>
      </c>
      <c r="E6695" s="56">
        <f ca="1">IF(PV[[#This Row],[Business Date]]=Control!$C$6, PV[[#This Row],[Notional Value Local Cur]], -PV[[#This Row],[Notional Value Local Cur]])</f>
        <v>0</v>
      </c>
    </row>
    <row r="6696" spans="1:5" x14ac:dyDescent="0.25">
      <c r="A6696" s="36" t="b">
        <v>0</v>
      </c>
      <c r="B6696" s="56" t="b">
        <v>0</v>
      </c>
      <c r="C6696" s="56" t="b">
        <v>0</v>
      </c>
      <c r="D6696" s="56" t="b">
        <v>0</v>
      </c>
      <c r="E6696" s="56">
        <f ca="1">IF(PV[[#This Row],[Business Date]]=Control!$C$6, PV[[#This Row],[Notional Value Local Cur]], -PV[[#This Row],[Notional Value Local Cur]])</f>
        <v>0</v>
      </c>
    </row>
    <row r="6697" spans="1:5" x14ac:dyDescent="0.25">
      <c r="A6697" s="36" t="b">
        <v>0</v>
      </c>
      <c r="B6697" s="56" t="b">
        <v>0</v>
      </c>
      <c r="C6697" s="56" t="b">
        <v>0</v>
      </c>
      <c r="D6697" s="56" t="b">
        <v>0</v>
      </c>
      <c r="E6697" s="56">
        <f ca="1">IF(PV[[#This Row],[Business Date]]=Control!$C$6, PV[[#This Row],[Notional Value Local Cur]], -PV[[#This Row],[Notional Value Local Cur]])</f>
        <v>0</v>
      </c>
    </row>
    <row r="6698" spans="1:5" x14ac:dyDescent="0.25">
      <c r="A6698" s="36" t="b">
        <v>0</v>
      </c>
      <c r="B6698" s="56" t="b">
        <v>0</v>
      </c>
      <c r="C6698" s="56" t="b">
        <v>0</v>
      </c>
      <c r="D6698" s="56" t="b">
        <v>0</v>
      </c>
      <c r="E6698" s="56">
        <f ca="1">IF(PV[[#This Row],[Business Date]]=Control!$C$6, PV[[#This Row],[Notional Value Local Cur]], -PV[[#This Row],[Notional Value Local Cur]])</f>
        <v>0</v>
      </c>
    </row>
    <row r="6699" spans="1:5" x14ac:dyDescent="0.25">
      <c r="A6699" s="36" t="b">
        <v>0</v>
      </c>
      <c r="B6699" s="56" t="b">
        <v>0</v>
      </c>
      <c r="C6699" s="56" t="b">
        <v>0</v>
      </c>
      <c r="D6699" s="56" t="b">
        <v>0</v>
      </c>
      <c r="E6699" s="56">
        <f ca="1">IF(PV[[#This Row],[Business Date]]=Control!$C$6, PV[[#This Row],[Notional Value Local Cur]], -PV[[#This Row],[Notional Value Local Cur]])</f>
        <v>0</v>
      </c>
    </row>
    <row r="6700" spans="1:5" x14ac:dyDescent="0.25">
      <c r="A6700" s="36" t="b">
        <v>0</v>
      </c>
      <c r="B6700" s="56" t="b">
        <v>0</v>
      </c>
      <c r="C6700" s="56" t="b">
        <v>0</v>
      </c>
      <c r="D6700" s="56" t="b">
        <v>0</v>
      </c>
      <c r="E6700" s="56">
        <f ca="1">IF(PV[[#This Row],[Business Date]]=Control!$C$6, PV[[#This Row],[Notional Value Local Cur]], -PV[[#This Row],[Notional Value Local Cur]])</f>
        <v>0</v>
      </c>
    </row>
    <row r="6701" spans="1:5" x14ac:dyDescent="0.25">
      <c r="A6701" s="36" t="b">
        <v>0</v>
      </c>
      <c r="B6701" s="56" t="b">
        <v>0</v>
      </c>
      <c r="C6701" s="56" t="b">
        <v>0</v>
      </c>
      <c r="D6701" s="56" t="b">
        <v>0</v>
      </c>
      <c r="E6701" s="56">
        <f ca="1">IF(PV[[#This Row],[Business Date]]=Control!$C$6, PV[[#This Row],[Notional Value Local Cur]], -PV[[#This Row],[Notional Value Local Cur]])</f>
        <v>0</v>
      </c>
    </row>
    <row r="6702" spans="1:5" x14ac:dyDescent="0.25">
      <c r="A6702" s="36" t="b">
        <v>0</v>
      </c>
      <c r="B6702" s="56" t="b">
        <v>0</v>
      </c>
      <c r="C6702" s="56" t="b">
        <v>0</v>
      </c>
      <c r="D6702" s="56" t="b">
        <v>0</v>
      </c>
      <c r="E6702" s="56">
        <f ca="1">IF(PV[[#This Row],[Business Date]]=Control!$C$6, PV[[#This Row],[Notional Value Local Cur]], -PV[[#This Row],[Notional Value Local Cur]])</f>
        <v>0</v>
      </c>
    </row>
    <row r="6703" spans="1:5" x14ac:dyDescent="0.25">
      <c r="A6703" s="36" t="b">
        <v>0</v>
      </c>
      <c r="B6703" s="56" t="b">
        <v>0</v>
      </c>
      <c r="C6703" s="56" t="b">
        <v>0</v>
      </c>
      <c r="D6703" s="56" t="b">
        <v>0</v>
      </c>
      <c r="E6703" s="56">
        <f ca="1">IF(PV[[#This Row],[Business Date]]=Control!$C$6, PV[[#This Row],[Notional Value Local Cur]], -PV[[#This Row],[Notional Value Local Cur]])</f>
        <v>0</v>
      </c>
    </row>
    <row r="6704" spans="1:5" x14ac:dyDescent="0.25">
      <c r="A6704" s="36" t="b">
        <v>0</v>
      </c>
      <c r="B6704" s="56" t="b">
        <v>0</v>
      </c>
      <c r="C6704" s="56" t="b">
        <v>0</v>
      </c>
      <c r="D6704" s="56" t="b">
        <v>0</v>
      </c>
      <c r="E6704" s="56">
        <f ca="1">IF(PV[[#This Row],[Business Date]]=Control!$C$6, PV[[#This Row],[Notional Value Local Cur]], -PV[[#This Row],[Notional Value Local Cur]])</f>
        <v>0</v>
      </c>
    </row>
    <row r="6705" spans="1:5" x14ac:dyDescent="0.25">
      <c r="A6705" s="36" t="b">
        <v>0</v>
      </c>
      <c r="B6705" s="56" t="b">
        <v>0</v>
      </c>
      <c r="C6705" s="56" t="b">
        <v>0</v>
      </c>
      <c r="D6705" s="56" t="b">
        <v>0</v>
      </c>
      <c r="E6705" s="56">
        <f ca="1">IF(PV[[#This Row],[Business Date]]=Control!$C$6, PV[[#This Row],[Notional Value Local Cur]], -PV[[#This Row],[Notional Value Local Cur]])</f>
        <v>0</v>
      </c>
    </row>
    <row r="6706" spans="1:5" x14ac:dyDescent="0.25">
      <c r="A6706" s="36" t="b">
        <v>0</v>
      </c>
      <c r="B6706" s="56" t="b">
        <v>0</v>
      </c>
      <c r="C6706" s="56" t="b">
        <v>0</v>
      </c>
      <c r="D6706" s="56" t="b">
        <v>0</v>
      </c>
      <c r="E6706" s="56">
        <f ca="1">IF(PV[[#This Row],[Business Date]]=Control!$C$6, PV[[#This Row],[Notional Value Local Cur]], -PV[[#This Row],[Notional Value Local Cur]])</f>
        <v>0</v>
      </c>
    </row>
    <row r="6707" spans="1:5" x14ac:dyDescent="0.25">
      <c r="A6707" s="36" t="b">
        <v>0</v>
      </c>
      <c r="B6707" s="56" t="b">
        <v>0</v>
      </c>
      <c r="C6707" s="56" t="b">
        <v>0</v>
      </c>
      <c r="D6707" s="56" t="b">
        <v>0</v>
      </c>
      <c r="E6707" s="56">
        <f ca="1">IF(PV[[#This Row],[Business Date]]=Control!$C$6, PV[[#This Row],[Notional Value Local Cur]], -PV[[#This Row],[Notional Value Local Cur]])</f>
        <v>0</v>
      </c>
    </row>
    <row r="6708" spans="1:5" x14ac:dyDescent="0.25">
      <c r="A6708" s="36" t="b">
        <v>0</v>
      </c>
      <c r="B6708" s="56" t="b">
        <v>0</v>
      </c>
      <c r="C6708" s="56" t="b">
        <v>0</v>
      </c>
      <c r="D6708" s="56" t="b">
        <v>0</v>
      </c>
      <c r="E6708" s="56">
        <f ca="1">IF(PV[[#This Row],[Business Date]]=Control!$C$6, PV[[#This Row],[Notional Value Local Cur]], -PV[[#This Row],[Notional Value Local Cur]])</f>
        <v>0</v>
      </c>
    </row>
    <row r="6709" spans="1:5" x14ac:dyDescent="0.25">
      <c r="A6709" s="36" t="b">
        <v>0</v>
      </c>
      <c r="B6709" s="56" t="b">
        <v>0</v>
      </c>
      <c r="C6709" s="56" t="b">
        <v>0</v>
      </c>
      <c r="D6709" s="56" t="b">
        <v>0</v>
      </c>
      <c r="E6709" s="56">
        <f ca="1">IF(PV[[#This Row],[Business Date]]=Control!$C$6, PV[[#This Row],[Notional Value Local Cur]], -PV[[#This Row],[Notional Value Local Cur]])</f>
        <v>0</v>
      </c>
    </row>
    <row r="6710" spans="1:5" x14ac:dyDescent="0.25">
      <c r="A6710" s="36" t="b">
        <v>0</v>
      </c>
      <c r="B6710" s="56" t="b">
        <v>0</v>
      </c>
      <c r="C6710" s="56" t="b">
        <v>0</v>
      </c>
      <c r="D6710" s="56" t="b">
        <v>0</v>
      </c>
      <c r="E6710" s="56">
        <f ca="1">IF(PV[[#This Row],[Business Date]]=Control!$C$6, PV[[#This Row],[Notional Value Local Cur]], -PV[[#This Row],[Notional Value Local Cur]])</f>
        <v>0</v>
      </c>
    </row>
    <row r="6711" spans="1:5" x14ac:dyDescent="0.25">
      <c r="A6711" s="36" t="b">
        <v>0</v>
      </c>
      <c r="B6711" s="56" t="b">
        <v>0</v>
      </c>
      <c r="C6711" s="56" t="b">
        <v>0</v>
      </c>
      <c r="D6711" s="56" t="b">
        <v>0</v>
      </c>
      <c r="E6711" s="56">
        <f ca="1">IF(PV[[#This Row],[Business Date]]=Control!$C$6, PV[[#This Row],[Notional Value Local Cur]], -PV[[#This Row],[Notional Value Local Cur]])</f>
        <v>0</v>
      </c>
    </row>
    <row r="6712" spans="1:5" x14ac:dyDescent="0.25">
      <c r="A6712" s="36" t="b">
        <v>0</v>
      </c>
      <c r="B6712" s="56" t="b">
        <v>0</v>
      </c>
      <c r="C6712" s="56" t="b">
        <v>0</v>
      </c>
      <c r="D6712" s="56" t="b">
        <v>0</v>
      </c>
      <c r="E6712" s="56">
        <f ca="1">IF(PV[[#This Row],[Business Date]]=Control!$C$6, PV[[#This Row],[Notional Value Local Cur]], -PV[[#This Row],[Notional Value Local Cur]])</f>
        <v>0</v>
      </c>
    </row>
    <row r="6713" spans="1:5" x14ac:dyDescent="0.25">
      <c r="A6713" s="36" t="b">
        <v>0</v>
      </c>
      <c r="B6713" s="56" t="b">
        <v>0</v>
      </c>
      <c r="C6713" s="56" t="b">
        <v>0</v>
      </c>
      <c r="D6713" s="56" t="b">
        <v>0</v>
      </c>
      <c r="E6713" s="56">
        <f ca="1">IF(PV[[#This Row],[Business Date]]=Control!$C$6, PV[[#This Row],[Notional Value Local Cur]], -PV[[#This Row],[Notional Value Local Cur]])</f>
        <v>0</v>
      </c>
    </row>
    <row r="6714" spans="1:5" x14ac:dyDescent="0.25">
      <c r="A6714" s="36" t="b">
        <v>0</v>
      </c>
      <c r="B6714" s="56" t="b">
        <v>0</v>
      </c>
      <c r="C6714" s="56" t="b">
        <v>0</v>
      </c>
      <c r="D6714" s="56" t="b">
        <v>0</v>
      </c>
      <c r="E6714" s="56">
        <f ca="1">IF(PV[[#This Row],[Business Date]]=Control!$C$6, PV[[#This Row],[Notional Value Local Cur]], -PV[[#This Row],[Notional Value Local Cur]])</f>
        <v>0</v>
      </c>
    </row>
    <row r="6715" spans="1:5" x14ac:dyDescent="0.25">
      <c r="A6715" s="36" t="b">
        <v>0</v>
      </c>
      <c r="B6715" s="56" t="b">
        <v>0</v>
      </c>
      <c r="C6715" s="56" t="b">
        <v>0</v>
      </c>
      <c r="D6715" s="56" t="b">
        <v>0</v>
      </c>
      <c r="E6715" s="56">
        <f ca="1">IF(PV[[#This Row],[Business Date]]=Control!$C$6, PV[[#This Row],[Notional Value Local Cur]], -PV[[#This Row],[Notional Value Local Cur]])</f>
        <v>0</v>
      </c>
    </row>
    <row r="6716" spans="1:5" x14ac:dyDescent="0.25">
      <c r="A6716" s="36" t="b">
        <v>0</v>
      </c>
      <c r="B6716" s="56" t="b">
        <v>0</v>
      </c>
      <c r="C6716" s="56" t="b">
        <v>0</v>
      </c>
      <c r="D6716" s="56" t="b">
        <v>0</v>
      </c>
      <c r="E6716" s="56">
        <f ca="1">IF(PV[[#This Row],[Business Date]]=Control!$C$6, PV[[#This Row],[Notional Value Local Cur]], -PV[[#This Row],[Notional Value Local Cur]])</f>
        <v>0</v>
      </c>
    </row>
    <row r="6717" spans="1:5" x14ac:dyDescent="0.25">
      <c r="A6717" s="36" t="b">
        <v>0</v>
      </c>
      <c r="B6717" s="56" t="b">
        <v>0</v>
      </c>
      <c r="C6717" s="56" t="b">
        <v>0</v>
      </c>
      <c r="D6717" s="56" t="b">
        <v>0</v>
      </c>
      <c r="E6717" s="56">
        <f ca="1">IF(PV[[#This Row],[Business Date]]=Control!$C$6, PV[[#This Row],[Notional Value Local Cur]], -PV[[#This Row],[Notional Value Local Cur]])</f>
        <v>0</v>
      </c>
    </row>
    <row r="6718" spans="1:5" x14ac:dyDescent="0.25">
      <c r="A6718" s="36" t="b">
        <v>0</v>
      </c>
      <c r="B6718" s="56" t="b">
        <v>0</v>
      </c>
      <c r="C6718" s="56" t="b">
        <v>0</v>
      </c>
      <c r="D6718" s="56" t="b">
        <v>0</v>
      </c>
      <c r="E6718" s="56">
        <f ca="1">IF(PV[[#This Row],[Business Date]]=Control!$C$6, PV[[#This Row],[Notional Value Local Cur]], -PV[[#This Row],[Notional Value Local Cur]])</f>
        <v>0</v>
      </c>
    </row>
    <row r="6719" spans="1:5" x14ac:dyDescent="0.25">
      <c r="A6719" s="36" t="b">
        <v>0</v>
      </c>
      <c r="B6719" s="56" t="b">
        <v>0</v>
      </c>
      <c r="C6719" s="56" t="b">
        <v>0</v>
      </c>
      <c r="D6719" s="56" t="b">
        <v>0</v>
      </c>
      <c r="E6719" s="56">
        <f ca="1">IF(PV[[#This Row],[Business Date]]=Control!$C$6, PV[[#This Row],[Notional Value Local Cur]], -PV[[#This Row],[Notional Value Local Cur]])</f>
        <v>0</v>
      </c>
    </row>
    <row r="6720" spans="1:5" x14ac:dyDescent="0.25">
      <c r="A6720" s="36" t="b">
        <v>0</v>
      </c>
      <c r="B6720" s="56" t="b">
        <v>0</v>
      </c>
      <c r="C6720" s="56" t="b">
        <v>0</v>
      </c>
      <c r="D6720" s="56" t="b">
        <v>0</v>
      </c>
      <c r="E6720" s="56">
        <f ca="1">IF(PV[[#This Row],[Business Date]]=Control!$C$6, PV[[#This Row],[Notional Value Local Cur]], -PV[[#This Row],[Notional Value Local Cur]])</f>
        <v>0</v>
      </c>
    </row>
    <row r="6721" spans="1:5" x14ac:dyDescent="0.25">
      <c r="A6721" s="36" t="b">
        <v>0</v>
      </c>
      <c r="B6721" s="56" t="b">
        <v>0</v>
      </c>
      <c r="C6721" s="56" t="b">
        <v>0</v>
      </c>
      <c r="D6721" s="56" t="b">
        <v>0</v>
      </c>
      <c r="E6721" s="56">
        <f ca="1">IF(PV[[#This Row],[Business Date]]=Control!$C$6, PV[[#This Row],[Notional Value Local Cur]], -PV[[#This Row],[Notional Value Local Cur]])</f>
        <v>0</v>
      </c>
    </row>
    <row r="6722" spans="1:5" x14ac:dyDescent="0.25">
      <c r="A6722" s="36" t="b">
        <v>0</v>
      </c>
      <c r="B6722" s="56" t="b">
        <v>0</v>
      </c>
      <c r="C6722" s="56" t="b">
        <v>0</v>
      </c>
      <c r="D6722" s="56" t="b">
        <v>0</v>
      </c>
      <c r="E6722" s="56">
        <f ca="1">IF(PV[[#This Row],[Business Date]]=Control!$C$6, PV[[#This Row],[Notional Value Local Cur]], -PV[[#This Row],[Notional Value Local Cur]])</f>
        <v>0</v>
      </c>
    </row>
    <row r="6723" spans="1:5" x14ac:dyDescent="0.25">
      <c r="A6723" s="36" t="b">
        <v>0</v>
      </c>
      <c r="B6723" s="56" t="b">
        <v>0</v>
      </c>
      <c r="C6723" s="56" t="b">
        <v>0</v>
      </c>
      <c r="D6723" s="56" t="b">
        <v>0</v>
      </c>
      <c r="E6723" s="56">
        <f ca="1">IF(PV[[#This Row],[Business Date]]=Control!$C$6, PV[[#This Row],[Notional Value Local Cur]], -PV[[#This Row],[Notional Value Local Cur]])</f>
        <v>0</v>
      </c>
    </row>
    <row r="6724" spans="1:5" x14ac:dyDescent="0.25">
      <c r="A6724" s="36" t="b">
        <v>0</v>
      </c>
      <c r="B6724" s="56" t="b">
        <v>0</v>
      </c>
      <c r="C6724" s="56" t="b">
        <v>0</v>
      </c>
      <c r="D6724" s="56" t="b">
        <v>0</v>
      </c>
      <c r="E6724" s="56">
        <f ca="1">IF(PV[[#This Row],[Business Date]]=Control!$C$6, PV[[#This Row],[Notional Value Local Cur]], -PV[[#This Row],[Notional Value Local Cur]])</f>
        <v>0</v>
      </c>
    </row>
    <row r="6725" spans="1:5" x14ac:dyDescent="0.25">
      <c r="A6725" s="36" t="b">
        <v>0</v>
      </c>
      <c r="B6725" s="56" t="b">
        <v>0</v>
      </c>
      <c r="C6725" s="56" t="b">
        <v>0</v>
      </c>
      <c r="D6725" s="56" t="b">
        <v>0</v>
      </c>
      <c r="E6725" s="56">
        <f ca="1">IF(PV[[#This Row],[Business Date]]=Control!$C$6, PV[[#This Row],[Notional Value Local Cur]], -PV[[#This Row],[Notional Value Local Cur]])</f>
        <v>0</v>
      </c>
    </row>
    <row r="6726" spans="1:5" x14ac:dyDescent="0.25">
      <c r="A6726" s="36" t="b">
        <v>0</v>
      </c>
      <c r="B6726" s="56" t="b">
        <v>0</v>
      </c>
      <c r="C6726" s="56" t="b">
        <v>0</v>
      </c>
      <c r="D6726" s="56" t="b">
        <v>0</v>
      </c>
      <c r="E6726" s="56">
        <f ca="1">IF(PV[[#This Row],[Business Date]]=Control!$C$6, PV[[#This Row],[Notional Value Local Cur]], -PV[[#This Row],[Notional Value Local Cur]])</f>
        <v>0</v>
      </c>
    </row>
    <row r="6727" spans="1:5" x14ac:dyDescent="0.25">
      <c r="A6727" s="36" t="b">
        <v>0</v>
      </c>
      <c r="B6727" s="56" t="b">
        <v>0</v>
      </c>
      <c r="C6727" s="56" t="b">
        <v>0</v>
      </c>
      <c r="D6727" s="56" t="b">
        <v>0</v>
      </c>
      <c r="E6727" s="56">
        <f ca="1">IF(PV[[#This Row],[Business Date]]=Control!$C$6, PV[[#This Row],[Notional Value Local Cur]], -PV[[#This Row],[Notional Value Local Cur]])</f>
        <v>0</v>
      </c>
    </row>
    <row r="6728" spans="1:5" x14ac:dyDescent="0.25">
      <c r="A6728" s="36" t="b">
        <v>0</v>
      </c>
      <c r="B6728" s="56" t="b">
        <v>0</v>
      </c>
      <c r="C6728" s="56" t="b">
        <v>0</v>
      </c>
      <c r="D6728" s="56" t="b">
        <v>0</v>
      </c>
      <c r="E6728" s="56">
        <f ca="1">IF(PV[[#This Row],[Business Date]]=Control!$C$6, PV[[#This Row],[Notional Value Local Cur]], -PV[[#This Row],[Notional Value Local Cur]])</f>
        <v>0</v>
      </c>
    </row>
    <row r="6729" spans="1:5" x14ac:dyDescent="0.25">
      <c r="A6729" s="36" t="b">
        <v>0</v>
      </c>
      <c r="B6729" s="56" t="b">
        <v>0</v>
      </c>
      <c r="C6729" s="56" t="b">
        <v>0</v>
      </c>
      <c r="D6729" s="56" t="b">
        <v>0</v>
      </c>
      <c r="E6729" s="56">
        <f ca="1">IF(PV[[#This Row],[Business Date]]=Control!$C$6, PV[[#This Row],[Notional Value Local Cur]], -PV[[#This Row],[Notional Value Local Cur]])</f>
        <v>0</v>
      </c>
    </row>
    <row r="6730" spans="1:5" x14ac:dyDescent="0.25">
      <c r="A6730" s="36" t="b">
        <v>0</v>
      </c>
      <c r="B6730" s="56" t="b">
        <v>0</v>
      </c>
      <c r="C6730" s="56" t="b">
        <v>0</v>
      </c>
      <c r="D6730" s="56" t="b">
        <v>0</v>
      </c>
      <c r="E6730" s="56">
        <f ca="1">IF(PV[[#This Row],[Business Date]]=Control!$C$6, PV[[#This Row],[Notional Value Local Cur]], -PV[[#This Row],[Notional Value Local Cur]])</f>
        <v>0</v>
      </c>
    </row>
    <row r="6731" spans="1:5" x14ac:dyDescent="0.25">
      <c r="A6731" s="36" t="b">
        <v>0</v>
      </c>
      <c r="B6731" s="56" t="b">
        <v>0</v>
      </c>
      <c r="C6731" s="56" t="b">
        <v>0</v>
      </c>
      <c r="D6731" s="56" t="b">
        <v>0</v>
      </c>
      <c r="E6731" s="56">
        <f ca="1">IF(PV[[#This Row],[Business Date]]=Control!$C$6, PV[[#This Row],[Notional Value Local Cur]], -PV[[#This Row],[Notional Value Local Cur]])</f>
        <v>0</v>
      </c>
    </row>
    <row r="6732" spans="1:5" x14ac:dyDescent="0.25">
      <c r="A6732" s="36" t="b">
        <v>0</v>
      </c>
      <c r="B6732" s="56" t="b">
        <v>0</v>
      </c>
      <c r="C6732" s="56" t="b">
        <v>0</v>
      </c>
      <c r="D6732" s="56" t="b">
        <v>0</v>
      </c>
      <c r="E6732" s="56">
        <f ca="1">IF(PV[[#This Row],[Business Date]]=Control!$C$6, PV[[#This Row],[Notional Value Local Cur]], -PV[[#This Row],[Notional Value Local Cur]])</f>
        <v>0</v>
      </c>
    </row>
    <row r="6733" spans="1:5" x14ac:dyDescent="0.25">
      <c r="A6733" s="36" t="b">
        <v>0</v>
      </c>
      <c r="B6733" s="56" t="b">
        <v>0</v>
      </c>
      <c r="C6733" s="56" t="b">
        <v>0</v>
      </c>
      <c r="D6733" s="56" t="b">
        <v>0</v>
      </c>
      <c r="E6733" s="56">
        <f ca="1">IF(PV[[#This Row],[Business Date]]=Control!$C$6, PV[[#This Row],[Notional Value Local Cur]], -PV[[#This Row],[Notional Value Local Cur]])</f>
        <v>0</v>
      </c>
    </row>
    <row r="6734" spans="1:5" x14ac:dyDescent="0.25">
      <c r="A6734" s="36" t="b">
        <v>0</v>
      </c>
      <c r="B6734" s="56" t="b">
        <v>0</v>
      </c>
      <c r="C6734" s="56" t="b">
        <v>0</v>
      </c>
      <c r="D6734" s="56" t="b">
        <v>0</v>
      </c>
      <c r="E6734" s="56">
        <f ca="1">IF(PV[[#This Row],[Business Date]]=Control!$C$6, PV[[#This Row],[Notional Value Local Cur]], -PV[[#This Row],[Notional Value Local Cur]])</f>
        <v>0</v>
      </c>
    </row>
    <row r="6735" spans="1:5" x14ac:dyDescent="0.25">
      <c r="A6735" s="36" t="b">
        <v>0</v>
      </c>
      <c r="B6735" s="56" t="b">
        <v>0</v>
      </c>
      <c r="C6735" s="56" t="b">
        <v>0</v>
      </c>
      <c r="D6735" s="56" t="b">
        <v>0</v>
      </c>
      <c r="E6735" s="56">
        <f ca="1">IF(PV[[#This Row],[Business Date]]=Control!$C$6, PV[[#This Row],[Notional Value Local Cur]], -PV[[#This Row],[Notional Value Local Cur]])</f>
        <v>0</v>
      </c>
    </row>
    <row r="6736" spans="1:5" x14ac:dyDescent="0.25">
      <c r="A6736" s="36" t="b">
        <v>0</v>
      </c>
      <c r="B6736" s="56" t="b">
        <v>0</v>
      </c>
      <c r="C6736" s="56" t="b">
        <v>0</v>
      </c>
      <c r="D6736" s="56" t="b">
        <v>0</v>
      </c>
      <c r="E6736" s="56">
        <f ca="1">IF(PV[[#This Row],[Business Date]]=Control!$C$6, PV[[#This Row],[Notional Value Local Cur]], -PV[[#This Row],[Notional Value Local Cur]])</f>
        <v>0</v>
      </c>
    </row>
    <row r="6737" spans="1:5" x14ac:dyDescent="0.25">
      <c r="A6737" s="36" t="b">
        <v>0</v>
      </c>
      <c r="B6737" s="56" t="b">
        <v>0</v>
      </c>
      <c r="C6737" s="56" t="b">
        <v>0</v>
      </c>
      <c r="D6737" s="56" t="b">
        <v>0</v>
      </c>
      <c r="E6737" s="56">
        <f ca="1">IF(PV[[#This Row],[Business Date]]=Control!$C$6, PV[[#This Row],[Notional Value Local Cur]], -PV[[#This Row],[Notional Value Local Cur]])</f>
        <v>0</v>
      </c>
    </row>
    <row r="6738" spans="1:5" x14ac:dyDescent="0.25">
      <c r="A6738" s="36" t="b">
        <v>0</v>
      </c>
      <c r="B6738" s="56" t="b">
        <v>0</v>
      </c>
      <c r="C6738" s="56" t="b">
        <v>0</v>
      </c>
      <c r="D6738" s="56" t="b">
        <v>0</v>
      </c>
      <c r="E6738" s="56">
        <f ca="1">IF(PV[[#This Row],[Business Date]]=Control!$C$6, PV[[#This Row],[Notional Value Local Cur]], -PV[[#This Row],[Notional Value Local Cur]])</f>
        <v>0</v>
      </c>
    </row>
    <row r="6739" spans="1:5" x14ac:dyDescent="0.25">
      <c r="A6739" s="36" t="b">
        <v>0</v>
      </c>
      <c r="B6739" s="56" t="b">
        <v>0</v>
      </c>
      <c r="C6739" s="56" t="b">
        <v>0</v>
      </c>
      <c r="D6739" s="56" t="b">
        <v>0</v>
      </c>
      <c r="E6739" s="56">
        <f ca="1">IF(PV[[#This Row],[Business Date]]=Control!$C$6, PV[[#This Row],[Notional Value Local Cur]], -PV[[#This Row],[Notional Value Local Cur]])</f>
        <v>0</v>
      </c>
    </row>
    <row r="6740" spans="1:5" x14ac:dyDescent="0.25">
      <c r="A6740" s="36" t="b">
        <v>0</v>
      </c>
      <c r="B6740" s="56" t="b">
        <v>0</v>
      </c>
      <c r="C6740" s="56" t="b">
        <v>0</v>
      </c>
      <c r="D6740" s="56" t="b">
        <v>0</v>
      </c>
      <c r="E6740" s="56">
        <f ca="1">IF(PV[[#This Row],[Business Date]]=Control!$C$6, PV[[#This Row],[Notional Value Local Cur]], -PV[[#This Row],[Notional Value Local Cur]])</f>
        <v>0</v>
      </c>
    </row>
    <row r="6741" spans="1:5" x14ac:dyDescent="0.25">
      <c r="A6741" s="36" t="b">
        <v>0</v>
      </c>
      <c r="B6741" s="56" t="b">
        <v>0</v>
      </c>
      <c r="C6741" s="56" t="b">
        <v>0</v>
      </c>
      <c r="D6741" s="56" t="b">
        <v>0</v>
      </c>
      <c r="E6741" s="56">
        <f ca="1">IF(PV[[#This Row],[Business Date]]=Control!$C$6, PV[[#This Row],[Notional Value Local Cur]], -PV[[#This Row],[Notional Value Local Cur]])</f>
        <v>0</v>
      </c>
    </row>
    <row r="6742" spans="1:5" x14ac:dyDescent="0.25">
      <c r="A6742" s="36" t="b">
        <v>0</v>
      </c>
      <c r="B6742" s="56" t="b">
        <v>0</v>
      </c>
      <c r="C6742" s="56" t="b">
        <v>0</v>
      </c>
      <c r="D6742" s="56" t="b">
        <v>0</v>
      </c>
      <c r="E6742" s="56">
        <f ca="1">IF(PV[[#This Row],[Business Date]]=Control!$C$6, PV[[#This Row],[Notional Value Local Cur]], -PV[[#This Row],[Notional Value Local Cur]])</f>
        <v>0</v>
      </c>
    </row>
    <row r="6743" spans="1:5" x14ac:dyDescent="0.25">
      <c r="A6743" s="36" t="b">
        <v>0</v>
      </c>
      <c r="B6743" s="56" t="b">
        <v>0</v>
      </c>
      <c r="C6743" s="56" t="b">
        <v>0</v>
      </c>
      <c r="D6743" s="56" t="b">
        <v>0</v>
      </c>
      <c r="E6743" s="56">
        <f ca="1">IF(PV[[#This Row],[Business Date]]=Control!$C$6, PV[[#This Row],[Notional Value Local Cur]], -PV[[#This Row],[Notional Value Local Cur]])</f>
        <v>0</v>
      </c>
    </row>
    <row r="6744" spans="1:5" x14ac:dyDescent="0.25">
      <c r="A6744" s="36" t="b">
        <v>0</v>
      </c>
      <c r="B6744" s="56" t="b">
        <v>0</v>
      </c>
      <c r="C6744" s="56" t="b">
        <v>0</v>
      </c>
      <c r="D6744" s="56" t="b">
        <v>0</v>
      </c>
      <c r="E6744" s="56">
        <f ca="1">IF(PV[[#This Row],[Business Date]]=Control!$C$6, PV[[#This Row],[Notional Value Local Cur]], -PV[[#This Row],[Notional Value Local Cur]])</f>
        <v>0</v>
      </c>
    </row>
    <row r="6745" spans="1:5" x14ac:dyDescent="0.25">
      <c r="A6745" s="36" t="b">
        <v>0</v>
      </c>
      <c r="B6745" s="56" t="b">
        <v>0</v>
      </c>
      <c r="C6745" s="56" t="b">
        <v>0</v>
      </c>
      <c r="D6745" s="56" t="b">
        <v>0</v>
      </c>
      <c r="E6745" s="56">
        <f ca="1">IF(PV[[#This Row],[Business Date]]=Control!$C$6, PV[[#This Row],[Notional Value Local Cur]], -PV[[#This Row],[Notional Value Local Cur]])</f>
        <v>0</v>
      </c>
    </row>
    <row r="6746" spans="1:5" x14ac:dyDescent="0.25">
      <c r="A6746" s="36" t="b">
        <v>0</v>
      </c>
      <c r="B6746" s="56" t="b">
        <v>0</v>
      </c>
      <c r="C6746" s="56" t="b">
        <v>0</v>
      </c>
      <c r="D6746" s="56" t="b">
        <v>0</v>
      </c>
      <c r="E6746" s="56">
        <f ca="1">IF(PV[[#This Row],[Business Date]]=Control!$C$6, PV[[#This Row],[Notional Value Local Cur]], -PV[[#This Row],[Notional Value Local Cur]])</f>
        <v>0</v>
      </c>
    </row>
    <row r="6747" spans="1:5" x14ac:dyDescent="0.25">
      <c r="A6747" s="36" t="b">
        <v>0</v>
      </c>
      <c r="B6747" s="56" t="b">
        <v>0</v>
      </c>
      <c r="C6747" s="56" t="b">
        <v>0</v>
      </c>
      <c r="D6747" s="56" t="b">
        <v>0</v>
      </c>
      <c r="E6747" s="56">
        <f ca="1">IF(PV[[#This Row],[Business Date]]=Control!$C$6, PV[[#This Row],[Notional Value Local Cur]], -PV[[#This Row],[Notional Value Local Cur]])</f>
        <v>0</v>
      </c>
    </row>
    <row r="6748" spans="1:5" x14ac:dyDescent="0.25">
      <c r="A6748" s="36" t="b">
        <v>0</v>
      </c>
      <c r="B6748" s="56" t="b">
        <v>0</v>
      </c>
      <c r="C6748" s="56" t="b">
        <v>0</v>
      </c>
      <c r="D6748" s="56" t="b">
        <v>0</v>
      </c>
      <c r="E6748" s="56">
        <f ca="1">IF(PV[[#This Row],[Business Date]]=Control!$C$6, PV[[#This Row],[Notional Value Local Cur]], -PV[[#This Row],[Notional Value Local Cur]])</f>
        <v>0</v>
      </c>
    </row>
    <row r="6749" spans="1:5" x14ac:dyDescent="0.25">
      <c r="A6749" s="36" t="b">
        <v>0</v>
      </c>
      <c r="B6749" s="56" t="b">
        <v>0</v>
      </c>
      <c r="C6749" s="56" t="b">
        <v>0</v>
      </c>
      <c r="D6749" s="56" t="b">
        <v>0</v>
      </c>
      <c r="E6749" s="56">
        <f ca="1">IF(PV[[#This Row],[Business Date]]=Control!$C$6, PV[[#This Row],[Notional Value Local Cur]], -PV[[#This Row],[Notional Value Local Cur]])</f>
        <v>0</v>
      </c>
    </row>
    <row r="6750" spans="1:5" x14ac:dyDescent="0.25">
      <c r="A6750" s="36" t="b">
        <v>0</v>
      </c>
      <c r="B6750" s="56" t="b">
        <v>0</v>
      </c>
      <c r="C6750" s="56" t="b">
        <v>0</v>
      </c>
      <c r="D6750" s="56" t="b">
        <v>0</v>
      </c>
      <c r="E6750" s="56">
        <f ca="1">IF(PV[[#This Row],[Business Date]]=Control!$C$6, PV[[#This Row],[Notional Value Local Cur]], -PV[[#This Row],[Notional Value Local Cur]])</f>
        <v>0</v>
      </c>
    </row>
    <row r="6751" spans="1:5" x14ac:dyDescent="0.25">
      <c r="A6751" s="36" t="b">
        <v>0</v>
      </c>
      <c r="B6751" s="56" t="b">
        <v>0</v>
      </c>
      <c r="C6751" s="56" t="b">
        <v>0</v>
      </c>
      <c r="D6751" s="56" t="b">
        <v>0</v>
      </c>
      <c r="E6751" s="56">
        <f ca="1">IF(PV[[#This Row],[Business Date]]=Control!$C$6, PV[[#This Row],[Notional Value Local Cur]], -PV[[#This Row],[Notional Value Local Cur]])</f>
        <v>0</v>
      </c>
    </row>
    <row r="6752" spans="1:5" x14ac:dyDescent="0.25">
      <c r="A6752" s="36" t="b">
        <v>0</v>
      </c>
      <c r="B6752" s="56" t="b">
        <v>0</v>
      </c>
      <c r="C6752" s="56" t="b">
        <v>0</v>
      </c>
      <c r="D6752" s="56" t="b">
        <v>0</v>
      </c>
      <c r="E6752" s="56">
        <f ca="1">IF(PV[[#This Row],[Business Date]]=Control!$C$6, PV[[#This Row],[Notional Value Local Cur]], -PV[[#This Row],[Notional Value Local Cur]])</f>
        <v>0</v>
      </c>
    </row>
    <row r="6753" spans="1:5" x14ac:dyDescent="0.25">
      <c r="A6753" s="36" t="b">
        <v>0</v>
      </c>
      <c r="B6753" s="56" t="b">
        <v>0</v>
      </c>
      <c r="C6753" s="56" t="b">
        <v>0</v>
      </c>
      <c r="D6753" s="56" t="b">
        <v>0</v>
      </c>
      <c r="E6753" s="56">
        <f ca="1">IF(PV[[#This Row],[Business Date]]=Control!$C$6, PV[[#This Row],[Notional Value Local Cur]], -PV[[#This Row],[Notional Value Local Cur]])</f>
        <v>0</v>
      </c>
    </row>
    <row r="6754" spans="1:5" x14ac:dyDescent="0.25">
      <c r="A6754" s="36" t="b">
        <v>0</v>
      </c>
      <c r="B6754" s="56" t="b">
        <v>0</v>
      </c>
      <c r="C6754" s="56" t="b">
        <v>0</v>
      </c>
      <c r="D6754" s="56" t="b">
        <v>0</v>
      </c>
      <c r="E6754" s="56">
        <f ca="1">IF(PV[[#This Row],[Business Date]]=Control!$C$6, PV[[#This Row],[Notional Value Local Cur]], -PV[[#This Row],[Notional Value Local Cur]])</f>
        <v>0</v>
      </c>
    </row>
    <row r="6755" spans="1:5" x14ac:dyDescent="0.25">
      <c r="A6755" s="36" t="b">
        <v>0</v>
      </c>
      <c r="B6755" s="56" t="b">
        <v>0</v>
      </c>
      <c r="C6755" s="56" t="b">
        <v>0</v>
      </c>
      <c r="D6755" s="56" t="b">
        <v>0</v>
      </c>
      <c r="E6755" s="56">
        <f ca="1">IF(PV[[#This Row],[Business Date]]=Control!$C$6, PV[[#This Row],[Notional Value Local Cur]], -PV[[#This Row],[Notional Value Local Cur]])</f>
        <v>0</v>
      </c>
    </row>
    <row r="6756" spans="1:5" x14ac:dyDescent="0.25">
      <c r="A6756" s="36" t="b">
        <v>0</v>
      </c>
      <c r="B6756" s="56" t="b">
        <v>0</v>
      </c>
      <c r="C6756" s="56" t="b">
        <v>0</v>
      </c>
      <c r="D6756" s="56" t="b">
        <v>0</v>
      </c>
      <c r="E6756" s="56">
        <f ca="1">IF(PV[[#This Row],[Business Date]]=Control!$C$6, PV[[#This Row],[Notional Value Local Cur]], -PV[[#This Row],[Notional Value Local Cur]])</f>
        <v>0</v>
      </c>
    </row>
    <row r="6757" spans="1:5" x14ac:dyDescent="0.25">
      <c r="A6757" s="36" t="b">
        <v>0</v>
      </c>
      <c r="B6757" s="56" t="b">
        <v>0</v>
      </c>
      <c r="C6757" s="56" t="b">
        <v>0</v>
      </c>
      <c r="D6757" s="56" t="b">
        <v>0</v>
      </c>
      <c r="E6757" s="56">
        <f ca="1">IF(PV[[#This Row],[Business Date]]=Control!$C$6, PV[[#This Row],[Notional Value Local Cur]], -PV[[#This Row],[Notional Value Local Cur]])</f>
        <v>0</v>
      </c>
    </row>
    <row r="6758" spans="1:5" x14ac:dyDescent="0.25">
      <c r="A6758" s="36" t="b">
        <v>0</v>
      </c>
      <c r="B6758" s="56" t="b">
        <v>0</v>
      </c>
      <c r="C6758" s="56" t="b">
        <v>0</v>
      </c>
      <c r="D6758" s="56" t="b">
        <v>0</v>
      </c>
      <c r="E6758" s="56">
        <f ca="1">IF(PV[[#This Row],[Business Date]]=Control!$C$6, PV[[#This Row],[Notional Value Local Cur]], -PV[[#This Row],[Notional Value Local Cur]])</f>
        <v>0</v>
      </c>
    </row>
    <row r="6759" spans="1:5" x14ac:dyDescent="0.25">
      <c r="A6759" s="36" t="b">
        <v>0</v>
      </c>
      <c r="B6759" s="56" t="b">
        <v>0</v>
      </c>
      <c r="C6759" s="56" t="b">
        <v>0</v>
      </c>
      <c r="D6759" s="56" t="b">
        <v>0</v>
      </c>
      <c r="E6759" s="56">
        <f ca="1">IF(PV[[#This Row],[Business Date]]=Control!$C$6, PV[[#This Row],[Notional Value Local Cur]], -PV[[#This Row],[Notional Value Local Cur]])</f>
        <v>0</v>
      </c>
    </row>
    <row r="6760" spans="1:5" x14ac:dyDescent="0.25">
      <c r="A6760" s="36" t="b">
        <v>0</v>
      </c>
      <c r="B6760" s="56" t="b">
        <v>0</v>
      </c>
      <c r="C6760" s="56" t="b">
        <v>0</v>
      </c>
      <c r="D6760" s="56" t="b">
        <v>0</v>
      </c>
      <c r="E6760" s="56">
        <f ca="1">IF(PV[[#This Row],[Business Date]]=Control!$C$6, PV[[#This Row],[Notional Value Local Cur]], -PV[[#This Row],[Notional Value Local Cur]])</f>
        <v>0</v>
      </c>
    </row>
    <row r="6761" spans="1:5" x14ac:dyDescent="0.25">
      <c r="A6761" s="36" t="b">
        <v>0</v>
      </c>
      <c r="B6761" s="56" t="b">
        <v>0</v>
      </c>
      <c r="C6761" s="56" t="b">
        <v>0</v>
      </c>
      <c r="D6761" s="56" t="b">
        <v>0</v>
      </c>
      <c r="E6761" s="56">
        <f ca="1">IF(PV[[#This Row],[Business Date]]=Control!$C$6, PV[[#This Row],[Notional Value Local Cur]], -PV[[#This Row],[Notional Value Local Cur]])</f>
        <v>0</v>
      </c>
    </row>
    <row r="6762" spans="1:5" x14ac:dyDescent="0.25">
      <c r="A6762" s="36" t="b">
        <v>0</v>
      </c>
      <c r="B6762" s="56" t="b">
        <v>0</v>
      </c>
      <c r="C6762" s="56" t="b">
        <v>0</v>
      </c>
      <c r="D6762" s="56" t="b">
        <v>0</v>
      </c>
      <c r="E6762" s="56">
        <f ca="1">IF(PV[[#This Row],[Business Date]]=Control!$C$6, PV[[#This Row],[Notional Value Local Cur]], -PV[[#This Row],[Notional Value Local Cur]])</f>
        <v>0</v>
      </c>
    </row>
    <row r="6763" spans="1:5" x14ac:dyDescent="0.25">
      <c r="A6763" s="36" t="b">
        <v>0</v>
      </c>
      <c r="B6763" s="56" t="b">
        <v>0</v>
      </c>
      <c r="C6763" s="56" t="b">
        <v>0</v>
      </c>
      <c r="D6763" s="56" t="b">
        <v>0</v>
      </c>
      <c r="E6763" s="56">
        <f ca="1">IF(PV[[#This Row],[Business Date]]=Control!$C$6, PV[[#This Row],[Notional Value Local Cur]], -PV[[#This Row],[Notional Value Local Cur]])</f>
        <v>0</v>
      </c>
    </row>
    <row r="6764" spans="1:5" x14ac:dyDescent="0.25">
      <c r="A6764" s="36" t="b">
        <v>0</v>
      </c>
      <c r="B6764" s="56" t="b">
        <v>0</v>
      </c>
      <c r="C6764" s="56" t="b">
        <v>0</v>
      </c>
      <c r="D6764" s="56" t="b">
        <v>0</v>
      </c>
      <c r="E6764" s="56">
        <f ca="1">IF(PV[[#This Row],[Business Date]]=Control!$C$6, PV[[#This Row],[Notional Value Local Cur]], -PV[[#This Row],[Notional Value Local Cur]])</f>
        <v>0</v>
      </c>
    </row>
    <row r="6765" spans="1:5" x14ac:dyDescent="0.25">
      <c r="A6765" s="36" t="b">
        <v>0</v>
      </c>
      <c r="B6765" s="56" t="b">
        <v>0</v>
      </c>
      <c r="C6765" s="56" t="b">
        <v>0</v>
      </c>
      <c r="D6765" s="56" t="b">
        <v>0</v>
      </c>
      <c r="E6765" s="56">
        <f ca="1">IF(PV[[#This Row],[Business Date]]=Control!$C$6, PV[[#This Row],[Notional Value Local Cur]], -PV[[#This Row],[Notional Value Local Cur]])</f>
        <v>0</v>
      </c>
    </row>
    <row r="6766" spans="1:5" x14ac:dyDescent="0.25">
      <c r="A6766" s="36" t="b">
        <v>0</v>
      </c>
      <c r="B6766" s="56" t="b">
        <v>0</v>
      </c>
      <c r="C6766" s="56" t="b">
        <v>0</v>
      </c>
      <c r="D6766" s="56" t="b">
        <v>0</v>
      </c>
      <c r="E6766" s="56">
        <f ca="1">IF(PV[[#This Row],[Business Date]]=Control!$C$6, PV[[#This Row],[Notional Value Local Cur]], -PV[[#This Row],[Notional Value Local Cur]])</f>
        <v>0</v>
      </c>
    </row>
    <row r="6767" spans="1:5" x14ac:dyDescent="0.25">
      <c r="A6767" s="36" t="b">
        <v>0</v>
      </c>
      <c r="B6767" s="56" t="b">
        <v>0</v>
      </c>
      <c r="C6767" s="56" t="b">
        <v>0</v>
      </c>
      <c r="D6767" s="56" t="b">
        <v>0</v>
      </c>
      <c r="E6767" s="56">
        <f ca="1">IF(PV[[#This Row],[Business Date]]=Control!$C$6, PV[[#This Row],[Notional Value Local Cur]], -PV[[#This Row],[Notional Value Local Cur]])</f>
        <v>0</v>
      </c>
    </row>
    <row r="6768" spans="1:5" x14ac:dyDescent="0.25">
      <c r="A6768" s="36" t="b">
        <v>0</v>
      </c>
      <c r="B6768" s="56" t="b">
        <v>0</v>
      </c>
      <c r="C6768" s="56" t="b">
        <v>0</v>
      </c>
      <c r="D6768" s="56" t="b">
        <v>0</v>
      </c>
      <c r="E6768" s="56">
        <f ca="1">IF(PV[[#This Row],[Business Date]]=Control!$C$6, PV[[#This Row],[Notional Value Local Cur]], -PV[[#This Row],[Notional Value Local Cur]])</f>
        <v>0</v>
      </c>
    </row>
    <row r="6769" spans="1:5" x14ac:dyDescent="0.25">
      <c r="A6769" s="36" t="b">
        <v>0</v>
      </c>
      <c r="B6769" s="56" t="b">
        <v>0</v>
      </c>
      <c r="C6769" s="56" t="b">
        <v>0</v>
      </c>
      <c r="D6769" s="56" t="b">
        <v>0</v>
      </c>
      <c r="E6769" s="56">
        <f ca="1">IF(PV[[#This Row],[Business Date]]=Control!$C$6, PV[[#This Row],[Notional Value Local Cur]], -PV[[#This Row],[Notional Value Local Cur]])</f>
        <v>0</v>
      </c>
    </row>
    <row r="6770" spans="1:5" x14ac:dyDescent="0.25">
      <c r="A6770" s="36" t="b">
        <v>0</v>
      </c>
      <c r="B6770" s="56" t="b">
        <v>0</v>
      </c>
      <c r="C6770" s="56" t="b">
        <v>0</v>
      </c>
      <c r="D6770" s="56" t="b">
        <v>0</v>
      </c>
      <c r="E6770" s="56">
        <f ca="1">IF(PV[[#This Row],[Business Date]]=Control!$C$6, PV[[#This Row],[Notional Value Local Cur]], -PV[[#This Row],[Notional Value Local Cur]])</f>
        <v>0</v>
      </c>
    </row>
    <row r="6771" spans="1:5" x14ac:dyDescent="0.25">
      <c r="A6771" s="36" t="b">
        <v>0</v>
      </c>
      <c r="B6771" s="56" t="b">
        <v>0</v>
      </c>
      <c r="C6771" s="56" t="b">
        <v>0</v>
      </c>
      <c r="D6771" s="56" t="b">
        <v>0</v>
      </c>
      <c r="E6771" s="56">
        <f ca="1">IF(PV[[#This Row],[Business Date]]=Control!$C$6, PV[[#This Row],[Notional Value Local Cur]], -PV[[#This Row],[Notional Value Local Cur]])</f>
        <v>0</v>
      </c>
    </row>
    <row r="6772" spans="1:5" x14ac:dyDescent="0.25">
      <c r="A6772" s="36" t="b">
        <v>0</v>
      </c>
      <c r="B6772" s="56" t="b">
        <v>0</v>
      </c>
      <c r="C6772" s="56" t="b">
        <v>0</v>
      </c>
      <c r="D6772" s="56" t="b">
        <v>0</v>
      </c>
      <c r="E6772" s="56">
        <f ca="1">IF(PV[[#This Row],[Business Date]]=Control!$C$6, PV[[#This Row],[Notional Value Local Cur]], -PV[[#This Row],[Notional Value Local Cur]])</f>
        <v>0</v>
      </c>
    </row>
    <row r="6773" spans="1:5" x14ac:dyDescent="0.25">
      <c r="A6773" s="36" t="b">
        <v>0</v>
      </c>
      <c r="B6773" s="56" t="b">
        <v>0</v>
      </c>
      <c r="C6773" s="56" t="b">
        <v>0</v>
      </c>
      <c r="D6773" s="56" t="b">
        <v>0</v>
      </c>
      <c r="E6773" s="56">
        <f ca="1">IF(PV[[#This Row],[Business Date]]=Control!$C$6, PV[[#This Row],[Notional Value Local Cur]], -PV[[#This Row],[Notional Value Local Cur]])</f>
        <v>0</v>
      </c>
    </row>
    <row r="6774" spans="1:5" x14ac:dyDescent="0.25">
      <c r="A6774" s="36" t="b">
        <v>0</v>
      </c>
      <c r="B6774" s="56" t="b">
        <v>0</v>
      </c>
      <c r="C6774" s="56" t="b">
        <v>0</v>
      </c>
      <c r="D6774" s="56" t="b">
        <v>0</v>
      </c>
      <c r="E6774" s="56">
        <f ca="1">IF(PV[[#This Row],[Business Date]]=Control!$C$6, PV[[#This Row],[Notional Value Local Cur]], -PV[[#This Row],[Notional Value Local Cur]])</f>
        <v>0</v>
      </c>
    </row>
    <row r="6775" spans="1:5" x14ac:dyDescent="0.25">
      <c r="A6775" s="36" t="b">
        <v>0</v>
      </c>
      <c r="B6775" s="56" t="b">
        <v>0</v>
      </c>
      <c r="C6775" s="56" t="b">
        <v>0</v>
      </c>
      <c r="D6775" s="56" t="b">
        <v>0</v>
      </c>
      <c r="E6775" s="56">
        <f ca="1">IF(PV[[#This Row],[Business Date]]=Control!$C$6, PV[[#This Row],[Notional Value Local Cur]], -PV[[#This Row],[Notional Value Local Cur]])</f>
        <v>0</v>
      </c>
    </row>
    <row r="6776" spans="1:5" x14ac:dyDescent="0.25">
      <c r="A6776" s="36" t="b">
        <v>0</v>
      </c>
      <c r="B6776" s="56" t="b">
        <v>0</v>
      </c>
      <c r="C6776" s="56" t="b">
        <v>0</v>
      </c>
      <c r="D6776" s="56" t="b">
        <v>0</v>
      </c>
      <c r="E6776" s="56">
        <f ca="1">IF(PV[[#This Row],[Business Date]]=Control!$C$6, PV[[#This Row],[Notional Value Local Cur]], -PV[[#This Row],[Notional Value Local Cur]])</f>
        <v>0</v>
      </c>
    </row>
    <row r="6777" spans="1:5" x14ac:dyDescent="0.25">
      <c r="A6777" s="36" t="b">
        <v>0</v>
      </c>
      <c r="B6777" s="56" t="b">
        <v>0</v>
      </c>
      <c r="C6777" s="56" t="b">
        <v>0</v>
      </c>
      <c r="D6777" s="56" t="b">
        <v>0</v>
      </c>
      <c r="E6777" s="56">
        <f ca="1">IF(PV[[#This Row],[Business Date]]=Control!$C$6, PV[[#This Row],[Notional Value Local Cur]], -PV[[#This Row],[Notional Value Local Cur]])</f>
        <v>0</v>
      </c>
    </row>
    <row r="6778" spans="1:5" x14ac:dyDescent="0.25">
      <c r="A6778" s="36" t="b">
        <v>0</v>
      </c>
      <c r="B6778" s="56" t="b">
        <v>0</v>
      </c>
      <c r="C6778" s="56" t="b">
        <v>0</v>
      </c>
      <c r="D6778" s="56" t="b">
        <v>0</v>
      </c>
      <c r="E6778" s="56">
        <f ca="1">IF(PV[[#This Row],[Business Date]]=Control!$C$6, PV[[#This Row],[Notional Value Local Cur]], -PV[[#This Row],[Notional Value Local Cur]])</f>
        <v>0</v>
      </c>
    </row>
    <row r="6779" spans="1:5" x14ac:dyDescent="0.25">
      <c r="A6779" s="36" t="b">
        <v>0</v>
      </c>
      <c r="B6779" s="56" t="b">
        <v>0</v>
      </c>
      <c r="C6779" s="56" t="b">
        <v>0</v>
      </c>
      <c r="D6779" s="56" t="b">
        <v>0</v>
      </c>
      <c r="E6779" s="56">
        <f ca="1">IF(PV[[#This Row],[Business Date]]=Control!$C$6, PV[[#This Row],[Notional Value Local Cur]], -PV[[#This Row],[Notional Value Local Cur]])</f>
        <v>0</v>
      </c>
    </row>
    <row r="6780" spans="1:5" x14ac:dyDescent="0.25">
      <c r="A6780" s="36" t="b">
        <v>0</v>
      </c>
      <c r="B6780" s="56" t="b">
        <v>0</v>
      </c>
      <c r="C6780" s="56" t="b">
        <v>0</v>
      </c>
      <c r="D6780" s="56" t="b">
        <v>0</v>
      </c>
      <c r="E6780" s="56">
        <f ca="1">IF(PV[[#This Row],[Business Date]]=Control!$C$6, PV[[#This Row],[Notional Value Local Cur]], -PV[[#This Row],[Notional Value Local Cur]])</f>
        <v>0</v>
      </c>
    </row>
    <row r="6781" spans="1:5" x14ac:dyDescent="0.25">
      <c r="A6781" s="36" t="b">
        <v>0</v>
      </c>
      <c r="B6781" s="56" t="b">
        <v>0</v>
      </c>
      <c r="C6781" s="56" t="b">
        <v>0</v>
      </c>
      <c r="D6781" s="56" t="b">
        <v>0</v>
      </c>
      <c r="E6781" s="56">
        <f ca="1">IF(PV[[#This Row],[Business Date]]=Control!$C$6, PV[[#This Row],[Notional Value Local Cur]], -PV[[#This Row],[Notional Value Local Cur]])</f>
        <v>0</v>
      </c>
    </row>
    <row r="6782" spans="1:5" x14ac:dyDescent="0.25">
      <c r="A6782" s="36" t="b">
        <v>0</v>
      </c>
      <c r="B6782" s="56" t="b">
        <v>0</v>
      </c>
      <c r="C6782" s="56" t="b">
        <v>0</v>
      </c>
      <c r="D6782" s="56" t="b">
        <v>0</v>
      </c>
      <c r="E6782" s="56">
        <f ca="1">IF(PV[[#This Row],[Business Date]]=Control!$C$6, PV[[#This Row],[Notional Value Local Cur]], -PV[[#This Row],[Notional Value Local Cur]])</f>
        <v>0</v>
      </c>
    </row>
    <row r="6783" spans="1:5" x14ac:dyDescent="0.25">
      <c r="A6783" s="36" t="b">
        <v>0</v>
      </c>
      <c r="B6783" s="56" t="b">
        <v>0</v>
      </c>
      <c r="C6783" s="56" t="b">
        <v>0</v>
      </c>
      <c r="D6783" s="56" t="b">
        <v>0</v>
      </c>
      <c r="E6783" s="56">
        <f ca="1">IF(PV[[#This Row],[Business Date]]=Control!$C$6, PV[[#This Row],[Notional Value Local Cur]], -PV[[#This Row],[Notional Value Local Cur]])</f>
        <v>0</v>
      </c>
    </row>
    <row r="6784" spans="1:5" x14ac:dyDescent="0.25">
      <c r="A6784" s="36" t="b">
        <v>0</v>
      </c>
      <c r="B6784" s="56" t="b">
        <v>0</v>
      </c>
      <c r="C6784" s="56" t="b">
        <v>0</v>
      </c>
      <c r="D6784" s="56" t="b">
        <v>0</v>
      </c>
      <c r="E6784" s="56">
        <f ca="1">IF(PV[[#This Row],[Business Date]]=Control!$C$6, PV[[#This Row],[Notional Value Local Cur]], -PV[[#This Row],[Notional Value Local Cur]])</f>
        <v>0</v>
      </c>
    </row>
    <row r="6785" spans="1:5" x14ac:dyDescent="0.25">
      <c r="A6785" s="36" t="b">
        <v>0</v>
      </c>
      <c r="B6785" s="56" t="b">
        <v>0</v>
      </c>
      <c r="C6785" s="56" t="b">
        <v>0</v>
      </c>
      <c r="D6785" s="56" t="b">
        <v>0</v>
      </c>
      <c r="E6785" s="56">
        <f ca="1">IF(PV[[#This Row],[Business Date]]=Control!$C$6, PV[[#This Row],[Notional Value Local Cur]], -PV[[#This Row],[Notional Value Local Cur]])</f>
        <v>0</v>
      </c>
    </row>
    <row r="6786" spans="1:5" x14ac:dyDescent="0.25">
      <c r="A6786" s="36" t="b">
        <v>0</v>
      </c>
      <c r="B6786" s="56" t="b">
        <v>0</v>
      </c>
      <c r="C6786" s="56" t="b">
        <v>0</v>
      </c>
      <c r="D6786" s="56" t="b">
        <v>0</v>
      </c>
      <c r="E6786" s="56">
        <f ca="1">IF(PV[[#This Row],[Business Date]]=Control!$C$6, PV[[#This Row],[Notional Value Local Cur]], -PV[[#This Row],[Notional Value Local Cur]])</f>
        <v>0</v>
      </c>
    </row>
    <row r="6787" spans="1:5" x14ac:dyDescent="0.25">
      <c r="A6787" s="36" t="b">
        <v>0</v>
      </c>
      <c r="B6787" s="56" t="b">
        <v>0</v>
      </c>
      <c r="C6787" s="56" t="b">
        <v>0</v>
      </c>
      <c r="D6787" s="56" t="b">
        <v>0</v>
      </c>
      <c r="E6787" s="56">
        <f ca="1">IF(PV[[#This Row],[Business Date]]=Control!$C$6, PV[[#This Row],[Notional Value Local Cur]], -PV[[#This Row],[Notional Value Local Cur]])</f>
        <v>0</v>
      </c>
    </row>
    <row r="6788" spans="1:5" x14ac:dyDescent="0.25">
      <c r="A6788" s="36" t="b">
        <v>0</v>
      </c>
      <c r="B6788" s="56" t="b">
        <v>0</v>
      </c>
      <c r="C6788" s="56" t="b">
        <v>0</v>
      </c>
      <c r="D6788" s="56" t="b">
        <v>0</v>
      </c>
      <c r="E6788" s="56">
        <f ca="1">IF(PV[[#This Row],[Business Date]]=Control!$C$6, PV[[#This Row],[Notional Value Local Cur]], -PV[[#This Row],[Notional Value Local Cur]])</f>
        <v>0</v>
      </c>
    </row>
    <row r="6789" spans="1:5" x14ac:dyDescent="0.25">
      <c r="A6789" s="36" t="b">
        <v>0</v>
      </c>
      <c r="B6789" s="56" t="b">
        <v>0</v>
      </c>
      <c r="C6789" s="56" t="b">
        <v>0</v>
      </c>
      <c r="D6789" s="56" t="b">
        <v>0</v>
      </c>
      <c r="E6789" s="56">
        <f ca="1">IF(PV[[#This Row],[Business Date]]=Control!$C$6, PV[[#This Row],[Notional Value Local Cur]], -PV[[#This Row],[Notional Value Local Cur]])</f>
        <v>0</v>
      </c>
    </row>
    <row r="6790" spans="1:5" x14ac:dyDescent="0.25">
      <c r="A6790" s="36" t="b">
        <v>0</v>
      </c>
      <c r="B6790" s="56" t="b">
        <v>0</v>
      </c>
      <c r="C6790" s="56" t="b">
        <v>0</v>
      </c>
      <c r="D6790" s="56" t="b">
        <v>0</v>
      </c>
      <c r="E6790" s="56">
        <f ca="1">IF(PV[[#This Row],[Business Date]]=Control!$C$6, PV[[#This Row],[Notional Value Local Cur]], -PV[[#This Row],[Notional Value Local Cur]])</f>
        <v>0</v>
      </c>
    </row>
    <row r="6791" spans="1:5" x14ac:dyDescent="0.25">
      <c r="A6791" s="36" t="b">
        <v>0</v>
      </c>
      <c r="B6791" s="56" t="b">
        <v>0</v>
      </c>
      <c r="C6791" s="56" t="b">
        <v>0</v>
      </c>
      <c r="D6791" s="56" t="b">
        <v>0</v>
      </c>
      <c r="E6791" s="56">
        <f ca="1">IF(PV[[#This Row],[Business Date]]=Control!$C$6, PV[[#This Row],[Notional Value Local Cur]], -PV[[#This Row],[Notional Value Local Cur]])</f>
        <v>0</v>
      </c>
    </row>
    <row r="6792" spans="1:5" x14ac:dyDescent="0.25">
      <c r="A6792" s="36" t="b">
        <v>0</v>
      </c>
      <c r="B6792" s="56" t="b">
        <v>0</v>
      </c>
      <c r="C6792" s="56" t="b">
        <v>0</v>
      </c>
      <c r="D6792" s="56" t="b">
        <v>0</v>
      </c>
      <c r="E6792" s="56">
        <f ca="1">IF(PV[[#This Row],[Business Date]]=Control!$C$6, PV[[#This Row],[Notional Value Local Cur]], -PV[[#This Row],[Notional Value Local Cur]])</f>
        <v>0</v>
      </c>
    </row>
    <row r="6793" spans="1:5" x14ac:dyDescent="0.25">
      <c r="A6793" s="36" t="b">
        <v>0</v>
      </c>
      <c r="B6793" s="56" t="b">
        <v>0</v>
      </c>
      <c r="C6793" s="56" t="b">
        <v>0</v>
      </c>
      <c r="D6793" s="56" t="b">
        <v>0</v>
      </c>
      <c r="E6793" s="56">
        <f ca="1">IF(PV[[#This Row],[Business Date]]=Control!$C$6, PV[[#This Row],[Notional Value Local Cur]], -PV[[#This Row],[Notional Value Local Cur]])</f>
        <v>0</v>
      </c>
    </row>
    <row r="6794" spans="1:5" x14ac:dyDescent="0.25">
      <c r="A6794" s="36" t="b">
        <v>0</v>
      </c>
      <c r="B6794" s="56" t="b">
        <v>0</v>
      </c>
      <c r="C6794" s="56" t="b">
        <v>0</v>
      </c>
      <c r="D6794" s="56" t="b">
        <v>0</v>
      </c>
      <c r="E6794" s="56">
        <f ca="1">IF(PV[[#This Row],[Business Date]]=Control!$C$6, PV[[#This Row],[Notional Value Local Cur]], -PV[[#This Row],[Notional Value Local Cur]])</f>
        <v>0</v>
      </c>
    </row>
    <row r="6795" spans="1:5" x14ac:dyDescent="0.25">
      <c r="A6795" s="36" t="b">
        <v>0</v>
      </c>
      <c r="B6795" s="56" t="b">
        <v>0</v>
      </c>
      <c r="C6795" s="56" t="b">
        <v>0</v>
      </c>
      <c r="D6795" s="56" t="b">
        <v>0</v>
      </c>
      <c r="E6795" s="56">
        <f ca="1">IF(PV[[#This Row],[Business Date]]=Control!$C$6, PV[[#This Row],[Notional Value Local Cur]], -PV[[#This Row],[Notional Value Local Cur]])</f>
        <v>0</v>
      </c>
    </row>
    <row r="6796" spans="1:5" x14ac:dyDescent="0.25">
      <c r="A6796" s="36" t="b">
        <v>0</v>
      </c>
      <c r="B6796" s="56" t="b">
        <v>0</v>
      </c>
      <c r="C6796" s="56" t="b">
        <v>0</v>
      </c>
      <c r="D6796" s="56" t="b">
        <v>0</v>
      </c>
      <c r="E6796" s="56">
        <f ca="1">IF(PV[[#This Row],[Business Date]]=Control!$C$6, PV[[#This Row],[Notional Value Local Cur]], -PV[[#This Row],[Notional Value Local Cur]])</f>
        <v>0</v>
      </c>
    </row>
    <row r="6797" spans="1:5" x14ac:dyDescent="0.25">
      <c r="A6797" s="36" t="b">
        <v>0</v>
      </c>
      <c r="B6797" s="56" t="b">
        <v>0</v>
      </c>
      <c r="C6797" s="56" t="b">
        <v>0</v>
      </c>
      <c r="D6797" s="56" t="b">
        <v>0</v>
      </c>
      <c r="E6797" s="56">
        <f ca="1">IF(PV[[#This Row],[Business Date]]=Control!$C$6, PV[[#This Row],[Notional Value Local Cur]], -PV[[#This Row],[Notional Value Local Cur]])</f>
        <v>0</v>
      </c>
    </row>
    <row r="6798" spans="1:5" x14ac:dyDescent="0.25">
      <c r="A6798" s="36" t="b">
        <v>0</v>
      </c>
      <c r="B6798" s="56" t="b">
        <v>0</v>
      </c>
      <c r="C6798" s="56" t="b">
        <v>0</v>
      </c>
      <c r="D6798" s="56" t="b">
        <v>0</v>
      </c>
      <c r="E6798" s="56">
        <f ca="1">IF(PV[[#This Row],[Business Date]]=Control!$C$6, PV[[#This Row],[Notional Value Local Cur]], -PV[[#This Row],[Notional Value Local Cur]])</f>
        <v>0</v>
      </c>
    </row>
    <row r="6799" spans="1:5" x14ac:dyDescent="0.25">
      <c r="A6799" s="36" t="b">
        <v>0</v>
      </c>
      <c r="B6799" s="56" t="b">
        <v>0</v>
      </c>
      <c r="C6799" s="56" t="b">
        <v>0</v>
      </c>
      <c r="D6799" s="56" t="b">
        <v>0</v>
      </c>
      <c r="E6799" s="56">
        <f ca="1">IF(PV[[#This Row],[Business Date]]=Control!$C$6, PV[[#This Row],[Notional Value Local Cur]], -PV[[#This Row],[Notional Value Local Cur]])</f>
        <v>0</v>
      </c>
    </row>
    <row r="6800" spans="1:5" x14ac:dyDescent="0.25">
      <c r="A6800" s="36" t="b">
        <v>0</v>
      </c>
      <c r="B6800" s="56" t="b">
        <v>0</v>
      </c>
      <c r="C6800" s="56" t="b">
        <v>0</v>
      </c>
      <c r="D6800" s="56" t="b">
        <v>0</v>
      </c>
      <c r="E6800" s="56">
        <f ca="1">IF(PV[[#This Row],[Business Date]]=Control!$C$6, PV[[#This Row],[Notional Value Local Cur]], -PV[[#This Row],[Notional Value Local Cur]])</f>
        <v>0</v>
      </c>
    </row>
    <row r="6801" spans="1:5" x14ac:dyDescent="0.25">
      <c r="A6801" s="36" t="b">
        <v>0</v>
      </c>
      <c r="B6801" s="56" t="b">
        <v>0</v>
      </c>
      <c r="C6801" s="56" t="b">
        <v>0</v>
      </c>
      <c r="D6801" s="56" t="b">
        <v>0</v>
      </c>
      <c r="E6801" s="56">
        <f ca="1">IF(PV[[#This Row],[Business Date]]=Control!$C$6, PV[[#This Row],[Notional Value Local Cur]], -PV[[#This Row],[Notional Value Local Cur]])</f>
        <v>0</v>
      </c>
    </row>
    <row r="6802" spans="1:5" x14ac:dyDescent="0.25">
      <c r="A6802" s="36" t="b">
        <v>0</v>
      </c>
      <c r="B6802" s="56" t="b">
        <v>0</v>
      </c>
      <c r="C6802" s="56" t="b">
        <v>0</v>
      </c>
      <c r="D6802" s="56" t="b">
        <v>0</v>
      </c>
      <c r="E6802" s="56">
        <f ca="1">IF(PV[[#This Row],[Business Date]]=Control!$C$6, PV[[#This Row],[Notional Value Local Cur]], -PV[[#This Row],[Notional Value Local Cur]])</f>
        <v>0</v>
      </c>
    </row>
    <row r="6803" spans="1:5" x14ac:dyDescent="0.25">
      <c r="A6803" s="36" t="b">
        <v>0</v>
      </c>
      <c r="B6803" s="56" t="b">
        <v>0</v>
      </c>
      <c r="C6803" s="56" t="b">
        <v>0</v>
      </c>
      <c r="D6803" s="56" t="b">
        <v>0</v>
      </c>
      <c r="E6803" s="56">
        <f ca="1">IF(PV[[#This Row],[Business Date]]=Control!$C$6, PV[[#This Row],[Notional Value Local Cur]], -PV[[#This Row],[Notional Value Local Cur]])</f>
        <v>0</v>
      </c>
    </row>
    <row r="6804" spans="1:5" x14ac:dyDescent="0.25">
      <c r="A6804" s="36" t="b">
        <v>0</v>
      </c>
      <c r="B6804" s="56" t="b">
        <v>0</v>
      </c>
      <c r="C6804" s="56" t="b">
        <v>0</v>
      </c>
      <c r="D6804" s="56" t="b">
        <v>0</v>
      </c>
      <c r="E6804" s="56">
        <f ca="1">IF(PV[[#This Row],[Business Date]]=Control!$C$6, PV[[#This Row],[Notional Value Local Cur]], -PV[[#This Row],[Notional Value Local Cur]])</f>
        <v>0</v>
      </c>
    </row>
    <row r="6805" spans="1:5" x14ac:dyDescent="0.25">
      <c r="A6805" s="36" t="b">
        <v>0</v>
      </c>
      <c r="B6805" s="56" t="b">
        <v>0</v>
      </c>
      <c r="C6805" s="56" t="b">
        <v>0</v>
      </c>
      <c r="D6805" s="56" t="b">
        <v>0</v>
      </c>
      <c r="E6805" s="56">
        <f ca="1">IF(PV[[#This Row],[Business Date]]=Control!$C$6, PV[[#This Row],[Notional Value Local Cur]], -PV[[#This Row],[Notional Value Local Cur]])</f>
        <v>0</v>
      </c>
    </row>
    <row r="6806" spans="1:5" x14ac:dyDescent="0.25">
      <c r="A6806" s="36" t="b">
        <v>0</v>
      </c>
      <c r="B6806" s="56" t="b">
        <v>0</v>
      </c>
      <c r="C6806" s="56" t="b">
        <v>0</v>
      </c>
      <c r="D6806" s="56" t="b">
        <v>0</v>
      </c>
      <c r="E6806" s="56">
        <f ca="1">IF(PV[[#This Row],[Business Date]]=Control!$C$6, PV[[#This Row],[Notional Value Local Cur]], -PV[[#This Row],[Notional Value Local Cur]])</f>
        <v>0</v>
      </c>
    </row>
    <row r="6807" spans="1:5" x14ac:dyDescent="0.25">
      <c r="A6807" s="36" t="b">
        <v>0</v>
      </c>
      <c r="B6807" s="56" t="b">
        <v>0</v>
      </c>
      <c r="C6807" s="56" t="b">
        <v>0</v>
      </c>
      <c r="D6807" s="56" t="b">
        <v>0</v>
      </c>
      <c r="E6807" s="56">
        <f ca="1">IF(PV[[#This Row],[Business Date]]=Control!$C$6, PV[[#This Row],[Notional Value Local Cur]], -PV[[#This Row],[Notional Value Local Cur]])</f>
        <v>0</v>
      </c>
    </row>
    <row r="6808" spans="1:5" x14ac:dyDescent="0.25">
      <c r="A6808" s="36" t="b">
        <v>0</v>
      </c>
      <c r="B6808" s="56" t="b">
        <v>0</v>
      </c>
      <c r="C6808" s="56" t="b">
        <v>0</v>
      </c>
      <c r="D6808" s="56" t="b">
        <v>0</v>
      </c>
      <c r="E6808" s="56">
        <f ca="1">IF(PV[[#This Row],[Business Date]]=Control!$C$6, PV[[#This Row],[Notional Value Local Cur]], -PV[[#This Row],[Notional Value Local Cur]])</f>
        <v>0</v>
      </c>
    </row>
    <row r="6809" spans="1:5" x14ac:dyDescent="0.25">
      <c r="A6809" s="36" t="b">
        <v>0</v>
      </c>
      <c r="B6809" s="56" t="b">
        <v>0</v>
      </c>
      <c r="C6809" s="56" t="b">
        <v>0</v>
      </c>
      <c r="D6809" s="56" t="b">
        <v>0</v>
      </c>
      <c r="E6809" s="56">
        <f ca="1">IF(PV[[#This Row],[Business Date]]=Control!$C$6, PV[[#This Row],[Notional Value Local Cur]], -PV[[#This Row],[Notional Value Local Cur]])</f>
        <v>0</v>
      </c>
    </row>
    <row r="6810" spans="1:5" x14ac:dyDescent="0.25">
      <c r="A6810" s="36" t="b">
        <v>0</v>
      </c>
      <c r="B6810" s="56" t="b">
        <v>0</v>
      </c>
      <c r="C6810" s="56" t="b">
        <v>0</v>
      </c>
      <c r="D6810" s="56" t="b">
        <v>0</v>
      </c>
      <c r="E6810" s="56">
        <f ca="1">IF(PV[[#This Row],[Business Date]]=Control!$C$6, PV[[#This Row],[Notional Value Local Cur]], -PV[[#This Row],[Notional Value Local Cur]])</f>
        <v>0</v>
      </c>
    </row>
    <row r="6811" spans="1:5" x14ac:dyDescent="0.25">
      <c r="A6811" s="36" t="b">
        <v>0</v>
      </c>
      <c r="B6811" s="56" t="b">
        <v>0</v>
      </c>
      <c r="C6811" s="56" t="b">
        <v>0</v>
      </c>
      <c r="D6811" s="56" t="b">
        <v>0</v>
      </c>
      <c r="E6811" s="56">
        <f ca="1">IF(PV[[#This Row],[Business Date]]=Control!$C$6, PV[[#This Row],[Notional Value Local Cur]], -PV[[#This Row],[Notional Value Local Cur]])</f>
        <v>0</v>
      </c>
    </row>
    <row r="6812" spans="1:5" x14ac:dyDescent="0.25">
      <c r="A6812" s="36" t="b">
        <v>0</v>
      </c>
      <c r="B6812" s="56" t="b">
        <v>0</v>
      </c>
      <c r="C6812" s="56" t="b">
        <v>0</v>
      </c>
      <c r="D6812" s="56" t="b">
        <v>0</v>
      </c>
      <c r="E6812" s="56">
        <f ca="1">IF(PV[[#This Row],[Business Date]]=Control!$C$6, PV[[#This Row],[Notional Value Local Cur]], -PV[[#This Row],[Notional Value Local Cur]])</f>
        <v>0</v>
      </c>
    </row>
    <row r="6813" spans="1:5" x14ac:dyDescent="0.25">
      <c r="A6813" s="36" t="b">
        <v>0</v>
      </c>
      <c r="B6813" s="56" t="b">
        <v>0</v>
      </c>
      <c r="C6813" s="56" t="b">
        <v>0</v>
      </c>
      <c r="D6813" s="56" t="b">
        <v>0</v>
      </c>
      <c r="E6813" s="56">
        <f ca="1">IF(PV[[#This Row],[Business Date]]=Control!$C$6, PV[[#This Row],[Notional Value Local Cur]], -PV[[#This Row],[Notional Value Local Cur]])</f>
        <v>0</v>
      </c>
    </row>
    <row r="6814" spans="1:5" x14ac:dyDescent="0.25">
      <c r="A6814" s="36" t="b">
        <v>0</v>
      </c>
      <c r="B6814" s="56" t="b">
        <v>0</v>
      </c>
      <c r="C6814" s="56" t="b">
        <v>0</v>
      </c>
      <c r="D6814" s="56" t="b">
        <v>0</v>
      </c>
      <c r="E6814" s="56">
        <f ca="1">IF(PV[[#This Row],[Business Date]]=Control!$C$6, PV[[#This Row],[Notional Value Local Cur]], -PV[[#This Row],[Notional Value Local Cur]])</f>
        <v>0</v>
      </c>
    </row>
    <row r="6815" spans="1:5" x14ac:dyDescent="0.25">
      <c r="A6815" s="36" t="b">
        <v>0</v>
      </c>
      <c r="B6815" s="56" t="b">
        <v>0</v>
      </c>
      <c r="C6815" s="56" t="b">
        <v>0</v>
      </c>
      <c r="D6815" s="56" t="b">
        <v>0</v>
      </c>
      <c r="E6815" s="56">
        <f ca="1">IF(PV[[#This Row],[Business Date]]=Control!$C$6, PV[[#This Row],[Notional Value Local Cur]], -PV[[#This Row],[Notional Value Local Cur]])</f>
        <v>0</v>
      </c>
    </row>
    <row r="6816" spans="1:5" x14ac:dyDescent="0.25">
      <c r="A6816" s="36" t="b">
        <v>0</v>
      </c>
      <c r="B6816" s="56" t="b">
        <v>0</v>
      </c>
      <c r="C6816" s="56" t="b">
        <v>0</v>
      </c>
      <c r="D6816" s="56" t="b">
        <v>0</v>
      </c>
      <c r="E6816" s="56">
        <f ca="1">IF(PV[[#This Row],[Business Date]]=Control!$C$6, PV[[#This Row],[Notional Value Local Cur]], -PV[[#This Row],[Notional Value Local Cur]])</f>
        <v>0</v>
      </c>
    </row>
    <row r="6817" spans="1:5" x14ac:dyDescent="0.25">
      <c r="A6817" s="36" t="b">
        <v>0</v>
      </c>
      <c r="B6817" s="56" t="b">
        <v>0</v>
      </c>
      <c r="C6817" s="56" t="b">
        <v>0</v>
      </c>
      <c r="D6817" s="56" t="b">
        <v>0</v>
      </c>
      <c r="E6817" s="56">
        <f ca="1">IF(PV[[#This Row],[Business Date]]=Control!$C$6, PV[[#This Row],[Notional Value Local Cur]], -PV[[#This Row],[Notional Value Local Cur]])</f>
        <v>0</v>
      </c>
    </row>
    <row r="6818" spans="1:5" x14ac:dyDescent="0.25">
      <c r="A6818" s="36" t="b">
        <v>0</v>
      </c>
      <c r="B6818" s="56" t="b">
        <v>0</v>
      </c>
      <c r="C6818" s="56" t="b">
        <v>0</v>
      </c>
      <c r="D6818" s="56" t="b">
        <v>0</v>
      </c>
      <c r="E6818" s="56">
        <f ca="1">IF(PV[[#This Row],[Business Date]]=Control!$C$6, PV[[#This Row],[Notional Value Local Cur]], -PV[[#This Row],[Notional Value Local Cur]])</f>
        <v>0</v>
      </c>
    </row>
    <row r="6819" spans="1:5" x14ac:dyDescent="0.25">
      <c r="A6819" s="36" t="b">
        <v>0</v>
      </c>
      <c r="B6819" s="56" t="b">
        <v>0</v>
      </c>
      <c r="C6819" s="56" t="b">
        <v>0</v>
      </c>
      <c r="D6819" s="56" t="b">
        <v>0</v>
      </c>
      <c r="E6819" s="56">
        <f ca="1">IF(PV[[#This Row],[Business Date]]=Control!$C$6, PV[[#This Row],[Notional Value Local Cur]], -PV[[#This Row],[Notional Value Local Cur]])</f>
        <v>0</v>
      </c>
    </row>
    <row r="6820" spans="1:5" x14ac:dyDescent="0.25">
      <c r="A6820" s="36" t="b">
        <v>0</v>
      </c>
      <c r="B6820" s="56" t="b">
        <v>0</v>
      </c>
      <c r="C6820" s="56" t="b">
        <v>0</v>
      </c>
      <c r="D6820" s="56" t="b">
        <v>0</v>
      </c>
      <c r="E6820" s="56">
        <f ca="1">IF(PV[[#This Row],[Business Date]]=Control!$C$6, PV[[#This Row],[Notional Value Local Cur]], -PV[[#This Row],[Notional Value Local Cur]])</f>
        <v>0</v>
      </c>
    </row>
    <row r="6821" spans="1:5" x14ac:dyDescent="0.25">
      <c r="A6821" s="36" t="b">
        <v>0</v>
      </c>
      <c r="B6821" s="56" t="b">
        <v>0</v>
      </c>
      <c r="C6821" s="56" t="b">
        <v>0</v>
      </c>
      <c r="D6821" s="56" t="b">
        <v>0</v>
      </c>
      <c r="E6821" s="56">
        <f ca="1">IF(PV[[#This Row],[Business Date]]=Control!$C$6, PV[[#This Row],[Notional Value Local Cur]], -PV[[#This Row],[Notional Value Local Cur]])</f>
        <v>0</v>
      </c>
    </row>
    <row r="6822" spans="1:5" x14ac:dyDescent="0.25">
      <c r="A6822" s="36" t="b">
        <v>0</v>
      </c>
      <c r="B6822" s="56" t="b">
        <v>0</v>
      </c>
      <c r="C6822" s="56" t="b">
        <v>0</v>
      </c>
      <c r="D6822" s="56" t="b">
        <v>0</v>
      </c>
      <c r="E6822" s="56">
        <f ca="1">IF(PV[[#This Row],[Business Date]]=Control!$C$6, PV[[#This Row],[Notional Value Local Cur]], -PV[[#This Row],[Notional Value Local Cur]])</f>
        <v>0</v>
      </c>
    </row>
    <row r="6823" spans="1:5" x14ac:dyDescent="0.25">
      <c r="A6823" s="36" t="b">
        <v>0</v>
      </c>
      <c r="B6823" s="56" t="b">
        <v>0</v>
      </c>
      <c r="C6823" s="56" t="b">
        <v>0</v>
      </c>
      <c r="D6823" s="56" t="b">
        <v>0</v>
      </c>
      <c r="E6823" s="56">
        <f ca="1">IF(PV[[#This Row],[Business Date]]=Control!$C$6, PV[[#This Row],[Notional Value Local Cur]], -PV[[#This Row],[Notional Value Local Cur]])</f>
        <v>0</v>
      </c>
    </row>
    <row r="6824" spans="1:5" x14ac:dyDescent="0.25">
      <c r="A6824" s="36" t="b">
        <v>0</v>
      </c>
      <c r="B6824" s="56" t="b">
        <v>0</v>
      </c>
      <c r="C6824" s="56" t="b">
        <v>0</v>
      </c>
      <c r="D6824" s="56" t="b">
        <v>0</v>
      </c>
      <c r="E6824" s="56">
        <f ca="1">IF(PV[[#This Row],[Business Date]]=Control!$C$6, PV[[#This Row],[Notional Value Local Cur]], -PV[[#This Row],[Notional Value Local Cur]])</f>
        <v>0</v>
      </c>
    </row>
    <row r="6825" spans="1:5" x14ac:dyDescent="0.25">
      <c r="A6825" s="36" t="b">
        <v>0</v>
      </c>
      <c r="B6825" s="56" t="b">
        <v>0</v>
      </c>
      <c r="C6825" s="56" t="b">
        <v>0</v>
      </c>
      <c r="D6825" s="56" t="b">
        <v>0</v>
      </c>
      <c r="E6825" s="56">
        <f ca="1">IF(PV[[#This Row],[Business Date]]=Control!$C$6, PV[[#This Row],[Notional Value Local Cur]], -PV[[#This Row],[Notional Value Local Cur]])</f>
        <v>0</v>
      </c>
    </row>
    <row r="6826" spans="1:5" x14ac:dyDescent="0.25">
      <c r="A6826" s="36" t="b">
        <v>0</v>
      </c>
      <c r="B6826" s="56" t="b">
        <v>0</v>
      </c>
      <c r="C6826" s="56" t="b">
        <v>0</v>
      </c>
      <c r="D6826" s="56" t="b">
        <v>0</v>
      </c>
      <c r="E6826" s="56">
        <f ca="1">IF(PV[[#This Row],[Business Date]]=Control!$C$6, PV[[#This Row],[Notional Value Local Cur]], -PV[[#This Row],[Notional Value Local Cur]])</f>
        <v>0</v>
      </c>
    </row>
    <row r="6827" spans="1:5" x14ac:dyDescent="0.25">
      <c r="A6827" s="36" t="b">
        <v>0</v>
      </c>
      <c r="B6827" s="56" t="b">
        <v>0</v>
      </c>
      <c r="C6827" s="56" t="b">
        <v>0</v>
      </c>
      <c r="D6827" s="56" t="b">
        <v>0</v>
      </c>
      <c r="E6827" s="56">
        <f ca="1">IF(PV[[#This Row],[Business Date]]=Control!$C$6, PV[[#This Row],[Notional Value Local Cur]], -PV[[#This Row],[Notional Value Local Cur]])</f>
        <v>0</v>
      </c>
    </row>
    <row r="6828" spans="1:5" x14ac:dyDescent="0.25">
      <c r="A6828" s="36" t="b">
        <v>0</v>
      </c>
      <c r="B6828" s="56" t="b">
        <v>0</v>
      </c>
      <c r="C6828" s="56" t="b">
        <v>0</v>
      </c>
      <c r="D6828" s="56" t="b">
        <v>0</v>
      </c>
      <c r="E6828" s="56">
        <f ca="1">IF(PV[[#This Row],[Business Date]]=Control!$C$6, PV[[#This Row],[Notional Value Local Cur]], -PV[[#This Row],[Notional Value Local Cur]])</f>
        <v>0</v>
      </c>
    </row>
    <row r="6829" spans="1:5" x14ac:dyDescent="0.25">
      <c r="A6829" s="36" t="b">
        <v>0</v>
      </c>
      <c r="B6829" s="56" t="b">
        <v>0</v>
      </c>
      <c r="C6829" s="56" t="b">
        <v>0</v>
      </c>
      <c r="D6829" s="56" t="b">
        <v>0</v>
      </c>
      <c r="E6829" s="56">
        <f ca="1">IF(PV[[#This Row],[Business Date]]=Control!$C$6, PV[[#This Row],[Notional Value Local Cur]], -PV[[#This Row],[Notional Value Local Cur]])</f>
        <v>0</v>
      </c>
    </row>
    <row r="6830" spans="1:5" x14ac:dyDescent="0.25">
      <c r="A6830" s="36" t="b">
        <v>0</v>
      </c>
      <c r="B6830" s="56" t="b">
        <v>0</v>
      </c>
      <c r="C6830" s="56" t="b">
        <v>0</v>
      </c>
      <c r="D6830" s="56" t="b">
        <v>0</v>
      </c>
      <c r="E6830" s="56">
        <f ca="1">IF(PV[[#This Row],[Business Date]]=Control!$C$6, PV[[#This Row],[Notional Value Local Cur]], -PV[[#This Row],[Notional Value Local Cur]])</f>
        <v>0</v>
      </c>
    </row>
    <row r="6831" spans="1:5" x14ac:dyDescent="0.25">
      <c r="A6831" s="36" t="b">
        <v>0</v>
      </c>
      <c r="B6831" s="56" t="b">
        <v>0</v>
      </c>
      <c r="C6831" s="56" t="b">
        <v>0</v>
      </c>
      <c r="D6831" s="56" t="b">
        <v>0</v>
      </c>
      <c r="E6831" s="56">
        <f ca="1">IF(PV[[#This Row],[Business Date]]=Control!$C$6, PV[[#This Row],[Notional Value Local Cur]], -PV[[#This Row],[Notional Value Local Cur]])</f>
        <v>0</v>
      </c>
    </row>
    <row r="6832" spans="1:5" x14ac:dyDescent="0.25">
      <c r="A6832" s="36" t="b">
        <v>0</v>
      </c>
      <c r="B6832" s="56" t="b">
        <v>0</v>
      </c>
      <c r="C6832" s="56" t="b">
        <v>0</v>
      </c>
      <c r="D6832" s="56" t="b">
        <v>0</v>
      </c>
      <c r="E6832" s="56">
        <f ca="1">IF(PV[[#This Row],[Business Date]]=Control!$C$6, PV[[#This Row],[Notional Value Local Cur]], -PV[[#This Row],[Notional Value Local Cur]])</f>
        <v>0</v>
      </c>
    </row>
    <row r="6833" spans="1:5" x14ac:dyDescent="0.25">
      <c r="A6833" s="36" t="b">
        <v>0</v>
      </c>
      <c r="B6833" s="56" t="b">
        <v>0</v>
      </c>
      <c r="C6833" s="56" t="b">
        <v>0</v>
      </c>
      <c r="D6833" s="56" t="b">
        <v>0</v>
      </c>
      <c r="E6833" s="56">
        <f ca="1">IF(PV[[#This Row],[Business Date]]=Control!$C$6, PV[[#This Row],[Notional Value Local Cur]], -PV[[#This Row],[Notional Value Local Cur]])</f>
        <v>0</v>
      </c>
    </row>
    <row r="6834" spans="1:5" x14ac:dyDescent="0.25">
      <c r="A6834" s="36" t="b">
        <v>0</v>
      </c>
      <c r="B6834" s="56" t="b">
        <v>0</v>
      </c>
      <c r="C6834" s="56" t="b">
        <v>0</v>
      </c>
      <c r="D6834" s="56" t="b">
        <v>0</v>
      </c>
      <c r="E6834" s="56">
        <f ca="1">IF(PV[[#This Row],[Business Date]]=Control!$C$6, PV[[#This Row],[Notional Value Local Cur]], -PV[[#This Row],[Notional Value Local Cur]])</f>
        <v>0</v>
      </c>
    </row>
    <row r="6835" spans="1:5" x14ac:dyDescent="0.25">
      <c r="A6835" s="36" t="b">
        <v>0</v>
      </c>
      <c r="B6835" s="56" t="b">
        <v>0</v>
      </c>
      <c r="C6835" s="56" t="b">
        <v>0</v>
      </c>
      <c r="D6835" s="56" t="b">
        <v>0</v>
      </c>
      <c r="E6835" s="56">
        <f ca="1">IF(PV[[#This Row],[Business Date]]=Control!$C$6, PV[[#This Row],[Notional Value Local Cur]], -PV[[#This Row],[Notional Value Local Cur]])</f>
        <v>0</v>
      </c>
    </row>
    <row r="6836" spans="1:5" x14ac:dyDescent="0.25">
      <c r="A6836" s="36" t="b">
        <v>0</v>
      </c>
      <c r="B6836" s="56" t="b">
        <v>0</v>
      </c>
      <c r="C6836" s="56" t="b">
        <v>0</v>
      </c>
      <c r="D6836" s="56" t="b">
        <v>0</v>
      </c>
      <c r="E6836" s="56">
        <f ca="1">IF(PV[[#This Row],[Business Date]]=Control!$C$6, PV[[#This Row],[Notional Value Local Cur]], -PV[[#This Row],[Notional Value Local Cur]])</f>
        <v>0</v>
      </c>
    </row>
    <row r="6837" spans="1:5" x14ac:dyDescent="0.25">
      <c r="A6837" s="36" t="b">
        <v>0</v>
      </c>
      <c r="B6837" s="56" t="b">
        <v>0</v>
      </c>
      <c r="C6837" s="56" t="b">
        <v>0</v>
      </c>
      <c r="D6837" s="56" t="b">
        <v>0</v>
      </c>
      <c r="E6837" s="56">
        <f ca="1">IF(PV[[#This Row],[Business Date]]=Control!$C$6, PV[[#This Row],[Notional Value Local Cur]], -PV[[#This Row],[Notional Value Local Cur]])</f>
        <v>0</v>
      </c>
    </row>
    <row r="6838" spans="1:5" x14ac:dyDescent="0.25">
      <c r="A6838" s="36" t="b">
        <v>0</v>
      </c>
      <c r="B6838" s="56" t="b">
        <v>0</v>
      </c>
      <c r="C6838" s="56" t="b">
        <v>0</v>
      </c>
      <c r="D6838" s="56" t="b">
        <v>0</v>
      </c>
      <c r="E6838" s="56">
        <f ca="1">IF(PV[[#This Row],[Business Date]]=Control!$C$6, PV[[#This Row],[Notional Value Local Cur]], -PV[[#This Row],[Notional Value Local Cur]])</f>
        <v>0</v>
      </c>
    </row>
    <row r="6839" spans="1:5" x14ac:dyDescent="0.25">
      <c r="A6839" s="36" t="b">
        <v>0</v>
      </c>
      <c r="B6839" s="56" t="b">
        <v>0</v>
      </c>
      <c r="C6839" s="56" t="b">
        <v>0</v>
      </c>
      <c r="D6839" s="56" t="b">
        <v>0</v>
      </c>
      <c r="E6839" s="56">
        <f ca="1">IF(PV[[#This Row],[Business Date]]=Control!$C$6, PV[[#This Row],[Notional Value Local Cur]], -PV[[#This Row],[Notional Value Local Cur]])</f>
        <v>0</v>
      </c>
    </row>
    <row r="6840" spans="1:5" x14ac:dyDescent="0.25">
      <c r="A6840" s="36" t="b">
        <v>0</v>
      </c>
      <c r="B6840" s="56" t="b">
        <v>0</v>
      </c>
      <c r="C6840" s="56" t="b">
        <v>0</v>
      </c>
      <c r="D6840" s="56" t="b">
        <v>0</v>
      </c>
      <c r="E6840" s="56">
        <f ca="1">IF(PV[[#This Row],[Business Date]]=Control!$C$6, PV[[#This Row],[Notional Value Local Cur]], -PV[[#This Row],[Notional Value Local Cur]])</f>
        <v>0</v>
      </c>
    </row>
    <row r="6841" spans="1:5" x14ac:dyDescent="0.25">
      <c r="A6841" s="36" t="b">
        <v>0</v>
      </c>
      <c r="B6841" s="56" t="b">
        <v>0</v>
      </c>
      <c r="C6841" s="56" t="b">
        <v>0</v>
      </c>
      <c r="D6841" s="56" t="b">
        <v>0</v>
      </c>
      <c r="E6841" s="56">
        <f ca="1">IF(PV[[#This Row],[Business Date]]=Control!$C$6, PV[[#This Row],[Notional Value Local Cur]], -PV[[#This Row],[Notional Value Local Cur]])</f>
        <v>0</v>
      </c>
    </row>
    <row r="6842" spans="1:5" x14ac:dyDescent="0.25">
      <c r="A6842" s="36" t="b">
        <v>0</v>
      </c>
      <c r="B6842" s="56" t="b">
        <v>0</v>
      </c>
      <c r="C6842" s="56" t="b">
        <v>0</v>
      </c>
      <c r="D6842" s="56" t="b">
        <v>0</v>
      </c>
      <c r="E6842" s="56">
        <f ca="1">IF(PV[[#This Row],[Business Date]]=Control!$C$6, PV[[#This Row],[Notional Value Local Cur]], -PV[[#This Row],[Notional Value Local Cur]])</f>
        <v>0</v>
      </c>
    </row>
    <row r="6843" spans="1:5" x14ac:dyDescent="0.25">
      <c r="A6843" s="36" t="b">
        <v>0</v>
      </c>
      <c r="B6843" s="56" t="b">
        <v>0</v>
      </c>
      <c r="C6843" s="56" t="b">
        <v>0</v>
      </c>
      <c r="D6843" s="56" t="b">
        <v>0</v>
      </c>
      <c r="E6843" s="56">
        <f ca="1">IF(PV[[#This Row],[Business Date]]=Control!$C$6, PV[[#This Row],[Notional Value Local Cur]], -PV[[#This Row],[Notional Value Local Cur]])</f>
        <v>0</v>
      </c>
    </row>
    <row r="6844" spans="1:5" x14ac:dyDescent="0.25">
      <c r="A6844" s="36" t="b">
        <v>0</v>
      </c>
      <c r="B6844" s="56" t="b">
        <v>0</v>
      </c>
      <c r="C6844" s="56" t="b">
        <v>0</v>
      </c>
      <c r="D6844" s="56" t="b">
        <v>0</v>
      </c>
      <c r="E6844" s="56">
        <f ca="1">IF(PV[[#This Row],[Business Date]]=Control!$C$6, PV[[#This Row],[Notional Value Local Cur]], -PV[[#This Row],[Notional Value Local Cur]])</f>
        <v>0</v>
      </c>
    </row>
    <row r="6845" spans="1:5" x14ac:dyDescent="0.25">
      <c r="A6845" s="36" t="b">
        <v>0</v>
      </c>
      <c r="B6845" s="56" t="b">
        <v>0</v>
      </c>
      <c r="C6845" s="56" t="b">
        <v>0</v>
      </c>
      <c r="D6845" s="56" t="b">
        <v>0</v>
      </c>
      <c r="E6845" s="56">
        <f ca="1">IF(PV[[#This Row],[Business Date]]=Control!$C$6, PV[[#This Row],[Notional Value Local Cur]], -PV[[#This Row],[Notional Value Local Cur]])</f>
        <v>0</v>
      </c>
    </row>
    <row r="6846" spans="1:5" x14ac:dyDescent="0.25">
      <c r="A6846" s="36" t="b">
        <v>0</v>
      </c>
      <c r="B6846" s="56" t="b">
        <v>0</v>
      </c>
      <c r="C6846" s="56" t="b">
        <v>0</v>
      </c>
      <c r="D6846" s="56" t="b">
        <v>0</v>
      </c>
      <c r="E6846" s="56">
        <f ca="1">IF(PV[[#This Row],[Business Date]]=Control!$C$6, PV[[#This Row],[Notional Value Local Cur]], -PV[[#This Row],[Notional Value Local Cur]])</f>
        <v>0</v>
      </c>
    </row>
    <row r="6847" spans="1:5" x14ac:dyDescent="0.25">
      <c r="A6847" s="36" t="b">
        <v>0</v>
      </c>
      <c r="B6847" s="56" t="b">
        <v>0</v>
      </c>
      <c r="C6847" s="56" t="b">
        <v>0</v>
      </c>
      <c r="D6847" s="56" t="b">
        <v>0</v>
      </c>
      <c r="E6847" s="56">
        <f ca="1">IF(PV[[#This Row],[Business Date]]=Control!$C$6, PV[[#This Row],[Notional Value Local Cur]], -PV[[#This Row],[Notional Value Local Cur]])</f>
        <v>0</v>
      </c>
    </row>
    <row r="6848" spans="1:5" x14ac:dyDescent="0.25">
      <c r="A6848" s="36" t="b">
        <v>0</v>
      </c>
      <c r="B6848" s="56" t="b">
        <v>0</v>
      </c>
      <c r="C6848" s="56" t="b">
        <v>0</v>
      </c>
      <c r="D6848" s="56" t="b">
        <v>0</v>
      </c>
      <c r="E6848" s="56">
        <f ca="1">IF(PV[[#This Row],[Business Date]]=Control!$C$6, PV[[#This Row],[Notional Value Local Cur]], -PV[[#This Row],[Notional Value Local Cur]])</f>
        <v>0</v>
      </c>
    </row>
    <row r="6849" spans="1:5" x14ac:dyDescent="0.25">
      <c r="A6849" s="36" t="b">
        <v>0</v>
      </c>
      <c r="B6849" s="56" t="b">
        <v>0</v>
      </c>
      <c r="C6849" s="56" t="b">
        <v>0</v>
      </c>
      <c r="D6849" s="56" t="b">
        <v>0</v>
      </c>
      <c r="E6849" s="56">
        <f ca="1">IF(PV[[#This Row],[Business Date]]=Control!$C$6, PV[[#This Row],[Notional Value Local Cur]], -PV[[#This Row],[Notional Value Local Cur]])</f>
        <v>0</v>
      </c>
    </row>
    <row r="6850" spans="1:5" x14ac:dyDescent="0.25">
      <c r="A6850" s="36" t="b">
        <v>0</v>
      </c>
      <c r="B6850" s="56" t="b">
        <v>0</v>
      </c>
      <c r="C6850" s="56" t="b">
        <v>0</v>
      </c>
      <c r="D6850" s="56" t="b">
        <v>0</v>
      </c>
      <c r="E6850" s="56">
        <f ca="1">IF(PV[[#This Row],[Business Date]]=Control!$C$6, PV[[#This Row],[Notional Value Local Cur]], -PV[[#This Row],[Notional Value Local Cur]])</f>
        <v>0</v>
      </c>
    </row>
    <row r="6851" spans="1:5" x14ac:dyDescent="0.25">
      <c r="A6851" s="36" t="b">
        <v>0</v>
      </c>
      <c r="B6851" s="56" t="b">
        <v>0</v>
      </c>
      <c r="C6851" s="56" t="b">
        <v>0</v>
      </c>
      <c r="D6851" s="56" t="b">
        <v>0</v>
      </c>
      <c r="E6851" s="56">
        <f ca="1">IF(PV[[#This Row],[Business Date]]=Control!$C$6, PV[[#This Row],[Notional Value Local Cur]], -PV[[#This Row],[Notional Value Local Cur]])</f>
        <v>0</v>
      </c>
    </row>
    <row r="6852" spans="1:5" x14ac:dyDescent="0.25">
      <c r="A6852" s="36" t="b">
        <v>0</v>
      </c>
      <c r="B6852" s="56" t="b">
        <v>0</v>
      </c>
      <c r="C6852" s="56" t="b">
        <v>0</v>
      </c>
      <c r="D6852" s="56" t="b">
        <v>0</v>
      </c>
      <c r="E6852" s="56">
        <f ca="1">IF(PV[[#This Row],[Business Date]]=Control!$C$6, PV[[#This Row],[Notional Value Local Cur]], -PV[[#This Row],[Notional Value Local Cur]])</f>
        <v>0</v>
      </c>
    </row>
    <row r="6853" spans="1:5" x14ac:dyDescent="0.25">
      <c r="A6853" s="36" t="b">
        <v>0</v>
      </c>
      <c r="B6853" s="56" t="b">
        <v>0</v>
      </c>
      <c r="C6853" s="56" t="b">
        <v>0</v>
      </c>
      <c r="D6853" s="56" t="b">
        <v>0</v>
      </c>
      <c r="E6853" s="56">
        <f ca="1">IF(PV[[#This Row],[Business Date]]=Control!$C$6, PV[[#This Row],[Notional Value Local Cur]], -PV[[#This Row],[Notional Value Local Cur]])</f>
        <v>0</v>
      </c>
    </row>
    <row r="6854" spans="1:5" x14ac:dyDescent="0.25">
      <c r="A6854" s="36" t="b">
        <v>0</v>
      </c>
      <c r="B6854" s="56" t="b">
        <v>0</v>
      </c>
      <c r="C6854" s="56" t="b">
        <v>0</v>
      </c>
      <c r="D6854" s="56" t="b">
        <v>0</v>
      </c>
      <c r="E6854" s="56">
        <f ca="1">IF(PV[[#This Row],[Business Date]]=Control!$C$6, PV[[#This Row],[Notional Value Local Cur]], -PV[[#This Row],[Notional Value Local Cur]])</f>
        <v>0</v>
      </c>
    </row>
    <row r="6855" spans="1:5" x14ac:dyDescent="0.25">
      <c r="A6855" s="36" t="b">
        <v>0</v>
      </c>
      <c r="B6855" s="56" t="b">
        <v>0</v>
      </c>
      <c r="C6855" s="56" t="b">
        <v>0</v>
      </c>
      <c r="D6855" s="56" t="b">
        <v>0</v>
      </c>
      <c r="E6855" s="56">
        <f ca="1">IF(PV[[#This Row],[Business Date]]=Control!$C$6, PV[[#This Row],[Notional Value Local Cur]], -PV[[#This Row],[Notional Value Local Cur]])</f>
        <v>0</v>
      </c>
    </row>
    <row r="6856" spans="1:5" x14ac:dyDescent="0.25">
      <c r="A6856" s="36" t="b">
        <v>0</v>
      </c>
      <c r="B6856" s="56" t="b">
        <v>0</v>
      </c>
      <c r="C6856" s="56" t="b">
        <v>0</v>
      </c>
      <c r="D6856" s="56" t="b">
        <v>0</v>
      </c>
      <c r="E6856" s="56">
        <f ca="1">IF(PV[[#This Row],[Business Date]]=Control!$C$6, PV[[#This Row],[Notional Value Local Cur]], -PV[[#This Row],[Notional Value Local Cur]])</f>
        <v>0</v>
      </c>
    </row>
    <row r="6857" spans="1:5" x14ac:dyDescent="0.25">
      <c r="A6857" s="36" t="b">
        <v>0</v>
      </c>
      <c r="B6857" s="56" t="b">
        <v>0</v>
      </c>
      <c r="C6857" s="56" t="b">
        <v>0</v>
      </c>
      <c r="D6857" s="56" t="b">
        <v>0</v>
      </c>
      <c r="E6857" s="56">
        <f ca="1">IF(PV[[#This Row],[Business Date]]=Control!$C$6, PV[[#This Row],[Notional Value Local Cur]], -PV[[#This Row],[Notional Value Local Cur]])</f>
        <v>0</v>
      </c>
    </row>
    <row r="6858" spans="1:5" x14ac:dyDescent="0.25">
      <c r="A6858" s="36" t="b">
        <v>0</v>
      </c>
      <c r="B6858" s="56" t="b">
        <v>0</v>
      </c>
      <c r="C6858" s="56" t="b">
        <v>0</v>
      </c>
      <c r="D6858" s="56" t="b">
        <v>0</v>
      </c>
      <c r="E6858" s="56">
        <f ca="1">IF(PV[[#This Row],[Business Date]]=Control!$C$6, PV[[#This Row],[Notional Value Local Cur]], -PV[[#This Row],[Notional Value Local Cur]])</f>
        <v>0</v>
      </c>
    </row>
    <row r="6859" spans="1:5" x14ac:dyDescent="0.25">
      <c r="A6859" s="36" t="b">
        <v>0</v>
      </c>
      <c r="B6859" s="56" t="b">
        <v>0</v>
      </c>
      <c r="C6859" s="56" t="b">
        <v>0</v>
      </c>
      <c r="D6859" s="56" t="b">
        <v>0</v>
      </c>
      <c r="E6859" s="56">
        <f ca="1">IF(PV[[#This Row],[Business Date]]=Control!$C$6, PV[[#This Row],[Notional Value Local Cur]], -PV[[#This Row],[Notional Value Local Cur]])</f>
        <v>0</v>
      </c>
    </row>
    <row r="6860" spans="1:5" x14ac:dyDescent="0.25">
      <c r="A6860" s="36" t="b">
        <v>0</v>
      </c>
      <c r="B6860" s="56" t="b">
        <v>0</v>
      </c>
      <c r="C6860" s="56" t="b">
        <v>0</v>
      </c>
      <c r="D6860" s="56" t="b">
        <v>0</v>
      </c>
      <c r="E6860" s="56">
        <f ca="1">IF(PV[[#This Row],[Business Date]]=Control!$C$6, PV[[#This Row],[Notional Value Local Cur]], -PV[[#This Row],[Notional Value Local Cur]])</f>
        <v>0</v>
      </c>
    </row>
    <row r="6861" spans="1:5" x14ac:dyDescent="0.25">
      <c r="A6861" s="36" t="b">
        <v>0</v>
      </c>
      <c r="B6861" s="56" t="b">
        <v>0</v>
      </c>
      <c r="C6861" s="56" t="b">
        <v>0</v>
      </c>
      <c r="D6861" s="56" t="b">
        <v>0</v>
      </c>
      <c r="E6861" s="56">
        <f ca="1">IF(PV[[#This Row],[Business Date]]=Control!$C$6, PV[[#This Row],[Notional Value Local Cur]], -PV[[#This Row],[Notional Value Local Cur]])</f>
        <v>0</v>
      </c>
    </row>
    <row r="6862" spans="1:5" x14ac:dyDescent="0.25">
      <c r="A6862" s="36" t="b">
        <v>0</v>
      </c>
      <c r="B6862" s="56" t="b">
        <v>0</v>
      </c>
      <c r="C6862" s="56" t="b">
        <v>0</v>
      </c>
      <c r="D6862" s="56" t="b">
        <v>0</v>
      </c>
      <c r="E6862" s="56">
        <f ca="1">IF(PV[[#This Row],[Business Date]]=Control!$C$6, PV[[#This Row],[Notional Value Local Cur]], -PV[[#This Row],[Notional Value Local Cur]])</f>
        <v>0</v>
      </c>
    </row>
    <row r="6863" spans="1:5" x14ac:dyDescent="0.25">
      <c r="A6863" s="36" t="b">
        <v>0</v>
      </c>
      <c r="B6863" s="56" t="b">
        <v>0</v>
      </c>
      <c r="C6863" s="56" t="b">
        <v>0</v>
      </c>
      <c r="D6863" s="56" t="b">
        <v>0</v>
      </c>
      <c r="E6863" s="56">
        <f ca="1">IF(PV[[#This Row],[Business Date]]=Control!$C$6, PV[[#This Row],[Notional Value Local Cur]], -PV[[#This Row],[Notional Value Local Cur]])</f>
        <v>0</v>
      </c>
    </row>
    <row r="6864" spans="1:5" x14ac:dyDescent="0.25">
      <c r="A6864" s="36" t="b">
        <v>0</v>
      </c>
      <c r="B6864" s="56" t="b">
        <v>0</v>
      </c>
      <c r="C6864" s="56" t="b">
        <v>0</v>
      </c>
      <c r="D6864" s="56" t="b">
        <v>0</v>
      </c>
      <c r="E6864" s="56">
        <f ca="1">IF(PV[[#This Row],[Business Date]]=Control!$C$6, PV[[#This Row],[Notional Value Local Cur]], -PV[[#This Row],[Notional Value Local Cur]])</f>
        <v>0</v>
      </c>
    </row>
    <row r="6865" spans="1:5" x14ac:dyDescent="0.25">
      <c r="A6865" s="36" t="b">
        <v>0</v>
      </c>
      <c r="B6865" s="56" t="b">
        <v>0</v>
      </c>
      <c r="C6865" s="56" t="b">
        <v>0</v>
      </c>
      <c r="D6865" s="56" t="b">
        <v>0</v>
      </c>
      <c r="E6865" s="56">
        <f ca="1">IF(PV[[#This Row],[Business Date]]=Control!$C$6, PV[[#This Row],[Notional Value Local Cur]], -PV[[#This Row],[Notional Value Local Cur]])</f>
        <v>0</v>
      </c>
    </row>
    <row r="6866" spans="1:5" x14ac:dyDescent="0.25">
      <c r="A6866" s="36" t="b">
        <v>0</v>
      </c>
      <c r="B6866" s="56" t="b">
        <v>0</v>
      </c>
      <c r="C6866" s="56" t="b">
        <v>0</v>
      </c>
      <c r="D6866" s="56" t="b">
        <v>0</v>
      </c>
      <c r="E6866" s="56">
        <f ca="1">IF(PV[[#This Row],[Business Date]]=Control!$C$6, PV[[#This Row],[Notional Value Local Cur]], -PV[[#This Row],[Notional Value Local Cur]])</f>
        <v>0</v>
      </c>
    </row>
    <row r="6867" spans="1:5" x14ac:dyDescent="0.25">
      <c r="A6867" s="36" t="b">
        <v>0</v>
      </c>
      <c r="B6867" s="56" t="b">
        <v>0</v>
      </c>
      <c r="C6867" s="56" t="b">
        <v>0</v>
      </c>
      <c r="D6867" s="56" t="b">
        <v>0</v>
      </c>
      <c r="E6867" s="56">
        <f ca="1">IF(PV[[#This Row],[Business Date]]=Control!$C$6, PV[[#This Row],[Notional Value Local Cur]], -PV[[#This Row],[Notional Value Local Cur]])</f>
        <v>0</v>
      </c>
    </row>
    <row r="6868" spans="1:5" x14ac:dyDescent="0.25">
      <c r="A6868" s="36" t="b">
        <v>0</v>
      </c>
      <c r="B6868" s="56" t="b">
        <v>0</v>
      </c>
      <c r="C6868" s="56" t="b">
        <v>0</v>
      </c>
      <c r="D6868" s="56" t="b">
        <v>0</v>
      </c>
      <c r="E6868" s="56">
        <f ca="1">IF(PV[[#This Row],[Business Date]]=Control!$C$6, PV[[#This Row],[Notional Value Local Cur]], -PV[[#This Row],[Notional Value Local Cur]])</f>
        <v>0</v>
      </c>
    </row>
    <row r="6869" spans="1:5" x14ac:dyDescent="0.25">
      <c r="A6869" s="36" t="b">
        <v>0</v>
      </c>
      <c r="B6869" s="56" t="b">
        <v>0</v>
      </c>
      <c r="C6869" s="56" t="b">
        <v>0</v>
      </c>
      <c r="D6869" s="56" t="b">
        <v>0</v>
      </c>
      <c r="E6869" s="56">
        <f ca="1">IF(PV[[#This Row],[Business Date]]=Control!$C$6, PV[[#This Row],[Notional Value Local Cur]], -PV[[#This Row],[Notional Value Local Cur]])</f>
        <v>0</v>
      </c>
    </row>
    <row r="6870" spans="1:5" x14ac:dyDescent="0.25">
      <c r="A6870" s="36" t="b">
        <v>0</v>
      </c>
      <c r="B6870" s="56" t="b">
        <v>0</v>
      </c>
      <c r="C6870" s="56" t="b">
        <v>0</v>
      </c>
      <c r="D6870" s="56" t="b">
        <v>0</v>
      </c>
      <c r="E6870" s="56">
        <f ca="1">IF(PV[[#This Row],[Business Date]]=Control!$C$6, PV[[#This Row],[Notional Value Local Cur]], -PV[[#This Row],[Notional Value Local Cur]])</f>
        <v>0</v>
      </c>
    </row>
    <row r="6871" spans="1:5" x14ac:dyDescent="0.25">
      <c r="A6871" s="36" t="b">
        <v>0</v>
      </c>
      <c r="B6871" s="56" t="b">
        <v>0</v>
      </c>
      <c r="C6871" s="56" t="b">
        <v>0</v>
      </c>
      <c r="D6871" s="56" t="b">
        <v>0</v>
      </c>
      <c r="E6871" s="56">
        <f ca="1">IF(PV[[#This Row],[Business Date]]=Control!$C$6, PV[[#This Row],[Notional Value Local Cur]], -PV[[#This Row],[Notional Value Local Cur]])</f>
        <v>0</v>
      </c>
    </row>
    <row r="6872" spans="1:5" x14ac:dyDescent="0.25">
      <c r="A6872" s="36" t="b">
        <v>0</v>
      </c>
      <c r="B6872" s="56" t="b">
        <v>0</v>
      </c>
      <c r="C6872" s="56" t="b">
        <v>0</v>
      </c>
      <c r="D6872" s="56" t="b">
        <v>0</v>
      </c>
      <c r="E6872" s="56">
        <f ca="1">IF(PV[[#This Row],[Business Date]]=Control!$C$6, PV[[#This Row],[Notional Value Local Cur]], -PV[[#This Row],[Notional Value Local Cur]])</f>
        <v>0</v>
      </c>
    </row>
    <row r="6873" spans="1:5" x14ac:dyDescent="0.25">
      <c r="A6873" s="36" t="b">
        <v>0</v>
      </c>
      <c r="B6873" s="56" t="b">
        <v>0</v>
      </c>
      <c r="C6873" s="56" t="b">
        <v>0</v>
      </c>
      <c r="D6873" s="56" t="b">
        <v>0</v>
      </c>
      <c r="E6873" s="56">
        <f ca="1">IF(PV[[#This Row],[Business Date]]=Control!$C$6, PV[[#This Row],[Notional Value Local Cur]], -PV[[#This Row],[Notional Value Local Cur]])</f>
        <v>0</v>
      </c>
    </row>
    <row r="6874" spans="1:5" x14ac:dyDescent="0.25">
      <c r="A6874" s="36" t="b">
        <v>0</v>
      </c>
      <c r="B6874" s="56" t="b">
        <v>0</v>
      </c>
      <c r="C6874" s="56" t="b">
        <v>0</v>
      </c>
      <c r="D6874" s="56" t="b">
        <v>0</v>
      </c>
      <c r="E6874" s="56">
        <f ca="1">IF(PV[[#This Row],[Business Date]]=Control!$C$6, PV[[#This Row],[Notional Value Local Cur]], -PV[[#This Row],[Notional Value Local Cur]])</f>
        <v>0</v>
      </c>
    </row>
    <row r="6875" spans="1:5" x14ac:dyDescent="0.25">
      <c r="A6875" s="36" t="b">
        <v>0</v>
      </c>
      <c r="B6875" s="56" t="b">
        <v>0</v>
      </c>
      <c r="C6875" s="56" t="b">
        <v>0</v>
      </c>
      <c r="D6875" s="56" t="b">
        <v>0</v>
      </c>
      <c r="E6875" s="56">
        <f ca="1">IF(PV[[#This Row],[Business Date]]=Control!$C$6, PV[[#This Row],[Notional Value Local Cur]], -PV[[#This Row],[Notional Value Local Cur]])</f>
        <v>0</v>
      </c>
    </row>
    <row r="6876" spans="1:5" x14ac:dyDescent="0.25">
      <c r="A6876" s="36" t="b">
        <v>0</v>
      </c>
      <c r="B6876" s="56" t="b">
        <v>0</v>
      </c>
      <c r="C6876" s="56" t="b">
        <v>0</v>
      </c>
      <c r="D6876" s="56" t="b">
        <v>0</v>
      </c>
      <c r="E6876" s="56">
        <f ca="1">IF(PV[[#This Row],[Business Date]]=Control!$C$6, PV[[#This Row],[Notional Value Local Cur]], -PV[[#This Row],[Notional Value Local Cur]])</f>
        <v>0</v>
      </c>
    </row>
    <row r="6877" spans="1:5" x14ac:dyDescent="0.25">
      <c r="A6877" s="36" t="b">
        <v>0</v>
      </c>
      <c r="B6877" s="56" t="b">
        <v>0</v>
      </c>
      <c r="C6877" s="56" t="b">
        <v>0</v>
      </c>
      <c r="D6877" s="56" t="b">
        <v>0</v>
      </c>
      <c r="E6877" s="56">
        <f ca="1">IF(PV[[#This Row],[Business Date]]=Control!$C$6, PV[[#This Row],[Notional Value Local Cur]], -PV[[#This Row],[Notional Value Local Cur]])</f>
        <v>0</v>
      </c>
    </row>
    <row r="6878" spans="1:5" x14ac:dyDescent="0.25">
      <c r="A6878" s="36" t="b">
        <v>0</v>
      </c>
      <c r="B6878" s="56" t="b">
        <v>0</v>
      </c>
      <c r="C6878" s="56" t="b">
        <v>0</v>
      </c>
      <c r="D6878" s="56" t="b">
        <v>0</v>
      </c>
      <c r="E6878" s="56">
        <f ca="1">IF(PV[[#This Row],[Business Date]]=Control!$C$6, PV[[#This Row],[Notional Value Local Cur]], -PV[[#This Row],[Notional Value Local Cur]])</f>
        <v>0</v>
      </c>
    </row>
    <row r="6879" spans="1:5" x14ac:dyDescent="0.25">
      <c r="A6879" s="36" t="b">
        <v>0</v>
      </c>
      <c r="B6879" s="56" t="b">
        <v>0</v>
      </c>
      <c r="C6879" s="56" t="b">
        <v>0</v>
      </c>
      <c r="D6879" s="56" t="b">
        <v>0</v>
      </c>
      <c r="E6879" s="56">
        <f ca="1">IF(PV[[#This Row],[Business Date]]=Control!$C$6, PV[[#This Row],[Notional Value Local Cur]], -PV[[#This Row],[Notional Value Local Cur]])</f>
        <v>0</v>
      </c>
    </row>
    <row r="6880" spans="1:5" x14ac:dyDescent="0.25">
      <c r="A6880" s="36" t="b">
        <v>0</v>
      </c>
      <c r="B6880" s="56" t="b">
        <v>0</v>
      </c>
      <c r="C6880" s="56" t="b">
        <v>0</v>
      </c>
      <c r="D6880" s="56" t="b">
        <v>0</v>
      </c>
      <c r="E6880" s="56">
        <f ca="1">IF(PV[[#This Row],[Business Date]]=Control!$C$6, PV[[#This Row],[Notional Value Local Cur]], -PV[[#This Row],[Notional Value Local Cur]])</f>
        <v>0</v>
      </c>
    </row>
    <row r="6881" spans="1:5" x14ac:dyDescent="0.25">
      <c r="A6881" s="36" t="b">
        <v>0</v>
      </c>
      <c r="B6881" s="56" t="b">
        <v>0</v>
      </c>
      <c r="C6881" s="56" t="b">
        <v>0</v>
      </c>
      <c r="D6881" s="56" t="b">
        <v>0</v>
      </c>
      <c r="E6881" s="56">
        <f ca="1">IF(PV[[#This Row],[Business Date]]=Control!$C$6, PV[[#This Row],[Notional Value Local Cur]], -PV[[#This Row],[Notional Value Local Cur]])</f>
        <v>0</v>
      </c>
    </row>
    <row r="6882" spans="1:5" x14ac:dyDescent="0.25">
      <c r="A6882" s="36" t="b">
        <v>0</v>
      </c>
      <c r="B6882" s="56" t="b">
        <v>0</v>
      </c>
      <c r="C6882" s="56" t="b">
        <v>0</v>
      </c>
      <c r="D6882" s="56" t="b">
        <v>0</v>
      </c>
      <c r="E6882" s="56">
        <f ca="1">IF(PV[[#This Row],[Business Date]]=Control!$C$6, PV[[#This Row],[Notional Value Local Cur]], -PV[[#This Row],[Notional Value Local Cur]])</f>
        <v>0</v>
      </c>
    </row>
    <row r="6883" spans="1:5" x14ac:dyDescent="0.25">
      <c r="A6883" s="36" t="b">
        <v>0</v>
      </c>
      <c r="B6883" s="56" t="b">
        <v>0</v>
      </c>
      <c r="C6883" s="56" t="b">
        <v>0</v>
      </c>
      <c r="D6883" s="56" t="b">
        <v>0</v>
      </c>
      <c r="E6883" s="56">
        <f ca="1">IF(PV[[#This Row],[Business Date]]=Control!$C$6, PV[[#This Row],[Notional Value Local Cur]], -PV[[#This Row],[Notional Value Local Cur]])</f>
        <v>0</v>
      </c>
    </row>
    <row r="6884" spans="1:5" x14ac:dyDescent="0.25">
      <c r="A6884" s="36" t="b">
        <v>0</v>
      </c>
      <c r="B6884" s="56" t="b">
        <v>0</v>
      </c>
      <c r="C6884" s="56" t="b">
        <v>0</v>
      </c>
      <c r="D6884" s="56" t="b">
        <v>0</v>
      </c>
      <c r="E6884" s="56">
        <f ca="1">IF(PV[[#This Row],[Business Date]]=Control!$C$6, PV[[#This Row],[Notional Value Local Cur]], -PV[[#This Row],[Notional Value Local Cur]])</f>
        <v>0</v>
      </c>
    </row>
    <row r="6885" spans="1:5" x14ac:dyDescent="0.25">
      <c r="A6885" s="36" t="b">
        <v>0</v>
      </c>
      <c r="B6885" s="56" t="b">
        <v>0</v>
      </c>
      <c r="C6885" s="56" t="b">
        <v>0</v>
      </c>
      <c r="D6885" s="56" t="b">
        <v>0</v>
      </c>
      <c r="E6885" s="56">
        <f ca="1">IF(PV[[#This Row],[Business Date]]=Control!$C$6, PV[[#This Row],[Notional Value Local Cur]], -PV[[#This Row],[Notional Value Local Cur]])</f>
        <v>0</v>
      </c>
    </row>
    <row r="6886" spans="1:5" x14ac:dyDescent="0.25">
      <c r="A6886" s="36" t="b">
        <v>0</v>
      </c>
      <c r="B6886" s="56" t="b">
        <v>0</v>
      </c>
      <c r="C6886" s="56" t="b">
        <v>0</v>
      </c>
      <c r="D6886" s="56" t="b">
        <v>0</v>
      </c>
      <c r="E6886" s="56">
        <f ca="1">IF(PV[[#This Row],[Business Date]]=Control!$C$6, PV[[#This Row],[Notional Value Local Cur]], -PV[[#This Row],[Notional Value Local Cur]])</f>
        <v>0</v>
      </c>
    </row>
    <row r="6887" spans="1:5" x14ac:dyDescent="0.25">
      <c r="A6887" s="36" t="b">
        <v>0</v>
      </c>
      <c r="B6887" s="56" t="b">
        <v>0</v>
      </c>
      <c r="C6887" s="56" t="b">
        <v>0</v>
      </c>
      <c r="D6887" s="56" t="b">
        <v>0</v>
      </c>
      <c r="E6887" s="56">
        <f ca="1">IF(PV[[#This Row],[Business Date]]=Control!$C$6, PV[[#This Row],[Notional Value Local Cur]], -PV[[#This Row],[Notional Value Local Cur]])</f>
        <v>0</v>
      </c>
    </row>
    <row r="6888" spans="1:5" x14ac:dyDescent="0.25">
      <c r="A6888" s="36" t="b">
        <v>0</v>
      </c>
      <c r="B6888" s="56" t="b">
        <v>0</v>
      </c>
      <c r="C6888" s="56" t="b">
        <v>0</v>
      </c>
      <c r="D6888" s="56" t="b">
        <v>0</v>
      </c>
      <c r="E6888" s="56">
        <f ca="1">IF(PV[[#This Row],[Business Date]]=Control!$C$6, PV[[#This Row],[Notional Value Local Cur]], -PV[[#This Row],[Notional Value Local Cur]])</f>
        <v>0</v>
      </c>
    </row>
    <row r="6889" spans="1:5" x14ac:dyDescent="0.25">
      <c r="A6889" s="36" t="b">
        <v>0</v>
      </c>
      <c r="B6889" s="56" t="b">
        <v>0</v>
      </c>
      <c r="C6889" s="56" t="b">
        <v>0</v>
      </c>
      <c r="D6889" s="56" t="b">
        <v>0</v>
      </c>
      <c r="E6889" s="56">
        <f ca="1">IF(PV[[#This Row],[Business Date]]=Control!$C$6, PV[[#This Row],[Notional Value Local Cur]], -PV[[#This Row],[Notional Value Local Cur]])</f>
        <v>0</v>
      </c>
    </row>
    <row r="6890" spans="1:5" x14ac:dyDescent="0.25">
      <c r="A6890" s="36" t="b">
        <v>0</v>
      </c>
      <c r="B6890" s="56" t="b">
        <v>0</v>
      </c>
      <c r="C6890" s="56" t="b">
        <v>0</v>
      </c>
      <c r="D6890" s="56" t="b">
        <v>0</v>
      </c>
      <c r="E6890" s="56">
        <f ca="1">IF(PV[[#This Row],[Business Date]]=Control!$C$6, PV[[#This Row],[Notional Value Local Cur]], -PV[[#This Row],[Notional Value Local Cur]])</f>
        <v>0</v>
      </c>
    </row>
    <row r="6891" spans="1:5" x14ac:dyDescent="0.25">
      <c r="A6891" s="36" t="b">
        <v>0</v>
      </c>
      <c r="B6891" s="56" t="b">
        <v>0</v>
      </c>
      <c r="C6891" s="56" t="b">
        <v>0</v>
      </c>
      <c r="D6891" s="56" t="b">
        <v>0</v>
      </c>
      <c r="E6891" s="56">
        <f ca="1">IF(PV[[#This Row],[Business Date]]=Control!$C$6, PV[[#This Row],[Notional Value Local Cur]], -PV[[#This Row],[Notional Value Local Cur]])</f>
        <v>0</v>
      </c>
    </row>
    <row r="6892" spans="1:5" x14ac:dyDescent="0.25">
      <c r="A6892" s="36" t="b">
        <v>0</v>
      </c>
      <c r="B6892" s="56" t="b">
        <v>0</v>
      </c>
      <c r="C6892" s="56" t="b">
        <v>0</v>
      </c>
      <c r="D6892" s="56" t="b">
        <v>0</v>
      </c>
      <c r="E6892" s="56">
        <f ca="1">IF(PV[[#This Row],[Business Date]]=Control!$C$6, PV[[#This Row],[Notional Value Local Cur]], -PV[[#This Row],[Notional Value Local Cur]])</f>
        <v>0</v>
      </c>
    </row>
    <row r="6893" spans="1:5" x14ac:dyDescent="0.25">
      <c r="A6893" s="36" t="b">
        <v>0</v>
      </c>
      <c r="B6893" s="56" t="b">
        <v>0</v>
      </c>
      <c r="C6893" s="56" t="b">
        <v>0</v>
      </c>
      <c r="D6893" s="56" t="b">
        <v>0</v>
      </c>
      <c r="E6893" s="56">
        <f ca="1">IF(PV[[#This Row],[Business Date]]=Control!$C$6, PV[[#This Row],[Notional Value Local Cur]], -PV[[#This Row],[Notional Value Local Cur]])</f>
        <v>0</v>
      </c>
    </row>
    <row r="6894" spans="1:5" x14ac:dyDescent="0.25">
      <c r="A6894" s="36" t="b">
        <v>0</v>
      </c>
      <c r="B6894" s="56" t="b">
        <v>0</v>
      </c>
      <c r="C6894" s="56" t="b">
        <v>0</v>
      </c>
      <c r="D6894" s="56" t="b">
        <v>0</v>
      </c>
      <c r="E6894" s="56">
        <f ca="1">IF(PV[[#This Row],[Business Date]]=Control!$C$6, PV[[#This Row],[Notional Value Local Cur]], -PV[[#This Row],[Notional Value Local Cur]])</f>
        <v>0</v>
      </c>
    </row>
    <row r="6895" spans="1:5" x14ac:dyDescent="0.25">
      <c r="A6895" s="36" t="b">
        <v>0</v>
      </c>
      <c r="B6895" s="56" t="b">
        <v>0</v>
      </c>
      <c r="C6895" s="56" t="b">
        <v>0</v>
      </c>
      <c r="D6895" s="56" t="b">
        <v>0</v>
      </c>
      <c r="E6895" s="56">
        <f ca="1">IF(PV[[#This Row],[Business Date]]=Control!$C$6, PV[[#This Row],[Notional Value Local Cur]], -PV[[#This Row],[Notional Value Local Cur]])</f>
        <v>0</v>
      </c>
    </row>
    <row r="6896" spans="1:5" x14ac:dyDescent="0.25">
      <c r="A6896" s="36" t="b">
        <v>0</v>
      </c>
      <c r="B6896" s="56" t="b">
        <v>0</v>
      </c>
      <c r="C6896" s="56" t="b">
        <v>0</v>
      </c>
      <c r="D6896" s="56" t="b">
        <v>0</v>
      </c>
      <c r="E6896" s="56">
        <f ca="1">IF(PV[[#This Row],[Business Date]]=Control!$C$6, PV[[#This Row],[Notional Value Local Cur]], -PV[[#This Row],[Notional Value Local Cur]])</f>
        <v>0</v>
      </c>
    </row>
    <row r="6897" spans="1:5" x14ac:dyDescent="0.25">
      <c r="A6897" s="36" t="b">
        <v>0</v>
      </c>
      <c r="B6897" s="56" t="b">
        <v>0</v>
      </c>
      <c r="C6897" s="56" t="b">
        <v>0</v>
      </c>
      <c r="D6897" s="56" t="b">
        <v>0</v>
      </c>
      <c r="E6897" s="56">
        <f ca="1">IF(PV[[#This Row],[Business Date]]=Control!$C$6, PV[[#This Row],[Notional Value Local Cur]], -PV[[#This Row],[Notional Value Local Cur]])</f>
        <v>0</v>
      </c>
    </row>
    <row r="6898" spans="1:5" x14ac:dyDescent="0.25">
      <c r="A6898" s="36" t="b">
        <v>0</v>
      </c>
      <c r="B6898" s="56" t="b">
        <v>0</v>
      </c>
      <c r="C6898" s="56" t="b">
        <v>0</v>
      </c>
      <c r="D6898" s="56" t="b">
        <v>0</v>
      </c>
      <c r="E6898" s="56">
        <f ca="1">IF(PV[[#This Row],[Business Date]]=Control!$C$6, PV[[#This Row],[Notional Value Local Cur]], -PV[[#This Row],[Notional Value Local Cur]])</f>
        <v>0</v>
      </c>
    </row>
    <row r="6899" spans="1:5" x14ac:dyDescent="0.25">
      <c r="A6899" s="36" t="b">
        <v>0</v>
      </c>
      <c r="B6899" s="56" t="b">
        <v>0</v>
      </c>
      <c r="C6899" s="56" t="b">
        <v>0</v>
      </c>
      <c r="D6899" s="56" t="b">
        <v>0</v>
      </c>
      <c r="E6899" s="56">
        <f ca="1">IF(PV[[#This Row],[Business Date]]=Control!$C$6, PV[[#This Row],[Notional Value Local Cur]], -PV[[#This Row],[Notional Value Local Cur]])</f>
        <v>0</v>
      </c>
    </row>
    <row r="6900" spans="1:5" x14ac:dyDescent="0.25">
      <c r="A6900" s="36" t="b">
        <v>0</v>
      </c>
      <c r="B6900" s="56" t="b">
        <v>0</v>
      </c>
      <c r="C6900" s="56" t="b">
        <v>0</v>
      </c>
      <c r="D6900" s="56" t="b">
        <v>0</v>
      </c>
      <c r="E6900" s="56">
        <f ca="1">IF(PV[[#This Row],[Business Date]]=Control!$C$6, PV[[#This Row],[Notional Value Local Cur]], -PV[[#This Row],[Notional Value Local Cur]])</f>
        <v>0</v>
      </c>
    </row>
    <row r="6901" spans="1:5" x14ac:dyDescent="0.25">
      <c r="A6901" s="36" t="b">
        <v>0</v>
      </c>
      <c r="B6901" s="56" t="b">
        <v>0</v>
      </c>
      <c r="C6901" s="56" t="b">
        <v>0</v>
      </c>
      <c r="D6901" s="56" t="b">
        <v>0</v>
      </c>
      <c r="E6901" s="56">
        <f ca="1">IF(PV[[#This Row],[Business Date]]=Control!$C$6, PV[[#This Row],[Notional Value Local Cur]], -PV[[#This Row],[Notional Value Local Cur]])</f>
        <v>0</v>
      </c>
    </row>
    <row r="6902" spans="1:5" x14ac:dyDescent="0.25">
      <c r="A6902" s="36" t="b">
        <v>0</v>
      </c>
      <c r="B6902" s="56" t="b">
        <v>0</v>
      </c>
      <c r="C6902" s="56" t="b">
        <v>0</v>
      </c>
      <c r="D6902" s="56" t="b">
        <v>0</v>
      </c>
      <c r="E6902" s="56">
        <f ca="1">IF(PV[[#This Row],[Business Date]]=Control!$C$6, PV[[#This Row],[Notional Value Local Cur]], -PV[[#This Row],[Notional Value Local Cur]])</f>
        <v>0</v>
      </c>
    </row>
    <row r="6903" spans="1:5" x14ac:dyDescent="0.25">
      <c r="A6903" s="36" t="b">
        <v>0</v>
      </c>
      <c r="B6903" s="56" t="b">
        <v>0</v>
      </c>
      <c r="C6903" s="56" t="b">
        <v>0</v>
      </c>
      <c r="D6903" s="56" t="b">
        <v>0</v>
      </c>
      <c r="E6903" s="56">
        <f ca="1">IF(PV[[#This Row],[Business Date]]=Control!$C$6, PV[[#This Row],[Notional Value Local Cur]], -PV[[#This Row],[Notional Value Local Cur]])</f>
        <v>0</v>
      </c>
    </row>
    <row r="6904" spans="1:5" x14ac:dyDescent="0.25">
      <c r="A6904" s="36" t="b">
        <v>0</v>
      </c>
      <c r="B6904" s="56" t="b">
        <v>0</v>
      </c>
      <c r="C6904" s="56" t="b">
        <v>0</v>
      </c>
      <c r="D6904" s="56" t="b">
        <v>0</v>
      </c>
      <c r="E6904" s="56">
        <f ca="1">IF(PV[[#This Row],[Business Date]]=Control!$C$6, PV[[#This Row],[Notional Value Local Cur]], -PV[[#This Row],[Notional Value Local Cur]])</f>
        <v>0</v>
      </c>
    </row>
    <row r="6905" spans="1:5" x14ac:dyDescent="0.25">
      <c r="A6905" s="36" t="b">
        <v>0</v>
      </c>
      <c r="B6905" s="56" t="b">
        <v>0</v>
      </c>
      <c r="C6905" s="56" t="b">
        <v>0</v>
      </c>
      <c r="D6905" s="56" t="b">
        <v>0</v>
      </c>
      <c r="E6905" s="56">
        <f ca="1">IF(PV[[#This Row],[Business Date]]=Control!$C$6, PV[[#This Row],[Notional Value Local Cur]], -PV[[#This Row],[Notional Value Local Cur]])</f>
        <v>0</v>
      </c>
    </row>
    <row r="6906" spans="1:5" x14ac:dyDescent="0.25">
      <c r="A6906" s="36" t="b">
        <v>0</v>
      </c>
      <c r="B6906" s="56" t="b">
        <v>0</v>
      </c>
      <c r="C6906" s="56" t="b">
        <v>0</v>
      </c>
      <c r="D6906" s="56" t="b">
        <v>0</v>
      </c>
      <c r="E6906" s="56">
        <f ca="1">IF(PV[[#This Row],[Business Date]]=Control!$C$6, PV[[#This Row],[Notional Value Local Cur]], -PV[[#This Row],[Notional Value Local Cur]])</f>
        <v>0</v>
      </c>
    </row>
    <row r="6907" spans="1:5" x14ac:dyDescent="0.25">
      <c r="A6907" s="36" t="b">
        <v>0</v>
      </c>
      <c r="B6907" s="56" t="b">
        <v>0</v>
      </c>
      <c r="C6907" s="56" t="b">
        <v>0</v>
      </c>
      <c r="D6907" s="56" t="b">
        <v>0</v>
      </c>
      <c r="E6907" s="56">
        <f ca="1">IF(PV[[#This Row],[Business Date]]=Control!$C$6, PV[[#This Row],[Notional Value Local Cur]], -PV[[#This Row],[Notional Value Local Cur]])</f>
        <v>0</v>
      </c>
    </row>
    <row r="6908" spans="1:5" x14ac:dyDescent="0.25">
      <c r="A6908" s="36" t="b">
        <v>0</v>
      </c>
      <c r="B6908" s="56" t="b">
        <v>0</v>
      </c>
      <c r="C6908" s="56" t="b">
        <v>0</v>
      </c>
      <c r="D6908" s="56" t="b">
        <v>0</v>
      </c>
      <c r="E6908" s="56">
        <f ca="1">IF(PV[[#This Row],[Business Date]]=Control!$C$6, PV[[#This Row],[Notional Value Local Cur]], -PV[[#This Row],[Notional Value Local Cur]])</f>
        <v>0</v>
      </c>
    </row>
    <row r="6909" spans="1:5" x14ac:dyDescent="0.25">
      <c r="A6909" s="36" t="b">
        <v>0</v>
      </c>
      <c r="B6909" s="56" t="b">
        <v>0</v>
      </c>
      <c r="C6909" s="56" t="b">
        <v>0</v>
      </c>
      <c r="D6909" s="56" t="b">
        <v>0</v>
      </c>
      <c r="E6909" s="56">
        <f ca="1">IF(PV[[#This Row],[Business Date]]=Control!$C$6, PV[[#This Row],[Notional Value Local Cur]], -PV[[#This Row],[Notional Value Local Cur]])</f>
        <v>0</v>
      </c>
    </row>
    <row r="6910" spans="1:5" x14ac:dyDescent="0.25">
      <c r="A6910" s="36" t="b">
        <v>0</v>
      </c>
      <c r="B6910" s="56" t="b">
        <v>0</v>
      </c>
      <c r="C6910" s="56" t="b">
        <v>0</v>
      </c>
      <c r="D6910" s="56" t="b">
        <v>0</v>
      </c>
      <c r="E6910" s="56">
        <f ca="1">IF(PV[[#This Row],[Business Date]]=Control!$C$6, PV[[#This Row],[Notional Value Local Cur]], -PV[[#This Row],[Notional Value Local Cur]])</f>
        <v>0</v>
      </c>
    </row>
    <row r="6911" spans="1:5" x14ac:dyDescent="0.25">
      <c r="A6911" s="36" t="b">
        <v>0</v>
      </c>
      <c r="B6911" s="56" t="b">
        <v>0</v>
      </c>
      <c r="C6911" s="56" t="b">
        <v>0</v>
      </c>
      <c r="D6911" s="56" t="b">
        <v>0</v>
      </c>
      <c r="E6911" s="56">
        <f ca="1">IF(PV[[#This Row],[Business Date]]=Control!$C$6, PV[[#This Row],[Notional Value Local Cur]], -PV[[#This Row],[Notional Value Local Cur]])</f>
        <v>0</v>
      </c>
    </row>
    <row r="6912" spans="1:5" x14ac:dyDescent="0.25">
      <c r="A6912" s="36" t="b">
        <v>0</v>
      </c>
      <c r="B6912" s="56" t="b">
        <v>0</v>
      </c>
      <c r="C6912" s="56" t="b">
        <v>0</v>
      </c>
      <c r="D6912" s="56" t="b">
        <v>0</v>
      </c>
      <c r="E6912" s="56">
        <f ca="1">IF(PV[[#This Row],[Business Date]]=Control!$C$6, PV[[#This Row],[Notional Value Local Cur]], -PV[[#This Row],[Notional Value Local Cur]])</f>
        <v>0</v>
      </c>
    </row>
    <row r="6913" spans="1:5" x14ac:dyDescent="0.25">
      <c r="A6913" s="36" t="b">
        <v>0</v>
      </c>
      <c r="B6913" s="56" t="b">
        <v>0</v>
      </c>
      <c r="C6913" s="56" t="b">
        <v>0</v>
      </c>
      <c r="D6913" s="56" t="b">
        <v>0</v>
      </c>
      <c r="E6913" s="56">
        <f ca="1">IF(PV[[#This Row],[Business Date]]=Control!$C$6, PV[[#This Row],[Notional Value Local Cur]], -PV[[#This Row],[Notional Value Local Cur]])</f>
        <v>0</v>
      </c>
    </row>
    <row r="6914" spans="1:5" x14ac:dyDescent="0.25">
      <c r="A6914" s="36" t="b">
        <v>0</v>
      </c>
      <c r="B6914" s="56" t="b">
        <v>0</v>
      </c>
      <c r="C6914" s="56" t="b">
        <v>0</v>
      </c>
      <c r="D6914" s="56" t="b">
        <v>0</v>
      </c>
      <c r="E6914" s="56">
        <f ca="1">IF(PV[[#This Row],[Business Date]]=Control!$C$6, PV[[#This Row],[Notional Value Local Cur]], -PV[[#This Row],[Notional Value Local Cur]])</f>
        <v>0</v>
      </c>
    </row>
    <row r="6915" spans="1:5" x14ac:dyDescent="0.25">
      <c r="A6915" s="36" t="b">
        <v>0</v>
      </c>
      <c r="B6915" s="56" t="b">
        <v>0</v>
      </c>
      <c r="C6915" s="56" t="b">
        <v>0</v>
      </c>
      <c r="D6915" s="56" t="b">
        <v>0</v>
      </c>
      <c r="E6915" s="56">
        <f ca="1">IF(PV[[#This Row],[Business Date]]=Control!$C$6, PV[[#This Row],[Notional Value Local Cur]], -PV[[#This Row],[Notional Value Local Cur]])</f>
        <v>0</v>
      </c>
    </row>
    <row r="6916" spans="1:5" x14ac:dyDescent="0.25">
      <c r="A6916" s="36" t="b">
        <v>0</v>
      </c>
      <c r="B6916" s="56" t="b">
        <v>0</v>
      </c>
      <c r="C6916" s="56" t="b">
        <v>0</v>
      </c>
      <c r="D6916" s="56" t="b">
        <v>0</v>
      </c>
      <c r="E6916" s="56">
        <f ca="1">IF(PV[[#This Row],[Business Date]]=Control!$C$6, PV[[#This Row],[Notional Value Local Cur]], -PV[[#This Row],[Notional Value Local Cur]])</f>
        <v>0</v>
      </c>
    </row>
    <row r="6917" spans="1:5" x14ac:dyDescent="0.25">
      <c r="A6917" s="36" t="b">
        <v>0</v>
      </c>
      <c r="B6917" s="56" t="b">
        <v>0</v>
      </c>
      <c r="C6917" s="56" t="b">
        <v>0</v>
      </c>
      <c r="D6917" s="56" t="b">
        <v>0</v>
      </c>
      <c r="E6917" s="56">
        <f ca="1">IF(PV[[#This Row],[Business Date]]=Control!$C$6, PV[[#This Row],[Notional Value Local Cur]], -PV[[#This Row],[Notional Value Local Cur]])</f>
        <v>0</v>
      </c>
    </row>
    <row r="6918" spans="1:5" x14ac:dyDescent="0.25">
      <c r="A6918" s="36" t="b">
        <v>0</v>
      </c>
      <c r="B6918" s="56" t="b">
        <v>0</v>
      </c>
      <c r="C6918" s="56" t="b">
        <v>0</v>
      </c>
      <c r="D6918" s="56" t="b">
        <v>0</v>
      </c>
      <c r="E6918" s="56">
        <f ca="1">IF(PV[[#This Row],[Business Date]]=Control!$C$6, PV[[#This Row],[Notional Value Local Cur]], -PV[[#This Row],[Notional Value Local Cur]])</f>
        <v>0</v>
      </c>
    </row>
    <row r="6919" spans="1:5" x14ac:dyDescent="0.25">
      <c r="A6919" s="36" t="b">
        <v>0</v>
      </c>
      <c r="B6919" s="56" t="b">
        <v>0</v>
      </c>
      <c r="C6919" s="56" t="b">
        <v>0</v>
      </c>
      <c r="D6919" s="56" t="b">
        <v>0</v>
      </c>
      <c r="E6919" s="56">
        <f ca="1">IF(PV[[#This Row],[Business Date]]=Control!$C$6, PV[[#This Row],[Notional Value Local Cur]], -PV[[#This Row],[Notional Value Local Cur]])</f>
        <v>0</v>
      </c>
    </row>
    <row r="6920" spans="1:5" x14ac:dyDescent="0.25">
      <c r="A6920" s="36" t="b">
        <v>0</v>
      </c>
      <c r="B6920" s="56" t="b">
        <v>0</v>
      </c>
      <c r="C6920" s="56" t="b">
        <v>0</v>
      </c>
      <c r="D6920" s="56" t="b">
        <v>0</v>
      </c>
      <c r="E6920" s="56">
        <f ca="1">IF(PV[[#This Row],[Business Date]]=Control!$C$6, PV[[#This Row],[Notional Value Local Cur]], -PV[[#This Row],[Notional Value Local Cur]])</f>
        <v>0</v>
      </c>
    </row>
    <row r="6921" spans="1:5" x14ac:dyDescent="0.25">
      <c r="A6921" s="36" t="b">
        <v>0</v>
      </c>
      <c r="B6921" s="56" t="b">
        <v>0</v>
      </c>
      <c r="C6921" s="56" t="b">
        <v>0</v>
      </c>
      <c r="D6921" s="56" t="b">
        <v>0</v>
      </c>
      <c r="E6921" s="56">
        <f ca="1">IF(PV[[#This Row],[Business Date]]=Control!$C$6, PV[[#This Row],[Notional Value Local Cur]], -PV[[#This Row],[Notional Value Local Cur]])</f>
        <v>0</v>
      </c>
    </row>
    <row r="6922" spans="1:5" x14ac:dyDescent="0.25">
      <c r="A6922" s="36" t="b">
        <v>0</v>
      </c>
      <c r="B6922" s="56" t="b">
        <v>0</v>
      </c>
      <c r="C6922" s="56" t="b">
        <v>0</v>
      </c>
      <c r="D6922" s="56" t="b">
        <v>0</v>
      </c>
      <c r="E6922" s="56">
        <f ca="1">IF(PV[[#This Row],[Business Date]]=Control!$C$6, PV[[#This Row],[Notional Value Local Cur]], -PV[[#This Row],[Notional Value Local Cur]])</f>
        <v>0</v>
      </c>
    </row>
    <row r="6923" spans="1:5" x14ac:dyDescent="0.25">
      <c r="A6923" s="36" t="b">
        <v>0</v>
      </c>
      <c r="B6923" s="56" t="b">
        <v>0</v>
      </c>
      <c r="C6923" s="56" t="b">
        <v>0</v>
      </c>
      <c r="D6923" s="56" t="b">
        <v>0</v>
      </c>
      <c r="E6923" s="56">
        <f ca="1">IF(PV[[#This Row],[Business Date]]=Control!$C$6, PV[[#This Row],[Notional Value Local Cur]], -PV[[#This Row],[Notional Value Local Cur]])</f>
        <v>0</v>
      </c>
    </row>
    <row r="6924" spans="1:5" x14ac:dyDescent="0.25">
      <c r="A6924" s="36" t="b">
        <v>0</v>
      </c>
      <c r="B6924" s="56" t="b">
        <v>0</v>
      </c>
      <c r="C6924" s="56" t="b">
        <v>0</v>
      </c>
      <c r="D6924" s="56" t="b">
        <v>0</v>
      </c>
      <c r="E6924" s="56">
        <f ca="1">IF(PV[[#This Row],[Business Date]]=Control!$C$6, PV[[#This Row],[Notional Value Local Cur]], -PV[[#This Row],[Notional Value Local Cur]])</f>
        <v>0</v>
      </c>
    </row>
    <row r="6925" spans="1:5" x14ac:dyDescent="0.25">
      <c r="A6925" s="36" t="b">
        <v>0</v>
      </c>
      <c r="B6925" s="56" t="b">
        <v>0</v>
      </c>
      <c r="C6925" s="56" t="b">
        <v>0</v>
      </c>
      <c r="D6925" s="56" t="b">
        <v>0</v>
      </c>
      <c r="E6925" s="56">
        <f ca="1">IF(PV[[#This Row],[Business Date]]=Control!$C$6, PV[[#This Row],[Notional Value Local Cur]], -PV[[#This Row],[Notional Value Local Cur]])</f>
        <v>0</v>
      </c>
    </row>
    <row r="6926" spans="1:5" x14ac:dyDescent="0.25">
      <c r="A6926" s="36" t="b">
        <v>0</v>
      </c>
      <c r="B6926" s="56" t="b">
        <v>0</v>
      </c>
      <c r="C6926" s="56" t="b">
        <v>0</v>
      </c>
      <c r="D6926" s="56" t="b">
        <v>0</v>
      </c>
      <c r="E6926" s="56">
        <f ca="1">IF(PV[[#This Row],[Business Date]]=Control!$C$6, PV[[#This Row],[Notional Value Local Cur]], -PV[[#This Row],[Notional Value Local Cur]])</f>
        <v>0</v>
      </c>
    </row>
    <row r="6927" spans="1:5" x14ac:dyDescent="0.25">
      <c r="A6927" s="36" t="b">
        <v>0</v>
      </c>
      <c r="B6927" s="56" t="b">
        <v>0</v>
      </c>
      <c r="C6927" s="56" t="b">
        <v>0</v>
      </c>
      <c r="D6927" s="56" t="b">
        <v>0</v>
      </c>
      <c r="E6927" s="56">
        <f ca="1">IF(PV[[#This Row],[Business Date]]=Control!$C$6, PV[[#This Row],[Notional Value Local Cur]], -PV[[#This Row],[Notional Value Local Cur]])</f>
        <v>0</v>
      </c>
    </row>
    <row r="6928" spans="1:5" x14ac:dyDescent="0.25">
      <c r="A6928" s="36" t="b">
        <v>0</v>
      </c>
      <c r="B6928" s="56" t="b">
        <v>0</v>
      </c>
      <c r="C6928" s="56" t="b">
        <v>0</v>
      </c>
      <c r="D6928" s="56" t="b">
        <v>0</v>
      </c>
      <c r="E6928" s="56">
        <f ca="1">IF(PV[[#This Row],[Business Date]]=Control!$C$6, PV[[#This Row],[Notional Value Local Cur]], -PV[[#This Row],[Notional Value Local Cur]])</f>
        <v>0</v>
      </c>
    </row>
    <row r="6929" spans="1:5" x14ac:dyDescent="0.25">
      <c r="A6929" s="36" t="b">
        <v>0</v>
      </c>
      <c r="B6929" s="56" t="b">
        <v>0</v>
      </c>
      <c r="C6929" s="56" t="b">
        <v>0</v>
      </c>
      <c r="D6929" s="56" t="b">
        <v>0</v>
      </c>
      <c r="E6929" s="56">
        <f ca="1">IF(PV[[#This Row],[Business Date]]=Control!$C$6, PV[[#This Row],[Notional Value Local Cur]], -PV[[#This Row],[Notional Value Local Cur]])</f>
        <v>0</v>
      </c>
    </row>
    <row r="6930" spans="1:5" x14ac:dyDescent="0.25">
      <c r="A6930" s="36" t="b">
        <v>0</v>
      </c>
      <c r="B6930" s="56" t="b">
        <v>0</v>
      </c>
      <c r="C6930" s="56" t="b">
        <v>0</v>
      </c>
      <c r="D6930" s="56" t="b">
        <v>0</v>
      </c>
      <c r="E6930" s="56">
        <f ca="1">IF(PV[[#This Row],[Business Date]]=Control!$C$6, PV[[#This Row],[Notional Value Local Cur]], -PV[[#This Row],[Notional Value Local Cur]])</f>
        <v>0</v>
      </c>
    </row>
    <row r="6931" spans="1:5" x14ac:dyDescent="0.25">
      <c r="A6931" s="36" t="b">
        <v>0</v>
      </c>
      <c r="B6931" s="56" t="b">
        <v>0</v>
      </c>
      <c r="C6931" s="56" t="b">
        <v>0</v>
      </c>
      <c r="D6931" s="56" t="b">
        <v>0</v>
      </c>
      <c r="E6931" s="56">
        <f ca="1">IF(PV[[#This Row],[Business Date]]=Control!$C$6, PV[[#This Row],[Notional Value Local Cur]], -PV[[#This Row],[Notional Value Local Cur]])</f>
        <v>0</v>
      </c>
    </row>
    <row r="6932" spans="1:5" x14ac:dyDescent="0.25">
      <c r="A6932" s="36" t="b">
        <v>0</v>
      </c>
      <c r="B6932" s="56" t="b">
        <v>0</v>
      </c>
      <c r="C6932" s="56" t="b">
        <v>0</v>
      </c>
      <c r="D6932" s="56" t="b">
        <v>0</v>
      </c>
      <c r="E6932" s="56">
        <f ca="1">IF(PV[[#This Row],[Business Date]]=Control!$C$6, PV[[#This Row],[Notional Value Local Cur]], -PV[[#This Row],[Notional Value Local Cur]])</f>
        <v>0</v>
      </c>
    </row>
    <row r="6933" spans="1:5" x14ac:dyDescent="0.25">
      <c r="A6933" s="36" t="b">
        <v>0</v>
      </c>
      <c r="B6933" s="56" t="b">
        <v>0</v>
      </c>
      <c r="C6933" s="56" t="b">
        <v>0</v>
      </c>
      <c r="D6933" s="56" t="b">
        <v>0</v>
      </c>
      <c r="E6933" s="56">
        <f ca="1">IF(PV[[#This Row],[Business Date]]=Control!$C$6, PV[[#This Row],[Notional Value Local Cur]], -PV[[#This Row],[Notional Value Local Cur]])</f>
        <v>0</v>
      </c>
    </row>
    <row r="6934" spans="1:5" x14ac:dyDescent="0.25">
      <c r="A6934" s="36" t="b">
        <v>0</v>
      </c>
      <c r="B6934" s="56" t="b">
        <v>0</v>
      </c>
      <c r="C6934" s="56" t="b">
        <v>0</v>
      </c>
      <c r="D6934" s="56" t="b">
        <v>0</v>
      </c>
      <c r="E6934" s="56">
        <f ca="1">IF(PV[[#This Row],[Business Date]]=Control!$C$6, PV[[#This Row],[Notional Value Local Cur]], -PV[[#This Row],[Notional Value Local Cur]])</f>
        <v>0</v>
      </c>
    </row>
    <row r="6935" spans="1:5" x14ac:dyDescent="0.25">
      <c r="A6935" s="36" t="b">
        <v>0</v>
      </c>
      <c r="B6935" s="56" t="b">
        <v>0</v>
      </c>
      <c r="C6935" s="56" t="b">
        <v>0</v>
      </c>
      <c r="D6935" s="56" t="b">
        <v>0</v>
      </c>
      <c r="E6935" s="56">
        <f ca="1">IF(PV[[#This Row],[Business Date]]=Control!$C$6, PV[[#This Row],[Notional Value Local Cur]], -PV[[#This Row],[Notional Value Local Cur]])</f>
        <v>0</v>
      </c>
    </row>
    <row r="6936" spans="1:5" x14ac:dyDescent="0.25">
      <c r="A6936" s="36" t="b">
        <v>0</v>
      </c>
      <c r="B6936" s="56" t="b">
        <v>0</v>
      </c>
      <c r="C6936" s="56" t="b">
        <v>0</v>
      </c>
      <c r="D6936" s="56" t="b">
        <v>0</v>
      </c>
      <c r="E6936" s="56">
        <f ca="1">IF(PV[[#This Row],[Business Date]]=Control!$C$6, PV[[#This Row],[Notional Value Local Cur]], -PV[[#This Row],[Notional Value Local Cur]])</f>
        <v>0</v>
      </c>
    </row>
    <row r="6937" spans="1:5" x14ac:dyDescent="0.25">
      <c r="A6937" s="36" t="b">
        <v>0</v>
      </c>
      <c r="B6937" s="56" t="b">
        <v>0</v>
      </c>
      <c r="C6937" s="56" t="b">
        <v>0</v>
      </c>
      <c r="D6937" s="56" t="b">
        <v>0</v>
      </c>
      <c r="E6937" s="56">
        <f ca="1">IF(PV[[#This Row],[Business Date]]=Control!$C$6, PV[[#This Row],[Notional Value Local Cur]], -PV[[#This Row],[Notional Value Local Cur]])</f>
        <v>0</v>
      </c>
    </row>
    <row r="6938" spans="1:5" x14ac:dyDescent="0.25">
      <c r="A6938" s="36" t="b">
        <v>0</v>
      </c>
      <c r="B6938" s="56" t="b">
        <v>0</v>
      </c>
      <c r="C6938" s="56" t="b">
        <v>0</v>
      </c>
      <c r="D6938" s="56" t="b">
        <v>0</v>
      </c>
      <c r="E6938" s="56">
        <f ca="1">IF(PV[[#This Row],[Business Date]]=Control!$C$6, PV[[#This Row],[Notional Value Local Cur]], -PV[[#This Row],[Notional Value Local Cur]])</f>
        <v>0</v>
      </c>
    </row>
    <row r="6939" spans="1:5" x14ac:dyDescent="0.25">
      <c r="A6939" s="36" t="b">
        <v>0</v>
      </c>
      <c r="B6939" s="56" t="b">
        <v>0</v>
      </c>
      <c r="C6939" s="56" t="b">
        <v>0</v>
      </c>
      <c r="D6939" s="56" t="b">
        <v>0</v>
      </c>
      <c r="E6939" s="56">
        <f ca="1">IF(PV[[#This Row],[Business Date]]=Control!$C$6, PV[[#This Row],[Notional Value Local Cur]], -PV[[#This Row],[Notional Value Local Cur]])</f>
        <v>0</v>
      </c>
    </row>
    <row r="6940" spans="1:5" x14ac:dyDescent="0.25">
      <c r="A6940" s="36" t="b">
        <v>0</v>
      </c>
      <c r="B6940" s="56" t="b">
        <v>0</v>
      </c>
      <c r="C6940" s="56" t="b">
        <v>0</v>
      </c>
      <c r="D6940" s="56" t="b">
        <v>0</v>
      </c>
      <c r="E6940" s="56">
        <f ca="1">IF(PV[[#This Row],[Business Date]]=Control!$C$6, PV[[#This Row],[Notional Value Local Cur]], -PV[[#This Row],[Notional Value Local Cur]])</f>
        <v>0</v>
      </c>
    </row>
    <row r="6941" spans="1:5" x14ac:dyDescent="0.25">
      <c r="A6941" s="36" t="b">
        <v>0</v>
      </c>
      <c r="B6941" s="56" t="b">
        <v>0</v>
      </c>
      <c r="C6941" s="56" t="b">
        <v>0</v>
      </c>
      <c r="D6941" s="56" t="b">
        <v>0</v>
      </c>
      <c r="E6941" s="56">
        <f ca="1">IF(PV[[#This Row],[Business Date]]=Control!$C$6, PV[[#This Row],[Notional Value Local Cur]], -PV[[#This Row],[Notional Value Local Cur]])</f>
        <v>0</v>
      </c>
    </row>
    <row r="6942" spans="1:5" x14ac:dyDescent="0.25">
      <c r="A6942" s="36" t="b">
        <v>0</v>
      </c>
      <c r="B6942" s="56" t="b">
        <v>0</v>
      </c>
      <c r="C6942" s="56" t="b">
        <v>0</v>
      </c>
      <c r="D6942" s="56" t="b">
        <v>0</v>
      </c>
      <c r="E6942" s="56">
        <f ca="1">IF(PV[[#This Row],[Business Date]]=Control!$C$6, PV[[#This Row],[Notional Value Local Cur]], -PV[[#This Row],[Notional Value Local Cur]])</f>
        <v>0</v>
      </c>
    </row>
    <row r="6943" spans="1:5" x14ac:dyDescent="0.25">
      <c r="A6943" s="36" t="b">
        <v>0</v>
      </c>
      <c r="B6943" s="56" t="b">
        <v>0</v>
      </c>
      <c r="C6943" s="56" t="b">
        <v>0</v>
      </c>
      <c r="D6943" s="56" t="b">
        <v>0</v>
      </c>
      <c r="E6943" s="56">
        <f ca="1">IF(PV[[#This Row],[Business Date]]=Control!$C$6, PV[[#This Row],[Notional Value Local Cur]], -PV[[#This Row],[Notional Value Local Cur]])</f>
        <v>0</v>
      </c>
    </row>
    <row r="6944" spans="1:5" x14ac:dyDescent="0.25">
      <c r="A6944" s="36" t="b">
        <v>0</v>
      </c>
      <c r="B6944" s="56" t="b">
        <v>0</v>
      </c>
      <c r="C6944" s="56" t="b">
        <v>0</v>
      </c>
      <c r="D6944" s="56" t="b">
        <v>0</v>
      </c>
      <c r="E6944" s="56">
        <f ca="1">IF(PV[[#This Row],[Business Date]]=Control!$C$6, PV[[#This Row],[Notional Value Local Cur]], -PV[[#This Row],[Notional Value Local Cur]])</f>
        <v>0</v>
      </c>
    </row>
    <row r="6945" spans="1:5" x14ac:dyDescent="0.25">
      <c r="A6945" s="36" t="b">
        <v>0</v>
      </c>
      <c r="B6945" s="56" t="b">
        <v>0</v>
      </c>
      <c r="C6945" s="56" t="b">
        <v>0</v>
      </c>
      <c r="D6945" s="56" t="b">
        <v>0</v>
      </c>
      <c r="E6945" s="56">
        <f ca="1">IF(PV[[#This Row],[Business Date]]=Control!$C$6, PV[[#This Row],[Notional Value Local Cur]], -PV[[#This Row],[Notional Value Local Cur]])</f>
        <v>0</v>
      </c>
    </row>
    <row r="6946" spans="1:5" x14ac:dyDescent="0.25">
      <c r="A6946" s="36" t="b">
        <v>0</v>
      </c>
      <c r="B6946" s="56" t="b">
        <v>0</v>
      </c>
      <c r="C6946" s="56" t="b">
        <v>0</v>
      </c>
      <c r="D6946" s="56" t="b">
        <v>0</v>
      </c>
      <c r="E6946" s="56">
        <f ca="1">IF(PV[[#This Row],[Business Date]]=Control!$C$6, PV[[#This Row],[Notional Value Local Cur]], -PV[[#This Row],[Notional Value Local Cur]])</f>
        <v>0</v>
      </c>
    </row>
    <row r="6947" spans="1:5" x14ac:dyDescent="0.25">
      <c r="A6947" s="36" t="b">
        <v>0</v>
      </c>
      <c r="B6947" s="56" t="b">
        <v>0</v>
      </c>
      <c r="C6947" s="56" t="b">
        <v>0</v>
      </c>
      <c r="D6947" s="56" t="b">
        <v>0</v>
      </c>
      <c r="E6947" s="56">
        <f ca="1">IF(PV[[#This Row],[Business Date]]=Control!$C$6, PV[[#This Row],[Notional Value Local Cur]], -PV[[#This Row],[Notional Value Local Cur]])</f>
        <v>0</v>
      </c>
    </row>
    <row r="6948" spans="1:5" x14ac:dyDescent="0.25">
      <c r="A6948" s="36" t="b">
        <v>0</v>
      </c>
      <c r="B6948" s="56" t="b">
        <v>0</v>
      </c>
      <c r="C6948" s="56" t="b">
        <v>0</v>
      </c>
      <c r="D6948" s="56" t="b">
        <v>0</v>
      </c>
      <c r="E6948" s="56">
        <f ca="1">IF(PV[[#This Row],[Business Date]]=Control!$C$6, PV[[#This Row],[Notional Value Local Cur]], -PV[[#This Row],[Notional Value Local Cur]])</f>
        <v>0</v>
      </c>
    </row>
    <row r="6949" spans="1:5" x14ac:dyDescent="0.25">
      <c r="A6949" s="36" t="b">
        <v>0</v>
      </c>
      <c r="B6949" s="56" t="b">
        <v>0</v>
      </c>
      <c r="C6949" s="56" t="b">
        <v>0</v>
      </c>
      <c r="D6949" s="56" t="b">
        <v>0</v>
      </c>
      <c r="E6949" s="56">
        <f ca="1">IF(PV[[#This Row],[Business Date]]=Control!$C$6, PV[[#This Row],[Notional Value Local Cur]], -PV[[#This Row],[Notional Value Local Cur]])</f>
        <v>0</v>
      </c>
    </row>
    <row r="6950" spans="1:5" x14ac:dyDescent="0.25">
      <c r="A6950" s="36" t="b">
        <v>0</v>
      </c>
      <c r="B6950" s="56" t="b">
        <v>0</v>
      </c>
      <c r="C6950" s="56" t="b">
        <v>0</v>
      </c>
      <c r="D6950" s="56" t="b">
        <v>0</v>
      </c>
      <c r="E6950" s="56">
        <f ca="1">IF(PV[[#This Row],[Business Date]]=Control!$C$6, PV[[#This Row],[Notional Value Local Cur]], -PV[[#This Row],[Notional Value Local Cur]])</f>
        <v>0</v>
      </c>
    </row>
    <row r="6951" spans="1:5" x14ac:dyDescent="0.25">
      <c r="A6951" s="36" t="b">
        <v>0</v>
      </c>
      <c r="B6951" s="56" t="b">
        <v>0</v>
      </c>
      <c r="C6951" s="56" t="b">
        <v>0</v>
      </c>
      <c r="D6951" s="56" t="b">
        <v>0</v>
      </c>
      <c r="E6951" s="56">
        <f ca="1">IF(PV[[#This Row],[Business Date]]=Control!$C$6, PV[[#This Row],[Notional Value Local Cur]], -PV[[#This Row],[Notional Value Local Cur]])</f>
        <v>0</v>
      </c>
    </row>
    <row r="6952" spans="1:5" x14ac:dyDescent="0.25">
      <c r="A6952" s="36" t="b">
        <v>0</v>
      </c>
      <c r="B6952" s="56" t="b">
        <v>0</v>
      </c>
      <c r="C6952" s="56" t="b">
        <v>0</v>
      </c>
      <c r="D6952" s="56" t="b">
        <v>0</v>
      </c>
      <c r="E6952" s="56">
        <f ca="1">IF(PV[[#This Row],[Business Date]]=Control!$C$6, PV[[#This Row],[Notional Value Local Cur]], -PV[[#This Row],[Notional Value Local Cur]])</f>
        <v>0</v>
      </c>
    </row>
    <row r="6953" spans="1:5" x14ac:dyDescent="0.25">
      <c r="A6953" s="36" t="b">
        <v>0</v>
      </c>
      <c r="B6953" s="56" t="b">
        <v>0</v>
      </c>
      <c r="C6953" s="56" t="b">
        <v>0</v>
      </c>
      <c r="D6953" s="56" t="b">
        <v>0</v>
      </c>
      <c r="E6953" s="56">
        <f ca="1">IF(PV[[#This Row],[Business Date]]=Control!$C$6, PV[[#This Row],[Notional Value Local Cur]], -PV[[#This Row],[Notional Value Local Cur]])</f>
        <v>0</v>
      </c>
    </row>
    <row r="6954" spans="1:5" x14ac:dyDescent="0.25">
      <c r="A6954" s="36" t="b">
        <v>0</v>
      </c>
      <c r="B6954" s="56" t="b">
        <v>0</v>
      </c>
      <c r="C6954" s="56" t="b">
        <v>0</v>
      </c>
      <c r="D6954" s="56" t="b">
        <v>0</v>
      </c>
      <c r="E6954" s="56">
        <f ca="1">IF(PV[[#This Row],[Business Date]]=Control!$C$6, PV[[#This Row],[Notional Value Local Cur]], -PV[[#This Row],[Notional Value Local Cur]])</f>
        <v>0</v>
      </c>
    </row>
    <row r="6955" spans="1:5" x14ac:dyDescent="0.25">
      <c r="A6955" s="36" t="b">
        <v>0</v>
      </c>
      <c r="B6955" s="56" t="b">
        <v>0</v>
      </c>
      <c r="C6955" s="56" t="b">
        <v>0</v>
      </c>
      <c r="D6955" s="56" t="b">
        <v>0</v>
      </c>
      <c r="E6955" s="56">
        <f ca="1">IF(PV[[#This Row],[Business Date]]=Control!$C$6, PV[[#This Row],[Notional Value Local Cur]], -PV[[#This Row],[Notional Value Local Cur]])</f>
        <v>0</v>
      </c>
    </row>
    <row r="6956" spans="1:5" x14ac:dyDescent="0.25">
      <c r="A6956" s="36" t="b">
        <v>0</v>
      </c>
      <c r="B6956" s="56" t="b">
        <v>0</v>
      </c>
      <c r="C6956" s="56" t="b">
        <v>0</v>
      </c>
      <c r="D6956" s="56" t="b">
        <v>0</v>
      </c>
      <c r="E6956" s="56">
        <f ca="1">IF(PV[[#This Row],[Business Date]]=Control!$C$6, PV[[#This Row],[Notional Value Local Cur]], -PV[[#This Row],[Notional Value Local Cur]])</f>
        <v>0</v>
      </c>
    </row>
    <row r="6957" spans="1:5" x14ac:dyDescent="0.25">
      <c r="A6957" s="36" t="b">
        <v>0</v>
      </c>
      <c r="B6957" s="56" t="b">
        <v>0</v>
      </c>
      <c r="C6957" s="56" t="b">
        <v>0</v>
      </c>
      <c r="D6957" s="56" t="b">
        <v>0</v>
      </c>
      <c r="E6957" s="56">
        <f ca="1">IF(PV[[#This Row],[Business Date]]=Control!$C$6, PV[[#This Row],[Notional Value Local Cur]], -PV[[#This Row],[Notional Value Local Cur]])</f>
        <v>0</v>
      </c>
    </row>
    <row r="6958" spans="1:5" x14ac:dyDescent="0.25">
      <c r="A6958" s="36" t="b">
        <v>0</v>
      </c>
      <c r="B6958" s="56" t="b">
        <v>0</v>
      </c>
      <c r="C6958" s="56" t="b">
        <v>0</v>
      </c>
      <c r="D6958" s="56" t="b">
        <v>0</v>
      </c>
      <c r="E6958" s="56">
        <f ca="1">IF(PV[[#This Row],[Business Date]]=Control!$C$6, PV[[#This Row],[Notional Value Local Cur]], -PV[[#This Row],[Notional Value Local Cur]])</f>
        <v>0</v>
      </c>
    </row>
    <row r="6959" spans="1:5" x14ac:dyDescent="0.25">
      <c r="A6959" s="36" t="b">
        <v>0</v>
      </c>
      <c r="B6959" s="56" t="b">
        <v>0</v>
      </c>
      <c r="C6959" s="56" t="b">
        <v>0</v>
      </c>
      <c r="D6959" s="56" t="b">
        <v>0</v>
      </c>
      <c r="E6959" s="56">
        <f ca="1">IF(PV[[#This Row],[Business Date]]=Control!$C$6, PV[[#This Row],[Notional Value Local Cur]], -PV[[#This Row],[Notional Value Local Cur]])</f>
        <v>0</v>
      </c>
    </row>
    <row r="6960" spans="1:5" x14ac:dyDescent="0.25">
      <c r="A6960" s="36" t="b">
        <v>0</v>
      </c>
      <c r="B6960" s="56" t="b">
        <v>0</v>
      </c>
      <c r="C6960" s="56" t="b">
        <v>0</v>
      </c>
      <c r="D6960" s="56" t="b">
        <v>0</v>
      </c>
      <c r="E6960" s="56">
        <f ca="1">IF(PV[[#This Row],[Business Date]]=Control!$C$6, PV[[#This Row],[Notional Value Local Cur]], -PV[[#This Row],[Notional Value Local Cur]])</f>
        <v>0</v>
      </c>
    </row>
    <row r="6961" spans="1:5" x14ac:dyDescent="0.25">
      <c r="A6961" s="36" t="b">
        <v>0</v>
      </c>
      <c r="B6961" s="56" t="b">
        <v>0</v>
      </c>
      <c r="C6961" s="56" t="b">
        <v>0</v>
      </c>
      <c r="D6961" s="56" t="b">
        <v>0</v>
      </c>
      <c r="E6961" s="56">
        <f ca="1">IF(PV[[#This Row],[Business Date]]=Control!$C$6, PV[[#This Row],[Notional Value Local Cur]], -PV[[#This Row],[Notional Value Local Cur]])</f>
        <v>0</v>
      </c>
    </row>
    <row r="6962" spans="1:5" x14ac:dyDescent="0.25">
      <c r="A6962" s="36" t="b">
        <v>0</v>
      </c>
      <c r="B6962" s="56" t="b">
        <v>0</v>
      </c>
      <c r="C6962" s="56" t="b">
        <v>0</v>
      </c>
      <c r="D6962" s="56" t="b">
        <v>0</v>
      </c>
      <c r="E6962" s="56">
        <f ca="1">IF(PV[[#This Row],[Business Date]]=Control!$C$6, PV[[#This Row],[Notional Value Local Cur]], -PV[[#This Row],[Notional Value Local Cur]])</f>
        <v>0</v>
      </c>
    </row>
    <row r="6963" spans="1:5" x14ac:dyDescent="0.25">
      <c r="A6963" s="36" t="b">
        <v>0</v>
      </c>
      <c r="B6963" s="56" t="b">
        <v>0</v>
      </c>
      <c r="C6963" s="56" t="b">
        <v>0</v>
      </c>
      <c r="D6963" s="56" t="b">
        <v>0</v>
      </c>
      <c r="E6963" s="56">
        <f ca="1">IF(PV[[#This Row],[Business Date]]=Control!$C$6, PV[[#This Row],[Notional Value Local Cur]], -PV[[#This Row],[Notional Value Local Cur]])</f>
        <v>0</v>
      </c>
    </row>
    <row r="6964" spans="1:5" x14ac:dyDescent="0.25">
      <c r="A6964" s="36" t="b">
        <v>0</v>
      </c>
      <c r="B6964" s="56" t="b">
        <v>0</v>
      </c>
      <c r="C6964" s="56" t="b">
        <v>0</v>
      </c>
      <c r="D6964" s="56" t="b">
        <v>0</v>
      </c>
      <c r="E6964" s="56">
        <f ca="1">IF(PV[[#This Row],[Business Date]]=Control!$C$6, PV[[#This Row],[Notional Value Local Cur]], -PV[[#This Row],[Notional Value Local Cur]])</f>
        <v>0</v>
      </c>
    </row>
    <row r="6965" spans="1:5" x14ac:dyDescent="0.25">
      <c r="A6965" s="36" t="b">
        <v>0</v>
      </c>
      <c r="B6965" s="56" t="b">
        <v>0</v>
      </c>
      <c r="C6965" s="56" t="b">
        <v>0</v>
      </c>
      <c r="D6965" s="56" t="b">
        <v>0</v>
      </c>
      <c r="E6965" s="56">
        <f ca="1">IF(PV[[#This Row],[Business Date]]=Control!$C$6, PV[[#This Row],[Notional Value Local Cur]], -PV[[#This Row],[Notional Value Local Cur]])</f>
        <v>0</v>
      </c>
    </row>
    <row r="6966" spans="1:5" x14ac:dyDescent="0.25">
      <c r="A6966" s="36" t="b">
        <v>0</v>
      </c>
      <c r="B6966" s="56" t="b">
        <v>0</v>
      </c>
      <c r="C6966" s="56" t="b">
        <v>0</v>
      </c>
      <c r="D6966" s="56" t="b">
        <v>0</v>
      </c>
      <c r="E6966" s="56">
        <f ca="1">IF(PV[[#This Row],[Business Date]]=Control!$C$6, PV[[#This Row],[Notional Value Local Cur]], -PV[[#This Row],[Notional Value Local Cur]])</f>
        <v>0</v>
      </c>
    </row>
    <row r="6967" spans="1:5" x14ac:dyDescent="0.25">
      <c r="A6967" s="36" t="b">
        <v>0</v>
      </c>
      <c r="B6967" s="56" t="b">
        <v>0</v>
      </c>
      <c r="C6967" s="56" t="b">
        <v>0</v>
      </c>
      <c r="D6967" s="56" t="b">
        <v>0</v>
      </c>
      <c r="E6967" s="56">
        <f ca="1">IF(PV[[#This Row],[Business Date]]=Control!$C$6, PV[[#This Row],[Notional Value Local Cur]], -PV[[#This Row],[Notional Value Local Cur]])</f>
        <v>0</v>
      </c>
    </row>
    <row r="6968" spans="1:5" x14ac:dyDescent="0.25">
      <c r="A6968" s="36" t="b">
        <v>0</v>
      </c>
      <c r="B6968" s="56" t="b">
        <v>0</v>
      </c>
      <c r="C6968" s="56" t="b">
        <v>0</v>
      </c>
      <c r="D6968" s="56" t="b">
        <v>0</v>
      </c>
      <c r="E6968" s="56">
        <f ca="1">IF(PV[[#This Row],[Business Date]]=Control!$C$6, PV[[#This Row],[Notional Value Local Cur]], -PV[[#This Row],[Notional Value Local Cur]])</f>
        <v>0</v>
      </c>
    </row>
    <row r="6969" spans="1:5" x14ac:dyDescent="0.25">
      <c r="A6969" s="36" t="b">
        <v>0</v>
      </c>
      <c r="B6969" s="56" t="b">
        <v>0</v>
      </c>
      <c r="C6969" s="56" t="b">
        <v>0</v>
      </c>
      <c r="D6969" s="56" t="b">
        <v>0</v>
      </c>
      <c r="E6969" s="56">
        <f ca="1">IF(PV[[#This Row],[Business Date]]=Control!$C$6, PV[[#This Row],[Notional Value Local Cur]], -PV[[#This Row],[Notional Value Local Cur]])</f>
        <v>0</v>
      </c>
    </row>
    <row r="6970" spans="1:5" x14ac:dyDescent="0.25">
      <c r="A6970" s="36" t="b">
        <v>0</v>
      </c>
      <c r="B6970" s="56" t="b">
        <v>0</v>
      </c>
      <c r="C6970" s="56" t="b">
        <v>0</v>
      </c>
      <c r="D6970" s="56" t="b">
        <v>0</v>
      </c>
      <c r="E6970" s="56">
        <f ca="1">IF(PV[[#This Row],[Business Date]]=Control!$C$6, PV[[#This Row],[Notional Value Local Cur]], -PV[[#This Row],[Notional Value Local Cur]])</f>
        <v>0</v>
      </c>
    </row>
    <row r="6971" spans="1:5" x14ac:dyDescent="0.25">
      <c r="A6971" s="36" t="b">
        <v>0</v>
      </c>
      <c r="B6971" s="56" t="b">
        <v>0</v>
      </c>
      <c r="C6971" s="56" t="b">
        <v>0</v>
      </c>
      <c r="D6971" s="56" t="b">
        <v>0</v>
      </c>
      <c r="E6971" s="56">
        <f ca="1">IF(PV[[#This Row],[Business Date]]=Control!$C$6, PV[[#This Row],[Notional Value Local Cur]], -PV[[#This Row],[Notional Value Local Cur]])</f>
        <v>0</v>
      </c>
    </row>
    <row r="6972" spans="1:5" x14ac:dyDescent="0.25">
      <c r="A6972" s="36" t="b">
        <v>0</v>
      </c>
      <c r="B6972" s="56" t="b">
        <v>0</v>
      </c>
      <c r="C6972" s="56" t="b">
        <v>0</v>
      </c>
      <c r="D6972" s="56" t="b">
        <v>0</v>
      </c>
      <c r="E6972" s="56">
        <f ca="1">IF(PV[[#This Row],[Business Date]]=Control!$C$6, PV[[#This Row],[Notional Value Local Cur]], -PV[[#This Row],[Notional Value Local Cur]])</f>
        <v>0</v>
      </c>
    </row>
    <row r="6973" spans="1:5" x14ac:dyDescent="0.25">
      <c r="A6973" s="36" t="b">
        <v>0</v>
      </c>
      <c r="B6973" s="56" t="b">
        <v>0</v>
      </c>
      <c r="C6973" s="56" t="b">
        <v>0</v>
      </c>
      <c r="D6973" s="56" t="b">
        <v>0</v>
      </c>
      <c r="E6973" s="56">
        <f ca="1">IF(PV[[#This Row],[Business Date]]=Control!$C$6, PV[[#This Row],[Notional Value Local Cur]], -PV[[#This Row],[Notional Value Local Cur]])</f>
        <v>0</v>
      </c>
    </row>
    <row r="6974" spans="1:5" x14ac:dyDescent="0.25">
      <c r="A6974" s="36" t="b">
        <v>0</v>
      </c>
      <c r="B6974" s="56" t="b">
        <v>0</v>
      </c>
      <c r="C6974" s="56" t="b">
        <v>0</v>
      </c>
      <c r="D6974" s="56" t="b">
        <v>0</v>
      </c>
      <c r="E6974" s="56">
        <f ca="1">IF(PV[[#This Row],[Business Date]]=Control!$C$6, PV[[#This Row],[Notional Value Local Cur]], -PV[[#This Row],[Notional Value Local Cur]])</f>
        <v>0</v>
      </c>
    </row>
    <row r="6975" spans="1:5" x14ac:dyDescent="0.25">
      <c r="A6975" s="36" t="b">
        <v>0</v>
      </c>
      <c r="B6975" s="56" t="b">
        <v>0</v>
      </c>
      <c r="C6975" s="56" t="b">
        <v>0</v>
      </c>
      <c r="D6975" s="56" t="b">
        <v>0</v>
      </c>
      <c r="E6975" s="56">
        <f ca="1">IF(PV[[#This Row],[Business Date]]=Control!$C$6, PV[[#This Row],[Notional Value Local Cur]], -PV[[#This Row],[Notional Value Local Cur]])</f>
        <v>0</v>
      </c>
    </row>
    <row r="6976" spans="1:5" x14ac:dyDescent="0.25">
      <c r="A6976" s="36" t="b">
        <v>0</v>
      </c>
      <c r="B6976" s="56" t="b">
        <v>0</v>
      </c>
      <c r="C6976" s="56" t="b">
        <v>0</v>
      </c>
      <c r="D6976" s="56" t="b">
        <v>0</v>
      </c>
      <c r="E6976" s="56">
        <f ca="1">IF(PV[[#This Row],[Business Date]]=Control!$C$6, PV[[#This Row],[Notional Value Local Cur]], -PV[[#This Row],[Notional Value Local Cur]])</f>
        <v>0</v>
      </c>
    </row>
    <row r="6977" spans="1:5" x14ac:dyDescent="0.25">
      <c r="A6977" s="36" t="b">
        <v>0</v>
      </c>
      <c r="B6977" s="56" t="b">
        <v>0</v>
      </c>
      <c r="C6977" s="56" t="b">
        <v>0</v>
      </c>
      <c r="D6977" s="56" t="b">
        <v>0</v>
      </c>
      <c r="E6977" s="56">
        <f ca="1">IF(PV[[#This Row],[Business Date]]=Control!$C$6, PV[[#This Row],[Notional Value Local Cur]], -PV[[#This Row],[Notional Value Local Cur]])</f>
        <v>0</v>
      </c>
    </row>
    <row r="6978" spans="1:5" x14ac:dyDescent="0.25">
      <c r="A6978" s="36" t="b">
        <v>0</v>
      </c>
      <c r="B6978" s="56" t="b">
        <v>0</v>
      </c>
      <c r="C6978" s="56" t="b">
        <v>0</v>
      </c>
      <c r="D6978" s="56" t="b">
        <v>0</v>
      </c>
      <c r="E6978" s="56">
        <f ca="1">IF(PV[[#This Row],[Business Date]]=Control!$C$6, PV[[#This Row],[Notional Value Local Cur]], -PV[[#This Row],[Notional Value Local Cur]])</f>
        <v>0</v>
      </c>
    </row>
    <row r="6979" spans="1:5" x14ac:dyDescent="0.25">
      <c r="A6979" s="36" t="b">
        <v>0</v>
      </c>
      <c r="B6979" s="56" t="b">
        <v>0</v>
      </c>
      <c r="C6979" s="56" t="b">
        <v>0</v>
      </c>
      <c r="D6979" s="56" t="b">
        <v>0</v>
      </c>
      <c r="E6979" s="56">
        <f ca="1">IF(PV[[#This Row],[Business Date]]=Control!$C$6, PV[[#This Row],[Notional Value Local Cur]], -PV[[#This Row],[Notional Value Local Cur]])</f>
        <v>0</v>
      </c>
    </row>
    <row r="6980" spans="1:5" x14ac:dyDescent="0.25">
      <c r="A6980" s="36" t="b">
        <v>0</v>
      </c>
      <c r="B6980" s="56" t="b">
        <v>0</v>
      </c>
      <c r="C6980" s="56" t="b">
        <v>0</v>
      </c>
      <c r="D6980" s="56" t="b">
        <v>0</v>
      </c>
      <c r="E6980" s="56">
        <f ca="1">IF(PV[[#This Row],[Business Date]]=Control!$C$6, PV[[#This Row],[Notional Value Local Cur]], -PV[[#This Row],[Notional Value Local Cur]])</f>
        <v>0</v>
      </c>
    </row>
    <row r="6981" spans="1:5" x14ac:dyDescent="0.25">
      <c r="A6981" s="36" t="b">
        <v>0</v>
      </c>
      <c r="B6981" s="56" t="b">
        <v>0</v>
      </c>
      <c r="C6981" s="56" t="b">
        <v>0</v>
      </c>
      <c r="D6981" s="56" t="b">
        <v>0</v>
      </c>
      <c r="E6981" s="56">
        <f ca="1">IF(PV[[#This Row],[Business Date]]=Control!$C$6, PV[[#This Row],[Notional Value Local Cur]], -PV[[#This Row],[Notional Value Local Cur]])</f>
        <v>0</v>
      </c>
    </row>
    <row r="6982" spans="1:5" x14ac:dyDescent="0.25">
      <c r="A6982" s="36" t="b">
        <v>0</v>
      </c>
      <c r="B6982" s="56" t="b">
        <v>0</v>
      </c>
      <c r="C6982" s="56" t="b">
        <v>0</v>
      </c>
      <c r="D6982" s="56" t="b">
        <v>0</v>
      </c>
      <c r="E6982" s="56">
        <f ca="1">IF(PV[[#This Row],[Business Date]]=Control!$C$6, PV[[#This Row],[Notional Value Local Cur]], -PV[[#This Row],[Notional Value Local Cur]])</f>
        <v>0</v>
      </c>
    </row>
    <row r="6983" spans="1:5" x14ac:dyDescent="0.25">
      <c r="A6983" s="36" t="b">
        <v>0</v>
      </c>
      <c r="B6983" s="56" t="b">
        <v>0</v>
      </c>
      <c r="C6983" s="56" t="b">
        <v>0</v>
      </c>
      <c r="D6983" s="56" t="b">
        <v>0</v>
      </c>
      <c r="E6983" s="56">
        <f ca="1">IF(PV[[#This Row],[Business Date]]=Control!$C$6, PV[[#This Row],[Notional Value Local Cur]], -PV[[#This Row],[Notional Value Local Cur]])</f>
        <v>0</v>
      </c>
    </row>
    <row r="6984" spans="1:5" x14ac:dyDescent="0.25">
      <c r="A6984" s="36" t="b">
        <v>0</v>
      </c>
      <c r="B6984" s="56" t="b">
        <v>0</v>
      </c>
      <c r="C6984" s="56" t="b">
        <v>0</v>
      </c>
      <c r="D6984" s="56" t="b">
        <v>0</v>
      </c>
      <c r="E6984" s="56">
        <f ca="1">IF(PV[[#This Row],[Business Date]]=Control!$C$6, PV[[#This Row],[Notional Value Local Cur]], -PV[[#This Row],[Notional Value Local Cur]])</f>
        <v>0</v>
      </c>
    </row>
    <row r="6985" spans="1:5" x14ac:dyDescent="0.25">
      <c r="A6985" s="36" t="b">
        <v>0</v>
      </c>
      <c r="B6985" s="56" t="b">
        <v>0</v>
      </c>
      <c r="C6985" s="56" t="b">
        <v>0</v>
      </c>
      <c r="D6985" s="56" t="b">
        <v>0</v>
      </c>
      <c r="E6985" s="56">
        <f ca="1">IF(PV[[#This Row],[Business Date]]=Control!$C$6, PV[[#This Row],[Notional Value Local Cur]], -PV[[#This Row],[Notional Value Local Cur]])</f>
        <v>0</v>
      </c>
    </row>
    <row r="6986" spans="1:5" x14ac:dyDescent="0.25">
      <c r="A6986" s="36" t="b">
        <v>0</v>
      </c>
      <c r="B6986" s="56" t="b">
        <v>0</v>
      </c>
      <c r="C6986" s="56" t="b">
        <v>0</v>
      </c>
      <c r="D6986" s="56" t="b">
        <v>0</v>
      </c>
      <c r="E6986" s="56">
        <f ca="1">IF(PV[[#This Row],[Business Date]]=Control!$C$6, PV[[#This Row],[Notional Value Local Cur]], -PV[[#This Row],[Notional Value Local Cur]])</f>
        <v>0</v>
      </c>
    </row>
    <row r="6987" spans="1:5" x14ac:dyDescent="0.25">
      <c r="A6987" s="36" t="b">
        <v>0</v>
      </c>
      <c r="B6987" s="56" t="b">
        <v>0</v>
      </c>
      <c r="C6987" s="56" t="b">
        <v>0</v>
      </c>
      <c r="D6987" s="56" t="b">
        <v>0</v>
      </c>
      <c r="E6987" s="56">
        <f ca="1">IF(PV[[#This Row],[Business Date]]=Control!$C$6, PV[[#This Row],[Notional Value Local Cur]], -PV[[#This Row],[Notional Value Local Cur]])</f>
        <v>0</v>
      </c>
    </row>
    <row r="6988" spans="1:5" x14ac:dyDescent="0.25">
      <c r="A6988" s="36" t="b">
        <v>0</v>
      </c>
      <c r="B6988" s="56" t="b">
        <v>0</v>
      </c>
      <c r="C6988" s="56" t="b">
        <v>0</v>
      </c>
      <c r="D6988" s="56" t="b">
        <v>0</v>
      </c>
      <c r="E6988" s="56">
        <f ca="1">IF(PV[[#This Row],[Business Date]]=Control!$C$6, PV[[#This Row],[Notional Value Local Cur]], -PV[[#This Row],[Notional Value Local Cur]])</f>
        <v>0</v>
      </c>
    </row>
    <row r="6989" spans="1:5" x14ac:dyDescent="0.25">
      <c r="A6989" s="36" t="b">
        <v>0</v>
      </c>
      <c r="B6989" s="56" t="b">
        <v>0</v>
      </c>
      <c r="C6989" s="56" t="b">
        <v>0</v>
      </c>
      <c r="D6989" s="56" t="b">
        <v>0</v>
      </c>
      <c r="E6989" s="56">
        <f ca="1">IF(PV[[#This Row],[Business Date]]=Control!$C$6, PV[[#This Row],[Notional Value Local Cur]], -PV[[#This Row],[Notional Value Local Cur]])</f>
        <v>0</v>
      </c>
    </row>
    <row r="6990" spans="1:5" x14ac:dyDescent="0.25">
      <c r="A6990" s="36" t="b">
        <v>0</v>
      </c>
      <c r="B6990" s="56" t="b">
        <v>0</v>
      </c>
      <c r="C6990" s="56" t="b">
        <v>0</v>
      </c>
      <c r="D6990" s="56" t="b">
        <v>0</v>
      </c>
      <c r="E6990" s="56">
        <f ca="1">IF(PV[[#This Row],[Business Date]]=Control!$C$6, PV[[#This Row],[Notional Value Local Cur]], -PV[[#This Row],[Notional Value Local Cur]])</f>
        <v>0</v>
      </c>
    </row>
    <row r="6991" spans="1:5" x14ac:dyDescent="0.25">
      <c r="A6991" s="36" t="b">
        <v>0</v>
      </c>
      <c r="B6991" s="56" t="b">
        <v>0</v>
      </c>
      <c r="C6991" s="56" t="b">
        <v>0</v>
      </c>
      <c r="D6991" s="56" t="b">
        <v>0</v>
      </c>
      <c r="E6991" s="56">
        <f ca="1">IF(PV[[#This Row],[Business Date]]=Control!$C$6, PV[[#This Row],[Notional Value Local Cur]], -PV[[#This Row],[Notional Value Local Cur]])</f>
        <v>0</v>
      </c>
    </row>
    <row r="6992" spans="1:5" x14ac:dyDescent="0.25">
      <c r="A6992" s="36" t="b">
        <v>0</v>
      </c>
      <c r="B6992" s="56" t="b">
        <v>0</v>
      </c>
      <c r="C6992" s="56" t="b">
        <v>0</v>
      </c>
      <c r="D6992" s="56" t="b">
        <v>0</v>
      </c>
      <c r="E6992" s="56">
        <f ca="1">IF(PV[[#This Row],[Business Date]]=Control!$C$6, PV[[#This Row],[Notional Value Local Cur]], -PV[[#This Row],[Notional Value Local Cur]])</f>
        <v>0</v>
      </c>
    </row>
    <row r="6993" spans="1:5" x14ac:dyDescent="0.25">
      <c r="A6993" s="36" t="b">
        <v>0</v>
      </c>
      <c r="B6993" s="56" t="b">
        <v>0</v>
      </c>
      <c r="C6993" s="56" t="b">
        <v>0</v>
      </c>
      <c r="D6993" s="56" t="b">
        <v>0</v>
      </c>
      <c r="E6993" s="56">
        <f ca="1">IF(PV[[#This Row],[Business Date]]=Control!$C$6, PV[[#This Row],[Notional Value Local Cur]], -PV[[#This Row],[Notional Value Local Cur]])</f>
        <v>0</v>
      </c>
    </row>
    <row r="6994" spans="1:5" x14ac:dyDescent="0.25">
      <c r="A6994" s="36" t="b">
        <v>0</v>
      </c>
      <c r="B6994" s="56" t="b">
        <v>0</v>
      </c>
      <c r="C6994" s="56" t="b">
        <v>0</v>
      </c>
      <c r="D6994" s="56" t="b">
        <v>0</v>
      </c>
      <c r="E6994" s="56">
        <f ca="1">IF(PV[[#This Row],[Business Date]]=Control!$C$6, PV[[#This Row],[Notional Value Local Cur]], -PV[[#This Row],[Notional Value Local Cur]])</f>
        <v>0</v>
      </c>
    </row>
    <row r="6995" spans="1:5" x14ac:dyDescent="0.25">
      <c r="A6995" s="36" t="b">
        <v>0</v>
      </c>
      <c r="B6995" s="56" t="b">
        <v>0</v>
      </c>
      <c r="C6995" s="56" t="b">
        <v>0</v>
      </c>
      <c r="D6995" s="56" t="b">
        <v>0</v>
      </c>
      <c r="E6995" s="56">
        <f ca="1">IF(PV[[#This Row],[Business Date]]=Control!$C$6, PV[[#This Row],[Notional Value Local Cur]], -PV[[#This Row],[Notional Value Local Cur]])</f>
        <v>0</v>
      </c>
    </row>
    <row r="6996" spans="1:5" x14ac:dyDescent="0.25">
      <c r="A6996" s="36" t="b">
        <v>0</v>
      </c>
      <c r="B6996" s="56" t="b">
        <v>0</v>
      </c>
      <c r="C6996" s="56" t="b">
        <v>0</v>
      </c>
      <c r="D6996" s="56" t="b">
        <v>0</v>
      </c>
      <c r="E6996" s="56">
        <f ca="1">IF(PV[[#This Row],[Business Date]]=Control!$C$6, PV[[#This Row],[Notional Value Local Cur]], -PV[[#This Row],[Notional Value Local Cur]])</f>
        <v>0</v>
      </c>
    </row>
    <row r="6997" spans="1:5" x14ac:dyDescent="0.25">
      <c r="A6997" s="36" t="b">
        <v>0</v>
      </c>
      <c r="B6997" s="56" t="b">
        <v>0</v>
      </c>
      <c r="C6997" s="56" t="b">
        <v>0</v>
      </c>
      <c r="D6997" s="56" t="b">
        <v>0</v>
      </c>
      <c r="E6997" s="56">
        <f ca="1">IF(PV[[#This Row],[Business Date]]=Control!$C$6, PV[[#This Row],[Notional Value Local Cur]], -PV[[#This Row],[Notional Value Local Cur]])</f>
        <v>0</v>
      </c>
    </row>
    <row r="6998" spans="1:5" x14ac:dyDescent="0.25">
      <c r="A6998" s="36" t="b">
        <v>0</v>
      </c>
      <c r="B6998" s="56" t="b">
        <v>0</v>
      </c>
      <c r="C6998" s="56" t="b">
        <v>0</v>
      </c>
      <c r="D6998" s="56" t="b">
        <v>0</v>
      </c>
      <c r="E6998" s="56">
        <f ca="1">IF(PV[[#This Row],[Business Date]]=Control!$C$6, PV[[#This Row],[Notional Value Local Cur]], -PV[[#This Row],[Notional Value Local Cur]])</f>
        <v>0</v>
      </c>
    </row>
    <row r="6999" spans="1:5" x14ac:dyDescent="0.25">
      <c r="A6999" s="36" t="b">
        <v>0</v>
      </c>
      <c r="B6999" s="56" t="b">
        <v>0</v>
      </c>
      <c r="C6999" s="56" t="b">
        <v>0</v>
      </c>
      <c r="D6999" s="56" t="b">
        <v>0</v>
      </c>
      <c r="E6999" s="56">
        <f ca="1">IF(PV[[#This Row],[Business Date]]=Control!$C$6, PV[[#This Row],[Notional Value Local Cur]], -PV[[#This Row],[Notional Value Local Cur]])</f>
        <v>0</v>
      </c>
    </row>
    <row r="7000" spans="1:5" x14ac:dyDescent="0.25">
      <c r="A7000" s="36" t="b">
        <v>0</v>
      </c>
      <c r="B7000" s="56" t="b">
        <v>0</v>
      </c>
      <c r="C7000" s="56" t="b">
        <v>0</v>
      </c>
      <c r="D7000" s="56" t="b">
        <v>0</v>
      </c>
      <c r="E7000" s="56">
        <f ca="1">IF(PV[[#This Row],[Business Date]]=Control!$C$6, PV[[#This Row],[Notional Value Local Cur]], -PV[[#This Row],[Notional Value Local Cur]])</f>
        <v>0</v>
      </c>
    </row>
    <row r="7001" spans="1:5" x14ac:dyDescent="0.25">
      <c r="A7001" s="36" t="b">
        <v>0</v>
      </c>
      <c r="B7001" s="56" t="b">
        <v>0</v>
      </c>
      <c r="C7001" s="56" t="b">
        <v>0</v>
      </c>
      <c r="D7001" s="56" t="b">
        <v>0</v>
      </c>
      <c r="E7001" s="56">
        <f ca="1">IF(PV[[#This Row],[Business Date]]=Control!$C$6, PV[[#This Row],[Notional Value Local Cur]], -PV[[#This Row],[Notional Value Local Cur]])</f>
        <v>0</v>
      </c>
    </row>
    <row r="7002" spans="1:5" x14ac:dyDescent="0.25">
      <c r="A7002" s="36" t="b">
        <v>0</v>
      </c>
      <c r="B7002" s="56" t="b">
        <v>0</v>
      </c>
      <c r="C7002" s="56" t="b">
        <v>0</v>
      </c>
      <c r="D7002" s="56" t="b">
        <v>0</v>
      </c>
      <c r="E7002" s="56">
        <f ca="1">IF(PV[[#This Row],[Business Date]]=Control!$C$6, PV[[#This Row],[Notional Value Local Cur]], -PV[[#This Row],[Notional Value Local Cur]])</f>
        <v>0</v>
      </c>
    </row>
    <row r="7003" spans="1:5" x14ac:dyDescent="0.25">
      <c r="A7003" s="36" t="b">
        <v>0</v>
      </c>
      <c r="B7003" s="56" t="b">
        <v>0</v>
      </c>
      <c r="C7003" s="56" t="b">
        <v>0</v>
      </c>
      <c r="D7003" s="56" t="b">
        <v>0</v>
      </c>
      <c r="E7003" s="56">
        <f ca="1">IF(PV[[#This Row],[Business Date]]=Control!$C$6, PV[[#This Row],[Notional Value Local Cur]], -PV[[#This Row],[Notional Value Local Cur]])</f>
        <v>0</v>
      </c>
    </row>
    <row r="7004" spans="1:5" x14ac:dyDescent="0.25">
      <c r="A7004" s="36" t="b">
        <v>0</v>
      </c>
      <c r="B7004" s="56" t="b">
        <v>0</v>
      </c>
      <c r="C7004" s="56" t="b">
        <v>0</v>
      </c>
      <c r="D7004" s="56" t="b">
        <v>0</v>
      </c>
      <c r="E7004" s="56">
        <f ca="1">IF(PV[[#This Row],[Business Date]]=Control!$C$6, PV[[#This Row],[Notional Value Local Cur]], -PV[[#This Row],[Notional Value Local Cur]])</f>
        <v>0</v>
      </c>
    </row>
    <row r="7005" spans="1:5" x14ac:dyDescent="0.25">
      <c r="A7005" s="36" t="b">
        <v>0</v>
      </c>
      <c r="B7005" s="56" t="b">
        <v>0</v>
      </c>
      <c r="C7005" s="56" t="b">
        <v>0</v>
      </c>
      <c r="D7005" s="56" t="b">
        <v>0</v>
      </c>
      <c r="E7005" s="56">
        <f ca="1">IF(PV[[#This Row],[Business Date]]=Control!$C$6, PV[[#This Row],[Notional Value Local Cur]], -PV[[#This Row],[Notional Value Local Cur]])</f>
        <v>0</v>
      </c>
    </row>
    <row r="7006" spans="1:5" x14ac:dyDescent="0.25">
      <c r="A7006" s="36" t="b">
        <v>0</v>
      </c>
      <c r="B7006" s="56" t="b">
        <v>0</v>
      </c>
      <c r="C7006" s="56" t="b">
        <v>0</v>
      </c>
      <c r="D7006" s="56" t="b">
        <v>0</v>
      </c>
      <c r="E7006" s="56">
        <f ca="1">IF(PV[[#This Row],[Business Date]]=Control!$C$6, PV[[#This Row],[Notional Value Local Cur]], -PV[[#This Row],[Notional Value Local Cur]])</f>
        <v>0</v>
      </c>
    </row>
    <row r="7007" spans="1:5" x14ac:dyDescent="0.25">
      <c r="A7007" s="36" t="b">
        <v>0</v>
      </c>
      <c r="B7007" s="56" t="b">
        <v>0</v>
      </c>
      <c r="C7007" s="56" t="b">
        <v>0</v>
      </c>
      <c r="D7007" s="56" t="b">
        <v>0</v>
      </c>
      <c r="E7007" s="56">
        <f ca="1">IF(PV[[#This Row],[Business Date]]=Control!$C$6, PV[[#This Row],[Notional Value Local Cur]], -PV[[#This Row],[Notional Value Local Cur]])</f>
        <v>0</v>
      </c>
    </row>
    <row r="7008" spans="1:5" x14ac:dyDescent="0.25">
      <c r="A7008" s="36" t="b">
        <v>0</v>
      </c>
      <c r="B7008" s="56" t="b">
        <v>0</v>
      </c>
      <c r="C7008" s="56" t="b">
        <v>0</v>
      </c>
      <c r="D7008" s="56" t="b">
        <v>0</v>
      </c>
      <c r="E7008" s="56">
        <f ca="1">IF(PV[[#This Row],[Business Date]]=Control!$C$6, PV[[#This Row],[Notional Value Local Cur]], -PV[[#This Row],[Notional Value Local Cur]])</f>
        <v>0</v>
      </c>
    </row>
    <row r="7009" spans="1:5" x14ac:dyDescent="0.25">
      <c r="A7009" s="36" t="b">
        <v>0</v>
      </c>
      <c r="B7009" s="56" t="b">
        <v>0</v>
      </c>
      <c r="C7009" s="56" t="b">
        <v>0</v>
      </c>
      <c r="D7009" s="56" t="b">
        <v>0</v>
      </c>
      <c r="E7009" s="56">
        <f ca="1">IF(PV[[#This Row],[Business Date]]=Control!$C$6, PV[[#This Row],[Notional Value Local Cur]], -PV[[#This Row],[Notional Value Local Cur]])</f>
        <v>0</v>
      </c>
    </row>
    <row r="7010" spans="1:5" x14ac:dyDescent="0.25">
      <c r="A7010" s="36" t="b">
        <v>0</v>
      </c>
      <c r="B7010" s="56" t="b">
        <v>0</v>
      </c>
      <c r="C7010" s="56" t="b">
        <v>0</v>
      </c>
      <c r="D7010" s="56" t="b">
        <v>0</v>
      </c>
      <c r="E7010" s="56">
        <f ca="1">IF(PV[[#This Row],[Business Date]]=Control!$C$6, PV[[#This Row],[Notional Value Local Cur]], -PV[[#This Row],[Notional Value Local Cur]])</f>
        <v>0</v>
      </c>
    </row>
    <row r="7011" spans="1:5" x14ac:dyDescent="0.25">
      <c r="A7011" s="36" t="b">
        <v>0</v>
      </c>
      <c r="B7011" s="56" t="b">
        <v>0</v>
      </c>
      <c r="C7011" s="56" t="b">
        <v>0</v>
      </c>
      <c r="D7011" s="56" t="b">
        <v>0</v>
      </c>
      <c r="E7011" s="56">
        <f ca="1">IF(PV[[#This Row],[Business Date]]=Control!$C$6, PV[[#This Row],[Notional Value Local Cur]], -PV[[#This Row],[Notional Value Local Cur]])</f>
        <v>0</v>
      </c>
    </row>
    <row r="7012" spans="1:5" x14ac:dyDescent="0.25">
      <c r="A7012" s="36" t="b">
        <v>0</v>
      </c>
      <c r="B7012" s="56" t="b">
        <v>0</v>
      </c>
      <c r="C7012" s="56" t="b">
        <v>0</v>
      </c>
      <c r="D7012" s="56" t="b">
        <v>0</v>
      </c>
      <c r="E7012" s="56">
        <f ca="1">IF(PV[[#This Row],[Business Date]]=Control!$C$6, PV[[#This Row],[Notional Value Local Cur]], -PV[[#This Row],[Notional Value Local Cur]])</f>
        <v>0</v>
      </c>
    </row>
    <row r="7013" spans="1:5" x14ac:dyDescent="0.25">
      <c r="A7013" s="36" t="b">
        <v>0</v>
      </c>
      <c r="B7013" s="56" t="b">
        <v>0</v>
      </c>
      <c r="C7013" s="56" t="b">
        <v>0</v>
      </c>
      <c r="D7013" s="56" t="b">
        <v>0</v>
      </c>
      <c r="E7013" s="56">
        <f ca="1">IF(PV[[#This Row],[Business Date]]=Control!$C$6, PV[[#This Row],[Notional Value Local Cur]], -PV[[#This Row],[Notional Value Local Cur]])</f>
        <v>0</v>
      </c>
    </row>
    <row r="7014" spans="1:5" x14ac:dyDescent="0.25">
      <c r="A7014" s="36" t="b">
        <v>0</v>
      </c>
      <c r="B7014" s="56" t="b">
        <v>0</v>
      </c>
      <c r="C7014" s="56" t="b">
        <v>0</v>
      </c>
      <c r="D7014" s="56" t="b">
        <v>0</v>
      </c>
      <c r="E7014" s="56">
        <f ca="1">IF(PV[[#This Row],[Business Date]]=Control!$C$6, PV[[#This Row],[Notional Value Local Cur]], -PV[[#This Row],[Notional Value Local Cur]])</f>
        <v>0</v>
      </c>
    </row>
    <row r="7015" spans="1:5" x14ac:dyDescent="0.25">
      <c r="A7015" s="36" t="b">
        <v>0</v>
      </c>
      <c r="B7015" s="56" t="b">
        <v>0</v>
      </c>
      <c r="C7015" s="56" t="b">
        <v>0</v>
      </c>
      <c r="D7015" s="56" t="b">
        <v>0</v>
      </c>
      <c r="E7015" s="56">
        <f ca="1">IF(PV[[#This Row],[Business Date]]=Control!$C$6, PV[[#This Row],[Notional Value Local Cur]], -PV[[#This Row],[Notional Value Local Cur]])</f>
        <v>0</v>
      </c>
    </row>
    <row r="7016" spans="1:5" x14ac:dyDescent="0.25">
      <c r="A7016" s="36" t="b">
        <v>0</v>
      </c>
      <c r="B7016" s="56" t="b">
        <v>0</v>
      </c>
      <c r="C7016" s="56" t="b">
        <v>0</v>
      </c>
      <c r="D7016" s="56" t="b">
        <v>0</v>
      </c>
      <c r="E7016" s="56">
        <f ca="1">IF(PV[[#This Row],[Business Date]]=Control!$C$6, PV[[#This Row],[Notional Value Local Cur]], -PV[[#This Row],[Notional Value Local Cur]])</f>
        <v>0</v>
      </c>
    </row>
    <row r="7017" spans="1:5" x14ac:dyDescent="0.25">
      <c r="A7017" s="36" t="b">
        <v>0</v>
      </c>
      <c r="B7017" s="56" t="b">
        <v>0</v>
      </c>
      <c r="C7017" s="56" t="b">
        <v>0</v>
      </c>
      <c r="D7017" s="56" t="b">
        <v>0</v>
      </c>
      <c r="E7017" s="56">
        <f ca="1">IF(PV[[#This Row],[Business Date]]=Control!$C$6, PV[[#This Row],[Notional Value Local Cur]], -PV[[#This Row],[Notional Value Local Cur]])</f>
        <v>0</v>
      </c>
    </row>
    <row r="7018" spans="1:5" x14ac:dyDescent="0.25">
      <c r="A7018" s="36" t="b">
        <v>0</v>
      </c>
      <c r="B7018" s="56" t="b">
        <v>0</v>
      </c>
      <c r="C7018" s="56" t="b">
        <v>0</v>
      </c>
      <c r="D7018" s="56" t="b">
        <v>0</v>
      </c>
      <c r="E7018" s="56">
        <f ca="1">IF(PV[[#This Row],[Business Date]]=Control!$C$6, PV[[#This Row],[Notional Value Local Cur]], -PV[[#This Row],[Notional Value Local Cur]])</f>
        <v>0</v>
      </c>
    </row>
    <row r="7019" spans="1:5" x14ac:dyDescent="0.25">
      <c r="A7019" s="36" t="b">
        <v>0</v>
      </c>
      <c r="B7019" s="56" t="b">
        <v>0</v>
      </c>
      <c r="C7019" s="56" t="b">
        <v>0</v>
      </c>
      <c r="D7019" s="56" t="b">
        <v>0</v>
      </c>
      <c r="E7019" s="56">
        <f ca="1">IF(PV[[#This Row],[Business Date]]=Control!$C$6, PV[[#This Row],[Notional Value Local Cur]], -PV[[#This Row],[Notional Value Local Cur]])</f>
        <v>0</v>
      </c>
    </row>
    <row r="7020" spans="1:5" x14ac:dyDescent="0.25">
      <c r="A7020" s="36" t="b">
        <v>0</v>
      </c>
      <c r="B7020" s="56" t="b">
        <v>0</v>
      </c>
      <c r="C7020" s="56" t="b">
        <v>0</v>
      </c>
      <c r="D7020" s="56" t="b">
        <v>0</v>
      </c>
      <c r="E7020" s="56">
        <f ca="1">IF(PV[[#This Row],[Business Date]]=Control!$C$6, PV[[#This Row],[Notional Value Local Cur]], -PV[[#This Row],[Notional Value Local Cur]])</f>
        <v>0</v>
      </c>
    </row>
    <row r="7021" spans="1:5" x14ac:dyDescent="0.25">
      <c r="A7021" s="36" t="b">
        <v>0</v>
      </c>
      <c r="B7021" s="56" t="b">
        <v>0</v>
      </c>
      <c r="C7021" s="56" t="b">
        <v>0</v>
      </c>
      <c r="D7021" s="56" t="b">
        <v>0</v>
      </c>
      <c r="E7021" s="56">
        <f ca="1">IF(PV[[#This Row],[Business Date]]=Control!$C$6, PV[[#This Row],[Notional Value Local Cur]], -PV[[#This Row],[Notional Value Local Cur]])</f>
        <v>0</v>
      </c>
    </row>
    <row r="7022" spans="1:5" x14ac:dyDescent="0.25">
      <c r="A7022" s="36" t="b">
        <v>0</v>
      </c>
      <c r="B7022" s="56" t="b">
        <v>0</v>
      </c>
      <c r="C7022" s="56" t="b">
        <v>0</v>
      </c>
      <c r="D7022" s="56" t="b">
        <v>0</v>
      </c>
      <c r="E7022" s="56">
        <f ca="1">IF(PV[[#This Row],[Business Date]]=Control!$C$6, PV[[#This Row],[Notional Value Local Cur]], -PV[[#This Row],[Notional Value Local Cur]])</f>
        <v>0</v>
      </c>
    </row>
    <row r="7023" spans="1:5" x14ac:dyDescent="0.25">
      <c r="A7023" s="36" t="b">
        <v>0</v>
      </c>
      <c r="B7023" s="56" t="b">
        <v>0</v>
      </c>
      <c r="C7023" s="56" t="b">
        <v>0</v>
      </c>
      <c r="D7023" s="56" t="b">
        <v>0</v>
      </c>
      <c r="E7023" s="56">
        <f ca="1">IF(PV[[#This Row],[Business Date]]=Control!$C$6, PV[[#This Row],[Notional Value Local Cur]], -PV[[#This Row],[Notional Value Local Cur]])</f>
        <v>0</v>
      </c>
    </row>
    <row r="7024" spans="1:5" x14ac:dyDescent="0.25">
      <c r="A7024" s="36" t="b">
        <v>0</v>
      </c>
      <c r="B7024" s="56" t="b">
        <v>0</v>
      </c>
      <c r="C7024" s="56" t="b">
        <v>0</v>
      </c>
      <c r="D7024" s="56" t="b">
        <v>0</v>
      </c>
      <c r="E7024" s="56">
        <f ca="1">IF(PV[[#This Row],[Business Date]]=Control!$C$6, PV[[#This Row],[Notional Value Local Cur]], -PV[[#This Row],[Notional Value Local Cur]])</f>
        <v>0</v>
      </c>
    </row>
    <row r="7025" spans="1:5" x14ac:dyDescent="0.25">
      <c r="A7025" s="36" t="b">
        <v>0</v>
      </c>
      <c r="B7025" s="56" t="b">
        <v>0</v>
      </c>
      <c r="C7025" s="56" t="b">
        <v>0</v>
      </c>
      <c r="D7025" s="56" t="b">
        <v>0</v>
      </c>
      <c r="E7025" s="56">
        <f ca="1">IF(PV[[#This Row],[Business Date]]=Control!$C$6, PV[[#This Row],[Notional Value Local Cur]], -PV[[#This Row],[Notional Value Local Cur]])</f>
        <v>0</v>
      </c>
    </row>
    <row r="7026" spans="1:5" x14ac:dyDescent="0.25">
      <c r="A7026" s="36" t="b">
        <v>0</v>
      </c>
      <c r="B7026" s="56" t="b">
        <v>0</v>
      </c>
      <c r="C7026" s="56" t="b">
        <v>0</v>
      </c>
      <c r="D7026" s="56" t="b">
        <v>0</v>
      </c>
      <c r="E7026" s="56">
        <f ca="1">IF(PV[[#This Row],[Business Date]]=Control!$C$6, PV[[#This Row],[Notional Value Local Cur]], -PV[[#This Row],[Notional Value Local Cur]])</f>
        <v>0</v>
      </c>
    </row>
    <row r="7027" spans="1:5" x14ac:dyDescent="0.25">
      <c r="A7027" s="36" t="b">
        <v>0</v>
      </c>
      <c r="B7027" s="56" t="b">
        <v>0</v>
      </c>
      <c r="C7027" s="56" t="b">
        <v>0</v>
      </c>
      <c r="D7027" s="56" t="b">
        <v>0</v>
      </c>
      <c r="E7027" s="56">
        <f ca="1">IF(PV[[#This Row],[Business Date]]=Control!$C$6, PV[[#This Row],[Notional Value Local Cur]], -PV[[#This Row],[Notional Value Local Cur]])</f>
        <v>0</v>
      </c>
    </row>
    <row r="7028" spans="1:5" x14ac:dyDescent="0.25">
      <c r="A7028" s="36" t="b">
        <v>0</v>
      </c>
      <c r="B7028" s="56" t="b">
        <v>0</v>
      </c>
      <c r="C7028" s="56" t="b">
        <v>0</v>
      </c>
      <c r="D7028" s="56" t="b">
        <v>0</v>
      </c>
      <c r="E7028" s="56">
        <f ca="1">IF(PV[[#This Row],[Business Date]]=Control!$C$6, PV[[#This Row],[Notional Value Local Cur]], -PV[[#This Row],[Notional Value Local Cur]])</f>
        <v>0</v>
      </c>
    </row>
    <row r="7029" spans="1:5" x14ac:dyDescent="0.25">
      <c r="A7029" s="36" t="b">
        <v>0</v>
      </c>
      <c r="B7029" s="56" t="b">
        <v>0</v>
      </c>
      <c r="C7029" s="56" t="b">
        <v>0</v>
      </c>
      <c r="D7029" s="56" t="b">
        <v>0</v>
      </c>
      <c r="E7029" s="56">
        <f ca="1">IF(PV[[#This Row],[Business Date]]=Control!$C$6, PV[[#This Row],[Notional Value Local Cur]], -PV[[#This Row],[Notional Value Local Cur]])</f>
        <v>0</v>
      </c>
    </row>
    <row r="7030" spans="1:5" x14ac:dyDescent="0.25">
      <c r="A7030" s="36" t="b">
        <v>0</v>
      </c>
      <c r="B7030" s="56" t="b">
        <v>0</v>
      </c>
      <c r="C7030" s="56" t="b">
        <v>0</v>
      </c>
      <c r="D7030" s="56" t="b">
        <v>0</v>
      </c>
      <c r="E7030" s="56">
        <f ca="1">IF(PV[[#This Row],[Business Date]]=Control!$C$6, PV[[#This Row],[Notional Value Local Cur]], -PV[[#This Row],[Notional Value Local Cur]])</f>
        <v>0</v>
      </c>
    </row>
    <row r="7031" spans="1:5" x14ac:dyDescent="0.25">
      <c r="A7031" s="36" t="b">
        <v>0</v>
      </c>
      <c r="B7031" s="56" t="b">
        <v>0</v>
      </c>
      <c r="C7031" s="56" t="b">
        <v>0</v>
      </c>
      <c r="D7031" s="56" t="b">
        <v>0</v>
      </c>
      <c r="E7031" s="56">
        <f ca="1">IF(PV[[#This Row],[Business Date]]=Control!$C$6, PV[[#This Row],[Notional Value Local Cur]], -PV[[#This Row],[Notional Value Local Cur]])</f>
        <v>0</v>
      </c>
    </row>
    <row r="7032" spans="1:5" x14ac:dyDescent="0.25">
      <c r="A7032" s="36" t="b">
        <v>0</v>
      </c>
      <c r="B7032" s="56" t="b">
        <v>0</v>
      </c>
      <c r="C7032" s="56" t="b">
        <v>0</v>
      </c>
      <c r="D7032" s="56" t="b">
        <v>0</v>
      </c>
      <c r="E7032" s="56">
        <f ca="1">IF(PV[[#This Row],[Business Date]]=Control!$C$6, PV[[#This Row],[Notional Value Local Cur]], -PV[[#This Row],[Notional Value Local Cur]])</f>
        <v>0</v>
      </c>
    </row>
    <row r="7033" spans="1:5" x14ac:dyDescent="0.25">
      <c r="A7033" s="36" t="b">
        <v>0</v>
      </c>
      <c r="B7033" s="56" t="b">
        <v>0</v>
      </c>
      <c r="C7033" s="56" t="b">
        <v>0</v>
      </c>
      <c r="D7033" s="56" t="b">
        <v>0</v>
      </c>
      <c r="E7033" s="56">
        <f ca="1">IF(PV[[#This Row],[Business Date]]=Control!$C$6, PV[[#This Row],[Notional Value Local Cur]], -PV[[#This Row],[Notional Value Local Cur]])</f>
        <v>0</v>
      </c>
    </row>
    <row r="7034" spans="1:5" x14ac:dyDescent="0.25">
      <c r="A7034" s="36" t="b">
        <v>0</v>
      </c>
      <c r="B7034" s="56" t="b">
        <v>0</v>
      </c>
      <c r="C7034" s="56" t="b">
        <v>0</v>
      </c>
      <c r="D7034" s="56" t="b">
        <v>0</v>
      </c>
      <c r="E7034" s="56">
        <f ca="1">IF(PV[[#This Row],[Business Date]]=Control!$C$6, PV[[#This Row],[Notional Value Local Cur]], -PV[[#This Row],[Notional Value Local Cur]])</f>
        <v>0</v>
      </c>
    </row>
    <row r="7035" spans="1:5" x14ac:dyDescent="0.25">
      <c r="A7035" s="36" t="b">
        <v>0</v>
      </c>
      <c r="B7035" s="56" t="b">
        <v>0</v>
      </c>
      <c r="C7035" s="56" t="b">
        <v>0</v>
      </c>
      <c r="D7035" s="56" t="b">
        <v>0</v>
      </c>
      <c r="E7035" s="56">
        <f ca="1">IF(PV[[#This Row],[Business Date]]=Control!$C$6, PV[[#This Row],[Notional Value Local Cur]], -PV[[#This Row],[Notional Value Local Cur]])</f>
        <v>0</v>
      </c>
    </row>
    <row r="7036" spans="1:5" x14ac:dyDescent="0.25">
      <c r="A7036" s="36" t="b">
        <v>0</v>
      </c>
      <c r="B7036" s="56" t="b">
        <v>0</v>
      </c>
      <c r="C7036" s="56" t="b">
        <v>0</v>
      </c>
      <c r="D7036" s="56" t="b">
        <v>0</v>
      </c>
      <c r="E7036" s="56">
        <f ca="1">IF(PV[[#This Row],[Business Date]]=Control!$C$6, PV[[#This Row],[Notional Value Local Cur]], -PV[[#This Row],[Notional Value Local Cur]])</f>
        <v>0</v>
      </c>
    </row>
    <row r="7037" spans="1:5" x14ac:dyDescent="0.25">
      <c r="A7037" s="36" t="b">
        <v>0</v>
      </c>
      <c r="B7037" s="56" t="b">
        <v>0</v>
      </c>
      <c r="C7037" s="56" t="b">
        <v>0</v>
      </c>
      <c r="D7037" s="56" t="b">
        <v>0</v>
      </c>
      <c r="E7037" s="56">
        <f ca="1">IF(PV[[#This Row],[Business Date]]=Control!$C$6, PV[[#This Row],[Notional Value Local Cur]], -PV[[#This Row],[Notional Value Local Cur]])</f>
        <v>0</v>
      </c>
    </row>
    <row r="7038" spans="1:5" x14ac:dyDescent="0.25">
      <c r="A7038" s="36" t="b">
        <v>0</v>
      </c>
      <c r="B7038" s="56" t="b">
        <v>0</v>
      </c>
      <c r="C7038" s="56" t="b">
        <v>0</v>
      </c>
      <c r="D7038" s="56" t="b">
        <v>0</v>
      </c>
      <c r="E7038" s="56">
        <f ca="1">IF(PV[[#This Row],[Business Date]]=Control!$C$6, PV[[#This Row],[Notional Value Local Cur]], -PV[[#This Row],[Notional Value Local Cur]])</f>
        <v>0</v>
      </c>
    </row>
    <row r="7039" spans="1:5" x14ac:dyDescent="0.25">
      <c r="A7039" s="36" t="b">
        <v>0</v>
      </c>
      <c r="B7039" s="56" t="b">
        <v>0</v>
      </c>
      <c r="C7039" s="56" t="b">
        <v>0</v>
      </c>
      <c r="D7039" s="56" t="b">
        <v>0</v>
      </c>
      <c r="E7039" s="56">
        <f ca="1">IF(PV[[#This Row],[Business Date]]=Control!$C$6, PV[[#This Row],[Notional Value Local Cur]], -PV[[#This Row],[Notional Value Local Cur]])</f>
        <v>0</v>
      </c>
    </row>
    <row r="7040" spans="1:5" x14ac:dyDescent="0.25">
      <c r="A7040" s="36" t="b">
        <v>0</v>
      </c>
      <c r="B7040" s="56" t="b">
        <v>0</v>
      </c>
      <c r="C7040" s="56" t="b">
        <v>0</v>
      </c>
      <c r="D7040" s="56" t="b">
        <v>0</v>
      </c>
      <c r="E7040" s="56">
        <f ca="1">IF(PV[[#This Row],[Business Date]]=Control!$C$6, PV[[#This Row],[Notional Value Local Cur]], -PV[[#This Row],[Notional Value Local Cur]])</f>
        <v>0</v>
      </c>
    </row>
    <row r="7041" spans="1:5" x14ac:dyDescent="0.25">
      <c r="A7041" s="36" t="b">
        <v>0</v>
      </c>
      <c r="B7041" s="56" t="b">
        <v>0</v>
      </c>
      <c r="C7041" s="56" t="b">
        <v>0</v>
      </c>
      <c r="D7041" s="56" t="b">
        <v>0</v>
      </c>
      <c r="E7041" s="56">
        <f ca="1">IF(PV[[#This Row],[Business Date]]=Control!$C$6, PV[[#This Row],[Notional Value Local Cur]], -PV[[#This Row],[Notional Value Local Cur]])</f>
        <v>0</v>
      </c>
    </row>
    <row r="7042" spans="1:5" x14ac:dyDescent="0.25">
      <c r="A7042" s="36" t="b">
        <v>0</v>
      </c>
      <c r="B7042" s="56" t="b">
        <v>0</v>
      </c>
      <c r="C7042" s="56" t="b">
        <v>0</v>
      </c>
      <c r="D7042" s="56" t="b">
        <v>0</v>
      </c>
      <c r="E7042" s="56">
        <f ca="1">IF(PV[[#This Row],[Business Date]]=Control!$C$6, PV[[#This Row],[Notional Value Local Cur]], -PV[[#This Row],[Notional Value Local Cur]])</f>
        <v>0</v>
      </c>
    </row>
    <row r="7043" spans="1:5" x14ac:dyDescent="0.25">
      <c r="A7043" s="36" t="b">
        <v>0</v>
      </c>
      <c r="B7043" s="56" t="b">
        <v>0</v>
      </c>
      <c r="C7043" s="56" t="b">
        <v>0</v>
      </c>
      <c r="D7043" s="56" t="b">
        <v>0</v>
      </c>
      <c r="E7043" s="56">
        <f ca="1">IF(PV[[#This Row],[Business Date]]=Control!$C$6, PV[[#This Row],[Notional Value Local Cur]], -PV[[#This Row],[Notional Value Local Cur]])</f>
        <v>0</v>
      </c>
    </row>
    <row r="7044" spans="1:5" x14ac:dyDescent="0.25">
      <c r="A7044" s="36" t="b">
        <v>0</v>
      </c>
      <c r="B7044" s="56" t="b">
        <v>0</v>
      </c>
      <c r="C7044" s="56" t="b">
        <v>0</v>
      </c>
      <c r="D7044" s="56" t="b">
        <v>0</v>
      </c>
      <c r="E7044" s="56">
        <f ca="1">IF(PV[[#This Row],[Business Date]]=Control!$C$6, PV[[#This Row],[Notional Value Local Cur]], -PV[[#This Row],[Notional Value Local Cur]])</f>
        <v>0</v>
      </c>
    </row>
    <row r="7045" spans="1:5" x14ac:dyDescent="0.25">
      <c r="A7045" s="36" t="b">
        <v>0</v>
      </c>
      <c r="B7045" s="56" t="b">
        <v>0</v>
      </c>
      <c r="C7045" s="56" t="b">
        <v>0</v>
      </c>
      <c r="D7045" s="56" t="b">
        <v>0</v>
      </c>
      <c r="E7045" s="56">
        <f ca="1">IF(PV[[#This Row],[Business Date]]=Control!$C$6, PV[[#This Row],[Notional Value Local Cur]], -PV[[#This Row],[Notional Value Local Cur]])</f>
        <v>0</v>
      </c>
    </row>
    <row r="7046" spans="1:5" x14ac:dyDescent="0.25">
      <c r="A7046" s="36" t="b">
        <v>0</v>
      </c>
      <c r="B7046" s="56" t="b">
        <v>0</v>
      </c>
      <c r="C7046" s="56" t="b">
        <v>0</v>
      </c>
      <c r="D7046" s="56" t="b">
        <v>0</v>
      </c>
      <c r="E7046" s="56">
        <f ca="1">IF(PV[[#This Row],[Business Date]]=Control!$C$6, PV[[#This Row],[Notional Value Local Cur]], -PV[[#This Row],[Notional Value Local Cur]])</f>
        <v>0</v>
      </c>
    </row>
    <row r="7047" spans="1:5" x14ac:dyDescent="0.25">
      <c r="A7047" s="36" t="b">
        <v>0</v>
      </c>
      <c r="B7047" s="56" t="b">
        <v>0</v>
      </c>
      <c r="C7047" s="56" t="b">
        <v>0</v>
      </c>
      <c r="D7047" s="56" t="b">
        <v>0</v>
      </c>
      <c r="E7047" s="56">
        <f ca="1">IF(PV[[#This Row],[Business Date]]=Control!$C$6, PV[[#This Row],[Notional Value Local Cur]], -PV[[#This Row],[Notional Value Local Cur]])</f>
        <v>0</v>
      </c>
    </row>
    <row r="7048" spans="1:5" x14ac:dyDescent="0.25">
      <c r="A7048" s="36" t="b">
        <v>0</v>
      </c>
      <c r="B7048" s="56" t="b">
        <v>0</v>
      </c>
      <c r="C7048" s="56" t="b">
        <v>0</v>
      </c>
      <c r="D7048" s="56" t="b">
        <v>0</v>
      </c>
      <c r="E7048" s="56">
        <f ca="1">IF(PV[[#This Row],[Business Date]]=Control!$C$6, PV[[#This Row],[Notional Value Local Cur]], -PV[[#This Row],[Notional Value Local Cur]])</f>
        <v>0</v>
      </c>
    </row>
    <row r="7049" spans="1:5" x14ac:dyDescent="0.25">
      <c r="A7049" s="36" t="b">
        <v>0</v>
      </c>
      <c r="B7049" s="56" t="b">
        <v>0</v>
      </c>
      <c r="C7049" s="56" t="b">
        <v>0</v>
      </c>
      <c r="D7049" s="56" t="b">
        <v>0</v>
      </c>
      <c r="E7049" s="56">
        <f ca="1">IF(PV[[#This Row],[Business Date]]=Control!$C$6, PV[[#This Row],[Notional Value Local Cur]], -PV[[#This Row],[Notional Value Local Cur]])</f>
        <v>0</v>
      </c>
    </row>
    <row r="7050" spans="1:5" x14ac:dyDescent="0.25">
      <c r="A7050" s="36" t="b">
        <v>0</v>
      </c>
      <c r="B7050" s="56" t="b">
        <v>0</v>
      </c>
      <c r="C7050" s="56" t="b">
        <v>0</v>
      </c>
      <c r="D7050" s="56" t="b">
        <v>0</v>
      </c>
      <c r="E7050" s="56">
        <f ca="1">IF(PV[[#This Row],[Business Date]]=Control!$C$6, PV[[#This Row],[Notional Value Local Cur]], -PV[[#This Row],[Notional Value Local Cur]])</f>
        <v>0</v>
      </c>
    </row>
    <row r="7051" spans="1:5" x14ac:dyDescent="0.25">
      <c r="A7051" s="36" t="b">
        <v>0</v>
      </c>
      <c r="B7051" s="56" t="b">
        <v>0</v>
      </c>
      <c r="C7051" s="56" t="b">
        <v>0</v>
      </c>
      <c r="D7051" s="56" t="b">
        <v>0</v>
      </c>
      <c r="E7051" s="56">
        <f ca="1">IF(PV[[#This Row],[Business Date]]=Control!$C$6, PV[[#This Row],[Notional Value Local Cur]], -PV[[#This Row],[Notional Value Local Cur]])</f>
        <v>0</v>
      </c>
    </row>
    <row r="7052" spans="1:5" x14ac:dyDescent="0.25">
      <c r="A7052" s="36" t="b">
        <v>0</v>
      </c>
      <c r="B7052" s="56" t="b">
        <v>0</v>
      </c>
      <c r="C7052" s="56" t="b">
        <v>0</v>
      </c>
      <c r="D7052" s="56" t="b">
        <v>0</v>
      </c>
      <c r="E7052" s="56">
        <f ca="1">IF(PV[[#This Row],[Business Date]]=Control!$C$6, PV[[#This Row],[Notional Value Local Cur]], -PV[[#This Row],[Notional Value Local Cur]])</f>
        <v>0</v>
      </c>
    </row>
    <row r="7053" spans="1:5" x14ac:dyDescent="0.25">
      <c r="A7053" s="36" t="b">
        <v>0</v>
      </c>
      <c r="B7053" s="56" t="b">
        <v>0</v>
      </c>
      <c r="C7053" s="56" t="b">
        <v>0</v>
      </c>
      <c r="D7053" s="56" t="b">
        <v>0</v>
      </c>
      <c r="E7053" s="56">
        <f ca="1">IF(PV[[#This Row],[Business Date]]=Control!$C$6, PV[[#This Row],[Notional Value Local Cur]], -PV[[#This Row],[Notional Value Local Cur]])</f>
        <v>0</v>
      </c>
    </row>
    <row r="7054" spans="1:5" x14ac:dyDescent="0.25">
      <c r="A7054" s="36" t="b">
        <v>0</v>
      </c>
      <c r="B7054" s="56" t="b">
        <v>0</v>
      </c>
      <c r="C7054" s="56" t="b">
        <v>0</v>
      </c>
      <c r="D7054" s="56" t="b">
        <v>0</v>
      </c>
      <c r="E7054" s="56">
        <f ca="1">IF(PV[[#This Row],[Business Date]]=Control!$C$6, PV[[#This Row],[Notional Value Local Cur]], -PV[[#This Row],[Notional Value Local Cur]])</f>
        <v>0</v>
      </c>
    </row>
    <row r="7055" spans="1:5" x14ac:dyDescent="0.25">
      <c r="A7055" s="36" t="b">
        <v>0</v>
      </c>
      <c r="B7055" s="56" t="b">
        <v>0</v>
      </c>
      <c r="C7055" s="56" t="b">
        <v>0</v>
      </c>
      <c r="D7055" s="56" t="b">
        <v>0</v>
      </c>
      <c r="E7055" s="56">
        <f ca="1">IF(PV[[#This Row],[Business Date]]=Control!$C$6, PV[[#This Row],[Notional Value Local Cur]], -PV[[#This Row],[Notional Value Local Cur]])</f>
        <v>0</v>
      </c>
    </row>
    <row r="7056" spans="1:5" x14ac:dyDescent="0.25">
      <c r="A7056" s="36" t="b">
        <v>0</v>
      </c>
      <c r="B7056" s="56" t="b">
        <v>0</v>
      </c>
      <c r="C7056" s="56" t="b">
        <v>0</v>
      </c>
      <c r="D7056" s="56" t="b">
        <v>0</v>
      </c>
      <c r="E7056" s="56">
        <f ca="1">IF(PV[[#This Row],[Business Date]]=Control!$C$6, PV[[#This Row],[Notional Value Local Cur]], -PV[[#This Row],[Notional Value Local Cur]])</f>
        <v>0</v>
      </c>
    </row>
    <row r="7057" spans="1:5" x14ac:dyDescent="0.25">
      <c r="A7057" s="36" t="b">
        <v>0</v>
      </c>
      <c r="B7057" s="56" t="b">
        <v>0</v>
      </c>
      <c r="C7057" s="56" t="b">
        <v>0</v>
      </c>
      <c r="D7057" s="56" t="b">
        <v>0</v>
      </c>
      <c r="E7057" s="56">
        <f ca="1">IF(PV[[#This Row],[Business Date]]=Control!$C$6, PV[[#This Row],[Notional Value Local Cur]], -PV[[#This Row],[Notional Value Local Cur]])</f>
        <v>0</v>
      </c>
    </row>
    <row r="7058" spans="1:5" x14ac:dyDescent="0.25">
      <c r="A7058" s="36" t="b">
        <v>0</v>
      </c>
      <c r="B7058" s="56" t="b">
        <v>0</v>
      </c>
      <c r="C7058" s="56" t="b">
        <v>0</v>
      </c>
      <c r="D7058" s="56" t="b">
        <v>0</v>
      </c>
      <c r="E7058" s="56">
        <f ca="1">IF(PV[[#This Row],[Business Date]]=Control!$C$6, PV[[#This Row],[Notional Value Local Cur]], -PV[[#This Row],[Notional Value Local Cur]])</f>
        <v>0</v>
      </c>
    </row>
    <row r="7059" spans="1:5" x14ac:dyDescent="0.25">
      <c r="A7059" s="36" t="b">
        <v>0</v>
      </c>
      <c r="B7059" s="56" t="b">
        <v>0</v>
      </c>
      <c r="C7059" s="56" t="b">
        <v>0</v>
      </c>
      <c r="D7059" s="56" t="b">
        <v>0</v>
      </c>
      <c r="E7059" s="56">
        <f ca="1">IF(PV[[#This Row],[Business Date]]=Control!$C$6, PV[[#This Row],[Notional Value Local Cur]], -PV[[#This Row],[Notional Value Local Cur]])</f>
        <v>0</v>
      </c>
    </row>
    <row r="7060" spans="1:5" x14ac:dyDescent="0.25">
      <c r="A7060" s="36" t="b">
        <v>0</v>
      </c>
      <c r="B7060" s="56" t="b">
        <v>0</v>
      </c>
      <c r="C7060" s="56" t="b">
        <v>0</v>
      </c>
      <c r="D7060" s="56" t="b">
        <v>0</v>
      </c>
      <c r="E7060" s="56">
        <f ca="1">IF(PV[[#This Row],[Business Date]]=Control!$C$6, PV[[#This Row],[Notional Value Local Cur]], -PV[[#This Row],[Notional Value Local Cur]])</f>
        <v>0</v>
      </c>
    </row>
    <row r="7061" spans="1:5" x14ac:dyDescent="0.25">
      <c r="A7061" s="36" t="b">
        <v>0</v>
      </c>
      <c r="B7061" s="56" t="b">
        <v>0</v>
      </c>
      <c r="C7061" s="56" t="b">
        <v>0</v>
      </c>
      <c r="D7061" s="56" t="b">
        <v>0</v>
      </c>
      <c r="E7061" s="56">
        <f ca="1">IF(PV[[#This Row],[Business Date]]=Control!$C$6, PV[[#This Row],[Notional Value Local Cur]], -PV[[#This Row],[Notional Value Local Cur]])</f>
        <v>0</v>
      </c>
    </row>
    <row r="7062" spans="1:5" x14ac:dyDescent="0.25">
      <c r="A7062" s="36" t="b">
        <v>0</v>
      </c>
      <c r="B7062" s="56" t="b">
        <v>0</v>
      </c>
      <c r="C7062" s="56" t="b">
        <v>0</v>
      </c>
      <c r="D7062" s="56" t="b">
        <v>0</v>
      </c>
      <c r="E7062" s="56">
        <f ca="1">IF(PV[[#This Row],[Business Date]]=Control!$C$6, PV[[#This Row],[Notional Value Local Cur]], -PV[[#This Row],[Notional Value Local Cur]])</f>
        <v>0</v>
      </c>
    </row>
    <row r="7063" spans="1:5" x14ac:dyDescent="0.25">
      <c r="A7063" s="36" t="b">
        <v>0</v>
      </c>
      <c r="B7063" s="56" t="b">
        <v>0</v>
      </c>
      <c r="C7063" s="56" t="b">
        <v>0</v>
      </c>
      <c r="D7063" s="56" t="b">
        <v>0</v>
      </c>
      <c r="E7063" s="56">
        <f ca="1">IF(PV[[#This Row],[Business Date]]=Control!$C$6, PV[[#This Row],[Notional Value Local Cur]], -PV[[#This Row],[Notional Value Local Cur]])</f>
        <v>0</v>
      </c>
    </row>
    <row r="7064" spans="1:5" x14ac:dyDescent="0.25">
      <c r="A7064" s="36" t="b">
        <v>0</v>
      </c>
      <c r="B7064" s="56" t="b">
        <v>0</v>
      </c>
      <c r="C7064" s="56" t="b">
        <v>0</v>
      </c>
      <c r="D7064" s="56" t="b">
        <v>0</v>
      </c>
      <c r="E7064" s="56">
        <f ca="1">IF(PV[[#This Row],[Business Date]]=Control!$C$6, PV[[#This Row],[Notional Value Local Cur]], -PV[[#This Row],[Notional Value Local Cur]])</f>
        <v>0</v>
      </c>
    </row>
    <row r="7065" spans="1:5" x14ac:dyDescent="0.25">
      <c r="A7065" s="36" t="b">
        <v>0</v>
      </c>
      <c r="B7065" s="56" t="b">
        <v>0</v>
      </c>
      <c r="C7065" s="56" t="b">
        <v>0</v>
      </c>
      <c r="D7065" s="56" t="b">
        <v>0</v>
      </c>
      <c r="E7065" s="56">
        <f ca="1">IF(PV[[#This Row],[Business Date]]=Control!$C$6, PV[[#This Row],[Notional Value Local Cur]], -PV[[#This Row],[Notional Value Local Cur]])</f>
        <v>0</v>
      </c>
    </row>
    <row r="7066" spans="1:5" x14ac:dyDescent="0.25">
      <c r="A7066" s="36" t="b">
        <v>0</v>
      </c>
      <c r="B7066" s="56" t="b">
        <v>0</v>
      </c>
      <c r="C7066" s="56" t="b">
        <v>0</v>
      </c>
      <c r="D7066" s="56" t="b">
        <v>0</v>
      </c>
      <c r="E7066" s="56">
        <f ca="1">IF(PV[[#This Row],[Business Date]]=Control!$C$6, PV[[#This Row],[Notional Value Local Cur]], -PV[[#This Row],[Notional Value Local Cur]])</f>
        <v>0</v>
      </c>
    </row>
    <row r="7067" spans="1:5" x14ac:dyDescent="0.25">
      <c r="A7067" s="36" t="b">
        <v>0</v>
      </c>
      <c r="B7067" s="56" t="b">
        <v>0</v>
      </c>
      <c r="C7067" s="56" t="b">
        <v>0</v>
      </c>
      <c r="D7067" s="56" t="b">
        <v>0</v>
      </c>
      <c r="E7067" s="56">
        <f ca="1">IF(PV[[#This Row],[Business Date]]=Control!$C$6, PV[[#This Row],[Notional Value Local Cur]], -PV[[#This Row],[Notional Value Local Cur]])</f>
        <v>0</v>
      </c>
    </row>
    <row r="7068" spans="1:5" x14ac:dyDescent="0.25">
      <c r="A7068" s="36" t="b">
        <v>0</v>
      </c>
      <c r="B7068" s="56" t="b">
        <v>0</v>
      </c>
      <c r="C7068" s="56" t="b">
        <v>0</v>
      </c>
      <c r="D7068" s="56" t="b">
        <v>0</v>
      </c>
      <c r="E7068" s="56">
        <f ca="1">IF(PV[[#This Row],[Business Date]]=Control!$C$6, PV[[#This Row],[Notional Value Local Cur]], -PV[[#This Row],[Notional Value Local Cur]])</f>
        <v>0</v>
      </c>
    </row>
    <row r="7069" spans="1:5" x14ac:dyDescent="0.25">
      <c r="A7069" s="36" t="b">
        <v>0</v>
      </c>
      <c r="B7069" s="56" t="b">
        <v>0</v>
      </c>
      <c r="C7069" s="56" t="b">
        <v>0</v>
      </c>
      <c r="D7069" s="56" t="b">
        <v>0</v>
      </c>
      <c r="E7069" s="56">
        <f ca="1">IF(PV[[#This Row],[Business Date]]=Control!$C$6, PV[[#This Row],[Notional Value Local Cur]], -PV[[#This Row],[Notional Value Local Cur]])</f>
        <v>0</v>
      </c>
    </row>
    <row r="7070" spans="1:5" x14ac:dyDescent="0.25">
      <c r="A7070" s="36" t="b">
        <v>0</v>
      </c>
      <c r="B7070" s="56" t="b">
        <v>0</v>
      </c>
      <c r="C7070" s="56" t="b">
        <v>0</v>
      </c>
      <c r="D7070" s="56" t="b">
        <v>0</v>
      </c>
      <c r="E7070" s="56">
        <f ca="1">IF(PV[[#This Row],[Business Date]]=Control!$C$6, PV[[#This Row],[Notional Value Local Cur]], -PV[[#This Row],[Notional Value Local Cur]])</f>
        <v>0</v>
      </c>
    </row>
    <row r="7071" spans="1:5" x14ac:dyDescent="0.25">
      <c r="A7071" s="36" t="b">
        <v>0</v>
      </c>
      <c r="B7071" s="56" t="b">
        <v>0</v>
      </c>
      <c r="C7071" s="56" t="b">
        <v>0</v>
      </c>
      <c r="D7071" s="56" t="b">
        <v>0</v>
      </c>
      <c r="E7071" s="56">
        <f ca="1">IF(PV[[#This Row],[Business Date]]=Control!$C$6, PV[[#This Row],[Notional Value Local Cur]], -PV[[#This Row],[Notional Value Local Cur]])</f>
        <v>0</v>
      </c>
    </row>
    <row r="7072" spans="1:5" x14ac:dyDescent="0.25">
      <c r="A7072" s="36" t="b">
        <v>0</v>
      </c>
      <c r="B7072" s="56" t="b">
        <v>0</v>
      </c>
      <c r="C7072" s="56" t="b">
        <v>0</v>
      </c>
      <c r="D7072" s="56" t="b">
        <v>0</v>
      </c>
      <c r="E7072" s="56">
        <f ca="1">IF(PV[[#This Row],[Business Date]]=Control!$C$6, PV[[#This Row],[Notional Value Local Cur]], -PV[[#This Row],[Notional Value Local Cur]])</f>
        <v>0</v>
      </c>
    </row>
    <row r="7073" spans="1:5" x14ac:dyDescent="0.25">
      <c r="A7073" s="36" t="b">
        <v>0</v>
      </c>
      <c r="B7073" s="56" t="b">
        <v>0</v>
      </c>
      <c r="C7073" s="56" t="b">
        <v>0</v>
      </c>
      <c r="D7073" s="56" t="b">
        <v>0</v>
      </c>
      <c r="E7073" s="56">
        <f ca="1">IF(PV[[#This Row],[Business Date]]=Control!$C$6, PV[[#This Row],[Notional Value Local Cur]], -PV[[#This Row],[Notional Value Local Cur]])</f>
        <v>0</v>
      </c>
    </row>
    <row r="7074" spans="1:5" x14ac:dyDescent="0.25">
      <c r="A7074" s="36" t="b">
        <v>0</v>
      </c>
      <c r="B7074" s="56" t="b">
        <v>0</v>
      </c>
      <c r="C7074" s="56" t="b">
        <v>0</v>
      </c>
      <c r="D7074" s="56" t="b">
        <v>0</v>
      </c>
      <c r="E7074" s="56">
        <f ca="1">IF(PV[[#This Row],[Business Date]]=Control!$C$6, PV[[#This Row],[Notional Value Local Cur]], -PV[[#This Row],[Notional Value Local Cur]])</f>
        <v>0</v>
      </c>
    </row>
    <row r="7075" spans="1:5" x14ac:dyDescent="0.25">
      <c r="A7075" s="36" t="b">
        <v>0</v>
      </c>
      <c r="B7075" s="56" t="b">
        <v>0</v>
      </c>
      <c r="C7075" s="56" t="b">
        <v>0</v>
      </c>
      <c r="D7075" s="56" t="b">
        <v>0</v>
      </c>
      <c r="E7075" s="56">
        <f ca="1">IF(PV[[#This Row],[Business Date]]=Control!$C$6, PV[[#This Row],[Notional Value Local Cur]], -PV[[#This Row],[Notional Value Local Cur]])</f>
        <v>0</v>
      </c>
    </row>
    <row r="7076" spans="1:5" x14ac:dyDescent="0.25">
      <c r="A7076" s="36" t="b">
        <v>0</v>
      </c>
      <c r="B7076" s="56" t="b">
        <v>0</v>
      </c>
      <c r="C7076" s="56" t="b">
        <v>0</v>
      </c>
      <c r="D7076" s="56" t="b">
        <v>0</v>
      </c>
      <c r="E7076" s="56">
        <f ca="1">IF(PV[[#This Row],[Business Date]]=Control!$C$6, PV[[#This Row],[Notional Value Local Cur]], -PV[[#This Row],[Notional Value Local Cur]])</f>
        <v>0</v>
      </c>
    </row>
    <row r="7077" spans="1:5" x14ac:dyDescent="0.25">
      <c r="A7077" s="36" t="b">
        <v>0</v>
      </c>
      <c r="B7077" s="56" t="b">
        <v>0</v>
      </c>
      <c r="C7077" s="56" t="b">
        <v>0</v>
      </c>
      <c r="D7077" s="56" t="b">
        <v>0</v>
      </c>
      <c r="E7077" s="56">
        <f ca="1">IF(PV[[#This Row],[Business Date]]=Control!$C$6, PV[[#This Row],[Notional Value Local Cur]], -PV[[#This Row],[Notional Value Local Cur]])</f>
        <v>0</v>
      </c>
    </row>
    <row r="7078" spans="1:5" x14ac:dyDescent="0.25">
      <c r="A7078" s="36" t="b">
        <v>0</v>
      </c>
      <c r="B7078" s="56" t="b">
        <v>0</v>
      </c>
      <c r="C7078" s="56" t="b">
        <v>0</v>
      </c>
      <c r="D7078" s="56" t="b">
        <v>0</v>
      </c>
      <c r="E7078" s="56">
        <f ca="1">IF(PV[[#This Row],[Business Date]]=Control!$C$6, PV[[#This Row],[Notional Value Local Cur]], -PV[[#This Row],[Notional Value Local Cur]])</f>
        <v>0</v>
      </c>
    </row>
    <row r="7079" spans="1:5" x14ac:dyDescent="0.25">
      <c r="A7079" s="36" t="b">
        <v>0</v>
      </c>
      <c r="B7079" s="56" t="b">
        <v>0</v>
      </c>
      <c r="C7079" s="56" t="b">
        <v>0</v>
      </c>
      <c r="D7079" s="56" t="b">
        <v>0</v>
      </c>
      <c r="E7079" s="56">
        <f ca="1">IF(PV[[#This Row],[Business Date]]=Control!$C$6, PV[[#This Row],[Notional Value Local Cur]], -PV[[#This Row],[Notional Value Local Cur]])</f>
        <v>0</v>
      </c>
    </row>
    <row r="7080" spans="1:5" x14ac:dyDescent="0.25">
      <c r="A7080" s="36" t="b">
        <v>0</v>
      </c>
      <c r="B7080" s="56" t="b">
        <v>0</v>
      </c>
      <c r="C7080" s="56" t="b">
        <v>0</v>
      </c>
      <c r="D7080" s="56" t="b">
        <v>0</v>
      </c>
      <c r="E7080" s="56">
        <f ca="1">IF(PV[[#This Row],[Business Date]]=Control!$C$6, PV[[#This Row],[Notional Value Local Cur]], -PV[[#This Row],[Notional Value Local Cur]])</f>
        <v>0</v>
      </c>
    </row>
    <row r="7081" spans="1:5" x14ac:dyDescent="0.25">
      <c r="A7081" s="36" t="b">
        <v>0</v>
      </c>
      <c r="B7081" s="56" t="b">
        <v>0</v>
      </c>
      <c r="C7081" s="56" t="b">
        <v>0</v>
      </c>
      <c r="D7081" s="56" t="b">
        <v>0</v>
      </c>
      <c r="E7081" s="56">
        <f ca="1">IF(PV[[#This Row],[Business Date]]=Control!$C$6, PV[[#This Row],[Notional Value Local Cur]], -PV[[#This Row],[Notional Value Local Cur]])</f>
        <v>0</v>
      </c>
    </row>
    <row r="7082" spans="1:5" x14ac:dyDescent="0.25">
      <c r="A7082" s="36" t="b">
        <v>0</v>
      </c>
      <c r="B7082" s="56" t="b">
        <v>0</v>
      </c>
      <c r="C7082" s="56" t="b">
        <v>0</v>
      </c>
      <c r="D7082" s="56" t="b">
        <v>0</v>
      </c>
      <c r="E7082" s="56">
        <f ca="1">IF(PV[[#This Row],[Business Date]]=Control!$C$6, PV[[#This Row],[Notional Value Local Cur]], -PV[[#This Row],[Notional Value Local Cur]])</f>
        <v>0</v>
      </c>
    </row>
    <row r="7083" spans="1:5" x14ac:dyDescent="0.25">
      <c r="A7083" s="36" t="b">
        <v>0</v>
      </c>
      <c r="B7083" s="56" t="b">
        <v>0</v>
      </c>
      <c r="C7083" s="56" t="b">
        <v>0</v>
      </c>
      <c r="D7083" s="56" t="b">
        <v>0</v>
      </c>
      <c r="E7083" s="56">
        <f ca="1">IF(PV[[#This Row],[Business Date]]=Control!$C$6, PV[[#This Row],[Notional Value Local Cur]], -PV[[#This Row],[Notional Value Local Cur]])</f>
        <v>0</v>
      </c>
    </row>
    <row r="7084" spans="1:5" x14ac:dyDescent="0.25">
      <c r="A7084" s="36" t="b">
        <v>0</v>
      </c>
      <c r="B7084" s="56" t="b">
        <v>0</v>
      </c>
      <c r="C7084" s="56" t="b">
        <v>0</v>
      </c>
      <c r="D7084" s="56" t="b">
        <v>0</v>
      </c>
      <c r="E7084" s="56">
        <f ca="1">IF(PV[[#This Row],[Business Date]]=Control!$C$6, PV[[#This Row],[Notional Value Local Cur]], -PV[[#This Row],[Notional Value Local Cur]])</f>
        <v>0</v>
      </c>
    </row>
    <row r="7085" spans="1:5" x14ac:dyDescent="0.25">
      <c r="A7085" s="36" t="b">
        <v>0</v>
      </c>
      <c r="B7085" s="56" t="b">
        <v>0</v>
      </c>
      <c r="C7085" s="56" t="b">
        <v>0</v>
      </c>
      <c r="D7085" s="56" t="b">
        <v>0</v>
      </c>
      <c r="E7085" s="56">
        <f ca="1">IF(PV[[#This Row],[Business Date]]=Control!$C$6, PV[[#This Row],[Notional Value Local Cur]], -PV[[#This Row],[Notional Value Local Cur]])</f>
        <v>0</v>
      </c>
    </row>
    <row r="7086" spans="1:5" x14ac:dyDescent="0.25">
      <c r="A7086" s="36" t="b">
        <v>0</v>
      </c>
      <c r="B7086" s="56" t="b">
        <v>0</v>
      </c>
      <c r="C7086" s="56" t="b">
        <v>0</v>
      </c>
      <c r="D7086" s="56" t="b">
        <v>0</v>
      </c>
      <c r="E7086" s="56">
        <f ca="1">IF(PV[[#This Row],[Business Date]]=Control!$C$6, PV[[#This Row],[Notional Value Local Cur]], -PV[[#This Row],[Notional Value Local Cur]])</f>
        <v>0</v>
      </c>
    </row>
    <row r="7087" spans="1:5" x14ac:dyDescent="0.25">
      <c r="A7087" s="36" t="b">
        <v>0</v>
      </c>
      <c r="B7087" s="56" t="b">
        <v>0</v>
      </c>
      <c r="C7087" s="56" t="b">
        <v>0</v>
      </c>
      <c r="D7087" s="56" t="b">
        <v>0</v>
      </c>
      <c r="E7087" s="56">
        <f ca="1">IF(PV[[#This Row],[Business Date]]=Control!$C$6, PV[[#This Row],[Notional Value Local Cur]], -PV[[#This Row],[Notional Value Local Cur]])</f>
        <v>0</v>
      </c>
    </row>
    <row r="7088" spans="1:5" x14ac:dyDescent="0.25">
      <c r="A7088" s="36" t="b">
        <v>0</v>
      </c>
      <c r="B7088" s="56" t="b">
        <v>0</v>
      </c>
      <c r="C7088" s="56" t="b">
        <v>0</v>
      </c>
      <c r="D7088" s="56" t="b">
        <v>0</v>
      </c>
      <c r="E7088" s="56">
        <f ca="1">IF(PV[[#This Row],[Business Date]]=Control!$C$6, PV[[#This Row],[Notional Value Local Cur]], -PV[[#This Row],[Notional Value Local Cur]])</f>
        <v>0</v>
      </c>
    </row>
    <row r="7089" spans="1:5" x14ac:dyDescent="0.25">
      <c r="A7089" s="36" t="b">
        <v>0</v>
      </c>
      <c r="B7089" s="56" t="b">
        <v>0</v>
      </c>
      <c r="C7089" s="56" t="b">
        <v>0</v>
      </c>
      <c r="D7089" s="56" t="b">
        <v>0</v>
      </c>
      <c r="E7089" s="56">
        <f ca="1">IF(PV[[#This Row],[Business Date]]=Control!$C$6, PV[[#This Row],[Notional Value Local Cur]], -PV[[#This Row],[Notional Value Local Cur]])</f>
        <v>0</v>
      </c>
    </row>
    <row r="7090" spans="1:5" x14ac:dyDescent="0.25">
      <c r="A7090" s="36" t="b">
        <v>0</v>
      </c>
      <c r="B7090" s="56" t="b">
        <v>0</v>
      </c>
      <c r="C7090" s="56" t="b">
        <v>0</v>
      </c>
      <c r="D7090" s="56" t="b">
        <v>0</v>
      </c>
      <c r="E7090" s="56">
        <f ca="1">IF(PV[[#This Row],[Business Date]]=Control!$C$6, PV[[#This Row],[Notional Value Local Cur]], -PV[[#This Row],[Notional Value Local Cur]])</f>
        <v>0</v>
      </c>
    </row>
    <row r="7091" spans="1:5" x14ac:dyDescent="0.25">
      <c r="A7091" s="36" t="b">
        <v>0</v>
      </c>
      <c r="B7091" s="56" t="b">
        <v>0</v>
      </c>
      <c r="C7091" s="56" t="b">
        <v>0</v>
      </c>
      <c r="D7091" s="56" t="b">
        <v>0</v>
      </c>
      <c r="E7091" s="56">
        <f ca="1">IF(PV[[#This Row],[Business Date]]=Control!$C$6, PV[[#This Row],[Notional Value Local Cur]], -PV[[#This Row],[Notional Value Local Cur]])</f>
        <v>0</v>
      </c>
    </row>
    <row r="7092" spans="1:5" x14ac:dyDescent="0.25">
      <c r="A7092" s="36" t="b">
        <v>0</v>
      </c>
      <c r="B7092" s="56" t="b">
        <v>0</v>
      </c>
      <c r="C7092" s="56" t="b">
        <v>0</v>
      </c>
      <c r="D7092" s="56" t="b">
        <v>0</v>
      </c>
      <c r="E7092" s="56">
        <f ca="1">IF(PV[[#This Row],[Business Date]]=Control!$C$6, PV[[#This Row],[Notional Value Local Cur]], -PV[[#This Row],[Notional Value Local Cur]])</f>
        <v>0</v>
      </c>
    </row>
    <row r="7093" spans="1:5" x14ac:dyDescent="0.25">
      <c r="A7093" s="36" t="b">
        <v>0</v>
      </c>
      <c r="B7093" s="56" t="b">
        <v>0</v>
      </c>
      <c r="C7093" s="56" t="b">
        <v>0</v>
      </c>
      <c r="D7093" s="56" t="b">
        <v>0</v>
      </c>
      <c r="E7093" s="56">
        <f ca="1">IF(PV[[#This Row],[Business Date]]=Control!$C$6, PV[[#This Row],[Notional Value Local Cur]], -PV[[#This Row],[Notional Value Local Cur]])</f>
        <v>0</v>
      </c>
    </row>
    <row r="7094" spans="1:5" x14ac:dyDescent="0.25">
      <c r="A7094" s="36" t="b">
        <v>0</v>
      </c>
      <c r="B7094" s="56" t="b">
        <v>0</v>
      </c>
      <c r="C7094" s="56" t="b">
        <v>0</v>
      </c>
      <c r="D7094" s="56" t="b">
        <v>0</v>
      </c>
      <c r="E7094" s="56">
        <f ca="1">IF(PV[[#This Row],[Business Date]]=Control!$C$6, PV[[#This Row],[Notional Value Local Cur]], -PV[[#This Row],[Notional Value Local Cur]])</f>
        <v>0</v>
      </c>
    </row>
    <row r="7095" spans="1:5" x14ac:dyDescent="0.25">
      <c r="A7095" s="36" t="b">
        <v>0</v>
      </c>
      <c r="B7095" s="56" t="b">
        <v>0</v>
      </c>
      <c r="C7095" s="56" t="b">
        <v>0</v>
      </c>
      <c r="D7095" s="56" t="b">
        <v>0</v>
      </c>
      <c r="E7095" s="56">
        <f ca="1">IF(PV[[#This Row],[Business Date]]=Control!$C$6, PV[[#This Row],[Notional Value Local Cur]], -PV[[#This Row],[Notional Value Local Cur]])</f>
        <v>0</v>
      </c>
    </row>
    <row r="7096" spans="1:5" x14ac:dyDescent="0.25">
      <c r="A7096" s="36" t="b">
        <v>0</v>
      </c>
      <c r="B7096" s="56" t="b">
        <v>0</v>
      </c>
      <c r="C7096" s="56" t="b">
        <v>0</v>
      </c>
      <c r="D7096" s="56" t="b">
        <v>0</v>
      </c>
      <c r="E7096" s="56">
        <f ca="1">IF(PV[[#This Row],[Business Date]]=Control!$C$6, PV[[#This Row],[Notional Value Local Cur]], -PV[[#This Row],[Notional Value Local Cur]])</f>
        <v>0</v>
      </c>
    </row>
    <row r="7097" spans="1:5" x14ac:dyDescent="0.25">
      <c r="A7097" s="36" t="b">
        <v>0</v>
      </c>
      <c r="B7097" s="56" t="b">
        <v>0</v>
      </c>
      <c r="C7097" s="56" t="b">
        <v>0</v>
      </c>
      <c r="D7097" s="56" t="b">
        <v>0</v>
      </c>
      <c r="E7097" s="56">
        <f ca="1">IF(PV[[#This Row],[Business Date]]=Control!$C$6, PV[[#This Row],[Notional Value Local Cur]], -PV[[#This Row],[Notional Value Local Cur]])</f>
        <v>0</v>
      </c>
    </row>
    <row r="7098" spans="1:5" x14ac:dyDescent="0.25">
      <c r="A7098" s="36" t="b">
        <v>0</v>
      </c>
      <c r="B7098" s="56" t="b">
        <v>0</v>
      </c>
      <c r="C7098" s="56" t="b">
        <v>0</v>
      </c>
      <c r="D7098" s="56" t="b">
        <v>0</v>
      </c>
      <c r="E7098" s="56">
        <f ca="1">IF(PV[[#This Row],[Business Date]]=Control!$C$6, PV[[#This Row],[Notional Value Local Cur]], -PV[[#This Row],[Notional Value Local Cur]])</f>
        <v>0</v>
      </c>
    </row>
    <row r="7099" spans="1:5" x14ac:dyDescent="0.25">
      <c r="A7099" s="36" t="b">
        <v>0</v>
      </c>
      <c r="B7099" s="56" t="b">
        <v>0</v>
      </c>
      <c r="C7099" s="56" t="b">
        <v>0</v>
      </c>
      <c r="D7099" s="56" t="b">
        <v>0</v>
      </c>
      <c r="E7099" s="56">
        <f ca="1">IF(PV[[#This Row],[Business Date]]=Control!$C$6, PV[[#This Row],[Notional Value Local Cur]], -PV[[#This Row],[Notional Value Local Cur]])</f>
        <v>0</v>
      </c>
    </row>
    <row r="7100" spans="1:5" x14ac:dyDescent="0.25">
      <c r="A7100" s="36" t="b">
        <v>0</v>
      </c>
      <c r="B7100" s="56" t="b">
        <v>0</v>
      </c>
      <c r="C7100" s="56" t="b">
        <v>0</v>
      </c>
      <c r="D7100" s="56" t="b">
        <v>0</v>
      </c>
      <c r="E7100" s="56">
        <f ca="1">IF(PV[[#This Row],[Business Date]]=Control!$C$6, PV[[#This Row],[Notional Value Local Cur]], -PV[[#This Row],[Notional Value Local Cur]])</f>
        <v>0</v>
      </c>
    </row>
    <row r="7101" spans="1:5" x14ac:dyDescent="0.25">
      <c r="A7101" s="36" t="b">
        <v>0</v>
      </c>
      <c r="B7101" s="56" t="b">
        <v>0</v>
      </c>
      <c r="C7101" s="56" t="b">
        <v>0</v>
      </c>
      <c r="D7101" s="56" t="b">
        <v>0</v>
      </c>
      <c r="E7101" s="56">
        <f ca="1">IF(PV[[#This Row],[Business Date]]=Control!$C$6, PV[[#This Row],[Notional Value Local Cur]], -PV[[#This Row],[Notional Value Local Cur]])</f>
        <v>0</v>
      </c>
    </row>
    <row r="7102" spans="1:5" x14ac:dyDescent="0.25">
      <c r="A7102" s="36" t="b">
        <v>0</v>
      </c>
      <c r="B7102" s="56" t="b">
        <v>0</v>
      </c>
      <c r="C7102" s="56" t="b">
        <v>0</v>
      </c>
      <c r="D7102" s="56" t="b">
        <v>0</v>
      </c>
      <c r="E7102" s="56">
        <f ca="1">IF(PV[[#This Row],[Business Date]]=Control!$C$6, PV[[#This Row],[Notional Value Local Cur]], -PV[[#This Row],[Notional Value Local Cur]])</f>
        <v>0</v>
      </c>
    </row>
    <row r="7103" spans="1:5" x14ac:dyDescent="0.25">
      <c r="A7103" s="36" t="b">
        <v>0</v>
      </c>
      <c r="B7103" s="56" t="b">
        <v>0</v>
      </c>
      <c r="C7103" s="56" t="b">
        <v>0</v>
      </c>
      <c r="D7103" s="56" t="b">
        <v>0</v>
      </c>
      <c r="E7103" s="56">
        <f ca="1">IF(PV[[#This Row],[Business Date]]=Control!$C$6, PV[[#This Row],[Notional Value Local Cur]], -PV[[#This Row],[Notional Value Local Cur]])</f>
        <v>0</v>
      </c>
    </row>
    <row r="7104" spans="1:5" x14ac:dyDescent="0.25">
      <c r="A7104" s="36" t="b">
        <v>0</v>
      </c>
      <c r="B7104" s="56" t="b">
        <v>0</v>
      </c>
      <c r="C7104" s="56" t="b">
        <v>0</v>
      </c>
      <c r="D7104" s="56" t="b">
        <v>0</v>
      </c>
      <c r="E7104" s="56">
        <f ca="1">IF(PV[[#This Row],[Business Date]]=Control!$C$6, PV[[#This Row],[Notional Value Local Cur]], -PV[[#This Row],[Notional Value Local Cur]])</f>
        <v>0</v>
      </c>
    </row>
    <row r="7105" spans="1:5" x14ac:dyDescent="0.25">
      <c r="A7105" s="36" t="b">
        <v>0</v>
      </c>
      <c r="B7105" s="56" t="b">
        <v>0</v>
      </c>
      <c r="C7105" s="56" t="b">
        <v>0</v>
      </c>
      <c r="D7105" s="56" t="b">
        <v>0</v>
      </c>
      <c r="E7105" s="56">
        <f ca="1">IF(PV[[#This Row],[Business Date]]=Control!$C$6, PV[[#This Row],[Notional Value Local Cur]], -PV[[#This Row],[Notional Value Local Cur]])</f>
        <v>0</v>
      </c>
    </row>
    <row r="7106" spans="1:5" x14ac:dyDescent="0.25">
      <c r="A7106" s="36" t="b">
        <v>0</v>
      </c>
      <c r="B7106" s="56" t="b">
        <v>0</v>
      </c>
      <c r="C7106" s="56" t="b">
        <v>0</v>
      </c>
      <c r="D7106" s="56" t="b">
        <v>0</v>
      </c>
      <c r="E7106" s="56">
        <f ca="1">IF(PV[[#This Row],[Business Date]]=Control!$C$6, PV[[#This Row],[Notional Value Local Cur]], -PV[[#This Row],[Notional Value Local Cur]])</f>
        <v>0</v>
      </c>
    </row>
    <row r="7107" spans="1:5" x14ac:dyDescent="0.25">
      <c r="A7107" s="36" t="b">
        <v>0</v>
      </c>
      <c r="B7107" s="56" t="b">
        <v>0</v>
      </c>
      <c r="C7107" s="56" t="b">
        <v>0</v>
      </c>
      <c r="D7107" s="56" t="b">
        <v>0</v>
      </c>
      <c r="E7107" s="56">
        <f ca="1">IF(PV[[#This Row],[Business Date]]=Control!$C$6, PV[[#This Row],[Notional Value Local Cur]], -PV[[#This Row],[Notional Value Local Cur]])</f>
        <v>0</v>
      </c>
    </row>
    <row r="7108" spans="1:5" x14ac:dyDescent="0.25">
      <c r="A7108" s="36" t="b">
        <v>0</v>
      </c>
      <c r="B7108" s="56" t="b">
        <v>0</v>
      </c>
      <c r="C7108" s="56" t="b">
        <v>0</v>
      </c>
      <c r="D7108" s="56" t="b">
        <v>0</v>
      </c>
      <c r="E7108" s="56">
        <f ca="1">IF(PV[[#This Row],[Business Date]]=Control!$C$6, PV[[#This Row],[Notional Value Local Cur]], -PV[[#This Row],[Notional Value Local Cur]])</f>
        <v>0</v>
      </c>
    </row>
    <row r="7109" spans="1:5" x14ac:dyDescent="0.25">
      <c r="A7109" s="36" t="b">
        <v>0</v>
      </c>
      <c r="B7109" s="56" t="b">
        <v>0</v>
      </c>
      <c r="C7109" s="56" t="b">
        <v>0</v>
      </c>
      <c r="D7109" s="56" t="b">
        <v>0</v>
      </c>
      <c r="E7109" s="56">
        <f ca="1">IF(PV[[#This Row],[Business Date]]=Control!$C$6, PV[[#This Row],[Notional Value Local Cur]], -PV[[#This Row],[Notional Value Local Cur]])</f>
        <v>0</v>
      </c>
    </row>
    <row r="7110" spans="1:5" x14ac:dyDescent="0.25">
      <c r="A7110" s="36" t="b">
        <v>0</v>
      </c>
      <c r="B7110" s="56" t="b">
        <v>0</v>
      </c>
      <c r="C7110" s="56" t="b">
        <v>0</v>
      </c>
      <c r="D7110" s="56" t="b">
        <v>0</v>
      </c>
      <c r="E7110" s="56">
        <f ca="1">IF(PV[[#This Row],[Business Date]]=Control!$C$6, PV[[#This Row],[Notional Value Local Cur]], -PV[[#This Row],[Notional Value Local Cur]])</f>
        <v>0</v>
      </c>
    </row>
    <row r="7111" spans="1:5" x14ac:dyDescent="0.25">
      <c r="A7111" s="36" t="b">
        <v>0</v>
      </c>
      <c r="B7111" s="56" t="b">
        <v>0</v>
      </c>
      <c r="C7111" s="56" t="b">
        <v>0</v>
      </c>
      <c r="D7111" s="56" t="b">
        <v>0</v>
      </c>
      <c r="E7111" s="56">
        <f ca="1">IF(PV[[#This Row],[Business Date]]=Control!$C$6, PV[[#This Row],[Notional Value Local Cur]], -PV[[#This Row],[Notional Value Local Cur]])</f>
        <v>0</v>
      </c>
    </row>
    <row r="7112" spans="1:5" x14ac:dyDescent="0.25">
      <c r="A7112" s="36" t="b">
        <v>0</v>
      </c>
      <c r="B7112" s="56" t="b">
        <v>0</v>
      </c>
      <c r="C7112" s="56" t="b">
        <v>0</v>
      </c>
      <c r="D7112" s="56" t="b">
        <v>0</v>
      </c>
      <c r="E7112" s="56">
        <f ca="1">IF(PV[[#This Row],[Business Date]]=Control!$C$6, PV[[#This Row],[Notional Value Local Cur]], -PV[[#This Row],[Notional Value Local Cur]])</f>
        <v>0</v>
      </c>
    </row>
    <row r="7113" spans="1:5" x14ac:dyDescent="0.25">
      <c r="A7113" s="36" t="b">
        <v>0</v>
      </c>
      <c r="B7113" s="56" t="b">
        <v>0</v>
      </c>
      <c r="C7113" s="56" t="b">
        <v>0</v>
      </c>
      <c r="D7113" s="56" t="b">
        <v>0</v>
      </c>
      <c r="E7113" s="56">
        <f ca="1">IF(PV[[#This Row],[Business Date]]=Control!$C$6, PV[[#This Row],[Notional Value Local Cur]], -PV[[#This Row],[Notional Value Local Cur]])</f>
        <v>0</v>
      </c>
    </row>
    <row r="7114" spans="1:5" x14ac:dyDescent="0.25">
      <c r="A7114" s="36" t="b">
        <v>0</v>
      </c>
      <c r="B7114" s="56" t="b">
        <v>0</v>
      </c>
      <c r="C7114" s="56" t="b">
        <v>0</v>
      </c>
      <c r="D7114" s="56" t="b">
        <v>0</v>
      </c>
      <c r="E7114" s="56">
        <f ca="1">IF(PV[[#This Row],[Business Date]]=Control!$C$6, PV[[#This Row],[Notional Value Local Cur]], -PV[[#This Row],[Notional Value Local Cur]])</f>
        <v>0</v>
      </c>
    </row>
    <row r="7115" spans="1:5" x14ac:dyDescent="0.25">
      <c r="A7115" s="36" t="b">
        <v>0</v>
      </c>
      <c r="B7115" s="56" t="b">
        <v>0</v>
      </c>
      <c r="C7115" s="56" t="b">
        <v>0</v>
      </c>
      <c r="D7115" s="56" t="b">
        <v>0</v>
      </c>
      <c r="E7115" s="56">
        <f ca="1">IF(PV[[#This Row],[Business Date]]=Control!$C$6, PV[[#This Row],[Notional Value Local Cur]], -PV[[#This Row],[Notional Value Local Cur]])</f>
        <v>0</v>
      </c>
    </row>
    <row r="7116" spans="1:5" x14ac:dyDescent="0.25">
      <c r="A7116" s="36" t="b">
        <v>0</v>
      </c>
      <c r="B7116" s="56" t="b">
        <v>0</v>
      </c>
      <c r="C7116" s="56" t="b">
        <v>0</v>
      </c>
      <c r="D7116" s="56" t="b">
        <v>0</v>
      </c>
      <c r="E7116" s="56">
        <f ca="1">IF(PV[[#This Row],[Business Date]]=Control!$C$6, PV[[#This Row],[Notional Value Local Cur]], -PV[[#This Row],[Notional Value Local Cur]])</f>
        <v>0</v>
      </c>
    </row>
    <row r="7117" spans="1:5" x14ac:dyDescent="0.25">
      <c r="A7117" s="36" t="b">
        <v>0</v>
      </c>
      <c r="B7117" s="56" t="b">
        <v>0</v>
      </c>
      <c r="C7117" s="56" t="b">
        <v>0</v>
      </c>
      <c r="D7117" s="56" t="b">
        <v>0</v>
      </c>
      <c r="E7117" s="56">
        <f ca="1">IF(PV[[#This Row],[Business Date]]=Control!$C$6, PV[[#This Row],[Notional Value Local Cur]], -PV[[#This Row],[Notional Value Local Cur]])</f>
        <v>0</v>
      </c>
    </row>
    <row r="7118" spans="1:5" x14ac:dyDescent="0.25">
      <c r="A7118" s="36" t="b">
        <v>0</v>
      </c>
      <c r="B7118" s="56" t="b">
        <v>0</v>
      </c>
      <c r="C7118" s="56" t="b">
        <v>0</v>
      </c>
      <c r="D7118" s="56" t="b">
        <v>0</v>
      </c>
      <c r="E7118" s="56">
        <f ca="1">IF(PV[[#This Row],[Business Date]]=Control!$C$6, PV[[#This Row],[Notional Value Local Cur]], -PV[[#This Row],[Notional Value Local Cur]])</f>
        <v>0</v>
      </c>
    </row>
    <row r="7119" spans="1:5" x14ac:dyDescent="0.25">
      <c r="A7119" s="36" t="b">
        <v>0</v>
      </c>
      <c r="B7119" s="56" t="b">
        <v>0</v>
      </c>
      <c r="C7119" s="56" t="b">
        <v>0</v>
      </c>
      <c r="D7119" s="56" t="b">
        <v>0</v>
      </c>
      <c r="E7119" s="56">
        <f ca="1">IF(PV[[#This Row],[Business Date]]=Control!$C$6, PV[[#This Row],[Notional Value Local Cur]], -PV[[#This Row],[Notional Value Local Cur]])</f>
        <v>0</v>
      </c>
    </row>
    <row r="7120" spans="1:5" x14ac:dyDescent="0.25">
      <c r="A7120" s="36" t="b">
        <v>0</v>
      </c>
      <c r="B7120" s="56" t="b">
        <v>0</v>
      </c>
      <c r="C7120" s="56" t="b">
        <v>0</v>
      </c>
      <c r="D7120" s="56" t="b">
        <v>0</v>
      </c>
      <c r="E7120" s="56">
        <f ca="1">IF(PV[[#This Row],[Business Date]]=Control!$C$6, PV[[#This Row],[Notional Value Local Cur]], -PV[[#This Row],[Notional Value Local Cur]])</f>
        <v>0</v>
      </c>
    </row>
    <row r="7121" spans="1:5" x14ac:dyDescent="0.25">
      <c r="A7121" s="36" t="b">
        <v>0</v>
      </c>
      <c r="B7121" s="56" t="b">
        <v>0</v>
      </c>
      <c r="C7121" s="56" t="b">
        <v>0</v>
      </c>
      <c r="D7121" s="56" t="b">
        <v>0</v>
      </c>
      <c r="E7121" s="56">
        <f ca="1">IF(PV[[#This Row],[Business Date]]=Control!$C$6, PV[[#This Row],[Notional Value Local Cur]], -PV[[#This Row],[Notional Value Local Cur]])</f>
        <v>0</v>
      </c>
    </row>
    <row r="7122" spans="1:5" x14ac:dyDescent="0.25">
      <c r="A7122" s="36" t="b">
        <v>0</v>
      </c>
      <c r="B7122" s="56" t="b">
        <v>0</v>
      </c>
      <c r="C7122" s="56" t="b">
        <v>0</v>
      </c>
      <c r="D7122" s="56" t="b">
        <v>0</v>
      </c>
      <c r="E7122" s="56">
        <f ca="1">IF(PV[[#This Row],[Business Date]]=Control!$C$6, PV[[#This Row],[Notional Value Local Cur]], -PV[[#This Row],[Notional Value Local Cur]])</f>
        <v>0</v>
      </c>
    </row>
    <row r="7123" spans="1:5" x14ac:dyDescent="0.25">
      <c r="A7123" s="36" t="b">
        <v>0</v>
      </c>
      <c r="B7123" s="56" t="b">
        <v>0</v>
      </c>
      <c r="C7123" s="56" t="b">
        <v>0</v>
      </c>
      <c r="D7123" s="56" t="b">
        <v>0</v>
      </c>
      <c r="E7123" s="56">
        <f ca="1">IF(PV[[#This Row],[Business Date]]=Control!$C$6, PV[[#This Row],[Notional Value Local Cur]], -PV[[#This Row],[Notional Value Local Cur]])</f>
        <v>0</v>
      </c>
    </row>
    <row r="7124" spans="1:5" x14ac:dyDescent="0.25">
      <c r="A7124" s="36" t="b">
        <v>0</v>
      </c>
      <c r="B7124" s="56" t="b">
        <v>0</v>
      </c>
      <c r="C7124" s="56" t="b">
        <v>0</v>
      </c>
      <c r="D7124" s="56" t="b">
        <v>0</v>
      </c>
      <c r="E7124" s="56">
        <f ca="1">IF(PV[[#This Row],[Business Date]]=Control!$C$6, PV[[#This Row],[Notional Value Local Cur]], -PV[[#This Row],[Notional Value Local Cur]])</f>
        <v>0</v>
      </c>
    </row>
    <row r="7125" spans="1:5" x14ac:dyDescent="0.25">
      <c r="A7125" s="36" t="b">
        <v>0</v>
      </c>
      <c r="B7125" s="56" t="b">
        <v>0</v>
      </c>
      <c r="C7125" s="56" t="b">
        <v>0</v>
      </c>
      <c r="D7125" s="56" t="b">
        <v>0</v>
      </c>
      <c r="E7125" s="56">
        <f ca="1">IF(PV[[#This Row],[Business Date]]=Control!$C$6, PV[[#This Row],[Notional Value Local Cur]], -PV[[#This Row],[Notional Value Local Cur]])</f>
        <v>0</v>
      </c>
    </row>
    <row r="7126" spans="1:5" x14ac:dyDescent="0.25">
      <c r="A7126" s="36" t="b">
        <v>0</v>
      </c>
      <c r="B7126" s="56" t="b">
        <v>0</v>
      </c>
      <c r="C7126" s="56" t="b">
        <v>0</v>
      </c>
      <c r="D7126" s="56" t="b">
        <v>0</v>
      </c>
      <c r="E7126" s="56">
        <f ca="1">IF(PV[[#This Row],[Business Date]]=Control!$C$6, PV[[#This Row],[Notional Value Local Cur]], -PV[[#This Row],[Notional Value Local Cur]])</f>
        <v>0</v>
      </c>
    </row>
    <row r="7127" spans="1:5" x14ac:dyDescent="0.25">
      <c r="A7127" s="36" t="b">
        <v>0</v>
      </c>
      <c r="B7127" s="56" t="b">
        <v>0</v>
      </c>
      <c r="C7127" s="56" t="b">
        <v>0</v>
      </c>
      <c r="D7127" s="56" t="b">
        <v>0</v>
      </c>
      <c r="E7127" s="56">
        <f ca="1">IF(PV[[#This Row],[Business Date]]=Control!$C$6, PV[[#This Row],[Notional Value Local Cur]], -PV[[#This Row],[Notional Value Local Cur]])</f>
        <v>0</v>
      </c>
    </row>
    <row r="7128" spans="1:5" x14ac:dyDescent="0.25">
      <c r="A7128" s="36" t="b">
        <v>0</v>
      </c>
      <c r="B7128" s="56" t="b">
        <v>0</v>
      </c>
      <c r="C7128" s="56" t="b">
        <v>0</v>
      </c>
      <c r="D7128" s="56" t="b">
        <v>0</v>
      </c>
      <c r="E7128" s="56">
        <f ca="1">IF(PV[[#This Row],[Business Date]]=Control!$C$6, PV[[#This Row],[Notional Value Local Cur]], -PV[[#This Row],[Notional Value Local Cur]])</f>
        <v>0</v>
      </c>
    </row>
    <row r="7129" spans="1:5" x14ac:dyDescent="0.25">
      <c r="A7129" s="36" t="b">
        <v>0</v>
      </c>
      <c r="B7129" s="56" t="b">
        <v>0</v>
      </c>
      <c r="C7129" s="56" t="b">
        <v>0</v>
      </c>
      <c r="D7129" s="56" t="b">
        <v>0</v>
      </c>
      <c r="E7129" s="56">
        <f ca="1">IF(PV[[#This Row],[Business Date]]=Control!$C$6, PV[[#This Row],[Notional Value Local Cur]], -PV[[#This Row],[Notional Value Local Cur]])</f>
        <v>0</v>
      </c>
    </row>
    <row r="7130" spans="1:5" x14ac:dyDescent="0.25">
      <c r="A7130" s="36" t="b">
        <v>0</v>
      </c>
      <c r="B7130" s="56" t="b">
        <v>0</v>
      </c>
      <c r="C7130" s="56" t="b">
        <v>0</v>
      </c>
      <c r="D7130" s="56" t="b">
        <v>0</v>
      </c>
      <c r="E7130" s="56">
        <f ca="1">IF(PV[[#This Row],[Business Date]]=Control!$C$6, PV[[#This Row],[Notional Value Local Cur]], -PV[[#This Row],[Notional Value Local Cur]])</f>
        <v>0</v>
      </c>
    </row>
    <row r="7131" spans="1:5" x14ac:dyDescent="0.25">
      <c r="A7131" s="36" t="b">
        <v>0</v>
      </c>
      <c r="B7131" s="56" t="b">
        <v>0</v>
      </c>
      <c r="C7131" s="56" t="b">
        <v>0</v>
      </c>
      <c r="D7131" s="56" t="b">
        <v>0</v>
      </c>
      <c r="E7131" s="56">
        <f ca="1">IF(PV[[#This Row],[Business Date]]=Control!$C$6, PV[[#This Row],[Notional Value Local Cur]], -PV[[#This Row],[Notional Value Local Cur]])</f>
        <v>0</v>
      </c>
    </row>
    <row r="7132" spans="1:5" x14ac:dyDescent="0.25">
      <c r="A7132" s="36" t="b">
        <v>0</v>
      </c>
      <c r="B7132" s="56" t="b">
        <v>0</v>
      </c>
      <c r="C7132" s="56" t="b">
        <v>0</v>
      </c>
      <c r="D7132" s="56" t="b">
        <v>0</v>
      </c>
      <c r="E7132" s="56">
        <f ca="1">IF(PV[[#This Row],[Business Date]]=Control!$C$6, PV[[#This Row],[Notional Value Local Cur]], -PV[[#This Row],[Notional Value Local Cur]])</f>
        <v>0</v>
      </c>
    </row>
    <row r="7133" spans="1:5" x14ac:dyDescent="0.25">
      <c r="A7133" s="36" t="b">
        <v>0</v>
      </c>
      <c r="B7133" s="56" t="b">
        <v>0</v>
      </c>
      <c r="C7133" s="56" t="b">
        <v>0</v>
      </c>
      <c r="D7133" s="56" t="b">
        <v>0</v>
      </c>
      <c r="E7133" s="56">
        <f ca="1">IF(PV[[#This Row],[Business Date]]=Control!$C$6, PV[[#This Row],[Notional Value Local Cur]], -PV[[#This Row],[Notional Value Local Cur]])</f>
        <v>0</v>
      </c>
    </row>
    <row r="7134" spans="1:5" x14ac:dyDescent="0.25">
      <c r="A7134" s="36" t="b">
        <v>0</v>
      </c>
      <c r="B7134" s="56" t="b">
        <v>0</v>
      </c>
      <c r="C7134" s="56" t="b">
        <v>0</v>
      </c>
      <c r="D7134" s="56" t="b">
        <v>0</v>
      </c>
      <c r="E7134" s="56">
        <f ca="1">IF(PV[[#This Row],[Business Date]]=Control!$C$6, PV[[#This Row],[Notional Value Local Cur]], -PV[[#This Row],[Notional Value Local Cur]])</f>
        <v>0</v>
      </c>
    </row>
    <row r="7135" spans="1:5" x14ac:dyDescent="0.25">
      <c r="A7135" s="36" t="b">
        <v>0</v>
      </c>
      <c r="B7135" s="56" t="b">
        <v>0</v>
      </c>
      <c r="C7135" s="56" t="b">
        <v>0</v>
      </c>
      <c r="D7135" s="56" t="b">
        <v>0</v>
      </c>
      <c r="E7135" s="56">
        <f ca="1">IF(PV[[#This Row],[Business Date]]=Control!$C$6, PV[[#This Row],[Notional Value Local Cur]], -PV[[#This Row],[Notional Value Local Cur]])</f>
        <v>0</v>
      </c>
    </row>
    <row r="7136" spans="1:5" x14ac:dyDescent="0.25">
      <c r="A7136" s="36" t="b">
        <v>0</v>
      </c>
      <c r="B7136" s="56" t="b">
        <v>0</v>
      </c>
      <c r="C7136" s="56" t="b">
        <v>0</v>
      </c>
      <c r="D7136" s="56" t="b">
        <v>0</v>
      </c>
      <c r="E7136" s="56">
        <f ca="1">IF(PV[[#This Row],[Business Date]]=Control!$C$6, PV[[#This Row],[Notional Value Local Cur]], -PV[[#This Row],[Notional Value Local Cur]])</f>
        <v>0</v>
      </c>
    </row>
    <row r="7137" spans="1:5" x14ac:dyDescent="0.25">
      <c r="A7137" s="36" t="b">
        <v>0</v>
      </c>
      <c r="B7137" s="56" t="b">
        <v>0</v>
      </c>
      <c r="C7137" s="56" t="b">
        <v>0</v>
      </c>
      <c r="D7137" s="56" t="b">
        <v>0</v>
      </c>
      <c r="E7137" s="56">
        <f ca="1">IF(PV[[#This Row],[Business Date]]=Control!$C$6, PV[[#This Row],[Notional Value Local Cur]], -PV[[#This Row],[Notional Value Local Cur]])</f>
        <v>0</v>
      </c>
    </row>
    <row r="7138" spans="1:5" x14ac:dyDescent="0.25">
      <c r="A7138" s="36" t="b">
        <v>0</v>
      </c>
      <c r="B7138" s="56" t="b">
        <v>0</v>
      </c>
      <c r="C7138" s="56" t="b">
        <v>0</v>
      </c>
      <c r="D7138" s="56" t="b">
        <v>0</v>
      </c>
      <c r="E7138" s="56">
        <f ca="1">IF(PV[[#This Row],[Business Date]]=Control!$C$6, PV[[#This Row],[Notional Value Local Cur]], -PV[[#This Row],[Notional Value Local Cur]])</f>
        <v>0</v>
      </c>
    </row>
    <row r="7139" spans="1:5" x14ac:dyDescent="0.25">
      <c r="A7139" s="36" t="b">
        <v>0</v>
      </c>
      <c r="B7139" s="56" t="b">
        <v>0</v>
      </c>
      <c r="C7139" s="56" t="b">
        <v>0</v>
      </c>
      <c r="D7139" s="56" t="b">
        <v>0</v>
      </c>
      <c r="E7139" s="56">
        <f ca="1">IF(PV[[#This Row],[Business Date]]=Control!$C$6, PV[[#This Row],[Notional Value Local Cur]], -PV[[#This Row],[Notional Value Local Cur]])</f>
        <v>0</v>
      </c>
    </row>
    <row r="7140" spans="1:5" x14ac:dyDescent="0.25">
      <c r="A7140" s="36" t="b">
        <v>0</v>
      </c>
      <c r="B7140" s="56" t="b">
        <v>0</v>
      </c>
      <c r="C7140" s="56" t="b">
        <v>0</v>
      </c>
      <c r="D7140" s="56" t="b">
        <v>0</v>
      </c>
      <c r="E7140" s="56">
        <f ca="1">IF(PV[[#This Row],[Business Date]]=Control!$C$6, PV[[#This Row],[Notional Value Local Cur]], -PV[[#This Row],[Notional Value Local Cur]])</f>
        <v>0</v>
      </c>
    </row>
    <row r="7141" spans="1:5" x14ac:dyDescent="0.25">
      <c r="A7141" s="36" t="b">
        <v>0</v>
      </c>
      <c r="B7141" s="56" t="b">
        <v>0</v>
      </c>
      <c r="C7141" s="56" t="b">
        <v>0</v>
      </c>
      <c r="D7141" s="56" t="b">
        <v>0</v>
      </c>
      <c r="E7141" s="56">
        <f ca="1">IF(PV[[#This Row],[Business Date]]=Control!$C$6, PV[[#This Row],[Notional Value Local Cur]], -PV[[#This Row],[Notional Value Local Cur]])</f>
        <v>0</v>
      </c>
    </row>
    <row r="7142" spans="1:5" x14ac:dyDescent="0.25">
      <c r="A7142" s="36" t="b">
        <v>0</v>
      </c>
      <c r="B7142" s="56" t="b">
        <v>0</v>
      </c>
      <c r="C7142" s="56" t="b">
        <v>0</v>
      </c>
      <c r="D7142" s="56" t="b">
        <v>0</v>
      </c>
      <c r="E7142" s="56">
        <f ca="1">IF(PV[[#This Row],[Business Date]]=Control!$C$6, PV[[#This Row],[Notional Value Local Cur]], -PV[[#This Row],[Notional Value Local Cur]])</f>
        <v>0</v>
      </c>
    </row>
    <row r="7143" spans="1:5" x14ac:dyDescent="0.25">
      <c r="A7143" s="36" t="b">
        <v>0</v>
      </c>
      <c r="B7143" s="56" t="b">
        <v>0</v>
      </c>
      <c r="C7143" s="56" t="b">
        <v>0</v>
      </c>
      <c r="D7143" s="56" t="b">
        <v>0</v>
      </c>
      <c r="E7143" s="56">
        <f ca="1">IF(PV[[#This Row],[Business Date]]=Control!$C$6, PV[[#This Row],[Notional Value Local Cur]], -PV[[#This Row],[Notional Value Local Cur]])</f>
        <v>0</v>
      </c>
    </row>
    <row r="7144" spans="1:5" x14ac:dyDescent="0.25">
      <c r="A7144" s="36" t="b">
        <v>0</v>
      </c>
      <c r="B7144" s="56" t="b">
        <v>0</v>
      </c>
      <c r="C7144" s="56" t="b">
        <v>0</v>
      </c>
      <c r="D7144" s="56" t="b">
        <v>0</v>
      </c>
      <c r="E7144" s="56">
        <f ca="1">IF(PV[[#This Row],[Business Date]]=Control!$C$6, PV[[#This Row],[Notional Value Local Cur]], -PV[[#This Row],[Notional Value Local Cur]])</f>
        <v>0</v>
      </c>
    </row>
    <row r="7145" spans="1:5" x14ac:dyDescent="0.25">
      <c r="A7145" s="36" t="b">
        <v>0</v>
      </c>
      <c r="B7145" s="56" t="b">
        <v>0</v>
      </c>
      <c r="C7145" s="56" t="b">
        <v>0</v>
      </c>
      <c r="D7145" s="56" t="b">
        <v>0</v>
      </c>
      <c r="E7145" s="56">
        <f ca="1">IF(PV[[#This Row],[Business Date]]=Control!$C$6, PV[[#This Row],[Notional Value Local Cur]], -PV[[#This Row],[Notional Value Local Cur]])</f>
        <v>0</v>
      </c>
    </row>
    <row r="7146" spans="1:5" x14ac:dyDescent="0.25">
      <c r="A7146" s="36" t="b">
        <v>0</v>
      </c>
      <c r="B7146" s="56" t="b">
        <v>0</v>
      </c>
      <c r="C7146" s="56" t="b">
        <v>0</v>
      </c>
      <c r="D7146" s="56" t="b">
        <v>0</v>
      </c>
      <c r="E7146" s="56">
        <f ca="1">IF(PV[[#This Row],[Business Date]]=Control!$C$6, PV[[#This Row],[Notional Value Local Cur]], -PV[[#This Row],[Notional Value Local Cur]])</f>
        <v>0</v>
      </c>
    </row>
    <row r="7147" spans="1:5" x14ac:dyDescent="0.25">
      <c r="A7147" s="36" t="b">
        <v>0</v>
      </c>
      <c r="B7147" s="56" t="b">
        <v>0</v>
      </c>
      <c r="C7147" s="56" t="b">
        <v>0</v>
      </c>
      <c r="D7147" s="56" t="b">
        <v>0</v>
      </c>
      <c r="E7147" s="56">
        <f ca="1">IF(PV[[#This Row],[Business Date]]=Control!$C$6, PV[[#This Row],[Notional Value Local Cur]], -PV[[#This Row],[Notional Value Local Cur]])</f>
        <v>0</v>
      </c>
    </row>
    <row r="7148" spans="1:5" x14ac:dyDescent="0.25">
      <c r="A7148" s="36" t="b">
        <v>0</v>
      </c>
      <c r="B7148" s="56" t="b">
        <v>0</v>
      </c>
      <c r="C7148" s="56" t="b">
        <v>0</v>
      </c>
      <c r="D7148" s="56" t="b">
        <v>0</v>
      </c>
      <c r="E7148" s="56">
        <f ca="1">IF(PV[[#This Row],[Business Date]]=Control!$C$6, PV[[#This Row],[Notional Value Local Cur]], -PV[[#This Row],[Notional Value Local Cur]])</f>
        <v>0</v>
      </c>
    </row>
    <row r="7149" spans="1:5" x14ac:dyDescent="0.25">
      <c r="A7149" s="36" t="b">
        <v>0</v>
      </c>
      <c r="B7149" s="56" t="b">
        <v>0</v>
      </c>
      <c r="C7149" s="56" t="b">
        <v>0</v>
      </c>
      <c r="D7149" s="56" t="b">
        <v>0</v>
      </c>
      <c r="E7149" s="56">
        <f ca="1">IF(PV[[#This Row],[Business Date]]=Control!$C$6, PV[[#This Row],[Notional Value Local Cur]], -PV[[#This Row],[Notional Value Local Cur]])</f>
        <v>0</v>
      </c>
    </row>
    <row r="7150" spans="1:5" x14ac:dyDescent="0.25">
      <c r="A7150" s="36" t="b">
        <v>0</v>
      </c>
      <c r="B7150" s="56" t="b">
        <v>0</v>
      </c>
      <c r="C7150" s="56" t="b">
        <v>0</v>
      </c>
      <c r="D7150" s="56" t="b">
        <v>0</v>
      </c>
      <c r="E7150" s="56">
        <f ca="1">IF(PV[[#This Row],[Business Date]]=Control!$C$6, PV[[#This Row],[Notional Value Local Cur]], -PV[[#This Row],[Notional Value Local Cur]])</f>
        <v>0</v>
      </c>
    </row>
    <row r="7151" spans="1:5" x14ac:dyDescent="0.25">
      <c r="A7151" s="36" t="b">
        <v>0</v>
      </c>
      <c r="B7151" s="56" t="b">
        <v>0</v>
      </c>
      <c r="C7151" s="56" t="b">
        <v>0</v>
      </c>
      <c r="D7151" s="56" t="b">
        <v>0</v>
      </c>
      <c r="E7151" s="56">
        <f ca="1">IF(PV[[#This Row],[Business Date]]=Control!$C$6, PV[[#This Row],[Notional Value Local Cur]], -PV[[#This Row],[Notional Value Local Cur]])</f>
        <v>0</v>
      </c>
    </row>
    <row r="7152" spans="1:5" x14ac:dyDescent="0.25">
      <c r="A7152" s="36" t="b">
        <v>0</v>
      </c>
      <c r="B7152" s="56" t="b">
        <v>0</v>
      </c>
      <c r="C7152" s="56" t="b">
        <v>0</v>
      </c>
      <c r="D7152" s="56" t="b">
        <v>0</v>
      </c>
      <c r="E7152" s="56">
        <f ca="1">IF(PV[[#This Row],[Business Date]]=Control!$C$6, PV[[#This Row],[Notional Value Local Cur]], -PV[[#This Row],[Notional Value Local Cur]])</f>
        <v>0</v>
      </c>
    </row>
    <row r="7153" spans="1:5" x14ac:dyDescent="0.25">
      <c r="A7153" s="36" t="b">
        <v>0</v>
      </c>
      <c r="B7153" s="56" t="b">
        <v>0</v>
      </c>
      <c r="C7153" s="56" t="b">
        <v>0</v>
      </c>
      <c r="D7153" s="56" t="b">
        <v>0</v>
      </c>
      <c r="E7153" s="56">
        <f ca="1">IF(PV[[#This Row],[Business Date]]=Control!$C$6, PV[[#This Row],[Notional Value Local Cur]], -PV[[#This Row],[Notional Value Local Cur]])</f>
        <v>0</v>
      </c>
    </row>
    <row r="7154" spans="1:5" x14ac:dyDescent="0.25">
      <c r="A7154" s="36" t="b">
        <v>0</v>
      </c>
      <c r="B7154" s="56" t="b">
        <v>0</v>
      </c>
      <c r="C7154" s="56" t="b">
        <v>0</v>
      </c>
      <c r="D7154" s="56" t="b">
        <v>0</v>
      </c>
      <c r="E7154" s="56">
        <f ca="1">IF(PV[[#This Row],[Business Date]]=Control!$C$6, PV[[#This Row],[Notional Value Local Cur]], -PV[[#This Row],[Notional Value Local Cur]])</f>
        <v>0</v>
      </c>
    </row>
    <row r="7155" spans="1:5" x14ac:dyDescent="0.25">
      <c r="A7155" s="36" t="b">
        <v>0</v>
      </c>
      <c r="B7155" s="56" t="b">
        <v>0</v>
      </c>
      <c r="C7155" s="56" t="b">
        <v>0</v>
      </c>
      <c r="D7155" s="56" t="b">
        <v>0</v>
      </c>
      <c r="E7155" s="56">
        <f ca="1">IF(PV[[#This Row],[Business Date]]=Control!$C$6, PV[[#This Row],[Notional Value Local Cur]], -PV[[#This Row],[Notional Value Local Cur]])</f>
        <v>0</v>
      </c>
    </row>
    <row r="7156" spans="1:5" x14ac:dyDescent="0.25">
      <c r="A7156" s="36" t="b">
        <v>0</v>
      </c>
      <c r="B7156" s="56" t="b">
        <v>0</v>
      </c>
      <c r="C7156" s="56" t="b">
        <v>0</v>
      </c>
      <c r="D7156" s="56" t="b">
        <v>0</v>
      </c>
      <c r="E7156" s="56">
        <f ca="1">IF(PV[[#This Row],[Business Date]]=Control!$C$6, PV[[#This Row],[Notional Value Local Cur]], -PV[[#This Row],[Notional Value Local Cur]])</f>
        <v>0</v>
      </c>
    </row>
    <row r="7157" spans="1:5" x14ac:dyDescent="0.25">
      <c r="A7157" s="36" t="b">
        <v>0</v>
      </c>
      <c r="B7157" s="56" t="b">
        <v>0</v>
      </c>
      <c r="C7157" s="56" t="b">
        <v>0</v>
      </c>
      <c r="D7157" s="56" t="b">
        <v>0</v>
      </c>
      <c r="E7157" s="56">
        <f ca="1">IF(PV[[#This Row],[Business Date]]=Control!$C$6, PV[[#This Row],[Notional Value Local Cur]], -PV[[#This Row],[Notional Value Local Cur]])</f>
        <v>0</v>
      </c>
    </row>
    <row r="7158" spans="1:5" x14ac:dyDescent="0.25">
      <c r="A7158" s="36" t="b">
        <v>0</v>
      </c>
      <c r="B7158" s="56" t="b">
        <v>0</v>
      </c>
      <c r="C7158" s="56" t="b">
        <v>0</v>
      </c>
      <c r="D7158" s="56" t="b">
        <v>0</v>
      </c>
      <c r="E7158" s="56">
        <f ca="1">IF(PV[[#This Row],[Business Date]]=Control!$C$6, PV[[#This Row],[Notional Value Local Cur]], -PV[[#This Row],[Notional Value Local Cur]])</f>
        <v>0</v>
      </c>
    </row>
    <row r="7159" spans="1:5" x14ac:dyDescent="0.25">
      <c r="A7159" s="36" t="b">
        <v>0</v>
      </c>
      <c r="B7159" s="56" t="b">
        <v>0</v>
      </c>
      <c r="C7159" s="56" t="b">
        <v>0</v>
      </c>
      <c r="D7159" s="56" t="b">
        <v>0</v>
      </c>
      <c r="E7159" s="56">
        <f ca="1">IF(PV[[#This Row],[Business Date]]=Control!$C$6, PV[[#This Row],[Notional Value Local Cur]], -PV[[#This Row],[Notional Value Local Cur]])</f>
        <v>0</v>
      </c>
    </row>
    <row r="7160" spans="1:5" x14ac:dyDescent="0.25">
      <c r="A7160" s="36" t="b">
        <v>0</v>
      </c>
      <c r="B7160" s="56" t="b">
        <v>0</v>
      </c>
      <c r="C7160" s="56" t="b">
        <v>0</v>
      </c>
      <c r="D7160" s="56" t="b">
        <v>0</v>
      </c>
      <c r="E7160" s="56">
        <f ca="1">IF(PV[[#This Row],[Business Date]]=Control!$C$6, PV[[#This Row],[Notional Value Local Cur]], -PV[[#This Row],[Notional Value Local Cur]])</f>
        <v>0</v>
      </c>
    </row>
    <row r="7161" spans="1:5" x14ac:dyDescent="0.25">
      <c r="A7161" s="36" t="b">
        <v>0</v>
      </c>
      <c r="B7161" s="56" t="b">
        <v>0</v>
      </c>
      <c r="C7161" s="56" t="b">
        <v>0</v>
      </c>
      <c r="D7161" s="56" t="b">
        <v>0</v>
      </c>
      <c r="E7161" s="56">
        <f ca="1">IF(PV[[#This Row],[Business Date]]=Control!$C$6, PV[[#This Row],[Notional Value Local Cur]], -PV[[#This Row],[Notional Value Local Cur]])</f>
        <v>0</v>
      </c>
    </row>
    <row r="7162" spans="1:5" x14ac:dyDescent="0.25">
      <c r="A7162" s="36" t="b">
        <v>0</v>
      </c>
      <c r="B7162" s="56" t="b">
        <v>0</v>
      </c>
      <c r="C7162" s="56" t="b">
        <v>0</v>
      </c>
      <c r="D7162" s="56" t="b">
        <v>0</v>
      </c>
      <c r="E7162" s="56">
        <f ca="1">IF(PV[[#This Row],[Business Date]]=Control!$C$6, PV[[#This Row],[Notional Value Local Cur]], -PV[[#This Row],[Notional Value Local Cur]])</f>
        <v>0</v>
      </c>
    </row>
    <row r="7163" spans="1:5" x14ac:dyDescent="0.25">
      <c r="A7163" s="36" t="b">
        <v>0</v>
      </c>
      <c r="B7163" s="56" t="b">
        <v>0</v>
      </c>
      <c r="C7163" s="56" t="b">
        <v>0</v>
      </c>
      <c r="D7163" s="56" t="b">
        <v>0</v>
      </c>
      <c r="E7163" s="56">
        <f ca="1">IF(PV[[#This Row],[Business Date]]=Control!$C$6, PV[[#This Row],[Notional Value Local Cur]], -PV[[#This Row],[Notional Value Local Cur]])</f>
        <v>0</v>
      </c>
    </row>
    <row r="7164" spans="1:5" x14ac:dyDescent="0.25">
      <c r="A7164" s="36" t="b">
        <v>0</v>
      </c>
      <c r="B7164" s="56" t="b">
        <v>0</v>
      </c>
      <c r="C7164" s="56" t="b">
        <v>0</v>
      </c>
      <c r="D7164" s="56" t="b">
        <v>0</v>
      </c>
      <c r="E7164" s="56">
        <f ca="1">IF(PV[[#This Row],[Business Date]]=Control!$C$6, PV[[#This Row],[Notional Value Local Cur]], -PV[[#This Row],[Notional Value Local Cur]])</f>
        <v>0</v>
      </c>
    </row>
    <row r="7165" spans="1:5" x14ac:dyDescent="0.25">
      <c r="A7165" s="36" t="b">
        <v>0</v>
      </c>
      <c r="B7165" s="56" t="b">
        <v>0</v>
      </c>
      <c r="C7165" s="56" t="b">
        <v>0</v>
      </c>
      <c r="D7165" s="56" t="b">
        <v>0</v>
      </c>
      <c r="E7165" s="56">
        <f ca="1">IF(PV[[#This Row],[Business Date]]=Control!$C$6, PV[[#This Row],[Notional Value Local Cur]], -PV[[#This Row],[Notional Value Local Cur]])</f>
        <v>0</v>
      </c>
    </row>
    <row r="7166" spans="1:5" x14ac:dyDescent="0.25">
      <c r="A7166" s="36" t="b">
        <v>0</v>
      </c>
      <c r="B7166" s="56" t="b">
        <v>0</v>
      </c>
      <c r="C7166" s="56" t="b">
        <v>0</v>
      </c>
      <c r="D7166" s="56" t="b">
        <v>0</v>
      </c>
      <c r="E7166" s="56">
        <f ca="1">IF(PV[[#This Row],[Business Date]]=Control!$C$6, PV[[#This Row],[Notional Value Local Cur]], -PV[[#This Row],[Notional Value Local Cur]])</f>
        <v>0</v>
      </c>
    </row>
    <row r="7167" spans="1:5" x14ac:dyDescent="0.25">
      <c r="A7167" s="36" t="b">
        <v>0</v>
      </c>
      <c r="B7167" s="56" t="b">
        <v>0</v>
      </c>
      <c r="C7167" s="56" t="b">
        <v>0</v>
      </c>
      <c r="D7167" s="56" t="b">
        <v>0</v>
      </c>
      <c r="E7167" s="56">
        <f ca="1">IF(PV[[#This Row],[Business Date]]=Control!$C$6, PV[[#This Row],[Notional Value Local Cur]], -PV[[#This Row],[Notional Value Local Cur]])</f>
        <v>0</v>
      </c>
    </row>
    <row r="7168" spans="1:5" x14ac:dyDescent="0.25">
      <c r="A7168" s="36" t="b">
        <v>0</v>
      </c>
      <c r="B7168" s="56" t="b">
        <v>0</v>
      </c>
      <c r="C7168" s="56" t="b">
        <v>0</v>
      </c>
      <c r="D7168" s="56" t="b">
        <v>0</v>
      </c>
      <c r="E7168" s="56">
        <f ca="1">IF(PV[[#This Row],[Business Date]]=Control!$C$6, PV[[#This Row],[Notional Value Local Cur]], -PV[[#This Row],[Notional Value Local Cur]])</f>
        <v>0</v>
      </c>
    </row>
    <row r="7169" spans="1:5" x14ac:dyDescent="0.25">
      <c r="A7169" s="36" t="b">
        <v>0</v>
      </c>
      <c r="B7169" s="56" t="b">
        <v>0</v>
      </c>
      <c r="C7169" s="56" t="b">
        <v>0</v>
      </c>
      <c r="D7169" s="56" t="b">
        <v>0</v>
      </c>
      <c r="E7169" s="56">
        <f ca="1">IF(PV[[#This Row],[Business Date]]=Control!$C$6, PV[[#This Row],[Notional Value Local Cur]], -PV[[#This Row],[Notional Value Local Cur]])</f>
        <v>0</v>
      </c>
    </row>
    <row r="7170" spans="1:5" x14ac:dyDescent="0.25">
      <c r="A7170" s="36" t="b">
        <v>0</v>
      </c>
      <c r="B7170" s="56" t="b">
        <v>0</v>
      </c>
      <c r="C7170" s="56" t="b">
        <v>0</v>
      </c>
      <c r="D7170" s="56" t="b">
        <v>0</v>
      </c>
      <c r="E7170" s="56">
        <f ca="1">IF(PV[[#This Row],[Business Date]]=Control!$C$6, PV[[#This Row],[Notional Value Local Cur]], -PV[[#This Row],[Notional Value Local Cur]])</f>
        <v>0</v>
      </c>
    </row>
    <row r="7171" spans="1:5" x14ac:dyDescent="0.25">
      <c r="A7171" s="36" t="b">
        <v>0</v>
      </c>
      <c r="B7171" s="56" t="b">
        <v>0</v>
      </c>
      <c r="C7171" s="56" t="b">
        <v>0</v>
      </c>
      <c r="D7171" s="56" t="b">
        <v>0</v>
      </c>
      <c r="E7171" s="56">
        <f ca="1">IF(PV[[#This Row],[Business Date]]=Control!$C$6, PV[[#This Row],[Notional Value Local Cur]], -PV[[#This Row],[Notional Value Local Cur]])</f>
        <v>0</v>
      </c>
    </row>
    <row r="7172" spans="1:5" x14ac:dyDescent="0.25">
      <c r="A7172" s="36" t="b">
        <v>0</v>
      </c>
      <c r="B7172" s="56" t="b">
        <v>0</v>
      </c>
      <c r="C7172" s="56" t="b">
        <v>0</v>
      </c>
      <c r="D7172" s="56" t="b">
        <v>0</v>
      </c>
      <c r="E7172" s="56">
        <f ca="1">IF(PV[[#This Row],[Business Date]]=Control!$C$6, PV[[#This Row],[Notional Value Local Cur]], -PV[[#This Row],[Notional Value Local Cur]])</f>
        <v>0</v>
      </c>
    </row>
    <row r="7173" spans="1:5" x14ac:dyDescent="0.25">
      <c r="A7173" s="36" t="b">
        <v>0</v>
      </c>
      <c r="B7173" s="56" t="b">
        <v>0</v>
      </c>
      <c r="C7173" s="56" t="b">
        <v>0</v>
      </c>
      <c r="D7173" s="56" t="b">
        <v>0</v>
      </c>
      <c r="E7173" s="56">
        <f ca="1">IF(PV[[#This Row],[Business Date]]=Control!$C$6, PV[[#This Row],[Notional Value Local Cur]], -PV[[#This Row],[Notional Value Local Cur]])</f>
        <v>0</v>
      </c>
    </row>
    <row r="7174" spans="1:5" x14ac:dyDescent="0.25">
      <c r="A7174" s="36" t="b">
        <v>0</v>
      </c>
      <c r="B7174" s="56" t="b">
        <v>0</v>
      </c>
      <c r="C7174" s="56" t="b">
        <v>0</v>
      </c>
      <c r="D7174" s="56" t="b">
        <v>0</v>
      </c>
      <c r="E7174" s="56">
        <f ca="1">IF(PV[[#This Row],[Business Date]]=Control!$C$6, PV[[#This Row],[Notional Value Local Cur]], -PV[[#This Row],[Notional Value Local Cur]])</f>
        <v>0</v>
      </c>
    </row>
    <row r="7175" spans="1:5" x14ac:dyDescent="0.25">
      <c r="A7175" s="36" t="b">
        <v>0</v>
      </c>
      <c r="B7175" s="56" t="b">
        <v>0</v>
      </c>
      <c r="C7175" s="56" t="b">
        <v>0</v>
      </c>
      <c r="D7175" s="56" t="b">
        <v>0</v>
      </c>
      <c r="E7175" s="56">
        <f ca="1">IF(PV[[#This Row],[Business Date]]=Control!$C$6, PV[[#This Row],[Notional Value Local Cur]], -PV[[#This Row],[Notional Value Local Cur]])</f>
        <v>0</v>
      </c>
    </row>
    <row r="7176" spans="1:5" x14ac:dyDescent="0.25">
      <c r="A7176" s="36" t="b">
        <v>0</v>
      </c>
      <c r="B7176" s="56" t="b">
        <v>0</v>
      </c>
      <c r="C7176" s="56" t="b">
        <v>0</v>
      </c>
      <c r="D7176" s="56" t="b">
        <v>0</v>
      </c>
      <c r="E7176" s="56">
        <f ca="1">IF(PV[[#This Row],[Business Date]]=Control!$C$6, PV[[#This Row],[Notional Value Local Cur]], -PV[[#This Row],[Notional Value Local Cur]])</f>
        <v>0</v>
      </c>
    </row>
    <row r="7177" spans="1:5" x14ac:dyDescent="0.25">
      <c r="A7177" s="36" t="b">
        <v>0</v>
      </c>
      <c r="B7177" s="56" t="b">
        <v>0</v>
      </c>
      <c r="C7177" s="56" t="b">
        <v>0</v>
      </c>
      <c r="D7177" s="56" t="b">
        <v>0</v>
      </c>
      <c r="E7177" s="56">
        <f ca="1">IF(PV[[#This Row],[Business Date]]=Control!$C$6, PV[[#This Row],[Notional Value Local Cur]], -PV[[#This Row],[Notional Value Local Cur]])</f>
        <v>0</v>
      </c>
    </row>
    <row r="7178" spans="1:5" x14ac:dyDescent="0.25">
      <c r="A7178" s="36" t="b">
        <v>0</v>
      </c>
      <c r="B7178" s="56" t="b">
        <v>0</v>
      </c>
      <c r="C7178" s="56" t="b">
        <v>0</v>
      </c>
      <c r="D7178" s="56" t="b">
        <v>0</v>
      </c>
      <c r="E7178" s="56">
        <f ca="1">IF(PV[[#This Row],[Business Date]]=Control!$C$6, PV[[#This Row],[Notional Value Local Cur]], -PV[[#This Row],[Notional Value Local Cur]])</f>
        <v>0</v>
      </c>
    </row>
    <row r="7179" spans="1:5" x14ac:dyDescent="0.25">
      <c r="A7179" s="36" t="b">
        <v>0</v>
      </c>
      <c r="B7179" s="56" t="b">
        <v>0</v>
      </c>
      <c r="C7179" s="56" t="b">
        <v>0</v>
      </c>
      <c r="D7179" s="56" t="b">
        <v>0</v>
      </c>
      <c r="E7179" s="56">
        <f ca="1">IF(PV[[#This Row],[Business Date]]=Control!$C$6, PV[[#This Row],[Notional Value Local Cur]], -PV[[#This Row],[Notional Value Local Cur]])</f>
        <v>0</v>
      </c>
    </row>
    <row r="7180" spans="1:5" x14ac:dyDescent="0.25">
      <c r="A7180" s="36" t="b">
        <v>0</v>
      </c>
      <c r="B7180" s="56" t="b">
        <v>0</v>
      </c>
      <c r="C7180" s="56" t="b">
        <v>0</v>
      </c>
      <c r="D7180" s="56" t="b">
        <v>0</v>
      </c>
      <c r="E7180" s="56">
        <f ca="1">IF(PV[[#This Row],[Business Date]]=Control!$C$6, PV[[#This Row],[Notional Value Local Cur]], -PV[[#This Row],[Notional Value Local Cur]])</f>
        <v>0</v>
      </c>
    </row>
    <row r="7181" spans="1:5" x14ac:dyDescent="0.25">
      <c r="A7181" s="36" t="b">
        <v>0</v>
      </c>
      <c r="B7181" s="56" t="b">
        <v>0</v>
      </c>
      <c r="C7181" s="56" t="b">
        <v>0</v>
      </c>
      <c r="D7181" s="56" t="b">
        <v>0</v>
      </c>
      <c r="E7181" s="56">
        <f ca="1">IF(PV[[#This Row],[Business Date]]=Control!$C$6, PV[[#This Row],[Notional Value Local Cur]], -PV[[#This Row],[Notional Value Local Cur]])</f>
        <v>0</v>
      </c>
    </row>
    <row r="7182" spans="1:5" x14ac:dyDescent="0.25">
      <c r="A7182" s="36" t="b">
        <v>0</v>
      </c>
      <c r="B7182" s="56" t="b">
        <v>0</v>
      </c>
      <c r="C7182" s="56" t="b">
        <v>0</v>
      </c>
      <c r="D7182" s="56" t="b">
        <v>0</v>
      </c>
      <c r="E7182" s="56">
        <f ca="1">IF(PV[[#This Row],[Business Date]]=Control!$C$6, PV[[#This Row],[Notional Value Local Cur]], -PV[[#This Row],[Notional Value Local Cur]])</f>
        <v>0</v>
      </c>
    </row>
    <row r="7183" spans="1:5" x14ac:dyDescent="0.25">
      <c r="A7183" s="36" t="b">
        <v>0</v>
      </c>
      <c r="B7183" s="56" t="b">
        <v>0</v>
      </c>
      <c r="C7183" s="56" t="b">
        <v>0</v>
      </c>
      <c r="D7183" s="56" t="b">
        <v>0</v>
      </c>
      <c r="E7183" s="56">
        <f ca="1">IF(PV[[#This Row],[Business Date]]=Control!$C$6, PV[[#This Row],[Notional Value Local Cur]], -PV[[#This Row],[Notional Value Local Cur]])</f>
        <v>0</v>
      </c>
    </row>
    <row r="7184" spans="1:5" x14ac:dyDescent="0.25">
      <c r="A7184" s="36" t="b">
        <v>0</v>
      </c>
      <c r="B7184" s="56" t="b">
        <v>0</v>
      </c>
      <c r="C7184" s="56" t="b">
        <v>0</v>
      </c>
      <c r="D7184" s="56" t="b">
        <v>0</v>
      </c>
      <c r="E7184" s="56">
        <f ca="1">IF(PV[[#This Row],[Business Date]]=Control!$C$6, PV[[#This Row],[Notional Value Local Cur]], -PV[[#This Row],[Notional Value Local Cur]])</f>
        <v>0</v>
      </c>
    </row>
    <row r="7185" spans="1:5" x14ac:dyDescent="0.25">
      <c r="A7185" s="36" t="b">
        <v>0</v>
      </c>
      <c r="B7185" s="56" t="b">
        <v>0</v>
      </c>
      <c r="C7185" s="56" t="b">
        <v>0</v>
      </c>
      <c r="D7185" s="56" t="b">
        <v>0</v>
      </c>
      <c r="E7185" s="56">
        <f ca="1">IF(PV[[#This Row],[Business Date]]=Control!$C$6, PV[[#This Row],[Notional Value Local Cur]], -PV[[#This Row],[Notional Value Local Cur]])</f>
        <v>0</v>
      </c>
    </row>
    <row r="7186" spans="1:5" x14ac:dyDescent="0.25">
      <c r="A7186" s="36" t="b">
        <v>0</v>
      </c>
      <c r="B7186" s="56" t="b">
        <v>0</v>
      </c>
      <c r="C7186" s="56" t="b">
        <v>0</v>
      </c>
      <c r="D7186" s="56" t="b">
        <v>0</v>
      </c>
      <c r="E7186" s="56">
        <f ca="1">IF(PV[[#This Row],[Business Date]]=Control!$C$6, PV[[#This Row],[Notional Value Local Cur]], -PV[[#This Row],[Notional Value Local Cur]])</f>
        <v>0</v>
      </c>
    </row>
    <row r="7187" spans="1:5" x14ac:dyDescent="0.25">
      <c r="A7187" s="36" t="b">
        <v>0</v>
      </c>
      <c r="B7187" s="56" t="b">
        <v>0</v>
      </c>
      <c r="C7187" s="56" t="b">
        <v>0</v>
      </c>
      <c r="D7187" s="56" t="b">
        <v>0</v>
      </c>
      <c r="E7187" s="56">
        <f ca="1">IF(PV[[#This Row],[Business Date]]=Control!$C$6, PV[[#This Row],[Notional Value Local Cur]], -PV[[#This Row],[Notional Value Local Cur]])</f>
        <v>0</v>
      </c>
    </row>
    <row r="7188" spans="1:5" x14ac:dyDescent="0.25">
      <c r="A7188" s="36" t="b">
        <v>0</v>
      </c>
      <c r="B7188" s="56" t="b">
        <v>0</v>
      </c>
      <c r="C7188" s="56" t="b">
        <v>0</v>
      </c>
      <c r="D7188" s="56" t="b">
        <v>0</v>
      </c>
      <c r="E7188" s="56">
        <f ca="1">IF(PV[[#This Row],[Business Date]]=Control!$C$6, PV[[#This Row],[Notional Value Local Cur]], -PV[[#This Row],[Notional Value Local Cur]])</f>
        <v>0</v>
      </c>
    </row>
    <row r="7189" spans="1:5" x14ac:dyDescent="0.25">
      <c r="A7189" s="36" t="b">
        <v>0</v>
      </c>
      <c r="B7189" s="56" t="b">
        <v>0</v>
      </c>
      <c r="C7189" s="56" t="b">
        <v>0</v>
      </c>
      <c r="D7189" s="56" t="b">
        <v>0</v>
      </c>
      <c r="E7189" s="56">
        <f ca="1">IF(PV[[#This Row],[Business Date]]=Control!$C$6, PV[[#This Row],[Notional Value Local Cur]], -PV[[#This Row],[Notional Value Local Cur]])</f>
        <v>0</v>
      </c>
    </row>
    <row r="7190" spans="1:5" x14ac:dyDescent="0.25">
      <c r="A7190" s="36" t="b">
        <v>0</v>
      </c>
      <c r="B7190" s="56" t="b">
        <v>0</v>
      </c>
      <c r="C7190" s="56" t="b">
        <v>0</v>
      </c>
      <c r="D7190" s="56" t="b">
        <v>0</v>
      </c>
      <c r="E7190" s="56">
        <f ca="1">IF(PV[[#This Row],[Business Date]]=Control!$C$6, PV[[#This Row],[Notional Value Local Cur]], -PV[[#This Row],[Notional Value Local Cur]])</f>
        <v>0</v>
      </c>
    </row>
    <row r="7191" spans="1:5" x14ac:dyDescent="0.25">
      <c r="A7191" s="36" t="b">
        <v>0</v>
      </c>
      <c r="B7191" s="56" t="b">
        <v>0</v>
      </c>
      <c r="C7191" s="56" t="b">
        <v>0</v>
      </c>
      <c r="D7191" s="56" t="b">
        <v>0</v>
      </c>
      <c r="E7191" s="56">
        <f ca="1">IF(PV[[#This Row],[Business Date]]=Control!$C$6, PV[[#This Row],[Notional Value Local Cur]], -PV[[#This Row],[Notional Value Local Cur]])</f>
        <v>0</v>
      </c>
    </row>
    <row r="7192" spans="1:5" x14ac:dyDescent="0.25">
      <c r="A7192" s="36" t="b">
        <v>0</v>
      </c>
      <c r="B7192" s="56" t="b">
        <v>0</v>
      </c>
      <c r="C7192" s="56" t="b">
        <v>0</v>
      </c>
      <c r="D7192" s="56" t="b">
        <v>0</v>
      </c>
      <c r="E7192" s="56">
        <f ca="1">IF(PV[[#This Row],[Business Date]]=Control!$C$6, PV[[#This Row],[Notional Value Local Cur]], -PV[[#This Row],[Notional Value Local Cur]])</f>
        <v>0</v>
      </c>
    </row>
    <row r="7193" spans="1:5" x14ac:dyDescent="0.25">
      <c r="A7193" s="36" t="b">
        <v>0</v>
      </c>
      <c r="B7193" s="56" t="b">
        <v>0</v>
      </c>
      <c r="C7193" s="56" t="b">
        <v>0</v>
      </c>
      <c r="D7193" s="56" t="b">
        <v>0</v>
      </c>
      <c r="E7193" s="56">
        <f ca="1">IF(PV[[#This Row],[Business Date]]=Control!$C$6, PV[[#This Row],[Notional Value Local Cur]], -PV[[#This Row],[Notional Value Local Cur]])</f>
        <v>0</v>
      </c>
    </row>
    <row r="7194" spans="1:5" x14ac:dyDescent="0.25">
      <c r="A7194" s="36" t="b">
        <v>0</v>
      </c>
      <c r="B7194" s="56" t="b">
        <v>0</v>
      </c>
      <c r="C7194" s="56" t="b">
        <v>0</v>
      </c>
      <c r="D7194" s="56" t="b">
        <v>0</v>
      </c>
      <c r="E7194" s="56">
        <f ca="1">IF(PV[[#This Row],[Business Date]]=Control!$C$6, PV[[#This Row],[Notional Value Local Cur]], -PV[[#This Row],[Notional Value Local Cur]])</f>
        <v>0</v>
      </c>
    </row>
    <row r="7195" spans="1:5" x14ac:dyDescent="0.25">
      <c r="A7195" s="36" t="b">
        <v>0</v>
      </c>
      <c r="B7195" s="56" t="b">
        <v>0</v>
      </c>
      <c r="C7195" s="56" t="b">
        <v>0</v>
      </c>
      <c r="D7195" s="56" t="b">
        <v>0</v>
      </c>
      <c r="E7195" s="56">
        <f ca="1">IF(PV[[#This Row],[Business Date]]=Control!$C$6, PV[[#This Row],[Notional Value Local Cur]], -PV[[#This Row],[Notional Value Local Cur]])</f>
        <v>0</v>
      </c>
    </row>
    <row r="7196" spans="1:5" x14ac:dyDescent="0.25">
      <c r="A7196" s="36" t="b">
        <v>0</v>
      </c>
      <c r="B7196" s="56" t="b">
        <v>0</v>
      </c>
      <c r="C7196" s="56" t="b">
        <v>0</v>
      </c>
      <c r="D7196" s="56" t="b">
        <v>0</v>
      </c>
      <c r="E7196" s="56">
        <f ca="1">IF(PV[[#This Row],[Business Date]]=Control!$C$6, PV[[#This Row],[Notional Value Local Cur]], -PV[[#This Row],[Notional Value Local Cur]])</f>
        <v>0</v>
      </c>
    </row>
    <row r="7197" spans="1:5" x14ac:dyDescent="0.25">
      <c r="A7197" s="36" t="b">
        <v>0</v>
      </c>
      <c r="B7197" s="56" t="b">
        <v>0</v>
      </c>
      <c r="C7197" s="56" t="b">
        <v>0</v>
      </c>
      <c r="D7197" s="56" t="b">
        <v>0</v>
      </c>
      <c r="E7197" s="56">
        <f ca="1">IF(PV[[#This Row],[Business Date]]=Control!$C$6, PV[[#This Row],[Notional Value Local Cur]], -PV[[#This Row],[Notional Value Local Cur]])</f>
        <v>0</v>
      </c>
    </row>
    <row r="7198" spans="1:5" x14ac:dyDescent="0.25">
      <c r="A7198" s="36" t="b">
        <v>0</v>
      </c>
      <c r="B7198" s="56" t="b">
        <v>0</v>
      </c>
      <c r="C7198" s="56" t="b">
        <v>0</v>
      </c>
      <c r="D7198" s="56" t="b">
        <v>0</v>
      </c>
      <c r="E7198" s="56">
        <f ca="1">IF(PV[[#This Row],[Business Date]]=Control!$C$6, PV[[#This Row],[Notional Value Local Cur]], -PV[[#This Row],[Notional Value Local Cur]])</f>
        <v>0</v>
      </c>
    </row>
    <row r="7199" spans="1:5" x14ac:dyDescent="0.25">
      <c r="A7199" s="36" t="b">
        <v>0</v>
      </c>
      <c r="B7199" s="56" t="b">
        <v>0</v>
      </c>
      <c r="C7199" s="56" t="b">
        <v>0</v>
      </c>
      <c r="D7199" s="56" t="b">
        <v>0</v>
      </c>
      <c r="E7199" s="56">
        <f ca="1">IF(PV[[#This Row],[Business Date]]=Control!$C$6, PV[[#This Row],[Notional Value Local Cur]], -PV[[#This Row],[Notional Value Local Cur]])</f>
        <v>0</v>
      </c>
    </row>
    <row r="7200" spans="1:5" x14ac:dyDescent="0.25">
      <c r="A7200" s="36" t="b">
        <v>0</v>
      </c>
      <c r="B7200" s="56" t="b">
        <v>0</v>
      </c>
      <c r="C7200" s="56" t="b">
        <v>0</v>
      </c>
      <c r="D7200" s="56" t="b">
        <v>0</v>
      </c>
      <c r="E7200" s="56">
        <f ca="1">IF(PV[[#This Row],[Business Date]]=Control!$C$6, PV[[#This Row],[Notional Value Local Cur]], -PV[[#This Row],[Notional Value Local Cur]])</f>
        <v>0</v>
      </c>
    </row>
    <row r="7201" spans="1:5" x14ac:dyDescent="0.25">
      <c r="A7201" s="36" t="b">
        <v>0</v>
      </c>
      <c r="B7201" s="56" t="b">
        <v>0</v>
      </c>
      <c r="C7201" s="56" t="b">
        <v>0</v>
      </c>
      <c r="D7201" s="56" t="b">
        <v>0</v>
      </c>
      <c r="E7201" s="56">
        <f ca="1">IF(PV[[#This Row],[Business Date]]=Control!$C$6, PV[[#This Row],[Notional Value Local Cur]], -PV[[#This Row],[Notional Value Local Cur]])</f>
        <v>0</v>
      </c>
    </row>
    <row r="7202" spans="1:5" x14ac:dyDescent="0.25">
      <c r="A7202" s="36" t="b">
        <v>0</v>
      </c>
      <c r="B7202" s="56" t="b">
        <v>0</v>
      </c>
      <c r="C7202" s="56" t="b">
        <v>0</v>
      </c>
      <c r="D7202" s="56" t="b">
        <v>0</v>
      </c>
      <c r="E7202" s="56">
        <f ca="1">IF(PV[[#This Row],[Business Date]]=Control!$C$6, PV[[#This Row],[Notional Value Local Cur]], -PV[[#This Row],[Notional Value Local Cur]])</f>
        <v>0</v>
      </c>
    </row>
    <row r="7203" spans="1:5" x14ac:dyDescent="0.25">
      <c r="A7203" s="36" t="b">
        <v>0</v>
      </c>
      <c r="B7203" s="56" t="b">
        <v>0</v>
      </c>
      <c r="C7203" s="56" t="b">
        <v>0</v>
      </c>
      <c r="D7203" s="56" t="b">
        <v>0</v>
      </c>
      <c r="E7203" s="56">
        <f ca="1">IF(PV[[#This Row],[Business Date]]=Control!$C$6, PV[[#This Row],[Notional Value Local Cur]], -PV[[#This Row],[Notional Value Local Cur]])</f>
        <v>0</v>
      </c>
    </row>
    <row r="7204" spans="1:5" x14ac:dyDescent="0.25">
      <c r="A7204" s="36" t="b">
        <v>0</v>
      </c>
      <c r="B7204" s="56" t="b">
        <v>0</v>
      </c>
      <c r="C7204" s="56" t="b">
        <v>0</v>
      </c>
      <c r="D7204" s="56" t="b">
        <v>0</v>
      </c>
      <c r="E7204" s="56">
        <f ca="1">IF(PV[[#This Row],[Business Date]]=Control!$C$6, PV[[#This Row],[Notional Value Local Cur]], -PV[[#This Row],[Notional Value Local Cur]])</f>
        <v>0</v>
      </c>
    </row>
    <row r="7205" spans="1:5" x14ac:dyDescent="0.25">
      <c r="A7205" s="36" t="b">
        <v>0</v>
      </c>
      <c r="B7205" s="56" t="b">
        <v>0</v>
      </c>
      <c r="C7205" s="56" t="b">
        <v>0</v>
      </c>
      <c r="D7205" s="56" t="b">
        <v>0</v>
      </c>
      <c r="E7205" s="56">
        <f ca="1">IF(PV[[#This Row],[Business Date]]=Control!$C$6, PV[[#This Row],[Notional Value Local Cur]], -PV[[#This Row],[Notional Value Local Cur]])</f>
        <v>0</v>
      </c>
    </row>
    <row r="7206" spans="1:5" x14ac:dyDescent="0.25">
      <c r="A7206" s="36" t="b">
        <v>0</v>
      </c>
      <c r="B7206" s="56" t="b">
        <v>0</v>
      </c>
      <c r="C7206" s="56" t="b">
        <v>0</v>
      </c>
      <c r="D7206" s="56" t="b">
        <v>0</v>
      </c>
      <c r="E7206" s="56">
        <f ca="1">IF(PV[[#This Row],[Business Date]]=Control!$C$6, PV[[#This Row],[Notional Value Local Cur]], -PV[[#This Row],[Notional Value Local Cur]])</f>
        <v>0</v>
      </c>
    </row>
    <row r="7207" spans="1:5" x14ac:dyDescent="0.25">
      <c r="A7207" s="36" t="b">
        <v>0</v>
      </c>
      <c r="B7207" s="56" t="b">
        <v>0</v>
      </c>
      <c r="C7207" s="56" t="b">
        <v>0</v>
      </c>
      <c r="D7207" s="56" t="b">
        <v>0</v>
      </c>
      <c r="E7207" s="56">
        <f ca="1">IF(PV[[#This Row],[Business Date]]=Control!$C$6, PV[[#This Row],[Notional Value Local Cur]], -PV[[#This Row],[Notional Value Local Cur]])</f>
        <v>0</v>
      </c>
    </row>
    <row r="7208" spans="1:5" x14ac:dyDescent="0.25">
      <c r="A7208" s="36" t="b">
        <v>0</v>
      </c>
      <c r="B7208" s="56" t="b">
        <v>0</v>
      </c>
      <c r="C7208" s="56" t="b">
        <v>0</v>
      </c>
      <c r="D7208" s="56" t="b">
        <v>0</v>
      </c>
      <c r="E7208" s="56">
        <f ca="1">IF(PV[[#This Row],[Business Date]]=Control!$C$6, PV[[#This Row],[Notional Value Local Cur]], -PV[[#This Row],[Notional Value Local Cur]])</f>
        <v>0</v>
      </c>
    </row>
    <row r="7209" spans="1:5" x14ac:dyDescent="0.25">
      <c r="A7209" s="36" t="b">
        <v>0</v>
      </c>
      <c r="B7209" s="56" t="b">
        <v>0</v>
      </c>
      <c r="C7209" s="56" t="b">
        <v>0</v>
      </c>
      <c r="D7209" s="56" t="b">
        <v>0</v>
      </c>
      <c r="E7209" s="56">
        <f ca="1">IF(PV[[#This Row],[Business Date]]=Control!$C$6, PV[[#This Row],[Notional Value Local Cur]], -PV[[#This Row],[Notional Value Local Cur]])</f>
        <v>0</v>
      </c>
    </row>
    <row r="7210" spans="1:5" x14ac:dyDescent="0.25">
      <c r="A7210" s="36" t="b">
        <v>0</v>
      </c>
      <c r="B7210" s="56" t="b">
        <v>0</v>
      </c>
      <c r="C7210" s="56" t="b">
        <v>0</v>
      </c>
      <c r="D7210" s="56" t="b">
        <v>0</v>
      </c>
      <c r="E7210" s="56">
        <f ca="1">IF(PV[[#This Row],[Business Date]]=Control!$C$6, PV[[#This Row],[Notional Value Local Cur]], -PV[[#This Row],[Notional Value Local Cur]])</f>
        <v>0</v>
      </c>
    </row>
    <row r="7211" spans="1:5" x14ac:dyDescent="0.25">
      <c r="A7211" s="36" t="b">
        <v>0</v>
      </c>
      <c r="B7211" s="56" t="b">
        <v>0</v>
      </c>
      <c r="C7211" s="56" t="b">
        <v>0</v>
      </c>
      <c r="D7211" s="56" t="b">
        <v>0</v>
      </c>
      <c r="E7211" s="56">
        <f ca="1">IF(PV[[#This Row],[Business Date]]=Control!$C$6, PV[[#This Row],[Notional Value Local Cur]], -PV[[#This Row],[Notional Value Local Cur]])</f>
        <v>0</v>
      </c>
    </row>
    <row r="7212" spans="1:5" x14ac:dyDescent="0.25">
      <c r="A7212" s="36" t="b">
        <v>0</v>
      </c>
      <c r="B7212" s="56" t="b">
        <v>0</v>
      </c>
      <c r="C7212" s="56" t="b">
        <v>0</v>
      </c>
      <c r="D7212" s="56" t="b">
        <v>0</v>
      </c>
      <c r="E7212" s="56">
        <f ca="1">IF(PV[[#This Row],[Business Date]]=Control!$C$6, PV[[#This Row],[Notional Value Local Cur]], -PV[[#This Row],[Notional Value Local Cur]])</f>
        <v>0</v>
      </c>
    </row>
    <row r="7213" spans="1:5" x14ac:dyDescent="0.25">
      <c r="A7213" s="36" t="b">
        <v>0</v>
      </c>
      <c r="B7213" s="56" t="b">
        <v>0</v>
      </c>
      <c r="C7213" s="56" t="b">
        <v>0</v>
      </c>
      <c r="D7213" s="56" t="b">
        <v>0</v>
      </c>
      <c r="E7213" s="56">
        <f ca="1">IF(PV[[#This Row],[Business Date]]=Control!$C$6, PV[[#This Row],[Notional Value Local Cur]], -PV[[#This Row],[Notional Value Local Cur]])</f>
        <v>0</v>
      </c>
    </row>
    <row r="7214" spans="1:5" x14ac:dyDescent="0.25">
      <c r="A7214" s="36" t="b">
        <v>0</v>
      </c>
      <c r="B7214" s="56" t="b">
        <v>0</v>
      </c>
      <c r="C7214" s="56" t="b">
        <v>0</v>
      </c>
      <c r="D7214" s="56" t="b">
        <v>0</v>
      </c>
      <c r="E7214" s="56">
        <f ca="1">IF(PV[[#This Row],[Business Date]]=Control!$C$6, PV[[#This Row],[Notional Value Local Cur]], -PV[[#This Row],[Notional Value Local Cur]])</f>
        <v>0</v>
      </c>
    </row>
    <row r="7215" spans="1:5" x14ac:dyDescent="0.25">
      <c r="A7215" s="36" t="b">
        <v>0</v>
      </c>
      <c r="B7215" s="56" t="b">
        <v>0</v>
      </c>
      <c r="C7215" s="56" t="b">
        <v>0</v>
      </c>
      <c r="D7215" s="56" t="b">
        <v>0</v>
      </c>
      <c r="E7215" s="56">
        <f ca="1">IF(PV[[#This Row],[Business Date]]=Control!$C$6, PV[[#This Row],[Notional Value Local Cur]], -PV[[#This Row],[Notional Value Local Cur]])</f>
        <v>0</v>
      </c>
    </row>
    <row r="7216" spans="1:5" x14ac:dyDescent="0.25">
      <c r="A7216" s="36" t="b">
        <v>0</v>
      </c>
      <c r="B7216" s="56" t="b">
        <v>0</v>
      </c>
      <c r="C7216" s="56" t="b">
        <v>0</v>
      </c>
      <c r="D7216" s="56" t="b">
        <v>0</v>
      </c>
      <c r="E7216" s="56">
        <f ca="1">IF(PV[[#This Row],[Business Date]]=Control!$C$6, PV[[#This Row],[Notional Value Local Cur]], -PV[[#This Row],[Notional Value Local Cur]])</f>
        <v>0</v>
      </c>
    </row>
    <row r="7217" spans="1:5" x14ac:dyDescent="0.25">
      <c r="A7217" s="36" t="b">
        <v>0</v>
      </c>
      <c r="B7217" s="56" t="b">
        <v>0</v>
      </c>
      <c r="C7217" s="56" t="b">
        <v>0</v>
      </c>
      <c r="D7217" s="56" t="b">
        <v>0</v>
      </c>
      <c r="E7217" s="56">
        <f ca="1">IF(PV[[#This Row],[Business Date]]=Control!$C$6, PV[[#This Row],[Notional Value Local Cur]], -PV[[#This Row],[Notional Value Local Cur]])</f>
        <v>0</v>
      </c>
    </row>
    <row r="7218" spans="1:5" x14ac:dyDescent="0.25">
      <c r="A7218" s="36" t="b">
        <v>0</v>
      </c>
      <c r="B7218" s="56" t="b">
        <v>0</v>
      </c>
      <c r="C7218" s="56" t="b">
        <v>0</v>
      </c>
      <c r="D7218" s="56" t="b">
        <v>0</v>
      </c>
      <c r="E7218" s="56">
        <f ca="1">IF(PV[[#This Row],[Business Date]]=Control!$C$6, PV[[#This Row],[Notional Value Local Cur]], -PV[[#This Row],[Notional Value Local Cur]])</f>
        <v>0</v>
      </c>
    </row>
    <row r="7219" spans="1:5" x14ac:dyDescent="0.25">
      <c r="A7219" s="36" t="b">
        <v>0</v>
      </c>
      <c r="B7219" s="56" t="b">
        <v>0</v>
      </c>
      <c r="C7219" s="56" t="b">
        <v>0</v>
      </c>
      <c r="D7219" s="56" t="b">
        <v>0</v>
      </c>
      <c r="E7219" s="56">
        <f ca="1">IF(PV[[#This Row],[Business Date]]=Control!$C$6, PV[[#This Row],[Notional Value Local Cur]], -PV[[#This Row],[Notional Value Local Cur]])</f>
        <v>0</v>
      </c>
    </row>
    <row r="7220" spans="1:5" x14ac:dyDescent="0.25">
      <c r="A7220" s="36" t="b">
        <v>0</v>
      </c>
      <c r="B7220" s="56" t="b">
        <v>0</v>
      </c>
      <c r="C7220" s="56" t="b">
        <v>0</v>
      </c>
      <c r="D7220" s="56" t="b">
        <v>0</v>
      </c>
      <c r="E7220" s="56">
        <f ca="1">IF(PV[[#This Row],[Business Date]]=Control!$C$6, PV[[#This Row],[Notional Value Local Cur]], -PV[[#This Row],[Notional Value Local Cur]])</f>
        <v>0</v>
      </c>
    </row>
    <row r="7221" spans="1:5" x14ac:dyDescent="0.25">
      <c r="A7221" s="36" t="b">
        <v>0</v>
      </c>
      <c r="B7221" s="56" t="b">
        <v>0</v>
      </c>
      <c r="C7221" s="56" t="b">
        <v>0</v>
      </c>
      <c r="D7221" s="56" t="b">
        <v>0</v>
      </c>
      <c r="E7221" s="56">
        <f ca="1">IF(PV[[#This Row],[Business Date]]=Control!$C$6, PV[[#This Row],[Notional Value Local Cur]], -PV[[#This Row],[Notional Value Local Cur]])</f>
        <v>0</v>
      </c>
    </row>
    <row r="7222" spans="1:5" x14ac:dyDescent="0.25">
      <c r="A7222" s="36" t="b">
        <v>0</v>
      </c>
      <c r="B7222" s="56" t="b">
        <v>0</v>
      </c>
      <c r="C7222" s="56" t="b">
        <v>0</v>
      </c>
      <c r="D7222" s="56" t="b">
        <v>0</v>
      </c>
      <c r="E7222" s="56">
        <f ca="1">IF(PV[[#This Row],[Business Date]]=Control!$C$6, PV[[#This Row],[Notional Value Local Cur]], -PV[[#This Row],[Notional Value Local Cur]])</f>
        <v>0</v>
      </c>
    </row>
    <row r="7223" spans="1:5" x14ac:dyDescent="0.25">
      <c r="A7223" s="36" t="b">
        <v>0</v>
      </c>
      <c r="B7223" s="56" t="b">
        <v>0</v>
      </c>
      <c r="C7223" s="56" t="b">
        <v>0</v>
      </c>
      <c r="D7223" s="56" t="b">
        <v>0</v>
      </c>
      <c r="E7223" s="56">
        <f ca="1">IF(PV[[#This Row],[Business Date]]=Control!$C$6, PV[[#This Row],[Notional Value Local Cur]], -PV[[#This Row],[Notional Value Local Cur]])</f>
        <v>0</v>
      </c>
    </row>
    <row r="7224" spans="1:5" x14ac:dyDescent="0.25">
      <c r="A7224" s="36" t="b">
        <v>0</v>
      </c>
      <c r="B7224" s="56" t="b">
        <v>0</v>
      </c>
      <c r="C7224" s="56" t="b">
        <v>0</v>
      </c>
      <c r="D7224" s="56" t="b">
        <v>0</v>
      </c>
      <c r="E7224" s="56">
        <f ca="1">IF(PV[[#This Row],[Business Date]]=Control!$C$6, PV[[#This Row],[Notional Value Local Cur]], -PV[[#This Row],[Notional Value Local Cur]])</f>
        <v>0</v>
      </c>
    </row>
    <row r="7225" spans="1:5" x14ac:dyDescent="0.25">
      <c r="A7225" s="36" t="b">
        <v>0</v>
      </c>
      <c r="B7225" s="56" t="b">
        <v>0</v>
      </c>
      <c r="C7225" s="56" t="b">
        <v>0</v>
      </c>
      <c r="D7225" s="56" t="b">
        <v>0</v>
      </c>
      <c r="E7225" s="56">
        <f ca="1">IF(PV[[#This Row],[Business Date]]=Control!$C$6, PV[[#This Row],[Notional Value Local Cur]], -PV[[#This Row],[Notional Value Local Cur]])</f>
        <v>0</v>
      </c>
    </row>
    <row r="7226" spans="1:5" x14ac:dyDescent="0.25">
      <c r="A7226" s="36" t="b">
        <v>0</v>
      </c>
      <c r="B7226" s="56" t="b">
        <v>0</v>
      </c>
      <c r="C7226" s="56" t="b">
        <v>0</v>
      </c>
      <c r="D7226" s="56" t="b">
        <v>0</v>
      </c>
      <c r="E7226" s="56">
        <f ca="1">IF(PV[[#This Row],[Business Date]]=Control!$C$6, PV[[#This Row],[Notional Value Local Cur]], -PV[[#This Row],[Notional Value Local Cur]])</f>
        <v>0</v>
      </c>
    </row>
    <row r="7227" spans="1:5" x14ac:dyDescent="0.25">
      <c r="A7227" s="36" t="b">
        <v>0</v>
      </c>
      <c r="B7227" s="56" t="b">
        <v>0</v>
      </c>
      <c r="C7227" s="56" t="b">
        <v>0</v>
      </c>
      <c r="D7227" s="56" t="b">
        <v>0</v>
      </c>
      <c r="E7227" s="56">
        <f ca="1">IF(PV[[#This Row],[Business Date]]=Control!$C$6, PV[[#This Row],[Notional Value Local Cur]], -PV[[#This Row],[Notional Value Local Cur]])</f>
        <v>0</v>
      </c>
    </row>
    <row r="7228" spans="1:5" x14ac:dyDescent="0.25">
      <c r="A7228" s="36" t="b">
        <v>0</v>
      </c>
      <c r="B7228" s="56" t="b">
        <v>0</v>
      </c>
      <c r="C7228" s="56" t="b">
        <v>0</v>
      </c>
      <c r="D7228" s="56" t="b">
        <v>0</v>
      </c>
      <c r="E7228" s="56">
        <f ca="1">IF(PV[[#This Row],[Business Date]]=Control!$C$6, PV[[#This Row],[Notional Value Local Cur]], -PV[[#This Row],[Notional Value Local Cur]])</f>
        <v>0</v>
      </c>
    </row>
    <row r="7229" spans="1:5" x14ac:dyDescent="0.25">
      <c r="A7229" s="36" t="b">
        <v>0</v>
      </c>
      <c r="B7229" s="56" t="b">
        <v>0</v>
      </c>
      <c r="C7229" s="56" t="b">
        <v>0</v>
      </c>
      <c r="D7229" s="56" t="b">
        <v>0</v>
      </c>
      <c r="E7229" s="56">
        <f ca="1">IF(PV[[#This Row],[Business Date]]=Control!$C$6, PV[[#This Row],[Notional Value Local Cur]], -PV[[#This Row],[Notional Value Local Cur]])</f>
        <v>0</v>
      </c>
    </row>
    <row r="7230" spans="1:5" x14ac:dyDescent="0.25">
      <c r="A7230" s="36" t="b">
        <v>0</v>
      </c>
      <c r="B7230" s="56" t="b">
        <v>0</v>
      </c>
      <c r="C7230" s="56" t="b">
        <v>0</v>
      </c>
      <c r="D7230" s="56" t="b">
        <v>0</v>
      </c>
      <c r="E7230" s="56">
        <f ca="1">IF(PV[[#This Row],[Business Date]]=Control!$C$6, PV[[#This Row],[Notional Value Local Cur]], -PV[[#This Row],[Notional Value Local Cur]])</f>
        <v>0</v>
      </c>
    </row>
    <row r="7231" spans="1:5" x14ac:dyDescent="0.25">
      <c r="A7231" s="36" t="b">
        <v>0</v>
      </c>
      <c r="B7231" s="56" t="b">
        <v>0</v>
      </c>
      <c r="C7231" s="56" t="b">
        <v>0</v>
      </c>
      <c r="D7231" s="56" t="b">
        <v>0</v>
      </c>
      <c r="E7231" s="56">
        <f ca="1">IF(PV[[#This Row],[Business Date]]=Control!$C$6, PV[[#This Row],[Notional Value Local Cur]], -PV[[#This Row],[Notional Value Local Cur]])</f>
        <v>0</v>
      </c>
    </row>
    <row r="7232" spans="1:5" x14ac:dyDescent="0.25">
      <c r="A7232" s="36" t="b">
        <v>0</v>
      </c>
      <c r="B7232" s="56" t="b">
        <v>0</v>
      </c>
      <c r="C7232" s="56" t="b">
        <v>0</v>
      </c>
      <c r="D7232" s="56" t="b">
        <v>0</v>
      </c>
      <c r="E7232" s="56">
        <f ca="1">IF(PV[[#This Row],[Business Date]]=Control!$C$6, PV[[#This Row],[Notional Value Local Cur]], -PV[[#This Row],[Notional Value Local Cur]])</f>
        <v>0</v>
      </c>
    </row>
    <row r="7233" spans="1:5" x14ac:dyDescent="0.25">
      <c r="A7233" s="36" t="b">
        <v>0</v>
      </c>
      <c r="B7233" s="56" t="b">
        <v>0</v>
      </c>
      <c r="C7233" s="56" t="b">
        <v>0</v>
      </c>
      <c r="D7233" s="56" t="b">
        <v>0</v>
      </c>
      <c r="E7233" s="56">
        <f ca="1">IF(PV[[#This Row],[Business Date]]=Control!$C$6, PV[[#This Row],[Notional Value Local Cur]], -PV[[#This Row],[Notional Value Local Cur]])</f>
        <v>0</v>
      </c>
    </row>
    <row r="7234" spans="1:5" x14ac:dyDescent="0.25">
      <c r="A7234" s="36" t="b">
        <v>0</v>
      </c>
      <c r="B7234" s="56" t="b">
        <v>0</v>
      </c>
      <c r="C7234" s="56" t="b">
        <v>0</v>
      </c>
      <c r="D7234" s="56" t="b">
        <v>0</v>
      </c>
      <c r="E7234" s="56">
        <f ca="1">IF(PV[[#This Row],[Business Date]]=Control!$C$6, PV[[#This Row],[Notional Value Local Cur]], -PV[[#This Row],[Notional Value Local Cur]])</f>
        <v>0</v>
      </c>
    </row>
    <row r="7235" spans="1:5" x14ac:dyDescent="0.25">
      <c r="A7235" s="36" t="b">
        <v>0</v>
      </c>
      <c r="B7235" s="56" t="b">
        <v>0</v>
      </c>
      <c r="C7235" s="56" t="b">
        <v>0</v>
      </c>
      <c r="D7235" s="56" t="b">
        <v>0</v>
      </c>
      <c r="E7235" s="56">
        <f ca="1">IF(PV[[#This Row],[Business Date]]=Control!$C$6, PV[[#This Row],[Notional Value Local Cur]], -PV[[#This Row],[Notional Value Local Cur]])</f>
        <v>0</v>
      </c>
    </row>
    <row r="7236" spans="1:5" x14ac:dyDescent="0.25">
      <c r="A7236" s="36" t="b">
        <v>0</v>
      </c>
      <c r="B7236" s="56" t="b">
        <v>0</v>
      </c>
      <c r="C7236" s="56" t="b">
        <v>0</v>
      </c>
      <c r="D7236" s="56" t="b">
        <v>0</v>
      </c>
      <c r="E7236" s="56">
        <f ca="1">IF(PV[[#This Row],[Business Date]]=Control!$C$6, PV[[#This Row],[Notional Value Local Cur]], -PV[[#This Row],[Notional Value Local Cur]])</f>
        <v>0</v>
      </c>
    </row>
    <row r="7237" spans="1:5" x14ac:dyDescent="0.25">
      <c r="A7237" s="36" t="b">
        <v>0</v>
      </c>
      <c r="B7237" s="56" t="b">
        <v>0</v>
      </c>
      <c r="C7237" s="56" t="b">
        <v>0</v>
      </c>
      <c r="D7237" s="56" t="b">
        <v>0</v>
      </c>
      <c r="E7237" s="56">
        <f ca="1">IF(PV[[#This Row],[Business Date]]=Control!$C$6, PV[[#This Row],[Notional Value Local Cur]], -PV[[#This Row],[Notional Value Local Cur]])</f>
        <v>0</v>
      </c>
    </row>
    <row r="7238" spans="1:5" x14ac:dyDescent="0.25">
      <c r="A7238" s="36" t="b">
        <v>0</v>
      </c>
      <c r="B7238" s="56" t="b">
        <v>0</v>
      </c>
      <c r="C7238" s="56" t="b">
        <v>0</v>
      </c>
      <c r="D7238" s="56" t="b">
        <v>0</v>
      </c>
      <c r="E7238" s="56">
        <f ca="1">IF(PV[[#This Row],[Business Date]]=Control!$C$6, PV[[#This Row],[Notional Value Local Cur]], -PV[[#This Row],[Notional Value Local Cur]])</f>
        <v>0</v>
      </c>
    </row>
    <row r="7239" spans="1:5" x14ac:dyDescent="0.25">
      <c r="A7239" s="36" t="b">
        <v>0</v>
      </c>
      <c r="B7239" s="56" t="b">
        <v>0</v>
      </c>
      <c r="C7239" s="56" t="b">
        <v>0</v>
      </c>
      <c r="D7239" s="56" t="b">
        <v>0</v>
      </c>
      <c r="E7239" s="56">
        <f ca="1">IF(PV[[#This Row],[Business Date]]=Control!$C$6, PV[[#This Row],[Notional Value Local Cur]], -PV[[#This Row],[Notional Value Local Cur]])</f>
        <v>0</v>
      </c>
    </row>
    <row r="7240" spans="1:5" x14ac:dyDescent="0.25">
      <c r="A7240" s="36" t="b">
        <v>0</v>
      </c>
      <c r="B7240" s="56" t="b">
        <v>0</v>
      </c>
      <c r="C7240" s="56" t="b">
        <v>0</v>
      </c>
      <c r="D7240" s="56" t="b">
        <v>0</v>
      </c>
      <c r="E7240" s="56">
        <f ca="1">IF(PV[[#This Row],[Business Date]]=Control!$C$6, PV[[#This Row],[Notional Value Local Cur]], -PV[[#This Row],[Notional Value Local Cur]])</f>
        <v>0</v>
      </c>
    </row>
    <row r="7241" spans="1:5" x14ac:dyDescent="0.25">
      <c r="A7241" s="36" t="b">
        <v>0</v>
      </c>
      <c r="B7241" s="56" t="b">
        <v>0</v>
      </c>
      <c r="C7241" s="56" t="b">
        <v>0</v>
      </c>
      <c r="D7241" s="56" t="b">
        <v>0</v>
      </c>
      <c r="E7241" s="56">
        <f ca="1">IF(PV[[#This Row],[Business Date]]=Control!$C$6, PV[[#This Row],[Notional Value Local Cur]], -PV[[#This Row],[Notional Value Local Cur]])</f>
        <v>0</v>
      </c>
    </row>
    <row r="7242" spans="1:5" x14ac:dyDescent="0.25">
      <c r="A7242" s="36" t="b">
        <v>0</v>
      </c>
      <c r="B7242" s="56" t="b">
        <v>0</v>
      </c>
      <c r="C7242" s="56" t="b">
        <v>0</v>
      </c>
      <c r="D7242" s="56" t="b">
        <v>0</v>
      </c>
      <c r="E7242" s="56">
        <f ca="1">IF(PV[[#This Row],[Business Date]]=Control!$C$6, PV[[#This Row],[Notional Value Local Cur]], -PV[[#This Row],[Notional Value Local Cur]])</f>
        <v>0</v>
      </c>
    </row>
    <row r="7243" spans="1:5" x14ac:dyDescent="0.25">
      <c r="A7243" s="36" t="b">
        <v>0</v>
      </c>
      <c r="B7243" s="56" t="b">
        <v>0</v>
      </c>
      <c r="C7243" s="56" t="b">
        <v>0</v>
      </c>
      <c r="D7243" s="56" t="b">
        <v>0</v>
      </c>
      <c r="E7243" s="56">
        <f ca="1">IF(PV[[#This Row],[Business Date]]=Control!$C$6, PV[[#This Row],[Notional Value Local Cur]], -PV[[#This Row],[Notional Value Local Cur]])</f>
        <v>0</v>
      </c>
    </row>
    <row r="7244" spans="1:5" x14ac:dyDescent="0.25">
      <c r="A7244" s="36" t="b">
        <v>0</v>
      </c>
      <c r="B7244" s="56" t="b">
        <v>0</v>
      </c>
      <c r="C7244" s="56" t="b">
        <v>0</v>
      </c>
      <c r="D7244" s="56" t="b">
        <v>0</v>
      </c>
      <c r="E7244" s="56">
        <f ca="1">IF(PV[[#This Row],[Business Date]]=Control!$C$6, PV[[#This Row],[Notional Value Local Cur]], -PV[[#This Row],[Notional Value Local Cur]])</f>
        <v>0</v>
      </c>
    </row>
    <row r="7245" spans="1:5" x14ac:dyDescent="0.25">
      <c r="A7245" s="36" t="b">
        <v>0</v>
      </c>
      <c r="B7245" s="56" t="b">
        <v>0</v>
      </c>
      <c r="C7245" s="56" t="b">
        <v>0</v>
      </c>
      <c r="D7245" s="56" t="b">
        <v>0</v>
      </c>
      <c r="E7245" s="56">
        <f ca="1">IF(PV[[#This Row],[Business Date]]=Control!$C$6, PV[[#This Row],[Notional Value Local Cur]], -PV[[#This Row],[Notional Value Local Cur]])</f>
        <v>0</v>
      </c>
    </row>
    <row r="7246" spans="1:5" x14ac:dyDescent="0.25">
      <c r="A7246" s="36" t="b">
        <v>0</v>
      </c>
      <c r="B7246" s="56" t="b">
        <v>0</v>
      </c>
      <c r="C7246" s="56" t="b">
        <v>0</v>
      </c>
      <c r="D7246" s="56" t="b">
        <v>0</v>
      </c>
      <c r="E7246" s="56">
        <f ca="1">IF(PV[[#This Row],[Business Date]]=Control!$C$6, PV[[#This Row],[Notional Value Local Cur]], -PV[[#This Row],[Notional Value Local Cur]])</f>
        <v>0</v>
      </c>
    </row>
    <row r="7247" spans="1:5" x14ac:dyDescent="0.25">
      <c r="A7247" s="36" t="b">
        <v>0</v>
      </c>
      <c r="B7247" s="56" t="b">
        <v>0</v>
      </c>
      <c r="C7247" s="56" t="b">
        <v>0</v>
      </c>
      <c r="D7247" s="56" t="b">
        <v>0</v>
      </c>
      <c r="E7247" s="56">
        <f ca="1">IF(PV[[#This Row],[Business Date]]=Control!$C$6, PV[[#This Row],[Notional Value Local Cur]], -PV[[#This Row],[Notional Value Local Cur]])</f>
        <v>0</v>
      </c>
    </row>
    <row r="7248" spans="1:5" x14ac:dyDescent="0.25">
      <c r="A7248" s="36" t="b">
        <v>0</v>
      </c>
      <c r="B7248" s="56" t="b">
        <v>0</v>
      </c>
      <c r="C7248" s="56" t="b">
        <v>0</v>
      </c>
      <c r="D7248" s="56" t="b">
        <v>0</v>
      </c>
      <c r="E7248" s="56">
        <f ca="1">IF(PV[[#This Row],[Business Date]]=Control!$C$6, PV[[#This Row],[Notional Value Local Cur]], -PV[[#This Row],[Notional Value Local Cur]])</f>
        <v>0</v>
      </c>
    </row>
    <row r="7249" spans="1:5" x14ac:dyDescent="0.25">
      <c r="A7249" s="36" t="b">
        <v>0</v>
      </c>
      <c r="B7249" s="56" t="b">
        <v>0</v>
      </c>
      <c r="C7249" s="56" t="b">
        <v>0</v>
      </c>
      <c r="D7249" s="56" t="b">
        <v>0</v>
      </c>
      <c r="E7249" s="56">
        <f ca="1">IF(PV[[#This Row],[Business Date]]=Control!$C$6, PV[[#This Row],[Notional Value Local Cur]], -PV[[#This Row],[Notional Value Local Cur]])</f>
        <v>0</v>
      </c>
    </row>
    <row r="7250" spans="1:5" x14ac:dyDescent="0.25">
      <c r="A7250" s="36" t="b">
        <v>0</v>
      </c>
      <c r="B7250" s="56" t="b">
        <v>0</v>
      </c>
      <c r="C7250" s="56" t="b">
        <v>0</v>
      </c>
      <c r="D7250" s="56" t="b">
        <v>0</v>
      </c>
      <c r="E7250" s="56">
        <f ca="1">IF(PV[[#This Row],[Business Date]]=Control!$C$6, PV[[#This Row],[Notional Value Local Cur]], -PV[[#This Row],[Notional Value Local Cur]])</f>
        <v>0</v>
      </c>
    </row>
    <row r="7251" spans="1:5" x14ac:dyDescent="0.25">
      <c r="A7251" s="36" t="b">
        <v>0</v>
      </c>
      <c r="B7251" s="56" t="b">
        <v>0</v>
      </c>
      <c r="C7251" s="56" t="b">
        <v>0</v>
      </c>
      <c r="D7251" s="56" t="b">
        <v>0</v>
      </c>
      <c r="E7251" s="56">
        <f ca="1">IF(PV[[#This Row],[Business Date]]=Control!$C$6, PV[[#This Row],[Notional Value Local Cur]], -PV[[#This Row],[Notional Value Local Cur]])</f>
        <v>0</v>
      </c>
    </row>
    <row r="7252" spans="1:5" x14ac:dyDescent="0.25">
      <c r="A7252" s="36" t="b">
        <v>0</v>
      </c>
      <c r="B7252" s="56" t="b">
        <v>0</v>
      </c>
      <c r="C7252" s="56" t="b">
        <v>0</v>
      </c>
      <c r="D7252" s="56" t="b">
        <v>0</v>
      </c>
      <c r="E7252" s="56">
        <f ca="1">IF(PV[[#This Row],[Business Date]]=Control!$C$6, PV[[#This Row],[Notional Value Local Cur]], -PV[[#This Row],[Notional Value Local Cur]])</f>
        <v>0</v>
      </c>
    </row>
    <row r="7253" spans="1:5" x14ac:dyDescent="0.25">
      <c r="A7253" s="36" t="b">
        <v>0</v>
      </c>
      <c r="B7253" s="56" t="b">
        <v>0</v>
      </c>
      <c r="C7253" s="56" t="b">
        <v>0</v>
      </c>
      <c r="D7253" s="56" t="b">
        <v>0</v>
      </c>
      <c r="E7253" s="56">
        <f ca="1">IF(PV[[#This Row],[Business Date]]=Control!$C$6, PV[[#This Row],[Notional Value Local Cur]], -PV[[#This Row],[Notional Value Local Cur]])</f>
        <v>0</v>
      </c>
    </row>
    <row r="7254" spans="1:5" x14ac:dyDescent="0.25">
      <c r="A7254" s="36" t="b">
        <v>0</v>
      </c>
      <c r="B7254" s="56" t="b">
        <v>0</v>
      </c>
      <c r="C7254" s="56" t="b">
        <v>0</v>
      </c>
      <c r="D7254" s="56" t="b">
        <v>0</v>
      </c>
      <c r="E7254" s="56">
        <f ca="1">IF(PV[[#This Row],[Business Date]]=Control!$C$6, PV[[#This Row],[Notional Value Local Cur]], -PV[[#This Row],[Notional Value Local Cur]])</f>
        <v>0</v>
      </c>
    </row>
    <row r="7255" spans="1:5" x14ac:dyDescent="0.25">
      <c r="A7255" s="36" t="b">
        <v>0</v>
      </c>
      <c r="B7255" s="56" t="b">
        <v>0</v>
      </c>
      <c r="C7255" s="56" t="b">
        <v>0</v>
      </c>
      <c r="D7255" s="56" t="b">
        <v>0</v>
      </c>
      <c r="E7255" s="56">
        <f ca="1">IF(PV[[#This Row],[Business Date]]=Control!$C$6, PV[[#This Row],[Notional Value Local Cur]], -PV[[#This Row],[Notional Value Local Cur]])</f>
        <v>0</v>
      </c>
    </row>
    <row r="7256" spans="1:5" x14ac:dyDescent="0.25">
      <c r="A7256" s="36" t="b">
        <v>0</v>
      </c>
      <c r="B7256" s="56" t="b">
        <v>0</v>
      </c>
      <c r="C7256" s="56" t="b">
        <v>0</v>
      </c>
      <c r="D7256" s="56" t="b">
        <v>0</v>
      </c>
      <c r="E7256" s="56">
        <f ca="1">IF(PV[[#This Row],[Business Date]]=Control!$C$6, PV[[#This Row],[Notional Value Local Cur]], -PV[[#This Row],[Notional Value Local Cur]])</f>
        <v>0</v>
      </c>
    </row>
    <row r="7257" spans="1:5" x14ac:dyDescent="0.25">
      <c r="A7257" s="36" t="b">
        <v>0</v>
      </c>
      <c r="B7257" s="56" t="b">
        <v>0</v>
      </c>
      <c r="C7257" s="56" t="b">
        <v>0</v>
      </c>
      <c r="D7257" s="56" t="b">
        <v>0</v>
      </c>
      <c r="E7257" s="56">
        <f ca="1">IF(PV[[#This Row],[Business Date]]=Control!$C$6, PV[[#This Row],[Notional Value Local Cur]], -PV[[#This Row],[Notional Value Local Cur]])</f>
        <v>0</v>
      </c>
    </row>
    <row r="7258" spans="1:5" x14ac:dyDescent="0.25">
      <c r="A7258" s="36" t="b">
        <v>0</v>
      </c>
      <c r="B7258" s="56" t="b">
        <v>0</v>
      </c>
      <c r="C7258" s="56" t="b">
        <v>0</v>
      </c>
      <c r="D7258" s="56" t="b">
        <v>0</v>
      </c>
      <c r="E7258" s="56">
        <f ca="1">IF(PV[[#This Row],[Business Date]]=Control!$C$6, PV[[#This Row],[Notional Value Local Cur]], -PV[[#This Row],[Notional Value Local Cur]])</f>
        <v>0</v>
      </c>
    </row>
    <row r="7259" spans="1:5" x14ac:dyDescent="0.25">
      <c r="A7259" s="36" t="b">
        <v>0</v>
      </c>
      <c r="B7259" s="56" t="b">
        <v>0</v>
      </c>
      <c r="C7259" s="56" t="b">
        <v>0</v>
      </c>
      <c r="D7259" s="56" t="b">
        <v>0</v>
      </c>
      <c r="E7259" s="56">
        <f ca="1">IF(PV[[#This Row],[Business Date]]=Control!$C$6, PV[[#This Row],[Notional Value Local Cur]], -PV[[#This Row],[Notional Value Local Cur]])</f>
        <v>0</v>
      </c>
    </row>
    <row r="7260" spans="1:5" x14ac:dyDescent="0.25">
      <c r="A7260" s="36" t="b">
        <v>0</v>
      </c>
      <c r="B7260" s="56" t="b">
        <v>0</v>
      </c>
      <c r="C7260" s="56" t="b">
        <v>0</v>
      </c>
      <c r="D7260" s="56" t="b">
        <v>0</v>
      </c>
      <c r="E7260" s="56">
        <f ca="1">IF(PV[[#This Row],[Business Date]]=Control!$C$6, PV[[#This Row],[Notional Value Local Cur]], -PV[[#This Row],[Notional Value Local Cur]])</f>
        <v>0</v>
      </c>
    </row>
    <row r="7261" spans="1:5" x14ac:dyDescent="0.25">
      <c r="A7261" s="36" t="b">
        <v>0</v>
      </c>
      <c r="B7261" s="56" t="b">
        <v>0</v>
      </c>
      <c r="C7261" s="56" t="b">
        <v>0</v>
      </c>
      <c r="D7261" s="56" t="b">
        <v>0</v>
      </c>
      <c r="E7261" s="56">
        <f ca="1">IF(PV[[#This Row],[Business Date]]=Control!$C$6, PV[[#This Row],[Notional Value Local Cur]], -PV[[#This Row],[Notional Value Local Cur]])</f>
        <v>0</v>
      </c>
    </row>
    <row r="7262" spans="1:5" x14ac:dyDescent="0.25">
      <c r="A7262" s="36" t="b">
        <v>0</v>
      </c>
      <c r="B7262" s="56" t="b">
        <v>0</v>
      </c>
      <c r="C7262" s="56" t="b">
        <v>0</v>
      </c>
      <c r="D7262" s="56" t="b">
        <v>0</v>
      </c>
      <c r="E7262" s="56">
        <f ca="1">IF(PV[[#This Row],[Business Date]]=Control!$C$6, PV[[#This Row],[Notional Value Local Cur]], -PV[[#This Row],[Notional Value Local Cur]])</f>
        <v>0</v>
      </c>
    </row>
    <row r="7263" spans="1:5" x14ac:dyDescent="0.25">
      <c r="A7263" s="36" t="b">
        <v>0</v>
      </c>
      <c r="B7263" s="56" t="b">
        <v>0</v>
      </c>
      <c r="C7263" s="56" t="b">
        <v>0</v>
      </c>
      <c r="D7263" s="56" t="b">
        <v>0</v>
      </c>
      <c r="E7263" s="56">
        <f ca="1">IF(PV[[#This Row],[Business Date]]=Control!$C$6, PV[[#This Row],[Notional Value Local Cur]], -PV[[#This Row],[Notional Value Local Cur]])</f>
        <v>0</v>
      </c>
    </row>
    <row r="7264" spans="1:5" x14ac:dyDescent="0.25">
      <c r="A7264" s="36" t="b">
        <v>0</v>
      </c>
      <c r="B7264" s="56" t="b">
        <v>0</v>
      </c>
      <c r="C7264" s="56" t="b">
        <v>0</v>
      </c>
      <c r="D7264" s="56" t="b">
        <v>0</v>
      </c>
      <c r="E7264" s="56">
        <f ca="1">IF(PV[[#This Row],[Business Date]]=Control!$C$6, PV[[#This Row],[Notional Value Local Cur]], -PV[[#This Row],[Notional Value Local Cur]])</f>
        <v>0</v>
      </c>
    </row>
    <row r="7265" spans="1:5" x14ac:dyDescent="0.25">
      <c r="A7265" s="36" t="b">
        <v>0</v>
      </c>
      <c r="B7265" s="56" t="b">
        <v>0</v>
      </c>
      <c r="C7265" s="56" t="b">
        <v>0</v>
      </c>
      <c r="D7265" s="56" t="b">
        <v>0</v>
      </c>
      <c r="E7265" s="56">
        <f ca="1">IF(PV[[#This Row],[Business Date]]=Control!$C$6, PV[[#This Row],[Notional Value Local Cur]], -PV[[#This Row],[Notional Value Local Cur]])</f>
        <v>0</v>
      </c>
    </row>
    <row r="7266" spans="1:5" x14ac:dyDescent="0.25">
      <c r="A7266" s="36" t="b">
        <v>0</v>
      </c>
      <c r="B7266" s="56" t="b">
        <v>0</v>
      </c>
      <c r="C7266" s="56" t="b">
        <v>0</v>
      </c>
      <c r="D7266" s="56" t="b">
        <v>0</v>
      </c>
      <c r="E7266" s="56">
        <f ca="1">IF(PV[[#This Row],[Business Date]]=Control!$C$6, PV[[#This Row],[Notional Value Local Cur]], -PV[[#This Row],[Notional Value Local Cur]])</f>
        <v>0</v>
      </c>
    </row>
    <row r="7267" spans="1:5" x14ac:dyDescent="0.25">
      <c r="A7267" s="36" t="b">
        <v>0</v>
      </c>
      <c r="B7267" s="56" t="b">
        <v>0</v>
      </c>
      <c r="C7267" s="56" t="b">
        <v>0</v>
      </c>
      <c r="D7267" s="56" t="b">
        <v>0</v>
      </c>
      <c r="E7267" s="56">
        <f ca="1">IF(PV[[#This Row],[Business Date]]=Control!$C$6, PV[[#This Row],[Notional Value Local Cur]], -PV[[#This Row],[Notional Value Local Cur]])</f>
        <v>0</v>
      </c>
    </row>
    <row r="7268" spans="1:5" x14ac:dyDescent="0.25">
      <c r="A7268" s="36" t="b">
        <v>0</v>
      </c>
      <c r="B7268" s="56" t="b">
        <v>0</v>
      </c>
      <c r="C7268" s="56" t="b">
        <v>0</v>
      </c>
      <c r="D7268" s="56" t="b">
        <v>0</v>
      </c>
      <c r="E7268" s="56">
        <f ca="1">IF(PV[[#This Row],[Business Date]]=Control!$C$6, PV[[#This Row],[Notional Value Local Cur]], -PV[[#This Row],[Notional Value Local Cur]])</f>
        <v>0</v>
      </c>
    </row>
    <row r="7269" spans="1:5" x14ac:dyDescent="0.25">
      <c r="A7269" s="36" t="b">
        <v>0</v>
      </c>
      <c r="B7269" s="56" t="b">
        <v>0</v>
      </c>
      <c r="C7269" s="56" t="b">
        <v>0</v>
      </c>
      <c r="D7269" s="56" t="b">
        <v>0</v>
      </c>
      <c r="E7269" s="56">
        <f ca="1">IF(PV[[#This Row],[Business Date]]=Control!$C$6, PV[[#This Row],[Notional Value Local Cur]], -PV[[#This Row],[Notional Value Local Cur]])</f>
        <v>0</v>
      </c>
    </row>
    <row r="7270" spans="1:5" x14ac:dyDescent="0.25">
      <c r="A7270" s="36" t="b">
        <v>0</v>
      </c>
      <c r="B7270" s="56" t="b">
        <v>0</v>
      </c>
      <c r="C7270" s="56" t="b">
        <v>0</v>
      </c>
      <c r="D7270" s="56" t="b">
        <v>0</v>
      </c>
      <c r="E7270" s="56">
        <f ca="1">IF(PV[[#This Row],[Business Date]]=Control!$C$6, PV[[#This Row],[Notional Value Local Cur]], -PV[[#This Row],[Notional Value Local Cur]])</f>
        <v>0</v>
      </c>
    </row>
    <row r="7271" spans="1:5" x14ac:dyDescent="0.25">
      <c r="A7271" s="36" t="b">
        <v>0</v>
      </c>
      <c r="B7271" s="56" t="b">
        <v>0</v>
      </c>
      <c r="C7271" s="56" t="b">
        <v>0</v>
      </c>
      <c r="D7271" s="56" t="b">
        <v>0</v>
      </c>
      <c r="E7271" s="56">
        <f ca="1">IF(PV[[#This Row],[Business Date]]=Control!$C$6, PV[[#This Row],[Notional Value Local Cur]], -PV[[#This Row],[Notional Value Local Cur]])</f>
        <v>0</v>
      </c>
    </row>
    <row r="7272" spans="1:5" x14ac:dyDescent="0.25">
      <c r="A7272" s="36" t="b">
        <v>0</v>
      </c>
      <c r="B7272" s="56" t="b">
        <v>0</v>
      </c>
      <c r="C7272" s="56" t="b">
        <v>0</v>
      </c>
      <c r="D7272" s="56" t="b">
        <v>0</v>
      </c>
      <c r="E7272" s="56">
        <f ca="1">IF(PV[[#This Row],[Business Date]]=Control!$C$6, PV[[#This Row],[Notional Value Local Cur]], -PV[[#This Row],[Notional Value Local Cur]])</f>
        <v>0</v>
      </c>
    </row>
    <row r="7273" spans="1:5" x14ac:dyDescent="0.25">
      <c r="A7273" s="36" t="b">
        <v>0</v>
      </c>
      <c r="B7273" s="56" t="b">
        <v>0</v>
      </c>
      <c r="C7273" s="56" t="b">
        <v>0</v>
      </c>
      <c r="D7273" s="56" t="b">
        <v>0</v>
      </c>
      <c r="E7273" s="56">
        <f ca="1">IF(PV[[#This Row],[Business Date]]=Control!$C$6, PV[[#This Row],[Notional Value Local Cur]], -PV[[#This Row],[Notional Value Local Cur]])</f>
        <v>0</v>
      </c>
    </row>
    <row r="7274" spans="1:5" x14ac:dyDescent="0.25">
      <c r="A7274" s="36" t="b">
        <v>0</v>
      </c>
      <c r="B7274" s="56" t="b">
        <v>0</v>
      </c>
      <c r="C7274" s="56" t="b">
        <v>0</v>
      </c>
      <c r="D7274" s="56" t="b">
        <v>0</v>
      </c>
      <c r="E7274" s="56">
        <f ca="1">IF(PV[[#This Row],[Business Date]]=Control!$C$6, PV[[#This Row],[Notional Value Local Cur]], -PV[[#This Row],[Notional Value Local Cur]])</f>
        <v>0</v>
      </c>
    </row>
    <row r="7275" spans="1:5" x14ac:dyDescent="0.25">
      <c r="A7275" s="36" t="b">
        <v>0</v>
      </c>
      <c r="B7275" s="56" t="b">
        <v>0</v>
      </c>
      <c r="C7275" s="56" t="b">
        <v>0</v>
      </c>
      <c r="D7275" s="56" t="b">
        <v>0</v>
      </c>
      <c r="E7275" s="56">
        <f ca="1">IF(PV[[#This Row],[Business Date]]=Control!$C$6, PV[[#This Row],[Notional Value Local Cur]], -PV[[#This Row],[Notional Value Local Cur]])</f>
        <v>0</v>
      </c>
    </row>
    <row r="7276" spans="1:5" x14ac:dyDescent="0.25">
      <c r="A7276" s="36" t="b">
        <v>0</v>
      </c>
      <c r="B7276" s="56" t="b">
        <v>0</v>
      </c>
      <c r="C7276" s="56" t="b">
        <v>0</v>
      </c>
      <c r="D7276" s="56" t="b">
        <v>0</v>
      </c>
      <c r="E7276" s="56">
        <f ca="1">IF(PV[[#This Row],[Business Date]]=Control!$C$6, PV[[#This Row],[Notional Value Local Cur]], -PV[[#This Row],[Notional Value Local Cur]])</f>
        <v>0</v>
      </c>
    </row>
    <row r="7277" spans="1:5" x14ac:dyDescent="0.25">
      <c r="A7277" s="36" t="b">
        <v>0</v>
      </c>
      <c r="B7277" s="56" t="b">
        <v>0</v>
      </c>
      <c r="C7277" s="56" t="b">
        <v>0</v>
      </c>
      <c r="D7277" s="56" t="b">
        <v>0</v>
      </c>
      <c r="E7277" s="56">
        <f ca="1">IF(PV[[#This Row],[Business Date]]=Control!$C$6, PV[[#This Row],[Notional Value Local Cur]], -PV[[#This Row],[Notional Value Local Cur]])</f>
        <v>0</v>
      </c>
    </row>
    <row r="7278" spans="1:5" x14ac:dyDescent="0.25">
      <c r="A7278" s="36" t="b">
        <v>0</v>
      </c>
      <c r="B7278" s="56" t="b">
        <v>0</v>
      </c>
      <c r="C7278" s="56" t="b">
        <v>0</v>
      </c>
      <c r="D7278" s="56" t="b">
        <v>0</v>
      </c>
      <c r="E7278" s="56">
        <f ca="1">IF(PV[[#This Row],[Business Date]]=Control!$C$6, PV[[#This Row],[Notional Value Local Cur]], -PV[[#This Row],[Notional Value Local Cur]])</f>
        <v>0</v>
      </c>
    </row>
    <row r="7279" spans="1:5" x14ac:dyDescent="0.25">
      <c r="A7279" s="36" t="b">
        <v>0</v>
      </c>
      <c r="B7279" s="56" t="b">
        <v>0</v>
      </c>
      <c r="C7279" s="56" t="b">
        <v>0</v>
      </c>
      <c r="D7279" s="56" t="b">
        <v>0</v>
      </c>
      <c r="E7279" s="56">
        <f ca="1">IF(PV[[#This Row],[Business Date]]=Control!$C$6, PV[[#This Row],[Notional Value Local Cur]], -PV[[#This Row],[Notional Value Local Cur]])</f>
        <v>0</v>
      </c>
    </row>
    <row r="7280" spans="1:5" x14ac:dyDescent="0.25">
      <c r="A7280" s="36" t="b">
        <v>0</v>
      </c>
      <c r="B7280" s="56" t="b">
        <v>0</v>
      </c>
      <c r="C7280" s="56" t="b">
        <v>0</v>
      </c>
      <c r="D7280" s="56" t="b">
        <v>0</v>
      </c>
      <c r="E7280" s="56">
        <f ca="1">IF(PV[[#This Row],[Business Date]]=Control!$C$6, PV[[#This Row],[Notional Value Local Cur]], -PV[[#This Row],[Notional Value Local Cur]])</f>
        <v>0</v>
      </c>
    </row>
    <row r="7281" spans="1:5" x14ac:dyDescent="0.25">
      <c r="A7281" s="36" t="b">
        <v>0</v>
      </c>
      <c r="B7281" s="56" t="b">
        <v>0</v>
      </c>
      <c r="C7281" s="56" t="b">
        <v>0</v>
      </c>
      <c r="D7281" s="56" t="b">
        <v>0</v>
      </c>
      <c r="E7281" s="56">
        <f ca="1">IF(PV[[#This Row],[Business Date]]=Control!$C$6, PV[[#This Row],[Notional Value Local Cur]], -PV[[#This Row],[Notional Value Local Cur]])</f>
        <v>0</v>
      </c>
    </row>
    <row r="7282" spans="1:5" x14ac:dyDescent="0.25">
      <c r="A7282" s="36" t="b">
        <v>0</v>
      </c>
      <c r="B7282" s="56" t="b">
        <v>0</v>
      </c>
      <c r="C7282" s="56" t="b">
        <v>0</v>
      </c>
      <c r="D7282" s="56" t="b">
        <v>0</v>
      </c>
      <c r="E7282" s="56">
        <f ca="1">IF(PV[[#This Row],[Business Date]]=Control!$C$6, PV[[#This Row],[Notional Value Local Cur]], -PV[[#This Row],[Notional Value Local Cur]])</f>
        <v>0</v>
      </c>
    </row>
    <row r="7283" spans="1:5" x14ac:dyDescent="0.25">
      <c r="A7283" s="36" t="b">
        <v>0</v>
      </c>
      <c r="B7283" s="56" t="b">
        <v>0</v>
      </c>
      <c r="C7283" s="56" t="b">
        <v>0</v>
      </c>
      <c r="D7283" s="56" t="b">
        <v>0</v>
      </c>
      <c r="E7283" s="56">
        <f ca="1">IF(PV[[#This Row],[Business Date]]=Control!$C$6, PV[[#This Row],[Notional Value Local Cur]], -PV[[#This Row],[Notional Value Local Cur]])</f>
        <v>0</v>
      </c>
    </row>
    <row r="7284" spans="1:5" x14ac:dyDescent="0.25">
      <c r="A7284" s="36" t="b">
        <v>0</v>
      </c>
      <c r="B7284" s="56" t="b">
        <v>0</v>
      </c>
      <c r="C7284" s="56" t="b">
        <v>0</v>
      </c>
      <c r="D7284" s="56" t="b">
        <v>0</v>
      </c>
      <c r="E7284" s="56">
        <f ca="1">IF(PV[[#This Row],[Business Date]]=Control!$C$6, PV[[#This Row],[Notional Value Local Cur]], -PV[[#This Row],[Notional Value Local Cur]])</f>
        <v>0</v>
      </c>
    </row>
    <row r="7285" spans="1:5" x14ac:dyDescent="0.25">
      <c r="A7285" s="36" t="b">
        <v>0</v>
      </c>
      <c r="B7285" s="56" t="b">
        <v>0</v>
      </c>
      <c r="C7285" s="56" t="b">
        <v>0</v>
      </c>
      <c r="D7285" s="56" t="b">
        <v>0</v>
      </c>
      <c r="E7285" s="56">
        <f ca="1">IF(PV[[#This Row],[Business Date]]=Control!$C$6, PV[[#This Row],[Notional Value Local Cur]], -PV[[#This Row],[Notional Value Local Cur]])</f>
        <v>0</v>
      </c>
    </row>
    <row r="7286" spans="1:5" x14ac:dyDescent="0.25">
      <c r="A7286" s="36" t="b">
        <v>0</v>
      </c>
      <c r="B7286" s="56" t="b">
        <v>0</v>
      </c>
      <c r="C7286" s="56" t="b">
        <v>0</v>
      </c>
      <c r="D7286" s="56" t="b">
        <v>0</v>
      </c>
      <c r="E7286" s="56">
        <f ca="1">IF(PV[[#This Row],[Business Date]]=Control!$C$6, PV[[#This Row],[Notional Value Local Cur]], -PV[[#This Row],[Notional Value Local Cur]])</f>
        <v>0</v>
      </c>
    </row>
    <row r="7287" spans="1:5" x14ac:dyDescent="0.25">
      <c r="A7287" s="36" t="b">
        <v>0</v>
      </c>
      <c r="B7287" s="56" t="b">
        <v>0</v>
      </c>
      <c r="C7287" s="56" t="b">
        <v>0</v>
      </c>
      <c r="D7287" s="56" t="b">
        <v>0</v>
      </c>
      <c r="E7287" s="56">
        <f ca="1">IF(PV[[#This Row],[Business Date]]=Control!$C$6, PV[[#This Row],[Notional Value Local Cur]], -PV[[#This Row],[Notional Value Local Cur]])</f>
        <v>0</v>
      </c>
    </row>
    <row r="7288" spans="1:5" x14ac:dyDescent="0.25">
      <c r="A7288" s="36" t="b">
        <v>0</v>
      </c>
      <c r="B7288" s="56" t="b">
        <v>0</v>
      </c>
      <c r="C7288" s="56" t="b">
        <v>0</v>
      </c>
      <c r="D7288" s="56" t="b">
        <v>0</v>
      </c>
      <c r="E7288" s="56">
        <f ca="1">IF(PV[[#This Row],[Business Date]]=Control!$C$6, PV[[#This Row],[Notional Value Local Cur]], -PV[[#This Row],[Notional Value Local Cur]])</f>
        <v>0</v>
      </c>
    </row>
    <row r="7289" spans="1:5" x14ac:dyDescent="0.25">
      <c r="A7289" s="36" t="b">
        <v>0</v>
      </c>
      <c r="B7289" s="56" t="b">
        <v>0</v>
      </c>
      <c r="C7289" s="56" t="b">
        <v>0</v>
      </c>
      <c r="D7289" s="56" t="b">
        <v>0</v>
      </c>
      <c r="E7289" s="56">
        <f ca="1">IF(PV[[#This Row],[Business Date]]=Control!$C$6, PV[[#This Row],[Notional Value Local Cur]], -PV[[#This Row],[Notional Value Local Cur]])</f>
        <v>0</v>
      </c>
    </row>
    <row r="7290" spans="1:5" x14ac:dyDescent="0.25">
      <c r="A7290" s="36" t="b">
        <v>0</v>
      </c>
      <c r="B7290" s="56" t="b">
        <v>0</v>
      </c>
      <c r="C7290" s="56" t="b">
        <v>0</v>
      </c>
      <c r="D7290" s="56" t="b">
        <v>0</v>
      </c>
      <c r="E7290" s="56">
        <f ca="1">IF(PV[[#This Row],[Business Date]]=Control!$C$6, PV[[#This Row],[Notional Value Local Cur]], -PV[[#This Row],[Notional Value Local Cur]])</f>
        <v>0</v>
      </c>
    </row>
    <row r="7291" spans="1:5" x14ac:dyDescent="0.25">
      <c r="A7291" s="36" t="b">
        <v>0</v>
      </c>
      <c r="B7291" s="56" t="b">
        <v>0</v>
      </c>
      <c r="C7291" s="56" t="b">
        <v>0</v>
      </c>
      <c r="D7291" s="56" t="b">
        <v>0</v>
      </c>
      <c r="E7291" s="56">
        <f ca="1">IF(PV[[#This Row],[Business Date]]=Control!$C$6, PV[[#This Row],[Notional Value Local Cur]], -PV[[#This Row],[Notional Value Local Cur]])</f>
        <v>0</v>
      </c>
    </row>
    <row r="7292" spans="1:5" x14ac:dyDescent="0.25">
      <c r="A7292" s="36" t="b">
        <v>0</v>
      </c>
      <c r="B7292" s="56" t="b">
        <v>0</v>
      </c>
      <c r="C7292" s="56" t="b">
        <v>0</v>
      </c>
      <c r="D7292" s="56" t="b">
        <v>0</v>
      </c>
      <c r="E7292" s="56">
        <f ca="1">IF(PV[[#This Row],[Business Date]]=Control!$C$6, PV[[#This Row],[Notional Value Local Cur]], -PV[[#This Row],[Notional Value Local Cur]])</f>
        <v>0</v>
      </c>
    </row>
    <row r="7293" spans="1:5" x14ac:dyDescent="0.25">
      <c r="A7293" s="36" t="b">
        <v>0</v>
      </c>
      <c r="B7293" s="56" t="b">
        <v>0</v>
      </c>
      <c r="C7293" s="56" t="b">
        <v>0</v>
      </c>
      <c r="D7293" s="56" t="b">
        <v>0</v>
      </c>
      <c r="E7293" s="56">
        <f ca="1">IF(PV[[#This Row],[Business Date]]=Control!$C$6, PV[[#This Row],[Notional Value Local Cur]], -PV[[#This Row],[Notional Value Local Cur]])</f>
        <v>0</v>
      </c>
    </row>
    <row r="7294" spans="1:5" x14ac:dyDescent="0.25">
      <c r="A7294" s="36" t="b">
        <v>0</v>
      </c>
      <c r="B7294" s="56" t="b">
        <v>0</v>
      </c>
      <c r="C7294" s="56" t="b">
        <v>0</v>
      </c>
      <c r="D7294" s="56" t="b">
        <v>0</v>
      </c>
      <c r="E7294" s="56">
        <f ca="1">IF(PV[[#This Row],[Business Date]]=Control!$C$6, PV[[#This Row],[Notional Value Local Cur]], -PV[[#This Row],[Notional Value Local Cur]])</f>
        <v>0</v>
      </c>
    </row>
    <row r="7295" spans="1:5" x14ac:dyDescent="0.25">
      <c r="A7295" s="36" t="b">
        <v>0</v>
      </c>
      <c r="B7295" s="56" t="b">
        <v>0</v>
      </c>
      <c r="C7295" s="56" t="b">
        <v>0</v>
      </c>
      <c r="D7295" s="56" t="b">
        <v>0</v>
      </c>
      <c r="E7295" s="56">
        <f ca="1">IF(PV[[#This Row],[Business Date]]=Control!$C$6, PV[[#This Row],[Notional Value Local Cur]], -PV[[#This Row],[Notional Value Local Cur]])</f>
        <v>0</v>
      </c>
    </row>
    <row r="7296" spans="1:5" x14ac:dyDescent="0.25">
      <c r="A7296" s="36" t="b">
        <v>0</v>
      </c>
      <c r="B7296" s="56" t="b">
        <v>0</v>
      </c>
      <c r="C7296" s="56" t="b">
        <v>0</v>
      </c>
      <c r="D7296" s="56" t="b">
        <v>0</v>
      </c>
      <c r="E7296" s="56">
        <f ca="1">IF(PV[[#This Row],[Business Date]]=Control!$C$6, PV[[#This Row],[Notional Value Local Cur]], -PV[[#This Row],[Notional Value Local Cur]])</f>
        <v>0</v>
      </c>
    </row>
    <row r="7297" spans="1:5" x14ac:dyDescent="0.25">
      <c r="A7297" s="36" t="b">
        <v>0</v>
      </c>
      <c r="B7297" s="56" t="b">
        <v>0</v>
      </c>
      <c r="C7297" s="56" t="b">
        <v>0</v>
      </c>
      <c r="D7297" s="56" t="b">
        <v>0</v>
      </c>
      <c r="E7297" s="56">
        <f ca="1">IF(PV[[#This Row],[Business Date]]=Control!$C$6, PV[[#This Row],[Notional Value Local Cur]], -PV[[#This Row],[Notional Value Local Cur]])</f>
        <v>0</v>
      </c>
    </row>
    <row r="7298" spans="1:5" x14ac:dyDescent="0.25">
      <c r="A7298" s="36" t="b">
        <v>0</v>
      </c>
      <c r="B7298" s="56" t="b">
        <v>0</v>
      </c>
      <c r="C7298" s="56" t="b">
        <v>0</v>
      </c>
      <c r="D7298" s="56" t="b">
        <v>0</v>
      </c>
      <c r="E7298" s="56">
        <f ca="1">IF(PV[[#This Row],[Business Date]]=Control!$C$6, PV[[#This Row],[Notional Value Local Cur]], -PV[[#This Row],[Notional Value Local Cur]])</f>
        <v>0</v>
      </c>
    </row>
    <row r="7299" spans="1:5" x14ac:dyDescent="0.25">
      <c r="A7299" s="36" t="b">
        <v>0</v>
      </c>
      <c r="B7299" s="56" t="b">
        <v>0</v>
      </c>
      <c r="C7299" s="56" t="b">
        <v>0</v>
      </c>
      <c r="D7299" s="56" t="b">
        <v>0</v>
      </c>
      <c r="E7299" s="56">
        <f ca="1">IF(PV[[#This Row],[Business Date]]=Control!$C$6, PV[[#This Row],[Notional Value Local Cur]], -PV[[#This Row],[Notional Value Local Cur]])</f>
        <v>0</v>
      </c>
    </row>
    <row r="7300" spans="1:5" x14ac:dyDescent="0.25">
      <c r="A7300" s="36" t="b">
        <v>0</v>
      </c>
      <c r="B7300" s="56" t="b">
        <v>0</v>
      </c>
      <c r="C7300" s="56" t="b">
        <v>0</v>
      </c>
      <c r="D7300" s="56" t="b">
        <v>0</v>
      </c>
      <c r="E7300" s="56">
        <f ca="1">IF(PV[[#This Row],[Business Date]]=Control!$C$6, PV[[#This Row],[Notional Value Local Cur]], -PV[[#This Row],[Notional Value Local Cur]])</f>
        <v>0</v>
      </c>
    </row>
    <row r="7301" spans="1:5" x14ac:dyDescent="0.25">
      <c r="A7301" s="36" t="b">
        <v>0</v>
      </c>
      <c r="B7301" s="56" t="b">
        <v>0</v>
      </c>
      <c r="C7301" s="56" t="b">
        <v>0</v>
      </c>
      <c r="D7301" s="56" t="b">
        <v>0</v>
      </c>
      <c r="E7301" s="56">
        <f ca="1">IF(PV[[#This Row],[Business Date]]=Control!$C$6, PV[[#This Row],[Notional Value Local Cur]], -PV[[#This Row],[Notional Value Local Cur]])</f>
        <v>0</v>
      </c>
    </row>
    <row r="7302" spans="1:5" x14ac:dyDescent="0.25">
      <c r="A7302" s="36" t="b">
        <v>0</v>
      </c>
      <c r="B7302" s="56" t="b">
        <v>0</v>
      </c>
      <c r="C7302" s="56" t="b">
        <v>0</v>
      </c>
      <c r="D7302" s="56" t="b">
        <v>0</v>
      </c>
      <c r="E7302" s="56">
        <f ca="1">IF(PV[[#This Row],[Business Date]]=Control!$C$6, PV[[#This Row],[Notional Value Local Cur]], -PV[[#This Row],[Notional Value Local Cur]])</f>
        <v>0</v>
      </c>
    </row>
    <row r="7303" spans="1:5" x14ac:dyDescent="0.25">
      <c r="A7303" s="36" t="b">
        <v>0</v>
      </c>
      <c r="B7303" s="56" t="b">
        <v>0</v>
      </c>
      <c r="C7303" s="56" t="b">
        <v>0</v>
      </c>
      <c r="D7303" s="56" t="b">
        <v>0</v>
      </c>
      <c r="E7303" s="56">
        <f ca="1">IF(PV[[#This Row],[Business Date]]=Control!$C$6, PV[[#This Row],[Notional Value Local Cur]], -PV[[#This Row],[Notional Value Local Cur]])</f>
        <v>0</v>
      </c>
    </row>
    <row r="7304" spans="1:5" x14ac:dyDescent="0.25">
      <c r="A7304" s="36" t="b">
        <v>0</v>
      </c>
      <c r="B7304" s="56" t="b">
        <v>0</v>
      </c>
      <c r="C7304" s="56" t="b">
        <v>0</v>
      </c>
      <c r="D7304" s="56" t="b">
        <v>0</v>
      </c>
      <c r="E7304" s="56">
        <f ca="1">IF(PV[[#This Row],[Business Date]]=Control!$C$6, PV[[#This Row],[Notional Value Local Cur]], -PV[[#This Row],[Notional Value Local Cur]])</f>
        <v>0</v>
      </c>
    </row>
    <row r="7305" spans="1:5" x14ac:dyDescent="0.25">
      <c r="A7305" s="36" t="b">
        <v>0</v>
      </c>
      <c r="B7305" s="56" t="b">
        <v>0</v>
      </c>
      <c r="C7305" s="56" t="b">
        <v>0</v>
      </c>
      <c r="D7305" s="56" t="b">
        <v>0</v>
      </c>
      <c r="E7305" s="56">
        <f ca="1">IF(PV[[#This Row],[Business Date]]=Control!$C$6, PV[[#This Row],[Notional Value Local Cur]], -PV[[#This Row],[Notional Value Local Cur]])</f>
        <v>0</v>
      </c>
    </row>
    <row r="7306" spans="1:5" x14ac:dyDescent="0.25">
      <c r="A7306" s="36" t="b">
        <v>0</v>
      </c>
      <c r="B7306" s="56" t="b">
        <v>0</v>
      </c>
      <c r="C7306" s="56" t="b">
        <v>0</v>
      </c>
      <c r="D7306" s="56" t="b">
        <v>0</v>
      </c>
      <c r="E7306" s="56">
        <f ca="1">IF(PV[[#This Row],[Business Date]]=Control!$C$6, PV[[#This Row],[Notional Value Local Cur]], -PV[[#This Row],[Notional Value Local Cur]])</f>
        <v>0</v>
      </c>
    </row>
    <row r="7307" spans="1:5" x14ac:dyDescent="0.25">
      <c r="A7307" s="36" t="b">
        <v>0</v>
      </c>
      <c r="B7307" s="56" t="b">
        <v>0</v>
      </c>
      <c r="C7307" s="56" t="b">
        <v>0</v>
      </c>
      <c r="D7307" s="56" t="b">
        <v>0</v>
      </c>
      <c r="E7307" s="56">
        <f ca="1">IF(PV[[#This Row],[Business Date]]=Control!$C$6, PV[[#This Row],[Notional Value Local Cur]], -PV[[#This Row],[Notional Value Local Cur]])</f>
        <v>0</v>
      </c>
    </row>
    <row r="7308" spans="1:5" x14ac:dyDescent="0.25">
      <c r="A7308" s="36" t="b">
        <v>0</v>
      </c>
      <c r="B7308" s="56" t="b">
        <v>0</v>
      </c>
      <c r="C7308" s="56" t="b">
        <v>0</v>
      </c>
      <c r="D7308" s="56" t="b">
        <v>0</v>
      </c>
      <c r="E7308" s="56">
        <f ca="1">IF(PV[[#This Row],[Business Date]]=Control!$C$6, PV[[#This Row],[Notional Value Local Cur]], -PV[[#This Row],[Notional Value Local Cur]])</f>
        <v>0</v>
      </c>
    </row>
    <row r="7309" spans="1:5" x14ac:dyDescent="0.25">
      <c r="A7309" s="36" t="b">
        <v>0</v>
      </c>
      <c r="B7309" s="56" t="b">
        <v>0</v>
      </c>
      <c r="C7309" s="56" t="b">
        <v>0</v>
      </c>
      <c r="D7309" s="56" t="b">
        <v>0</v>
      </c>
      <c r="E7309" s="56">
        <f ca="1">IF(PV[[#This Row],[Business Date]]=Control!$C$6, PV[[#This Row],[Notional Value Local Cur]], -PV[[#This Row],[Notional Value Local Cur]])</f>
        <v>0</v>
      </c>
    </row>
    <row r="7310" spans="1:5" x14ac:dyDescent="0.25">
      <c r="A7310" s="36" t="b">
        <v>0</v>
      </c>
      <c r="B7310" s="56" t="b">
        <v>0</v>
      </c>
      <c r="C7310" s="56" t="b">
        <v>0</v>
      </c>
      <c r="D7310" s="56" t="b">
        <v>0</v>
      </c>
      <c r="E7310" s="56">
        <f ca="1">IF(PV[[#This Row],[Business Date]]=Control!$C$6, PV[[#This Row],[Notional Value Local Cur]], -PV[[#This Row],[Notional Value Local Cur]])</f>
        <v>0</v>
      </c>
    </row>
    <row r="7311" spans="1:5" x14ac:dyDescent="0.25">
      <c r="A7311" s="36" t="b">
        <v>0</v>
      </c>
      <c r="B7311" s="56" t="b">
        <v>0</v>
      </c>
      <c r="C7311" s="56" t="b">
        <v>0</v>
      </c>
      <c r="D7311" s="56" t="b">
        <v>0</v>
      </c>
      <c r="E7311" s="56">
        <f ca="1">IF(PV[[#This Row],[Business Date]]=Control!$C$6, PV[[#This Row],[Notional Value Local Cur]], -PV[[#This Row],[Notional Value Local Cur]])</f>
        <v>0</v>
      </c>
    </row>
    <row r="7312" spans="1:5" x14ac:dyDescent="0.25">
      <c r="A7312" s="36" t="b">
        <v>0</v>
      </c>
      <c r="B7312" s="56" t="b">
        <v>0</v>
      </c>
      <c r="C7312" s="56" t="b">
        <v>0</v>
      </c>
      <c r="D7312" s="56" t="b">
        <v>0</v>
      </c>
      <c r="E7312" s="56">
        <f ca="1">IF(PV[[#This Row],[Business Date]]=Control!$C$6, PV[[#This Row],[Notional Value Local Cur]], -PV[[#This Row],[Notional Value Local Cur]])</f>
        <v>0</v>
      </c>
    </row>
    <row r="7313" spans="1:5" x14ac:dyDescent="0.25">
      <c r="A7313" s="36" t="b">
        <v>0</v>
      </c>
      <c r="B7313" s="56" t="b">
        <v>0</v>
      </c>
      <c r="C7313" s="56" t="b">
        <v>0</v>
      </c>
      <c r="D7313" s="56" t="b">
        <v>0</v>
      </c>
      <c r="E7313" s="56">
        <f ca="1">IF(PV[[#This Row],[Business Date]]=Control!$C$6, PV[[#This Row],[Notional Value Local Cur]], -PV[[#This Row],[Notional Value Local Cur]])</f>
        <v>0</v>
      </c>
    </row>
    <row r="7314" spans="1:5" x14ac:dyDescent="0.25">
      <c r="A7314" s="36" t="b">
        <v>0</v>
      </c>
      <c r="B7314" s="56" t="b">
        <v>0</v>
      </c>
      <c r="C7314" s="56" t="b">
        <v>0</v>
      </c>
      <c r="D7314" s="56" t="b">
        <v>0</v>
      </c>
      <c r="E7314" s="56">
        <f ca="1">IF(PV[[#This Row],[Business Date]]=Control!$C$6, PV[[#This Row],[Notional Value Local Cur]], -PV[[#This Row],[Notional Value Local Cur]])</f>
        <v>0</v>
      </c>
    </row>
    <row r="7315" spans="1:5" x14ac:dyDescent="0.25">
      <c r="A7315" s="36" t="b">
        <v>0</v>
      </c>
      <c r="B7315" s="56" t="b">
        <v>0</v>
      </c>
      <c r="C7315" s="56" t="b">
        <v>0</v>
      </c>
      <c r="D7315" s="56" t="b">
        <v>0</v>
      </c>
      <c r="E7315" s="56">
        <f ca="1">IF(PV[[#This Row],[Business Date]]=Control!$C$6, PV[[#This Row],[Notional Value Local Cur]], -PV[[#This Row],[Notional Value Local Cur]])</f>
        <v>0</v>
      </c>
    </row>
    <row r="7316" spans="1:5" x14ac:dyDescent="0.25">
      <c r="A7316" s="36" t="b">
        <v>0</v>
      </c>
      <c r="B7316" s="56" t="b">
        <v>0</v>
      </c>
      <c r="C7316" s="56" t="b">
        <v>0</v>
      </c>
      <c r="D7316" s="56" t="b">
        <v>0</v>
      </c>
      <c r="E7316" s="56">
        <f ca="1">IF(PV[[#This Row],[Business Date]]=Control!$C$6, PV[[#This Row],[Notional Value Local Cur]], -PV[[#This Row],[Notional Value Local Cur]])</f>
        <v>0</v>
      </c>
    </row>
    <row r="7317" spans="1:5" x14ac:dyDescent="0.25">
      <c r="A7317" s="36" t="b">
        <v>0</v>
      </c>
      <c r="B7317" s="56" t="b">
        <v>0</v>
      </c>
      <c r="C7317" s="56" t="b">
        <v>0</v>
      </c>
      <c r="D7317" s="56" t="b">
        <v>0</v>
      </c>
      <c r="E7317" s="56">
        <f ca="1">IF(PV[[#This Row],[Business Date]]=Control!$C$6, PV[[#This Row],[Notional Value Local Cur]], -PV[[#This Row],[Notional Value Local Cur]])</f>
        <v>0</v>
      </c>
    </row>
    <row r="7318" spans="1:5" x14ac:dyDescent="0.25">
      <c r="A7318" s="36" t="b">
        <v>0</v>
      </c>
      <c r="B7318" s="56" t="b">
        <v>0</v>
      </c>
      <c r="C7318" s="56" t="b">
        <v>0</v>
      </c>
      <c r="D7318" s="56" t="b">
        <v>0</v>
      </c>
      <c r="E7318" s="56">
        <f ca="1">IF(PV[[#This Row],[Business Date]]=Control!$C$6, PV[[#This Row],[Notional Value Local Cur]], -PV[[#This Row],[Notional Value Local Cur]])</f>
        <v>0</v>
      </c>
    </row>
    <row r="7319" spans="1:5" x14ac:dyDescent="0.25">
      <c r="A7319" s="36" t="b">
        <v>0</v>
      </c>
      <c r="B7319" s="56" t="b">
        <v>0</v>
      </c>
      <c r="C7319" s="56" t="b">
        <v>0</v>
      </c>
      <c r="D7319" s="56" t="b">
        <v>0</v>
      </c>
      <c r="E7319" s="56">
        <f ca="1">IF(PV[[#This Row],[Business Date]]=Control!$C$6, PV[[#This Row],[Notional Value Local Cur]], -PV[[#This Row],[Notional Value Local Cur]])</f>
        <v>0</v>
      </c>
    </row>
    <row r="7320" spans="1:5" x14ac:dyDescent="0.25">
      <c r="A7320" s="36" t="b">
        <v>0</v>
      </c>
      <c r="B7320" s="56" t="b">
        <v>0</v>
      </c>
      <c r="C7320" s="56" t="b">
        <v>0</v>
      </c>
      <c r="D7320" s="56" t="b">
        <v>0</v>
      </c>
      <c r="E7320" s="56">
        <f ca="1">IF(PV[[#This Row],[Business Date]]=Control!$C$6, PV[[#This Row],[Notional Value Local Cur]], -PV[[#This Row],[Notional Value Local Cur]])</f>
        <v>0</v>
      </c>
    </row>
    <row r="7321" spans="1:5" x14ac:dyDescent="0.25">
      <c r="A7321" s="36" t="b">
        <v>0</v>
      </c>
      <c r="B7321" s="56" t="b">
        <v>0</v>
      </c>
      <c r="C7321" s="56" t="b">
        <v>0</v>
      </c>
      <c r="D7321" s="56" t="b">
        <v>0</v>
      </c>
      <c r="E7321" s="56">
        <f ca="1">IF(PV[[#This Row],[Business Date]]=Control!$C$6, PV[[#This Row],[Notional Value Local Cur]], -PV[[#This Row],[Notional Value Local Cur]])</f>
        <v>0</v>
      </c>
    </row>
    <row r="7322" spans="1:5" x14ac:dyDescent="0.25">
      <c r="A7322" s="36" t="b">
        <v>0</v>
      </c>
      <c r="B7322" s="56" t="b">
        <v>0</v>
      </c>
      <c r="C7322" s="56" t="b">
        <v>0</v>
      </c>
      <c r="D7322" s="56" t="b">
        <v>0</v>
      </c>
      <c r="E7322" s="56">
        <f ca="1">IF(PV[[#This Row],[Business Date]]=Control!$C$6, PV[[#This Row],[Notional Value Local Cur]], -PV[[#This Row],[Notional Value Local Cur]])</f>
        <v>0</v>
      </c>
    </row>
    <row r="7323" spans="1:5" x14ac:dyDescent="0.25">
      <c r="A7323" s="36" t="b">
        <v>0</v>
      </c>
      <c r="B7323" s="56" t="b">
        <v>0</v>
      </c>
      <c r="C7323" s="56" t="b">
        <v>0</v>
      </c>
      <c r="D7323" s="56" t="b">
        <v>0</v>
      </c>
      <c r="E7323" s="56">
        <f ca="1">IF(PV[[#This Row],[Business Date]]=Control!$C$6, PV[[#This Row],[Notional Value Local Cur]], -PV[[#This Row],[Notional Value Local Cur]])</f>
        <v>0</v>
      </c>
    </row>
    <row r="7324" spans="1:5" x14ac:dyDescent="0.25">
      <c r="A7324" s="36" t="b">
        <v>0</v>
      </c>
      <c r="B7324" s="56" t="b">
        <v>0</v>
      </c>
      <c r="C7324" s="56" t="b">
        <v>0</v>
      </c>
      <c r="D7324" s="56" t="b">
        <v>0</v>
      </c>
      <c r="E7324" s="56">
        <f ca="1">IF(PV[[#This Row],[Business Date]]=Control!$C$6, PV[[#This Row],[Notional Value Local Cur]], -PV[[#This Row],[Notional Value Local Cur]])</f>
        <v>0</v>
      </c>
    </row>
    <row r="7325" spans="1:5" x14ac:dyDescent="0.25">
      <c r="A7325" s="36" t="b">
        <v>0</v>
      </c>
      <c r="B7325" s="56" t="b">
        <v>0</v>
      </c>
      <c r="C7325" s="56" t="b">
        <v>0</v>
      </c>
      <c r="D7325" s="56" t="b">
        <v>0</v>
      </c>
      <c r="E7325" s="56">
        <f ca="1">IF(PV[[#This Row],[Business Date]]=Control!$C$6, PV[[#This Row],[Notional Value Local Cur]], -PV[[#This Row],[Notional Value Local Cur]])</f>
        <v>0</v>
      </c>
    </row>
    <row r="7326" spans="1:5" x14ac:dyDescent="0.25">
      <c r="A7326" s="36" t="b">
        <v>0</v>
      </c>
      <c r="B7326" s="56" t="b">
        <v>0</v>
      </c>
      <c r="C7326" s="56" t="b">
        <v>0</v>
      </c>
      <c r="D7326" s="56" t="b">
        <v>0</v>
      </c>
      <c r="E7326" s="56">
        <f ca="1">IF(PV[[#This Row],[Business Date]]=Control!$C$6, PV[[#This Row],[Notional Value Local Cur]], -PV[[#This Row],[Notional Value Local Cur]])</f>
        <v>0</v>
      </c>
    </row>
    <row r="7327" spans="1:5" x14ac:dyDescent="0.25">
      <c r="A7327" s="36" t="b">
        <v>0</v>
      </c>
      <c r="B7327" s="56" t="b">
        <v>0</v>
      </c>
      <c r="C7327" s="56" t="b">
        <v>0</v>
      </c>
      <c r="D7327" s="56" t="b">
        <v>0</v>
      </c>
      <c r="E7327" s="56">
        <f ca="1">IF(PV[[#This Row],[Business Date]]=Control!$C$6, PV[[#This Row],[Notional Value Local Cur]], -PV[[#This Row],[Notional Value Local Cur]])</f>
        <v>0</v>
      </c>
    </row>
    <row r="7328" spans="1:5" x14ac:dyDescent="0.25">
      <c r="A7328" s="36" t="b">
        <v>0</v>
      </c>
      <c r="B7328" s="56" t="b">
        <v>0</v>
      </c>
      <c r="C7328" s="56" t="b">
        <v>0</v>
      </c>
      <c r="D7328" s="56" t="b">
        <v>0</v>
      </c>
      <c r="E7328" s="56">
        <f ca="1">IF(PV[[#This Row],[Business Date]]=Control!$C$6, PV[[#This Row],[Notional Value Local Cur]], -PV[[#This Row],[Notional Value Local Cur]])</f>
        <v>0</v>
      </c>
    </row>
    <row r="7329" spans="1:5" x14ac:dyDescent="0.25">
      <c r="A7329" s="36" t="b">
        <v>0</v>
      </c>
      <c r="B7329" s="56" t="b">
        <v>0</v>
      </c>
      <c r="C7329" s="56" t="b">
        <v>0</v>
      </c>
      <c r="D7329" s="56" t="b">
        <v>0</v>
      </c>
      <c r="E7329" s="56">
        <f ca="1">IF(PV[[#This Row],[Business Date]]=Control!$C$6, PV[[#This Row],[Notional Value Local Cur]], -PV[[#This Row],[Notional Value Local Cur]])</f>
        <v>0</v>
      </c>
    </row>
    <row r="7330" spans="1:5" x14ac:dyDescent="0.25">
      <c r="A7330" s="36" t="b">
        <v>0</v>
      </c>
      <c r="B7330" s="56" t="b">
        <v>0</v>
      </c>
      <c r="C7330" s="56" t="b">
        <v>0</v>
      </c>
      <c r="D7330" s="56" t="b">
        <v>0</v>
      </c>
      <c r="E7330" s="56">
        <f ca="1">IF(PV[[#This Row],[Business Date]]=Control!$C$6, PV[[#This Row],[Notional Value Local Cur]], -PV[[#This Row],[Notional Value Local Cur]])</f>
        <v>0</v>
      </c>
    </row>
    <row r="7331" spans="1:5" x14ac:dyDescent="0.25">
      <c r="A7331" s="36" t="b">
        <v>0</v>
      </c>
      <c r="B7331" s="56" t="b">
        <v>0</v>
      </c>
      <c r="C7331" s="56" t="b">
        <v>0</v>
      </c>
      <c r="D7331" s="56" t="b">
        <v>0</v>
      </c>
      <c r="E7331" s="56">
        <f ca="1">IF(PV[[#This Row],[Business Date]]=Control!$C$6, PV[[#This Row],[Notional Value Local Cur]], -PV[[#This Row],[Notional Value Local Cur]])</f>
        <v>0</v>
      </c>
    </row>
    <row r="7332" spans="1:5" x14ac:dyDescent="0.25">
      <c r="A7332" s="36" t="b">
        <v>0</v>
      </c>
      <c r="B7332" s="56" t="b">
        <v>0</v>
      </c>
      <c r="C7332" s="56" t="b">
        <v>0</v>
      </c>
      <c r="D7332" s="56" t="b">
        <v>0</v>
      </c>
      <c r="E7332" s="56">
        <f ca="1">IF(PV[[#This Row],[Business Date]]=Control!$C$6, PV[[#This Row],[Notional Value Local Cur]], -PV[[#This Row],[Notional Value Local Cur]])</f>
        <v>0</v>
      </c>
    </row>
    <row r="7333" spans="1:5" x14ac:dyDescent="0.25">
      <c r="A7333" s="36" t="b">
        <v>0</v>
      </c>
      <c r="B7333" s="56" t="b">
        <v>0</v>
      </c>
      <c r="C7333" s="56" t="b">
        <v>0</v>
      </c>
      <c r="D7333" s="56" t="b">
        <v>0</v>
      </c>
      <c r="E7333" s="56">
        <f ca="1">IF(PV[[#This Row],[Business Date]]=Control!$C$6, PV[[#This Row],[Notional Value Local Cur]], -PV[[#This Row],[Notional Value Local Cur]])</f>
        <v>0</v>
      </c>
    </row>
    <row r="7334" spans="1:5" x14ac:dyDescent="0.25">
      <c r="A7334" s="36" t="b">
        <v>0</v>
      </c>
      <c r="B7334" s="56" t="b">
        <v>0</v>
      </c>
      <c r="C7334" s="56" t="b">
        <v>0</v>
      </c>
      <c r="D7334" s="56" t="b">
        <v>0</v>
      </c>
      <c r="E7334" s="56">
        <f ca="1">IF(PV[[#This Row],[Business Date]]=Control!$C$6, PV[[#This Row],[Notional Value Local Cur]], -PV[[#This Row],[Notional Value Local Cur]])</f>
        <v>0</v>
      </c>
    </row>
    <row r="7335" spans="1:5" x14ac:dyDescent="0.25">
      <c r="A7335" s="36" t="b">
        <v>0</v>
      </c>
      <c r="B7335" s="56" t="b">
        <v>0</v>
      </c>
      <c r="C7335" s="56" t="b">
        <v>0</v>
      </c>
      <c r="D7335" s="56" t="b">
        <v>0</v>
      </c>
      <c r="E7335" s="56">
        <f ca="1">IF(PV[[#This Row],[Business Date]]=Control!$C$6, PV[[#This Row],[Notional Value Local Cur]], -PV[[#This Row],[Notional Value Local Cur]])</f>
        <v>0</v>
      </c>
    </row>
    <row r="7336" spans="1:5" x14ac:dyDescent="0.25">
      <c r="A7336" s="36" t="b">
        <v>0</v>
      </c>
      <c r="B7336" s="56" t="b">
        <v>0</v>
      </c>
      <c r="C7336" s="56" t="b">
        <v>0</v>
      </c>
      <c r="D7336" s="56" t="b">
        <v>0</v>
      </c>
      <c r="E7336" s="56">
        <f ca="1">IF(PV[[#This Row],[Business Date]]=Control!$C$6, PV[[#This Row],[Notional Value Local Cur]], -PV[[#This Row],[Notional Value Local Cur]])</f>
        <v>0</v>
      </c>
    </row>
    <row r="7337" spans="1:5" x14ac:dyDescent="0.25">
      <c r="A7337" s="36" t="b">
        <v>0</v>
      </c>
      <c r="B7337" s="56" t="b">
        <v>0</v>
      </c>
      <c r="C7337" s="56" t="b">
        <v>0</v>
      </c>
      <c r="D7337" s="56" t="b">
        <v>0</v>
      </c>
      <c r="E7337" s="56">
        <f ca="1">IF(PV[[#This Row],[Business Date]]=Control!$C$6, PV[[#This Row],[Notional Value Local Cur]], -PV[[#This Row],[Notional Value Local Cur]])</f>
        <v>0</v>
      </c>
    </row>
    <row r="7338" spans="1:5" x14ac:dyDescent="0.25">
      <c r="A7338" s="36" t="b">
        <v>0</v>
      </c>
      <c r="B7338" s="56" t="b">
        <v>0</v>
      </c>
      <c r="C7338" s="56" t="b">
        <v>0</v>
      </c>
      <c r="D7338" s="56" t="b">
        <v>0</v>
      </c>
      <c r="E7338" s="56">
        <f ca="1">IF(PV[[#This Row],[Business Date]]=Control!$C$6, PV[[#This Row],[Notional Value Local Cur]], -PV[[#This Row],[Notional Value Local Cur]])</f>
        <v>0</v>
      </c>
    </row>
    <row r="7339" spans="1:5" x14ac:dyDescent="0.25">
      <c r="A7339" s="36" t="b">
        <v>0</v>
      </c>
      <c r="B7339" s="56" t="b">
        <v>0</v>
      </c>
      <c r="C7339" s="56" t="b">
        <v>0</v>
      </c>
      <c r="D7339" s="56" t="b">
        <v>0</v>
      </c>
      <c r="E7339" s="56">
        <f ca="1">IF(PV[[#This Row],[Business Date]]=Control!$C$6, PV[[#This Row],[Notional Value Local Cur]], -PV[[#This Row],[Notional Value Local Cur]])</f>
        <v>0</v>
      </c>
    </row>
    <row r="7340" spans="1:5" x14ac:dyDescent="0.25">
      <c r="A7340" s="36" t="b">
        <v>0</v>
      </c>
      <c r="B7340" s="56" t="b">
        <v>0</v>
      </c>
      <c r="C7340" s="56" t="b">
        <v>0</v>
      </c>
      <c r="D7340" s="56" t="b">
        <v>0</v>
      </c>
      <c r="E7340" s="56">
        <f ca="1">IF(PV[[#This Row],[Business Date]]=Control!$C$6, PV[[#This Row],[Notional Value Local Cur]], -PV[[#This Row],[Notional Value Local Cur]])</f>
        <v>0</v>
      </c>
    </row>
    <row r="7341" spans="1:5" x14ac:dyDescent="0.25">
      <c r="A7341" s="36" t="b">
        <v>0</v>
      </c>
      <c r="B7341" s="56" t="b">
        <v>0</v>
      </c>
      <c r="C7341" s="56" t="b">
        <v>0</v>
      </c>
      <c r="D7341" s="56" t="b">
        <v>0</v>
      </c>
      <c r="E7341" s="56">
        <f ca="1">IF(PV[[#This Row],[Business Date]]=Control!$C$6, PV[[#This Row],[Notional Value Local Cur]], -PV[[#This Row],[Notional Value Local Cur]])</f>
        <v>0</v>
      </c>
    </row>
    <row r="7342" spans="1:5" x14ac:dyDescent="0.25">
      <c r="A7342" s="36" t="b">
        <v>0</v>
      </c>
      <c r="B7342" s="56" t="b">
        <v>0</v>
      </c>
      <c r="C7342" s="56" t="b">
        <v>0</v>
      </c>
      <c r="D7342" s="56" t="b">
        <v>0</v>
      </c>
      <c r="E7342" s="56">
        <f ca="1">IF(PV[[#This Row],[Business Date]]=Control!$C$6, PV[[#This Row],[Notional Value Local Cur]], -PV[[#This Row],[Notional Value Local Cur]])</f>
        <v>0</v>
      </c>
    </row>
    <row r="7343" spans="1:5" x14ac:dyDescent="0.25">
      <c r="A7343" s="36" t="b">
        <v>0</v>
      </c>
      <c r="B7343" s="56" t="b">
        <v>0</v>
      </c>
      <c r="C7343" s="56" t="b">
        <v>0</v>
      </c>
      <c r="D7343" s="56" t="b">
        <v>0</v>
      </c>
      <c r="E7343" s="56">
        <f ca="1">IF(PV[[#This Row],[Business Date]]=Control!$C$6, PV[[#This Row],[Notional Value Local Cur]], -PV[[#This Row],[Notional Value Local Cur]])</f>
        <v>0</v>
      </c>
    </row>
    <row r="7344" spans="1:5" x14ac:dyDescent="0.25">
      <c r="A7344" s="36" t="b">
        <v>0</v>
      </c>
      <c r="B7344" s="56" t="b">
        <v>0</v>
      </c>
      <c r="C7344" s="56" t="b">
        <v>0</v>
      </c>
      <c r="D7344" s="56" t="b">
        <v>0</v>
      </c>
      <c r="E7344" s="56">
        <f ca="1">IF(PV[[#This Row],[Business Date]]=Control!$C$6, PV[[#This Row],[Notional Value Local Cur]], -PV[[#This Row],[Notional Value Local Cur]])</f>
        <v>0</v>
      </c>
    </row>
    <row r="7345" spans="1:5" x14ac:dyDescent="0.25">
      <c r="A7345" s="36" t="b">
        <v>0</v>
      </c>
      <c r="B7345" s="56" t="b">
        <v>0</v>
      </c>
      <c r="C7345" s="56" t="b">
        <v>0</v>
      </c>
      <c r="D7345" s="56" t="b">
        <v>0</v>
      </c>
      <c r="E7345" s="56">
        <f ca="1">IF(PV[[#This Row],[Business Date]]=Control!$C$6, PV[[#This Row],[Notional Value Local Cur]], -PV[[#This Row],[Notional Value Local Cur]])</f>
        <v>0</v>
      </c>
    </row>
    <row r="7346" spans="1:5" x14ac:dyDescent="0.25">
      <c r="A7346" s="36" t="b">
        <v>0</v>
      </c>
      <c r="B7346" s="56" t="b">
        <v>0</v>
      </c>
      <c r="C7346" s="56" t="b">
        <v>0</v>
      </c>
      <c r="D7346" s="56" t="b">
        <v>0</v>
      </c>
      <c r="E7346" s="56">
        <f ca="1">IF(PV[[#This Row],[Business Date]]=Control!$C$6, PV[[#This Row],[Notional Value Local Cur]], -PV[[#This Row],[Notional Value Local Cur]])</f>
        <v>0</v>
      </c>
    </row>
    <row r="7347" spans="1:5" x14ac:dyDescent="0.25">
      <c r="A7347" s="36" t="b">
        <v>0</v>
      </c>
      <c r="B7347" s="56" t="b">
        <v>0</v>
      </c>
      <c r="C7347" s="56" t="b">
        <v>0</v>
      </c>
      <c r="D7347" s="56" t="b">
        <v>0</v>
      </c>
      <c r="E7347" s="56">
        <f ca="1">IF(PV[[#This Row],[Business Date]]=Control!$C$6, PV[[#This Row],[Notional Value Local Cur]], -PV[[#This Row],[Notional Value Local Cur]])</f>
        <v>0</v>
      </c>
    </row>
    <row r="7348" spans="1:5" x14ac:dyDescent="0.25">
      <c r="A7348" s="36" t="b">
        <v>0</v>
      </c>
      <c r="B7348" s="56" t="b">
        <v>0</v>
      </c>
      <c r="C7348" s="56" t="b">
        <v>0</v>
      </c>
      <c r="D7348" s="56" t="b">
        <v>0</v>
      </c>
      <c r="E7348" s="56">
        <f ca="1">IF(PV[[#This Row],[Business Date]]=Control!$C$6, PV[[#This Row],[Notional Value Local Cur]], -PV[[#This Row],[Notional Value Local Cur]])</f>
        <v>0</v>
      </c>
    </row>
    <row r="7349" spans="1:5" x14ac:dyDescent="0.25">
      <c r="A7349" s="36" t="b">
        <v>0</v>
      </c>
      <c r="B7349" s="56" t="b">
        <v>0</v>
      </c>
      <c r="C7349" s="56" t="b">
        <v>0</v>
      </c>
      <c r="D7349" s="56" t="b">
        <v>0</v>
      </c>
      <c r="E7349" s="56">
        <f ca="1">IF(PV[[#This Row],[Business Date]]=Control!$C$6, PV[[#This Row],[Notional Value Local Cur]], -PV[[#This Row],[Notional Value Local Cur]])</f>
        <v>0</v>
      </c>
    </row>
    <row r="7350" spans="1:5" x14ac:dyDescent="0.25">
      <c r="A7350" s="36" t="b">
        <v>0</v>
      </c>
      <c r="B7350" s="56" t="b">
        <v>0</v>
      </c>
      <c r="C7350" s="56" t="b">
        <v>0</v>
      </c>
      <c r="D7350" s="56" t="b">
        <v>0</v>
      </c>
      <c r="E7350" s="56">
        <f ca="1">IF(PV[[#This Row],[Business Date]]=Control!$C$6, PV[[#This Row],[Notional Value Local Cur]], -PV[[#This Row],[Notional Value Local Cur]])</f>
        <v>0</v>
      </c>
    </row>
    <row r="7351" spans="1:5" x14ac:dyDescent="0.25">
      <c r="A7351" s="36" t="b">
        <v>0</v>
      </c>
      <c r="B7351" s="56" t="b">
        <v>0</v>
      </c>
      <c r="C7351" s="56" t="b">
        <v>0</v>
      </c>
      <c r="D7351" s="56" t="b">
        <v>0</v>
      </c>
      <c r="E7351" s="56">
        <f ca="1">IF(PV[[#This Row],[Business Date]]=Control!$C$6, PV[[#This Row],[Notional Value Local Cur]], -PV[[#This Row],[Notional Value Local Cur]])</f>
        <v>0</v>
      </c>
    </row>
    <row r="7352" spans="1:5" x14ac:dyDescent="0.25">
      <c r="A7352" s="36" t="b">
        <v>0</v>
      </c>
      <c r="B7352" s="56" t="b">
        <v>0</v>
      </c>
      <c r="C7352" s="56" t="b">
        <v>0</v>
      </c>
      <c r="D7352" s="56" t="b">
        <v>0</v>
      </c>
      <c r="E7352" s="56">
        <f ca="1">IF(PV[[#This Row],[Business Date]]=Control!$C$6, PV[[#This Row],[Notional Value Local Cur]], -PV[[#This Row],[Notional Value Local Cur]])</f>
        <v>0</v>
      </c>
    </row>
    <row r="7353" spans="1:5" x14ac:dyDescent="0.25">
      <c r="A7353" s="36" t="b">
        <v>0</v>
      </c>
      <c r="B7353" s="56" t="b">
        <v>0</v>
      </c>
      <c r="C7353" s="56" t="b">
        <v>0</v>
      </c>
      <c r="D7353" s="56" t="b">
        <v>0</v>
      </c>
      <c r="E7353" s="56">
        <f ca="1">IF(PV[[#This Row],[Business Date]]=Control!$C$6, PV[[#This Row],[Notional Value Local Cur]], -PV[[#This Row],[Notional Value Local Cur]])</f>
        <v>0</v>
      </c>
    </row>
    <row r="7354" spans="1:5" x14ac:dyDescent="0.25">
      <c r="A7354" s="36" t="b">
        <v>0</v>
      </c>
      <c r="B7354" s="56" t="b">
        <v>0</v>
      </c>
      <c r="C7354" s="56" t="b">
        <v>0</v>
      </c>
      <c r="D7354" s="56" t="b">
        <v>0</v>
      </c>
      <c r="E7354" s="56">
        <f ca="1">IF(PV[[#This Row],[Business Date]]=Control!$C$6, PV[[#This Row],[Notional Value Local Cur]], -PV[[#This Row],[Notional Value Local Cur]])</f>
        <v>0</v>
      </c>
    </row>
    <row r="7355" spans="1:5" x14ac:dyDescent="0.25">
      <c r="A7355" s="36" t="b">
        <v>0</v>
      </c>
      <c r="B7355" s="56" t="b">
        <v>0</v>
      </c>
      <c r="C7355" s="56" t="b">
        <v>0</v>
      </c>
      <c r="D7355" s="56" t="b">
        <v>0</v>
      </c>
      <c r="E7355" s="56">
        <f ca="1">IF(PV[[#This Row],[Business Date]]=Control!$C$6, PV[[#This Row],[Notional Value Local Cur]], -PV[[#This Row],[Notional Value Local Cur]])</f>
        <v>0</v>
      </c>
    </row>
    <row r="7356" spans="1:5" x14ac:dyDescent="0.25">
      <c r="A7356" s="36" t="b">
        <v>0</v>
      </c>
      <c r="B7356" s="56" t="b">
        <v>0</v>
      </c>
      <c r="C7356" s="56" t="b">
        <v>0</v>
      </c>
      <c r="D7356" s="56" t="b">
        <v>0</v>
      </c>
      <c r="E7356" s="56">
        <f ca="1">IF(PV[[#This Row],[Business Date]]=Control!$C$6, PV[[#This Row],[Notional Value Local Cur]], -PV[[#This Row],[Notional Value Local Cur]])</f>
        <v>0</v>
      </c>
    </row>
    <row r="7357" spans="1:5" x14ac:dyDescent="0.25">
      <c r="A7357" s="36" t="b">
        <v>0</v>
      </c>
      <c r="B7357" s="56" t="b">
        <v>0</v>
      </c>
      <c r="C7357" s="56" t="b">
        <v>0</v>
      </c>
      <c r="D7357" s="56" t="b">
        <v>0</v>
      </c>
      <c r="E7357" s="56">
        <f ca="1">IF(PV[[#This Row],[Business Date]]=Control!$C$6, PV[[#This Row],[Notional Value Local Cur]], -PV[[#This Row],[Notional Value Local Cur]])</f>
        <v>0</v>
      </c>
    </row>
    <row r="7358" spans="1:5" x14ac:dyDescent="0.25">
      <c r="A7358" s="36" t="b">
        <v>0</v>
      </c>
      <c r="B7358" s="56" t="b">
        <v>0</v>
      </c>
      <c r="C7358" s="56" t="b">
        <v>0</v>
      </c>
      <c r="D7358" s="56" t="b">
        <v>0</v>
      </c>
      <c r="E7358" s="56">
        <f ca="1">IF(PV[[#This Row],[Business Date]]=Control!$C$6, PV[[#This Row],[Notional Value Local Cur]], -PV[[#This Row],[Notional Value Local Cur]])</f>
        <v>0</v>
      </c>
    </row>
    <row r="7359" spans="1:5" x14ac:dyDescent="0.25">
      <c r="A7359" s="36" t="b">
        <v>0</v>
      </c>
      <c r="B7359" s="56" t="b">
        <v>0</v>
      </c>
      <c r="C7359" s="56" t="b">
        <v>0</v>
      </c>
      <c r="D7359" s="56" t="b">
        <v>0</v>
      </c>
      <c r="E7359" s="56">
        <f ca="1">IF(PV[[#This Row],[Business Date]]=Control!$C$6, PV[[#This Row],[Notional Value Local Cur]], -PV[[#This Row],[Notional Value Local Cur]])</f>
        <v>0</v>
      </c>
    </row>
    <row r="7360" spans="1:5" x14ac:dyDescent="0.25">
      <c r="A7360" s="36" t="b">
        <v>0</v>
      </c>
      <c r="B7360" s="56" t="b">
        <v>0</v>
      </c>
      <c r="C7360" s="56" t="b">
        <v>0</v>
      </c>
      <c r="D7360" s="56" t="b">
        <v>0</v>
      </c>
      <c r="E7360" s="56">
        <f ca="1">IF(PV[[#This Row],[Business Date]]=Control!$C$6, PV[[#This Row],[Notional Value Local Cur]], -PV[[#This Row],[Notional Value Local Cur]])</f>
        <v>0</v>
      </c>
    </row>
    <row r="7361" spans="1:5" x14ac:dyDescent="0.25">
      <c r="A7361" s="36" t="b">
        <v>0</v>
      </c>
      <c r="B7361" s="56" t="b">
        <v>0</v>
      </c>
      <c r="C7361" s="56" t="b">
        <v>0</v>
      </c>
      <c r="D7361" s="56" t="b">
        <v>0</v>
      </c>
      <c r="E7361" s="56">
        <f ca="1">IF(PV[[#This Row],[Business Date]]=Control!$C$6, PV[[#This Row],[Notional Value Local Cur]], -PV[[#This Row],[Notional Value Local Cur]])</f>
        <v>0</v>
      </c>
    </row>
    <row r="7362" spans="1:5" x14ac:dyDescent="0.25">
      <c r="A7362" s="36" t="b">
        <v>0</v>
      </c>
      <c r="B7362" s="56" t="b">
        <v>0</v>
      </c>
      <c r="C7362" s="56" t="b">
        <v>0</v>
      </c>
      <c r="D7362" s="56" t="b">
        <v>0</v>
      </c>
      <c r="E7362" s="56">
        <f ca="1">IF(PV[[#This Row],[Business Date]]=Control!$C$6, PV[[#This Row],[Notional Value Local Cur]], -PV[[#This Row],[Notional Value Local Cur]])</f>
        <v>0</v>
      </c>
    </row>
    <row r="7363" spans="1:5" x14ac:dyDescent="0.25">
      <c r="A7363" s="36" t="b">
        <v>0</v>
      </c>
      <c r="B7363" s="56" t="b">
        <v>0</v>
      </c>
      <c r="C7363" s="56" t="b">
        <v>0</v>
      </c>
      <c r="D7363" s="56" t="b">
        <v>0</v>
      </c>
      <c r="E7363" s="56">
        <f ca="1">IF(PV[[#This Row],[Business Date]]=Control!$C$6, PV[[#This Row],[Notional Value Local Cur]], -PV[[#This Row],[Notional Value Local Cur]])</f>
        <v>0</v>
      </c>
    </row>
    <row r="7364" spans="1:5" x14ac:dyDescent="0.25">
      <c r="A7364" s="36" t="b">
        <v>0</v>
      </c>
      <c r="B7364" s="56" t="b">
        <v>0</v>
      </c>
      <c r="C7364" s="56" t="b">
        <v>0</v>
      </c>
      <c r="D7364" s="56" t="b">
        <v>0</v>
      </c>
      <c r="E7364" s="56">
        <f ca="1">IF(PV[[#This Row],[Business Date]]=Control!$C$6, PV[[#This Row],[Notional Value Local Cur]], -PV[[#This Row],[Notional Value Local Cur]])</f>
        <v>0</v>
      </c>
    </row>
    <row r="7365" spans="1:5" x14ac:dyDescent="0.25">
      <c r="A7365" s="36" t="b">
        <v>0</v>
      </c>
      <c r="B7365" s="56" t="b">
        <v>0</v>
      </c>
      <c r="C7365" s="56" t="b">
        <v>0</v>
      </c>
      <c r="D7365" s="56" t="b">
        <v>0</v>
      </c>
      <c r="E7365" s="56">
        <f ca="1">IF(PV[[#This Row],[Business Date]]=Control!$C$6, PV[[#This Row],[Notional Value Local Cur]], -PV[[#This Row],[Notional Value Local Cur]])</f>
        <v>0</v>
      </c>
    </row>
    <row r="7366" spans="1:5" x14ac:dyDescent="0.25">
      <c r="A7366" s="36" t="b">
        <v>0</v>
      </c>
      <c r="B7366" s="56" t="b">
        <v>0</v>
      </c>
      <c r="C7366" s="56" t="b">
        <v>0</v>
      </c>
      <c r="D7366" s="56" t="b">
        <v>0</v>
      </c>
      <c r="E7366" s="56">
        <f ca="1">IF(PV[[#This Row],[Business Date]]=Control!$C$6, PV[[#This Row],[Notional Value Local Cur]], -PV[[#This Row],[Notional Value Local Cur]])</f>
        <v>0</v>
      </c>
    </row>
    <row r="7367" spans="1:5" x14ac:dyDescent="0.25">
      <c r="A7367" s="36" t="b">
        <v>0</v>
      </c>
      <c r="B7367" s="56" t="b">
        <v>0</v>
      </c>
      <c r="C7367" s="56" t="b">
        <v>0</v>
      </c>
      <c r="D7367" s="56" t="b">
        <v>0</v>
      </c>
      <c r="E7367" s="56">
        <f ca="1">IF(PV[[#This Row],[Business Date]]=Control!$C$6, PV[[#This Row],[Notional Value Local Cur]], -PV[[#This Row],[Notional Value Local Cur]])</f>
        <v>0</v>
      </c>
    </row>
    <row r="7368" spans="1:5" x14ac:dyDescent="0.25">
      <c r="A7368" s="36" t="b">
        <v>0</v>
      </c>
      <c r="B7368" s="56" t="b">
        <v>0</v>
      </c>
      <c r="C7368" s="56" t="b">
        <v>0</v>
      </c>
      <c r="D7368" s="56" t="b">
        <v>0</v>
      </c>
      <c r="E7368" s="56">
        <f ca="1">IF(PV[[#This Row],[Business Date]]=Control!$C$6, PV[[#This Row],[Notional Value Local Cur]], -PV[[#This Row],[Notional Value Local Cur]])</f>
        <v>0</v>
      </c>
    </row>
    <row r="7369" spans="1:5" x14ac:dyDescent="0.25">
      <c r="A7369" s="36" t="b">
        <v>0</v>
      </c>
      <c r="B7369" s="56" t="b">
        <v>0</v>
      </c>
      <c r="C7369" s="56" t="b">
        <v>0</v>
      </c>
      <c r="D7369" s="56" t="b">
        <v>0</v>
      </c>
      <c r="E7369" s="56">
        <f ca="1">IF(PV[[#This Row],[Business Date]]=Control!$C$6, PV[[#This Row],[Notional Value Local Cur]], -PV[[#This Row],[Notional Value Local Cur]])</f>
        <v>0</v>
      </c>
    </row>
    <row r="7370" spans="1:5" x14ac:dyDescent="0.25">
      <c r="A7370" s="36" t="b">
        <v>0</v>
      </c>
      <c r="B7370" s="56" t="b">
        <v>0</v>
      </c>
      <c r="C7370" s="56" t="b">
        <v>0</v>
      </c>
      <c r="D7370" s="56" t="b">
        <v>0</v>
      </c>
      <c r="E7370" s="56">
        <f ca="1">IF(PV[[#This Row],[Business Date]]=Control!$C$6, PV[[#This Row],[Notional Value Local Cur]], -PV[[#This Row],[Notional Value Local Cur]])</f>
        <v>0</v>
      </c>
    </row>
    <row r="7371" spans="1:5" x14ac:dyDescent="0.25">
      <c r="A7371" s="36" t="b">
        <v>0</v>
      </c>
      <c r="B7371" s="56" t="b">
        <v>0</v>
      </c>
      <c r="C7371" s="56" t="b">
        <v>0</v>
      </c>
      <c r="D7371" s="56" t="b">
        <v>0</v>
      </c>
      <c r="E7371" s="56">
        <f ca="1">IF(PV[[#This Row],[Business Date]]=Control!$C$6, PV[[#This Row],[Notional Value Local Cur]], -PV[[#This Row],[Notional Value Local Cur]])</f>
        <v>0</v>
      </c>
    </row>
    <row r="7372" spans="1:5" x14ac:dyDescent="0.25">
      <c r="A7372" s="36" t="b">
        <v>0</v>
      </c>
      <c r="B7372" s="56" t="b">
        <v>0</v>
      </c>
      <c r="C7372" s="56" t="b">
        <v>0</v>
      </c>
      <c r="D7372" s="56" t="b">
        <v>0</v>
      </c>
      <c r="E7372" s="56">
        <f ca="1">IF(PV[[#This Row],[Business Date]]=Control!$C$6, PV[[#This Row],[Notional Value Local Cur]], -PV[[#This Row],[Notional Value Local Cur]])</f>
        <v>0</v>
      </c>
    </row>
    <row r="7373" spans="1:5" x14ac:dyDescent="0.25">
      <c r="A7373" s="36" t="b">
        <v>0</v>
      </c>
      <c r="B7373" s="56" t="b">
        <v>0</v>
      </c>
      <c r="C7373" s="56" t="b">
        <v>0</v>
      </c>
      <c r="D7373" s="56" t="b">
        <v>0</v>
      </c>
      <c r="E7373" s="56">
        <f ca="1">IF(PV[[#This Row],[Business Date]]=Control!$C$6, PV[[#This Row],[Notional Value Local Cur]], -PV[[#This Row],[Notional Value Local Cur]])</f>
        <v>0</v>
      </c>
    </row>
    <row r="7374" spans="1:5" x14ac:dyDescent="0.25">
      <c r="A7374" s="36" t="b">
        <v>0</v>
      </c>
      <c r="B7374" s="56" t="b">
        <v>0</v>
      </c>
      <c r="C7374" s="56" t="b">
        <v>0</v>
      </c>
      <c r="D7374" s="56" t="b">
        <v>0</v>
      </c>
      <c r="E7374" s="56">
        <f ca="1">IF(PV[[#This Row],[Business Date]]=Control!$C$6, PV[[#This Row],[Notional Value Local Cur]], -PV[[#This Row],[Notional Value Local Cur]])</f>
        <v>0</v>
      </c>
    </row>
    <row r="7375" spans="1:5" x14ac:dyDescent="0.25">
      <c r="A7375" s="36" t="b">
        <v>0</v>
      </c>
      <c r="B7375" s="56" t="b">
        <v>0</v>
      </c>
      <c r="C7375" s="56" t="b">
        <v>0</v>
      </c>
      <c r="D7375" s="56" t="b">
        <v>0</v>
      </c>
      <c r="E7375" s="56">
        <f ca="1">IF(PV[[#This Row],[Business Date]]=Control!$C$6, PV[[#This Row],[Notional Value Local Cur]], -PV[[#This Row],[Notional Value Local Cur]])</f>
        <v>0</v>
      </c>
    </row>
    <row r="7376" spans="1:5" x14ac:dyDescent="0.25">
      <c r="A7376" s="36" t="b">
        <v>0</v>
      </c>
      <c r="B7376" s="56" t="b">
        <v>0</v>
      </c>
      <c r="C7376" s="56" t="b">
        <v>0</v>
      </c>
      <c r="D7376" s="56" t="b">
        <v>0</v>
      </c>
      <c r="E7376" s="56">
        <f ca="1">IF(PV[[#This Row],[Business Date]]=Control!$C$6, PV[[#This Row],[Notional Value Local Cur]], -PV[[#This Row],[Notional Value Local Cur]])</f>
        <v>0</v>
      </c>
    </row>
    <row r="7377" spans="1:5" x14ac:dyDescent="0.25">
      <c r="A7377" s="36" t="b">
        <v>0</v>
      </c>
      <c r="B7377" s="56" t="b">
        <v>0</v>
      </c>
      <c r="C7377" s="56" t="b">
        <v>0</v>
      </c>
      <c r="D7377" s="56" t="b">
        <v>0</v>
      </c>
      <c r="E7377" s="56">
        <f ca="1">IF(PV[[#This Row],[Business Date]]=Control!$C$6, PV[[#This Row],[Notional Value Local Cur]], -PV[[#This Row],[Notional Value Local Cur]])</f>
        <v>0</v>
      </c>
    </row>
    <row r="7378" spans="1:5" x14ac:dyDescent="0.25">
      <c r="A7378" s="36" t="b">
        <v>0</v>
      </c>
      <c r="B7378" s="56" t="b">
        <v>0</v>
      </c>
      <c r="C7378" s="56" t="b">
        <v>0</v>
      </c>
      <c r="D7378" s="56" t="b">
        <v>0</v>
      </c>
      <c r="E7378" s="56">
        <f ca="1">IF(PV[[#This Row],[Business Date]]=Control!$C$6, PV[[#This Row],[Notional Value Local Cur]], -PV[[#This Row],[Notional Value Local Cur]])</f>
        <v>0</v>
      </c>
    </row>
    <row r="7379" spans="1:5" x14ac:dyDescent="0.25">
      <c r="A7379" s="36" t="b">
        <v>0</v>
      </c>
      <c r="B7379" s="56" t="b">
        <v>0</v>
      </c>
      <c r="C7379" s="56" t="b">
        <v>0</v>
      </c>
      <c r="D7379" s="56" t="b">
        <v>0</v>
      </c>
      <c r="E7379" s="56">
        <f ca="1">IF(PV[[#This Row],[Business Date]]=Control!$C$6, PV[[#This Row],[Notional Value Local Cur]], -PV[[#This Row],[Notional Value Local Cur]])</f>
        <v>0</v>
      </c>
    </row>
    <row r="7380" spans="1:5" x14ac:dyDescent="0.25">
      <c r="A7380" s="36" t="b">
        <v>0</v>
      </c>
      <c r="B7380" s="56" t="b">
        <v>0</v>
      </c>
      <c r="C7380" s="56" t="b">
        <v>0</v>
      </c>
      <c r="D7380" s="56" t="b">
        <v>0</v>
      </c>
      <c r="E7380" s="56">
        <f ca="1">IF(PV[[#This Row],[Business Date]]=Control!$C$6, PV[[#This Row],[Notional Value Local Cur]], -PV[[#This Row],[Notional Value Local Cur]])</f>
        <v>0</v>
      </c>
    </row>
    <row r="7381" spans="1:5" x14ac:dyDescent="0.25">
      <c r="A7381" s="36" t="b">
        <v>0</v>
      </c>
      <c r="B7381" s="56" t="b">
        <v>0</v>
      </c>
      <c r="C7381" s="56" t="b">
        <v>0</v>
      </c>
      <c r="D7381" s="56" t="b">
        <v>0</v>
      </c>
      <c r="E7381" s="56">
        <f ca="1">IF(PV[[#This Row],[Business Date]]=Control!$C$6, PV[[#This Row],[Notional Value Local Cur]], -PV[[#This Row],[Notional Value Local Cur]])</f>
        <v>0</v>
      </c>
    </row>
    <row r="7382" spans="1:5" x14ac:dyDescent="0.25">
      <c r="A7382" s="36" t="b">
        <v>0</v>
      </c>
      <c r="B7382" s="56" t="b">
        <v>0</v>
      </c>
      <c r="C7382" s="56" t="b">
        <v>0</v>
      </c>
      <c r="D7382" s="56" t="b">
        <v>0</v>
      </c>
      <c r="E7382" s="56">
        <f ca="1">IF(PV[[#This Row],[Business Date]]=Control!$C$6, PV[[#This Row],[Notional Value Local Cur]], -PV[[#This Row],[Notional Value Local Cur]])</f>
        <v>0</v>
      </c>
    </row>
    <row r="7383" spans="1:5" x14ac:dyDescent="0.25">
      <c r="A7383" s="36" t="b">
        <v>0</v>
      </c>
      <c r="B7383" s="56" t="b">
        <v>0</v>
      </c>
      <c r="C7383" s="56" t="b">
        <v>0</v>
      </c>
      <c r="D7383" s="56" t="b">
        <v>0</v>
      </c>
      <c r="E7383" s="56">
        <f ca="1">IF(PV[[#This Row],[Business Date]]=Control!$C$6, PV[[#This Row],[Notional Value Local Cur]], -PV[[#This Row],[Notional Value Local Cur]])</f>
        <v>0</v>
      </c>
    </row>
    <row r="7384" spans="1:5" x14ac:dyDescent="0.25">
      <c r="A7384" s="36" t="b">
        <v>0</v>
      </c>
      <c r="B7384" s="56" t="b">
        <v>0</v>
      </c>
      <c r="C7384" s="56" t="b">
        <v>0</v>
      </c>
      <c r="D7384" s="56" t="b">
        <v>0</v>
      </c>
      <c r="E7384" s="56">
        <f ca="1">IF(PV[[#This Row],[Business Date]]=Control!$C$6, PV[[#This Row],[Notional Value Local Cur]], -PV[[#This Row],[Notional Value Local Cur]])</f>
        <v>0</v>
      </c>
    </row>
    <row r="7385" spans="1:5" x14ac:dyDescent="0.25">
      <c r="A7385" s="36" t="b">
        <v>0</v>
      </c>
      <c r="B7385" s="56" t="b">
        <v>0</v>
      </c>
      <c r="C7385" s="56" t="b">
        <v>0</v>
      </c>
      <c r="D7385" s="56" t="b">
        <v>0</v>
      </c>
      <c r="E7385" s="56">
        <f ca="1">IF(PV[[#This Row],[Business Date]]=Control!$C$6, PV[[#This Row],[Notional Value Local Cur]], -PV[[#This Row],[Notional Value Local Cur]])</f>
        <v>0</v>
      </c>
    </row>
    <row r="7386" spans="1:5" x14ac:dyDescent="0.25">
      <c r="A7386" s="36" t="b">
        <v>0</v>
      </c>
      <c r="B7386" s="56" t="b">
        <v>0</v>
      </c>
      <c r="C7386" s="56" t="b">
        <v>0</v>
      </c>
      <c r="D7386" s="56" t="b">
        <v>0</v>
      </c>
      <c r="E7386" s="56">
        <f ca="1">IF(PV[[#This Row],[Business Date]]=Control!$C$6, PV[[#This Row],[Notional Value Local Cur]], -PV[[#This Row],[Notional Value Local Cur]])</f>
        <v>0</v>
      </c>
    </row>
    <row r="7387" spans="1:5" x14ac:dyDescent="0.25">
      <c r="A7387" s="36" t="b">
        <v>0</v>
      </c>
      <c r="B7387" s="56" t="b">
        <v>0</v>
      </c>
      <c r="C7387" s="56" t="b">
        <v>0</v>
      </c>
      <c r="D7387" s="56" t="b">
        <v>0</v>
      </c>
      <c r="E7387" s="56">
        <f ca="1">IF(PV[[#This Row],[Business Date]]=Control!$C$6, PV[[#This Row],[Notional Value Local Cur]], -PV[[#This Row],[Notional Value Local Cur]])</f>
        <v>0</v>
      </c>
    </row>
    <row r="7388" spans="1:5" x14ac:dyDescent="0.25">
      <c r="A7388" s="36" t="b">
        <v>0</v>
      </c>
      <c r="B7388" s="56" t="b">
        <v>0</v>
      </c>
      <c r="C7388" s="56" t="b">
        <v>0</v>
      </c>
      <c r="D7388" s="56" t="b">
        <v>0</v>
      </c>
      <c r="E7388" s="56">
        <f ca="1">IF(PV[[#This Row],[Business Date]]=Control!$C$6, PV[[#This Row],[Notional Value Local Cur]], -PV[[#This Row],[Notional Value Local Cur]])</f>
        <v>0</v>
      </c>
    </row>
    <row r="7389" spans="1:5" x14ac:dyDescent="0.25">
      <c r="A7389" s="36" t="b">
        <v>0</v>
      </c>
      <c r="B7389" s="56" t="b">
        <v>0</v>
      </c>
      <c r="C7389" s="56" t="b">
        <v>0</v>
      </c>
      <c r="D7389" s="56" t="b">
        <v>0</v>
      </c>
      <c r="E7389" s="56">
        <f ca="1">IF(PV[[#This Row],[Business Date]]=Control!$C$6, PV[[#This Row],[Notional Value Local Cur]], -PV[[#This Row],[Notional Value Local Cur]])</f>
        <v>0</v>
      </c>
    </row>
    <row r="7390" spans="1:5" x14ac:dyDescent="0.25">
      <c r="A7390" s="36" t="b">
        <v>0</v>
      </c>
      <c r="B7390" s="56" t="b">
        <v>0</v>
      </c>
      <c r="C7390" s="56" t="b">
        <v>0</v>
      </c>
      <c r="D7390" s="56" t="b">
        <v>0</v>
      </c>
      <c r="E7390" s="56">
        <f ca="1">IF(PV[[#This Row],[Business Date]]=Control!$C$6, PV[[#This Row],[Notional Value Local Cur]], -PV[[#This Row],[Notional Value Local Cur]])</f>
        <v>0</v>
      </c>
    </row>
    <row r="7391" spans="1:5" x14ac:dyDescent="0.25">
      <c r="A7391" s="36" t="b">
        <v>0</v>
      </c>
      <c r="B7391" s="56" t="b">
        <v>0</v>
      </c>
      <c r="C7391" s="56" t="b">
        <v>0</v>
      </c>
      <c r="D7391" s="56" t="b">
        <v>0</v>
      </c>
      <c r="E7391" s="56">
        <f ca="1">IF(PV[[#This Row],[Business Date]]=Control!$C$6, PV[[#This Row],[Notional Value Local Cur]], -PV[[#This Row],[Notional Value Local Cur]])</f>
        <v>0</v>
      </c>
    </row>
    <row r="7392" spans="1:5" x14ac:dyDescent="0.25">
      <c r="A7392" s="36" t="b">
        <v>0</v>
      </c>
      <c r="B7392" s="56" t="b">
        <v>0</v>
      </c>
      <c r="C7392" s="56" t="b">
        <v>0</v>
      </c>
      <c r="D7392" s="56" t="b">
        <v>0</v>
      </c>
      <c r="E7392" s="56">
        <f ca="1">IF(PV[[#This Row],[Business Date]]=Control!$C$6, PV[[#This Row],[Notional Value Local Cur]], -PV[[#This Row],[Notional Value Local Cur]])</f>
        <v>0</v>
      </c>
    </row>
    <row r="7393" spans="1:5" x14ac:dyDescent="0.25">
      <c r="A7393" s="36" t="b">
        <v>0</v>
      </c>
      <c r="B7393" s="56" t="b">
        <v>0</v>
      </c>
      <c r="C7393" s="56" t="b">
        <v>0</v>
      </c>
      <c r="D7393" s="56" t="b">
        <v>0</v>
      </c>
      <c r="E7393" s="56">
        <f ca="1">IF(PV[[#This Row],[Business Date]]=Control!$C$6, PV[[#This Row],[Notional Value Local Cur]], -PV[[#This Row],[Notional Value Local Cur]])</f>
        <v>0</v>
      </c>
    </row>
    <row r="7394" spans="1:5" x14ac:dyDescent="0.25">
      <c r="A7394" s="36" t="b">
        <v>0</v>
      </c>
      <c r="B7394" s="56" t="b">
        <v>0</v>
      </c>
      <c r="C7394" s="56" t="b">
        <v>0</v>
      </c>
      <c r="D7394" s="56" t="b">
        <v>0</v>
      </c>
      <c r="E7394" s="56">
        <f ca="1">IF(PV[[#This Row],[Business Date]]=Control!$C$6, PV[[#This Row],[Notional Value Local Cur]], -PV[[#This Row],[Notional Value Local Cur]])</f>
        <v>0</v>
      </c>
    </row>
    <row r="7395" spans="1:5" x14ac:dyDescent="0.25">
      <c r="A7395" s="36" t="b">
        <v>0</v>
      </c>
      <c r="B7395" s="56" t="b">
        <v>0</v>
      </c>
      <c r="C7395" s="56" t="b">
        <v>0</v>
      </c>
      <c r="D7395" s="56" t="b">
        <v>0</v>
      </c>
      <c r="E7395" s="56">
        <f ca="1">IF(PV[[#This Row],[Business Date]]=Control!$C$6, PV[[#This Row],[Notional Value Local Cur]], -PV[[#This Row],[Notional Value Local Cur]])</f>
        <v>0</v>
      </c>
    </row>
    <row r="7396" spans="1:5" x14ac:dyDescent="0.25">
      <c r="A7396" s="36" t="b">
        <v>0</v>
      </c>
      <c r="B7396" s="56" t="b">
        <v>0</v>
      </c>
      <c r="C7396" s="56" t="b">
        <v>0</v>
      </c>
      <c r="D7396" s="56" t="b">
        <v>0</v>
      </c>
      <c r="E7396" s="56">
        <f ca="1">IF(PV[[#This Row],[Business Date]]=Control!$C$6, PV[[#This Row],[Notional Value Local Cur]], -PV[[#This Row],[Notional Value Local Cur]])</f>
        <v>0</v>
      </c>
    </row>
    <row r="7397" spans="1:5" x14ac:dyDescent="0.25">
      <c r="A7397" s="36" t="b">
        <v>0</v>
      </c>
      <c r="B7397" s="56" t="b">
        <v>0</v>
      </c>
      <c r="C7397" s="56" t="b">
        <v>0</v>
      </c>
      <c r="D7397" s="56" t="b">
        <v>0</v>
      </c>
      <c r="E7397" s="56">
        <f ca="1">IF(PV[[#This Row],[Business Date]]=Control!$C$6, PV[[#This Row],[Notional Value Local Cur]], -PV[[#This Row],[Notional Value Local Cur]])</f>
        <v>0</v>
      </c>
    </row>
    <row r="7398" spans="1:5" x14ac:dyDescent="0.25">
      <c r="A7398" s="36" t="b">
        <v>0</v>
      </c>
      <c r="B7398" s="56" t="b">
        <v>0</v>
      </c>
      <c r="C7398" s="56" t="b">
        <v>0</v>
      </c>
      <c r="D7398" s="56" t="b">
        <v>0</v>
      </c>
      <c r="E7398" s="56">
        <f ca="1">IF(PV[[#This Row],[Business Date]]=Control!$C$6, PV[[#This Row],[Notional Value Local Cur]], -PV[[#This Row],[Notional Value Local Cur]])</f>
        <v>0</v>
      </c>
    </row>
    <row r="7399" spans="1:5" x14ac:dyDescent="0.25">
      <c r="A7399" s="36" t="b">
        <v>0</v>
      </c>
      <c r="B7399" s="56" t="b">
        <v>0</v>
      </c>
      <c r="C7399" s="56" t="b">
        <v>0</v>
      </c>
      <c r="D7399" s="56" t="b">
        <v>0</v>
      </c>
      <c r="E7399" s="56">
        <f ca="1">IF(PV[[#This Row],[Business Date]]=Control!$C$6, PV[[#This Row],[Notional Value Local Cur]], -PV[[#This Row],[Notional Value Local Cur]])</f>
        <v>0</v>
      </c>
    </row>
    <row r="7400" spans="1:5" x14ac:dyDescent="0.25">
      <c r="A7400" s="36" t="b">
        <v>0</v>
      </c>
      <c r="B7400" s="56" t="b">
        <v>0</v>
      </c>
      <c r="C7400" s="56" t="b">
        <v>0</v>
      </c>
      <c r="D7400" s="56" t="b">
        <v>0</v>
      </c>
      <c r="E7400" s="56">
        <f ca="1">IF(PV[[#This Row],[Business Date]]=Control!$C$6, PV[[#This Row],[Notional Value Local Cur]], -PV[[#This Row],[Notional Value Local Cur]])</f>
        <v>0</v>
      </c>
    </row>
    <row r="7401" spans="1:5" x14ac:dyDescent="0.25">
      <c r="A7401" s="36" t="b">
        <v>0</v>
      </c>
      <c r="B7401" s="56" t="b">
        <v>0</v>
      </c>
      <c r="C7401" s="56" t="b">
        <v>0</v>
      </c>
      <c r="D7401" s="56" t="b">
        <v>0</v>
      </c>
      <c r="E7401" s="56">
        <f ca="1">IF(PV[[#This Row],[Business Date]]=Control!$C$6, PV[[#This Row],[Notional Value Local Cur]], -PV[[#This Row],[Notional Value Local Cur]])</f>
        <v>0</v>
      </c>
    </row>
    <row r="7402" spans="1:5" x14ac:dyDescent="0.25">
      <c r="A7402" s="36" t="b">
        <v>0</v>
      </c>
      <c r="B7402" s="56" t="b">
        <v>0</v>
      </c>
      <c r="C7402" s="56" t="b">
        <v>0</v>
      </c>
      <c r="D7402" s="56" t="b">
        <v>0</v>
      </c>
      <c r="E7402" s="56">
        <f ca="1">IF(PV[[#This Row],[Business Date]]=Control!$C$6, PV[[#This Row],[Notional Value Local Cur]], -PV[[#This Row],[Notional Value Local Cur]])</f>
        <v>0</v>
      </c>
    </row>
    <row r="7403" spans="1:5" x14ac:dyDescent="0.25">
      <c r="A7403" s="36" t="b">
        <v>0</v>
      </c>
      <c r="B7403" s="56" t="b">
        <v>0</v>
      </c>
      <c r="C7403" s="56" t="b">
        <v>0</v>
      </c>
      <c r="D7403" s="56" t="b">
        <v>0</v>
      </c>
      <c r="E7403" s="56">
        <f ca="1">IF(PV[[#This Row],[Business Date]]=Control!$C$6, PV[[#This Row],[Notional Value Local Cur]], -PV[[#This Row],[Notional Value Local Cur]])</f>
        <v>0</v>
      </c>
    </row>
    <row r="7404" spans="1:5" x14ac:dyDescent="0.25">
      <c r="A7404" s="36" t="b">
        <v>0</v>
      </c>
      <c r="B7404" s="56" t="b">
        <v>0</v>
      </c>
      <c r="C7404" s="56" t="b">
        <v>0</v>
      </c>
      <c r="D7404" s="56" t="b">
        <v>0</v>
      </c>
      <c r="E7404" s="56">
        <f ca="1">IF(PV[[#This Row],[Business Date]]=Control!$C$6, PV[[#This Row],[Notional Value Local Cur]], -PV[[#This Row],[Notional Value Local Cur]])</f>
        <v>0</v>
      </c>
    </row>
    <row r="7405" spans="1:5" x14ac:dyDescent="0.25">
      <c r="A7405" s="36" t="b">
        <v>0</v>
      </c>
      <c r="B7405" s="56" t="b">
        <v>0</v>
      </c>
      <c r="C7405" s="56" t="b">
        <v>0</v>
      </c>
      <c r="D7405" s="56" t="b">
        <v>0</v>
      </c>
      <c r="E7405" s="56">
        <f ca="1">IF(PV[[#This Row],[Business Date]]=Control!$C$6, PV[[#This Row],[Notional Value Local Cur]], -PV[[#This Row],[Notional Value Local Cur]])</f>
        <v>0</v>
      </c>
    </row>
    <row r="7406" spans="1:5" x14ac:dyDescent="0.25">
      <c r="A7406" s="36" t="b">
        <v>0</v>
      </c>
      <c r="B7406" s="56" t="b">
        <v>0</v>
      </c>
      <c r="C7406" s="56" t="b">
        <v>0</v>
      </c>
      <c r="D7406" s="56" t="b">
        <v>0</v>
      </c>
      <c r="E7406" s="56">
        <f ca="1">IF(PV[[#This Row],[Business Date]]=Control!$C$6, PV[[#This Row],[Notional Value Local Cur]], -PV[[#This Row],[Notional Value Local Cur]])</f>
        <v>0</v>
      </c>
    </row>
    <row r="7407" spans="1:5" x14ac:dyDescent="0.25">
      <c r="A7407" s="36" t="b">
        <v>0</v>
      </c>
      <c r="B7407" s="56" t="b">
        <v>0</v>
      </c>
      <c r="C7407" s="56" t="b">
        <v>0</v>
      </c>
      <c r="D7407" s="56" t="b">
        <v>0</v>
      </c>
      <c r="E7407" s="56">
        <f ca="1">IF(PV[[#This Row],[Business Date]]=Control!$C$6, PV[[#This Row],[Notional Value Local Cur]], -PV[[#This Row],[Notional Value Local Cur]])</f>
        <v>0</v>
      </c>
    </row>
    <row r="7408" spans="1:5" x14ac:dyDescent="0.25">
      <c r="A7408" s="36" t="b">
        <v>0</v>
      </c>
      <c r="B7408" s="56" t="b">
        <v>0</v>
      </c>
      <c r="C7408" s="56" t="b">
        <v>0</v>
      </c>
      <c r="D7408" s="56" t="b">
        <v>0</v>
      </c>
      <c r="E7408" s="56">
        <f ca="1">IF(PV[[#This Row],[Business Date]]=Control!$C$6, PV[[#This Row],[Notional Value Local Cur]], -PV[[#This Row],[Notional Value Local Cur]])</f>
        <v>0</v>
      </c>
    </row>
    <row r="7409" spans="1:5" x14ac:dyDescent="0.25">
      <c r="A7409" s="36" t="b">
        <v>0</v>
      </c>
      <c r="B7409" s="56" t="b">
        <v>0</v>
      </c>
      <c r="C7409" s="56" t="b">
        <v>0</v>
      </c>
      <c r="D7409" s="56" t="b">
        <v>0</v>
      </c>
      <c r="E7409" s="56">
        <f ca="1">IF(PV[[#This Row],[Business Date]]=Control!$C$6, PV[[#This Row],[Notional Value Local Cur]], -PV[[#This Row],[Notional Value Local Cur]])</f>
        <v>0</v>
      </c>
    </row>
    <row r="7410" spans="1:5" x14ac:dyDescent="0.25">
      <c r="A7410" s="36" t="b">
        <v>0</v>
      </c>
      <c r="B7410" s="56" t="b">
        <v>0</v>
      </c>
      <c r="C7410" s="56" t="b">
        <v>0</v>
      </c>
      <c r="D7410" s="56" t="b">
        <v>0</v>
      </c>
      <c r="E7410" s="56">
        <f ca="1">IF(PV[[#This Row],[Business Date]]=Control!$C$6, PV[[#This Row],[Notional Value Local Cur]], -PV[[#This Row],[Notional Value Local Cur]])</f>
        <v>0</v>
      </c>
    </row>
    <row r="7411" spans="1:5" x14ac:dyDescent="0.25">
      <c r="A7411" s="36" t="b">
        <v>0</v>
      </c>
      <c r="B7411" s="56" t="b">
        <v>0</v>
      </c>
      <c r="C7411" s="56" t="b">
        <v>0</v>
      </c>
      <c r="D7411" s="56" t="b">
        <v>0</v>
      </c>
      <c r="E7411" s="56">
        <f ca="1">IF(PV[[#This Row],[Business Date]]=Control!$C$6, PV[[#This Row],[Notional Value Local Cur]], -PV[[#This Row],[Notional Value Local Cur]])</f>
        <v>0</v>
      </c>
    </row>
    <row r="7412" spans="1:5" x14ac:dyDescent="0.25">
      <c r="A7412" s="36" t="b">
        <v>0</v>
      </c>
      <c r="B7412" s="56" t="b">
        <v>0</v>
      </c>
      <c r="C7412" s="56" t="b">
        <v>0</v>
      </c>
      <c r="D7412" s="56" t="b">
        <v>0</v>
      </c>
      <c r="E7412" s="56">
        <f ca="1">IF(PV[[#This Row],[Business Date]]=Control!$C$6, PV[[#This Row],[Notional Value Local Cur]], -PV[[#This Row],[Notional Value Local Cur]])</f>
        <v>0</v>
      </c>
    </row>
    <row r="7413" spans="1:5" x14ac:dyDescent="0.25">
      <c r="A7413" s="36" t="b">
        <v>0</v>
      </c>
      <c r="B7413" s="56" t="b">
        <v>0</v>
      </c>
      <c r="C7413" s="56" t="b">
        <v>0</v>
      </c>
      <c r="D7413" s="56" t="b">
        <v>0</v>
      </c>
      <c r="E7413" s="56">
        <f ca="1">IF(PV[[#This Row],[Business Date]]=Control!$C$6, PV[[#This Row],[Notional Value Local Cur]], -PV[[#This Row],[Notional Value Local Cur]])</f>
        <v>0</v>
      </c>
    </row>
    <row r="7414" spans="1:5" x14ac:dyDescent="0.25">
      <c r="A7414" s="36" t="b">
        <v>0</v>
      </c>
      <c r="B7414" s="56" t="b">
        <v>0</v>
      </c>
      <c r="C7414" s="56" t="b">
        <v>0</v>
      </c>
      <c r="D7414" s="56" t="b">
        <v>0</v>
      </c>
      <c r="E7414" s="56">
        <f ca="1">IF(PV[[#This Row],[Business Date]]=Control!$C$6, PV[[#This Row],[Notional Value Local Cur]], -PV[[#This Row],[Notional Value Local Cur]])</f>
        <v>0</v>
      </c>
    </row>
    <row r="7415" spans="1:5" x14ac:dyDescent="0.25">
      <c r="A7415" s="36" t="b">
        <v>0</v>
      </c>
      <c r="B7415" s="56" t="b">
        <v>0</v>
      </c>
      <c r="C7415" s="56" t="b">
        <v>0</v>
      </c>
      <c r="D7415" s="56" t="b">
        <v>0</v>
      </c>
      <c r="E7415" s="56">
        <f ca="1">IF(PV[[#This Row],[Business Date]]=Control!$C$6, PV[[#This Row],[Notional Value Local Cur]], -PV[[#This Row],[Notional Value Local Cur]])</f>
        <v>0</v>
      </c>
    </row>
    <row r="7416" spans="1:5" x14ac:dyDescent="0.25">
      <c r="A7416" s="36" t="b">
        <v>0</v>
      </c>
      <c r="B7416" s="56" t="b">
        <v>0</v>
      </c>
      <c r="C7416" s="56" t="b">
        <v>0</v>
      </c>
      <c r="D7416" s="56" t="b">
        <v>0</v>
      </c>
      <c r="E7416" s="56">
        <f ca="1">IF(PV[[#This Row],[Business Date]]=Control!$C$6, PV[[#This Row],[Notional Value Local Cur]], -PV[[#This Row],[Notional Value Local Cur]])</f>
        <v>0</v>
      </c>
    </row>
    <row r="7417" spans="1:5" x14ac:dyDescent="0.25">
      <c r="A7417" s="36" t="b">
        <v>0</v>
      </c>
      <c r="B7417" s="56" t="b">
        <v>0</v>
      </c>
      <c r="C7417" s="56" t="b">
        <v>0</v>
      </c>
      <c r="D7417" s="56" t="b">
        <v>0</v>
      </c>
      <c r="E7417" s="56">
        <f ca="1">IF(PV[[#This Row],[Business Date]]=Control!$C$6, PV[[#This Row],[Notional Value Local Cur]], -PV[[#This Row],[Notional Value Local Cur]])</f>
        <v>0</v>
      </c>
    </row>
    <row r="7418" spans="1:5" x14ac:dyDescent="0.25">
      <c r="A7418" s="36" t="b">
        <v>0</v>
      </c>
      <c r="B7418" s="56" t="b">
        <v>0</v>
      </c>
      <c r="C7418" s="56" t="b">
        <v>0</v>
      </c>
      <c r="D7418" s="56" t="b">
        <v>0</v>
      </c>
      <c r="E7418" s="56">
        <f ca="1">IF(PV[[#This Row],[Business Date]]=Control!$C$6, PV[[#This Row],[Notional Value Local Cur]], -PV[[#This Row],[Notional Value Local Cur]])</f>
        <v>0</v>
      </c>
    </row>
    <row r="7419" spans="1:5" x14ac:dyDescent="0.25">
      <c r="A7419" s="36" t="b">
        <v>0</v>
      </c>
      <c r="B7419" s="56" t="b">
        <v>0</v>
      </c>
      <c r="C7419" s="56" t="b">
        <v>0</v>
      </c>
      <c r="D7419" s="56" t="b">
        <v>0</v>
      </c>
      <c r="E7419" s="56">
        <f ca="1">IF(PV[[#This Row],[Business Date]]=Control!$C$6, PV[[#This Row],[Notional Value Local Cur]], -PV[[#This Row],[Notional Value Local Cur]])</f>
        <v>0</v>
      </c>
    </row>
    <row r="7420" spans="1:5" x14ac:dyDescent="0.25">
      <c r="A7420" s="36" t="b">
        <v>0</v>
      </c>
      <c r="B7420" s="56" t="b">
        <v>0</v>
      </c>
      <c r="C7420" s="56" t="b">
        <v>0</v>
      </c>
      <c r="D7420" s="56" t="b">
        <v>0</v>
      </c>
      <c r="E7420" s="56">
        <f ca="1">IF(PV[[#This Row],[Business Date]]=Control!$C$6, PV[[#This Row],[Notional Value Local Cur]], -PV[[#This Row],[Notional Value Local Cur]])</f>
        <v>0</v>
      </c>
    </row>
    <row r="7421" spans="1:5" x14ac:dyDescent="0.25">
      <c r="A7421" s="36" t="b">
        <v>0</v>
      </c>
      <c r="B7421" s="56" t="b">
        <v>0</v>
      </c>
      <c r="C7421" s="56" t="b">
        <v>0</v>
      </c>
      <c r="D7421" s="56" t="b">
        <v>0</v>
      </c>
      <c r="E7421" s="56">
        <f ca="1">IF(PV[[#This Row],[Business Date]]=Control!$C$6, PV[[#This Row],[Notional Value Local Cur]], -PV[[#This Row],[Notional Value Local Cur]])</f>
        <v>0</v>
      </c>
    </row>
    <row r="7422" spans="1:5" x14ac:dyDescent="0.25">
      <c r="A7422" s="36" t="b">
        <v>0</v>
      </c>
      <c r="B7422" s="56" t="b">
        <v>0</v>
      </c>
      <c r="C7422" s="56" t="b">
        <v>0</v>
      </c>
      <c r="D7422" s="56" t="b">
        <v>0</v>
      </c>
      <c r="E7422" s="56">
        <f ca="1">IF(PV[[#This Row],[Business Date]]=Control!$C$6, PV[[#This Row],[Notional Value Local Cur]], -PV[[#This Row],[Notional Value Local Cur]])</f>
        <v>0</v>
      </c>
    </row>
    <row r="7423" spans="1:5" x14ac:dyDescent="0.25">
      <c r="A7423" s="36" t="b">
        <v>0</v>
      </c>
      <c r="B7423" s="56" t="b">
        <v>0</v>
      </c>
      <c r="C7423" s="56" t="b">
        <v>0</v>
      </c>
      <c r="D7423" s="56" t="b">
        <v>0</v>
      </c>
      <c r="E7423" s="56">
        <f ca="1">IF(PV[[#This Row],[Business Date]]=Control!$C$6, PV[[#This Row],[Notional Value Local Cur]], -PV[[#This Row],[Notional Value Local Cur]])</f>
        <v>0</v>
      </c>
    </row>
    <row r="7424" spans="1:5" x14ac:dyDescent="0.25">
      <c r="A7424" s="36" t="b">
        <v>0</v>
      </c>
      <c r="B7424" s="56" t="b">
        <v>0</v>
      </c>
      <c r="C7424" s="56" t="b">
        <v>0</v>
      </c>
      <c r="D7424" s="56" t="b">
        <v>0</v>
      </c>
      <c r="E7424" s="56">
        <f ca="1">IF(PV[[#This Row],[Business Date]]=Control!$C$6, PV[[#This Row],[Notional Value Local Cur]], -PV[[#This Row],[Notional Value Local Cur]])</f>
        <v>0</v>
      </c>
    </row>
    <row r="7425" spans="1:5" x14ac:dyDescent="0.25">
      <c r="A7425" s="36" t="b">
        <v>0</v>
      </c>
      <c r="B7425" s="56" t="b">
        <v>0</v>
      </c>
      <c r="C7425" s="56" t="b">
        <v>0</v>
      </c>
      <c r="D7425" s="56" t="b">
        <v>0</v>
      </c>
      <c r="E7425" s="56">
        <f ca="1">IF(PV[[#This Row],[Business Date]]=Control!$C$6, PV[[#This Row],[Notional Value Local Cur]], -PV[[#This Row],[Notional Value Local Cur]])</f>
        <v>0</v>
      </c>
    </row>
    <row r="7426" spans="1:5" x14ac:dyDescent="0.25">
      <c r="A7426" s="36" t="b">
        <v>0</v>
      </c>
      <c r="B7426" s="56" t="b">
        <v>0</v>
      </c>
      <c r="C7426" s="56" t="b">
        <v>0</v>
      </c>
      <c r="D7426" s="56" t="b">
        <v>0</v>
      </c>
      <c r="E7426" s="56">
        <f ca="1">IF(PV[[#This Row],[Business Date]]=Control!$C$6, PV[[#This Row],[Notional Value Local Cur]], -PV[[#This Row],[Notional Value Local Cur]])</f>
        <v>0</v>
      </c>
    </row>
    <row r="7427" spans="1:5" x14ac:dyDescent="0.25">
      <c r="A7427" s="36" t="b">
        <v>0</v>
      </c>
      <c r="B7427" s="56" t="b">
        <v>0</v>
      </c>
      <c r="C7427" s="56" t="b">
        <v>0</v>
      </c>
      <c r="D7427" s="56" t="b">
        <v>0</v>
      </c>
      <c r="E7427" s="56">
        <f ca="1">IF(PV[[#This Row],[Business Date]]=Control!$C$6, PV[[#This Row],[Notional Value Local Cur]], -PV[[#This Row],[Notional Value Local Cur]])</f>
        <v>0</v>
      </c>
    </row>
    <row r="7428" spans="1:5" x14ac:dyDescent="0.25">
      <c r="A7428" s="36" t="b">
        <v>0</v>
      </c>
      <c r="B7428" s="56" t="b">
        <v>0</v>
      </c>
      <c r="C7428" s="56" t="b">
        <v>0</v>
      </c>
      <c r="D7428" s="56" t="b">
        <v>0</v>
      </c>
      <c r="E7428" s="56">
        <f ca="1">IF(PV[[#This Row],[Business Date]]=Control!$C$6, PV[[#This Row],[Notional Value Local Cur]], -PV[[#This Row],[Notional Value Local Cur]])</f>
        <v>0</v>
      </c>
    </row>
    <row r="7429" spans="1:5" x14ac:dyDescent="0.25">
      <c r="A7429" s="36" t="b">
        <v>0</v>
      </c>
      <c r="B7429" s="56" t="b">
        <v>0</v>
      </c>
      <c r="C7429" s="56" t="b">
        <v>0</v>
      </c>
      <c r="D7429" s="56" t="b">
        <v>0</v>
      </c>
      <c r="E7429" s="56">
        <f ca="1">IF(PV[[#This Row],[Business Date]]=Control!$C$6, PV[[#This Row],[Notional Value Local Cur]], -PV[[#This Row],[Notional Value Local Cur]])</f>
        <v>0</v>
      </c>
    </row>
    <row r="7430" spans="1:5" x14ac:dyDescent="0.25">
      <c r="A7430" s="36" t="b">
        <v>0</v>
      </c>
      <c r="B7430" s="56" t="b">
        <v>0</v>
      </c>
      <c r="C7430" s="56" t="b">
        <v>0</v>
      </c>
      <c r="D7430" s="56" t="b">
        <v>0</v>
      </c>
      <c r="E7430" s="56">
        <f ca="1">IF(PV[[#This Row],[Business Date]]=Control!$C$6, PV[[#This Row],[Notional Value Local Cur]], -PV[[#This Row],[Notional Value Local Cur]])</f>
        <v>0</v>
      </c>
    </row>
    <row r="7431" spans="1:5" x14ac:dyDescent="0.25">
      <c r="A7431" s="36" t="b">
        <v>0</v>
      </c>
      <c r="B7431" s="56" t="b">
        <v>0</v>
      </c>
      <c r="C7431" s="56" t="b">
        <v>0</v>
      </c>
      <c r="D7431" s="56" t="b">
        <v>0</v>
      </c>
      <c r="E7431" s="56">
        <f ca="1">IF(PV[[#This Row],[Business Date]]=Control!$C$6, PV[[#This Row],[Notional Value Local Cur]], -PV[[#This Row],[Notional Value Local Cur]])</f>
        <v>0</v>
      </c>
    </row>
    <row r="7432" spans="1:5" x14ac:dyDescent="0.25">
      <c r="A7432" s="36" t="b">
        <v>0</v>
      </c>
      <c r="B7432" s="56" t="b">
        <v>0</v>
      </c>
      <c r="C7432" s="56" t="b">
        <v>0</v>
      </c>
      <c r="D7432" s="56" t="b">
        <v>0</v>
      </c>
      <c r="E7432" s="56">
        <f ca="1">IF(PV[[#This Row],[Business Date]]=Control!$C$6, PV[[#This Row],[Notional Value Local Cur]], -PV[[#This Row],[Notional Value Local Cur]])</f>
        <v>0</v>
      </c>
    </row>
    <row r="7433" spans="1:5" x14ac:dyDescent="0.25">
      <c r="A7433" s="36" t="b">
        <v>0</v>
      </c>
      <c r="B7433" s="56" t="b">
        <v>0</v>
      </c>
      <c r="C7433" s="56" t="b">
        <v>0</v>
      </c>
      <c r="D7433" s="56" t="b">
        <v>0</v>
      </c>
      <c r="E7433" s="56">
        <f ca="1">IF(PV[[#This Row],[Business Date]]=Control!$C$6, PV[[#This Row],[Notional Value Local Cur]], -PV[[#This Row],[Notional Value Local Cur]])</f>
        <v>0</v>
      </c>
    </row>
    <row r="7434" spans="1:5" x14ac:dyDescent="0.25">
      <c r="A7434" s="36" t="b">
        <v>0</v>
      </c>
      <c r="B7434" s="56" t="b">
        <v>0</v>
      </c>
      <c r="C7434" s="56" t="b">
        <v>0</v>
      </c>
      <c r="D7434" s="56" t="b">
        <v>0</v>
      </c>
      <c r="E7434" s="56">
        <f ca="1">IF(PV[[#This Row],[Business Date]]=Control!$C$6, PV[[#This Row],[Notional Value Local Cur]], -PV[[#This Row],[Notional Value Local Cur]])</f>
        <v>0</v>
      </c>
    </row>
    <row r="7435" spans="1:5" x14ac:dyDescent="0.25">
      <c r="A7435" s="36" t="b">
        <v>0</v>
      </c>
      <c r="B7435" s="56" t="b">
        <v>0</v>
      </c>
      <c r="C7435" s="56" t="b">
        <v>0</v>
      </c>
      <c r="D7435" s="56" t="b">
        <v>0</v>
      </c>
      <c r="E7435" s="56">
        <f ca="1">IF(PV[[#This Row],[Business Date]]=Control!$C$6, PV[[#This Row],[Notional Value Local Cur]], -PV[[#This Row],[Notional Value Local Cur]])</f>
        <v>0</v>
      </c>
    </row>
    <row r="7436" spans="1:5" x14ac:dyDescent="0.25">
      <c r="A7436" s="36" t="b">
        <v>0</v>
      </c>
      <c r="B7436" s="56" t="b">
        <v>0</v>
      </c>
      <c r="C7436" s="56" t="b">
        <v>0</v>
      </c>
      <c r="D7436" s="56" t="b">
        <v>0</v>
      </c>
      <c r="E7436" s="56">
        <f ca="1">IF(PV[[#This Row],[Business Date]]=Control!$C$6, PV[[#This Row],[Notional Value Local Cur]], -PV[[#This Row],[Notional Value Local Cur]])</f>
        <v>0</v>
      </c>
    </row>
    <row r="7437" spans="1:5" x14ac:dyDescent="0.25">
      <c r="A7437" s="36" t="b">
        <v>0</v>
      </c>
      <c r="B7437" s="56" t="b">
        <v>0</v>
      </c>
      <c r="C7437" s="56" t="b">
        <v>0</v>
      </c>
      <c r="D7437" s="56" t="b">
        <v>0</v>
      </c>
      <c r="E7437" s="56">
        <f ca="1">IF(PV[[#This Row],[Business Date]]=Control!$C$6, PV[[#This Row],[Notional Value Local Cur]], -PV[[#This Row],[Notional Value Local Cur]])</f>
        <v>0</v>
      </c>
    </row>
    <row r="7438" spans="1:5" x14ac:dyDescent="0.25">
      <c r="A7438" s="36" t="b">
        <v>0</v>
      </c>
      <c r="B7438" s="56" t="b">
        <v>0</v>
      </c>
      <c r="C7438" s="56" t="b">
        <v>0</v>
      </c>
      <c r="D7438" s="56" t="b">
        <v>0</v>
      </c>
      <c r="E7438" s="56">
        <f ca="1">IF(PV[[#This Row],[Business Date]]=Control!$C$6, PV[[#This Row],[Notional Value Local Cur]], -PV[[#This Row],[Notional Value Local Cur]])</f>
        <v>0</v>
      </c>
    </row>
    <row r="7439" spans="1:5" x14ac:dyDescent="0.25">
      <c r="A7439" s="36" t="b">
        <v>0</v>
      </c>
      <c r="B7439" s="56" t="b">
        <v>0</v>
      </c>
      <c r="C7439" s="56" t="b">
        <v>0</v>
      </c>
      <c r="D7439" s="56" t="b">
        <v>0</v>
      </c>
      <c r="E7439" s="56">
        <f ca="1">IF(PV[[#This Row],[Business Date]]=Control!$C$6, PV[[#This Row],[Notional Value Local Cur]], -PV[[#This Row],[Notional Value Local Cur]])</f>
        <v>0</v>
      </c>
    </row>
    <row r="7440" spans="1:5" x14ac:dyDescent="0.25">
      <c r="A7440" s="36" t="b">
        <v>0</v>
      </c>
      <c r="B7440" s="56" t="b">
        <v>0</v>
      </c>
      <c r="C7440" s="56" t="b">
        <v>0</v>
      </c>
      <c r="D7440" s="56" t="b">
        <v>0</v>
      </c>
      <c r="E7440" s="56">
        <f ca="1">IF(PV[[#This Row],[Business Date]]=Control!$C$6, PV[[#This Row],[Notional Value Local Cur]], -PV[[#This Row],[Notional Value Local Cur]])</f>
        <v>0</v>
      </c>
    </row>
    <row r="7441" spans="1:5" x14ac:dyDescent="0.25">
      <c r="A7441" s="36" t="b">
        <v>0</v>
      </c>
      <c r="B7441" s="56" t="b">
        <v>0</v>
      </c>
      <c r="C7441" s="56" t="b">
        <v>0</v>
      </c>
      <c r="D7441" s="56" t="b">
        <v>0</v>
      </c>
      <c r="E7441" s="56">
        <f ca="1">IF(PV[[#This Row],[Business Date]]=Control!$C$6, PV[[#This Row],[Notional Value Local Cur]], -PV[[#This Row],[Notional Value Local Cur]])</f>
        <v>0</v>
      </c>
    </row>
    <row r="7442" spans="1:5" x14ac:dyDescent="0.25">
      <c r="A7442" s="36" t="b">
        <v>0</v>
      </c>
      <c r="B7442" s="56" t="b">
        <v>0</v>
      </c>
      <c r="C7442" s="56" t="b">
        <v>0</v>
      </c>
      <c r="D7442" s="56" t="b">
        <v>0</v>
      </c>
      <c r="E7442" s="56">
        <f ca="1">IF(PV[[#This Row],[Business Date]]=Control!$C$6, PV[[#This Row],[Notional Value Local Cur]], -PV[[#This Row],[Notional Value Local Cur]])</f>
        <v>0</v>
      </c>
    </row>
    <row r="7443" spans="1:5" x14ac:dyDescent="0.25">
      <c r="A7443" s="36" t="b">
        <v>0</v>
      </c>
      <c r="B7443" s="56" t="b">
        <v>0</v>
      </c>
      <c r="C7443" s="56" t="b">
        <v>0</v>
      </c>
      <c r="D7443" s="56" t="b">
        <v>0</v>
      </c>
      <c r="E7443" s="56">
        <f ca="1">IF(PV[[#This Row],[Business Date]]=Control!$C$6, PV[[#This Row],[Notional Value Local Cur]], -PV[[#This Row],[Notional Value Local Cur]])</f>
        <v>0</v>
      </c>
    </row>
    <row r="7444" spans="1:5" x14ac:dyDescent="0.25">
      <c r="A7444" s="36" t="b">
        <v>0</v>
      </c>
      <c r="B7444" s="56" t="b">
        <v>0</v>
      </c>
      <c r="C7444" s="56" t="b">
        <v>0</v>
      </c>
      <c r="D7444" s="56" t="b">
        <v>0</v>
      </c>
      <c r="E7444" s="56">
        <f ca="1">IF(PV[[#This Row],[Business Date]]=Control!$C$6, PV[[#This Row],[Notional Value Local Cur]], -PV[[#This Row],[Notional Value Local Cur]])</f>
        <v>0</v>
      </c>
    </row>
    <row r="7445" spans="1:5" x14ac:dyDescent="0.25">
      <c r="A7445" s="36" t="b">
        <v>0</v>
      </c>
      <c r="B7445" s="56" t="b">
        <v>0</v>
      </c>
      <c r="C7445" s="56" t="b">
        <v>0</v>
      </c>
      <c r="D7445" s="56" t="b">
        <v>0</v>
      </c>
      <c r="E7445" s="56">
        <f ca="1">IF(PV[[#This Row],[Business Date]]=Control!$C$6, PV[[#This Row],[Notional Value Local Cur]], -PV[[#This Row],[Notional Value Local Cur]])</f>
        <v>0</v>
      </c>
    </row>
    <row r="7446" spans="1:5" x14ac:dyDescent="0.25">
      <c r="A7446" s="36" t="b">
        <v>0</v>
      </c>
      <c r="B7446" s="56" t="b">
        <v>0</v>
      </c>
      <c r="C7446" s="56" t="b">
        <v>0</v>
      </c>
      <c r="D7446" s="56" t="b">
        <v>0</v>
      </c>
      <c r="E7446" s="56">
        <f ca="1">IF(PV[[#This Row],[Business Date]]=Control!$C$6, PV[[#This Row],[Notional Value Local Cur]], -PV[[#This Row],[Notional Value Local Cur]])</f>
        <v>0</v>
      </c>
    </row>
    <row r="7447" spans="1:5" x14ac:dyDescent="0.25">
      <c r="A7447" s="36" t="b">
        <v>0</v>
      </c>
      <c r="B7447" s="56" t="b">
        <v>0</v>
      </c>
      <c r="C7447" s="56" t="b">
        <v>0</v>
      </c>
      <c r="D7447" s="56" t="b">
        <v>0</v>
      </c>
      <c r="E7447" s="56">
        <f ca="1">IF(PV[[#This Row],[Business Date]]=Control!$C$6, PV[[#This Row],[Notional Value Local Cur]], -PV[[#This Row],[Notional Value Local Cur]])</f>
        <v>0</v>
      </c>
    </row>
    <row r="7448" spans="1:5" x14ac:dyDescent="0.25">
      <c r="A7448" s="36" t="b">
        <v>0</v>
      </c>
      <c r="B7448" s="56" t="b">
        <v>0</v>
      </c>
      <c r="C7448" s="56" t="b">
        <v>0</v>
      </c>
      <c r="D7448" s="56" t="b">
        <v>0</v>
      </c>
      <c r="E7448" s="56">
        <f ca="1">IF(PV[[#This Row],[Business Date]]=Control!$C$6, PV[[#This Row],[Notional Value Local Cur]], -PV[[#This Row],[Notional Value Local Cur]])</f>
        <v>0</v>
      </c>
    </row>
    <row r="7449" spans="1:5" x14ac:dyDescent="0.25">
      <c r="A7449" s="36" t="b">
        <v>0</v>
      </c>
      <c r="B7449" s="56" t="b">
        <v>0</v>
      </c>
      <c r="C7449" s="56" t="b">
        <v>0</v>
      </c>
      <c r="D7449" s="56" t="b">
        <v>0</v>
      </c>
      <c r="E7449" s="56">
        <f ca="1">IF(PV[[#This Row],[Business Date]]=Control!$C$6, PV[[#This Row],[Notional Value Local Cur]], -PV[[#This Row],[Notional Value Local Cur]])</f>
        <v>0</v>
      </c>
    </row>
    <row r="7450" spans="1:5" x14ac:dyDescent="0.25">
      <c r="A7450" s="36" t="b">
        <v>0</v>
      </c>
      <c r="B7450" s="56" t="b">
        <v>0</v>
      </c>
      <c r="C7450" s="56" t="b">
        <v>0</v>
      </c>
      <c r="D7450" s="56" t="b">
        <v>0</v>
      </c>
      <c r="E7450" s="56">
        <f ca="1">IF(PV[[#This Row],[Business Date]]=Control!$C$6, PV[[#This Row],[Notional Value Local Cur]], -PV[[#This Row],[Notional Value Local Cur]])</f>
        <v>0</v>
      </c>
    </row>
    <row r="7451" spans="1:5" x14ac:dyDescent="0.25">
      <c r="A7451" s="36" t="b">
        <v>0</v>
      </c>
      <c r="B7451" s="56" t="b">
        <v>0</v>
      </c>
      <c r="C7451" s="56" t="b">
        <v>0</v>
      </c>
      <c r="D7451" s="56" t="b">
        <v>0</v>
      </c>
      <c r="E7451" s="56">
        <f ca="1">IF(PV[[#This Row],[Business Date]]=Control!$C$6, PV[[#This Row],[Notional Value Local Cur]], -PV[[#This Row],[Notional Value Local Cur]])</f>
        <v>0</v>
      </c>
    </row>
    <row r="7452" spans="1:5" x14ac:dyDescent="0.25">
      <c r="A7452" s="36" t="b">
        <v>0</v>
      </c>
      <c r="B7452" s="56" t="b">
        <v>0</v>
      </c>
      <c r="C7452" s="56" t="b">
        <v>0</v>
      </c>
      <c r="D7452" s="56" t="b">
        <v>0</v>
      </c>
      <c r="E7452" s="56">
        <f ca="1">IF(PV[[#This Row],[Business Date]]=Control!$C$6, PV[[#This Row],[Notional Value Local Cur]], -PV[[#This Row],[Notional Value Local Cur]])</f>
        <v>0</v>
      </c>
    </row>
    <row r="7453" spans="1:5" x14ac:dyDescent="0.25">
      <c r="A7453" s="36" t="b">
        <v>0</v>
      </c>
      <c r="B7453" s="56" t="b">
        <v>0</v>
      </c>
      <c r="C7453" s="56" t="b">
        <v>0</v>
      </c>
      <c r="D7453" s="56" t="b">
        <v>0</v>
      </c>
      <c r="E7453" s="56">
        <f ca="1">IF(PV[[#This Row],[Business Date]]=Control!$C$6, PV[[#This Row],[Notional Value Local Cur]], -PV[[#This Row],[Notional Value Local Cur]])</f>
        <v>0</v>
      </c>
    </row>
    <row r="7454" spans="1:5" x14ac:dyDescent="0.25">
      <c r="A7454" s="36" t="b">
        <v>0</v>
      </c>
      <c r="B7454" s="56" t="b">
        <v>0</v>
      </c>
      <c r="C7454" s="56" t="b">
        <v>0</v>
      </c>
      <c r="D7454" s="56" t="b">
        <v>0</v>
      </c>
      <c r="E7454" s="56">
        <f ca="1">IF(PV[[#This Row],[Business Date]]=Control!$C$6, PV[[#This Row],[Notional Value Local Cur]], -PV[[#This Row],[Notional Value Local Cur]])</f>
        <v>0</v>
      </c>
    </row>
    <row r="7455" spans="1:5" x14ac:dyDescent="0.25">
      <c r="A7455" s="36" t="b">
        <v>0</v>
      </c>
      <c r="B7455" s="56" t="b">
        <v>0</v>
      </c>
      <c r="C7455" s="56" t="b">
        <v>0</v>
      </c>
      <c r="D7455" s="56" t="b">
        <v>0</v>
      </c>
      <c r="E7455" s="56">
        <f ca="1">IF(PV[[#This Row],[Business Date]]=Control!$C$6, PV[[#This Row],[Notional Value Local Cur]], -PV[[#This Row],[Notional Value Local Cur]])</f>
        <v>0</v>
      </c>
    </row>
    <row r="7456" spans="1:5" x14ac:dyDescent="0.25">
      <c r="A7456" s="36" t="b">
        <v>0</v>
      </c>
      <c r="B7456" s="56" t="b">
        <v>0</v>
      </c>
      <c r="C7456" s="56" t="b">
        <v>0</v>
      </c>
      <c r="D7456" s="56" t="b">
        <v>0</v>
      </c>
      <c r="E7456" s="56">
        <f ca="1">IF(PV[[#This Row],[Business Date]]=Control!$C$6, PV[[#This Row],[Notional Value Local Cur]], -PV[[#This Row],[Notional Value Local Cur]])</f>
        <v>0</v>
      </c>
    </row>
    <row r="7457" spans="1:5" x14ac:dyDescent="0.25">
      <c r="A7457" s="36" t="b">
        <v>0</v>
      </c>
      <c r="B7457" s="56" t="b">
        <v>0</v>
      </c>
      <c r="C7457" s="56" t="b">
        <v>0</v>
      </c>
      <c r="D7457" s="56" t="b">
        <v>0</v>
      </c>
      <c r="E7457" s="56">
        <f ca="1">IF(PV[[#This Row],[Business Date]]=Control!$C$6, PV[[#This Row],[Notional Value Local Cur]], -PV[[#This Row],[Notional Value Local Cur]])</f>
        <v>0</v>
      </c>
    </row>
    <row r="7458" spans="1:5" x14ac:dyDescent="0.25">
      <c r="A7458" s="36" t="b">
        <v>0</v>
      </c>
      <c r="B7458" s="56" t="b">
        <v>0</v>
      </c>
      <c r="C7458" s="56" t="b">
        <v>0</v>
      </c>
      <c r="D7458" s="56" t="b">
        <v>0</v>
      </c>
      <c r="E7458" s="56">
        <f ca="1">IF(PV[[#This Row],[Business Date]]=Control!$C$6, PV[[#This Row],[Notional Value Local Cur]], -PV[[#This Row],[Notional Value Local Cur]])</f>
        <v>0</v>
      </c>
    </row>
    <row r="7459" spans="1:5" x14ac:dyDescent="0.25">
      <c r="A7459" s="36" t="b">
        <v>0</v>
      </c>
      <c r="B7459" s="56" t="b">
        <v>0</v>
      </c>
      <c r="C7459" s="56" t="b">
        <v>0</v>
      </c>
      <c r="D7459" s="56" t="b">
        <v>0</v>
      </c>
      <c r="E7459" s="56">
        <f ca="1">IF(PV[[#This Row],[Business Date]]=Control!$C$6, PV[[#This Row],[Notional Value Local Cur]], -PV[[#This Row],[Notional Value Local Cur]])</f>
        <v>0</v>
      </c>
    </row>
    <row r="7460" spans="1:5" x14ac:dyDescent="0.25">
      <c r="A7460" s="36" t="b">
        <v>0</v>
      </c>
      <c r="B7460" s="56" t="b">
        <v>0</v>
      </c>
      <c r="C7460" s="56" t="b">
        <v>0</v>
      </c>
      <c r="D7460" s="56" t="b">
        <v>0</v>
      </c>
      <c r="E7460" s="56">
        <f ca="1">IF(PV[[#This Row],[Business Date]]=Control!$C$6, PV[[#This Row],[Notional Value Local Cur]], -PV[[#This Row],[Notional Value Local Cur]])</f>
        <v>0</v>
      </c>
    </row>
    <row r="7461" spans="1:5" x14ac:dyDescent="0.25">
      <c r="A7461" s="36" t="b">
        <v>0</v>
      </c>
      <c r="B7461" s="56" t="b">
        <v>0</v>
      </c>
      <c r="C7461" s="56" t="b">
        <v>0</v>
      </c>
      <c r="D7461" s="56" t="b">
        <v>0</v>
      </c>
      <c r="E7461" s="56">
        <f ca="1">IF(PV[[#This Row],[Business Date]]=Control!$C$6, PV[[#This Row],[Notional Value Local Cur]], -PV[[#This Row],[Notional Value Local Cur]])</f>
        <v>0</v>
      </c>
    </row>
    <row r="7462" spans="1:5" x14ac:dyDescent="0.25">
      <c r="A7462" s="36" t="b">
        <v>0</v>
      </c>
      <c r="B7462" s="56" t="b">
        <v>0</v>
      </c>
      <c r="C7462" s="56" t="b">
        <v>0</v>
      </c>
      <c r="D7462" s="56" t="b">
        <v>0</v>
      </c>
      <c r="E7462" s="56">
        <f ca="1">IF(PV[[#This Row],[Business Date]]=Control!$C$6, PV[[#This Row],[Notional Value Local Cur]], -PV[[#This Row],[Notional Value Local Cur]])</f>
        <v>0</v>
      </c>
    </row>
    <row r="7463" spans="1:5" x14ac:dyDescent="0.25">
      <c r="A7463" s="36" t="b">
        <v>0</v>
      </c>
      <c r="B7463" s="56" t="b">
        <v>0</v>
      </c>
      <c r="C7463" s="56" t="b">
        <v>0</v>
      </c>
      <c r="D7463" s="56" t="b">
        <v>0</v>
      </c>
      <c r="E7463" s="56">
        <f ca="1">IF(PV[[#This Row],[Business Date]]=Control!$C$6, PV[[#This Row],[Notional Value Local Cur]], -PV[[#This Row],[Notional Value Local Cur]])</f>
        <v>0</v>
      </c>
    </row>
    <row r="7464" spans="1:5" x14ac:dyDescent="0.25">
      <c r="A7464" s="36" t="b">
        <v>0</v>
      </c>
      <c r="B7464" s="56" t="b">
        <v>0</v>
      </c>
      <c r="C7464" s="56" t="b">
        <v>0</v>
      </c>
      <c r="D7464" s="56" t="b">
        <v>0</v>
      </c>
      <c r="E7464" s="56">
        <f ca="1">IF(PV[[#This Row],[Business Date]]=Control!$C$6, PV[[#This Row],[Notional Value Local Cur]], -PV[[#This Row],[Notional Value Local Cur]])</f>
        <v>0</v>
      </c>
    </row>
    <row r="7465" spans="1:5" x14ac:dyDescent="0.25">
      <c r="A7465" s="36" t="b">
        <v>0</v>
      </c>
      <c r="B7465" s="56" t="b">
        <v>0</v>
      </c>
      <c r="C7465" s="56" t="b">
        <v>0</v>
      </c>
      <c r="D7465" s="56" t="b">
        <v>0</v>
      </c>
      <c r="E7465" s="56">
        <f ca="1">IF(PV[[#This Row],[Business Date]]=Control!$C$6, PV[[#This Row],[Notional Value Local Cur]], -PV[[#This Row],[Notional Value Local Cur]])</f>
        <v>0</v>
      </c>
    </row>
    <row r="7466" spans="1:5" x14ac:dyDescent="0.25">
      <c r="A7466" s="36" t="b">
        <v>0</v>
      </c>
      <c r="B7466" s="56" t="b">
        <v>0</v>
      </c>
      <c r="C7466" s="56" t="b">
        <v>0</v>
      </c>
      <c r="D7466" s="56" t="b">
        <v>0</v>
      </c>
      <c r="E7466" s="56">
        <f ca="1">IF(PV[[#This Row],[Business Date]]=Control!$C$6, PV[[#This Row],[Notional Value Local Cur]], -PV[[#This Row],[Notional Value Local Cur]])</f>
        <v>0</v>
      </c>
    </row>
    <row r="7467" spans="1:5" x14ac:dyDescent="0.25">
      <c r="A7467" s="36" t="b">
        <v>0</v>
      </c>
      <c r="B7467" s="56" t="b">
        <v>0</v>
      </c>
      <c r="C7467" s="56" t="b">
        <v>0</v>
      </c>
      <c r="D7467" s="56" t="b">
        <v>0</v>
      </c>
      <c r="E7467" s="56">
        <f ca="1">IF(PV[[#This Row],[Business Date]]=Control!$C$6, PV[[#This Row],[Notional Value Local Cur]], -PV[[#This Row],[Notional Value Local Cur]])</f>
        <v>0</v>
      </c>
    </row>
    <row r="7468" spans="1:5" x14ac:dyDescent="0.25">
      <c r="A7468" s="36" t="b">
        <v>0</v>
      </c>
      <c r="B7468" s="56" t="b">
        <v>0</v>
      </c>
      <c r="C7468" s="56" t="b">
        <v>0</v>
      </c>
      <c r="D7468" s="56" t="b">
        <v>0</v>
      </c>
      <c r="E7468" s="56">
        <f ca="1">IF(PV[[#This Row],[Business Date]]=Control!$C$6, PV[[#This Row],[Notional Value Local Cur]], -PV[[#This Row],[Notional Value Local Cur]])</f>
        <v>0</v>
      </c>
    </row>
    <row r="7469" spans="1:5" x14ac:dyDescent="0.25">
      <c r="A7469" s="36" t="b">
        <v>0</v>
      </c>
      <c r="B7469" s="56" t="b">
        <v>0</v>
      </c>
      <c r="C7469" s="56" t="b">
        <v>0</v>
      </c>
      <c r="D7469" s="56" t="b">
        <v>0</v>
      </c>
      <c r="E7469" s="56">
        <f ca="1">IF(PV[[#This Row],[Business Date]]=Control!$C$6, PV[[#This Row],[Notional Value Local Cur]], -PV[[#This Row],[Notional Value Local Cur]])</f>
        <v>0</v>
      </c>
    </row>
    <row r="7470" spans="1:5" x14ac:dyDescent="0.25">
      <c r="A7470" s="36" t="b">
        <v>0</v>
      </c>
      <c r="B7470" s="56" t="b">
        <v>0</v>
      </c>
      <c r="C7470" s="56" t="b">
        <v>0</v>
      </c>
      <c r="D7470" s="56" t="b">
        <v>0</v>
      </c>
      <c r="E7470" s="56">
        <f ca="1">IF(PV[[#This Row],[Business Date]]=Control!$C$6, PV[[#This Row],[Notional Value Local Cur]], -PV[[#This Row],[Notional Value Local Cur]])</f>
        <v>0</v>
      </c>
    </row>
    <row r="7471" spans="1:5" x14ac:dyDescent="0.25">
      <c r="A7471" s="36" t="b">
        <v>0</v>
      </c>
      <c r="B7471" s="56" t="b">
        <v>0</v>
      </c>
      <c r="C7471" s="56" t="b">
        <v>0</v>
      </c>
      <c r="D7471" s="56" t="b">
        <v>0</v>
      </c>
      <c r="E7471" s="56">
        <f ca="1">IF(PV[[#This Row],[Business Date]]=Control!$C$6, PV[[#This Row],[Notional Value Local Cur]], -PV[[#This Row],[Notional Value Local Cur]])</f>
        <v>0</v>
      </c>
    </row>
    <row r="7472" spans="1:5" x14ac:dyDescent="0.25">
      <c r="A7472" s="36" t="b">
        <v>0</v>
      </c>
      <c r="B7472" s="56" t="b">
        <v>0</v>
      </c>
      <c r="C7472" s="56" t="b">
        <v>0</v>
      </c>
      <c r="D7472" s="56" t="b">
        <v>0</v>
      </c>
      <c r="E7472" s="56">
        <f ca="1">IF(PV[[#This Row],[Business Date]]=Control!$C$6, PV[[#This Row],[Notional Value Local Cur]], -PV[[#This Row],[Notional Value Local Cur]])</f>
        <v>0</v>
      </c>
    </row>
    <row r="7473" spans="1:5" x14ac:dyDescent="0.25">
      <c r="A7473" s="36" t="b">
        <v>0</v>
      </c>
      <c r="B7473" s="56" t="b">
        <v>0</v>
      </c>
      <c r="C7473" s="56" t="b">
        <v>0</v>
      </c>
      <c r="D7473" s="56" t="b">
        <v>0</v>
      </c>
      <c r="E7473" s="56">
        <f ca="1">IF(PV[[#This Row],[Business Date]]=Control!$C$6, PV[[#This Row],[Notional Value Local Cur]], -PV[[#This Row],[Notional Value Local Cur]])</f>
        <v>0</v>
      </c>
    </row>
    <row r="7474" spans="1:5" x14ac:dyDescent="0.25">
      <c r="A7474" s="36" t="b">
        <v>0</v>
      </c>
      <c r="B7474" s="56" t="b">
        <v>0</v>
      </c>
      <c r="C7474" s="56" t="b">
        <v>0</v>
      </c>
      <c r="D7474" s="56" t="b">
        <v>0</v>
      </c>
      <c r="E7474" s="56">
        <f ca="1">IF(PV[[#This Row],[Business Date]]=Control!$C$6, PV[[#This Row],[Notional Value Local Cur]], -PV[[#This Row],[Notional Value Local Cur]])</f>
        <v>0</v>
      </c>
    </row>
    <row r="7475" spans="1:5" x14ac:dyDescent="0.25">
      <c r="A7475" s="36" t="b">
        <v>0</v>
      </c>
      <c r="B7475" s="56" t="b">
        <v>0</v>
      </c>
      <c r="C7475" s="56" t="b">
        <v>0</v>
      </c>
      <c r="D7475" s="56" t="b">
        <v>0</v>
      </c>
      <c r="E7475" s="56">
        <f ca="1">IF(PV[[#This Row],[Business Date]]=Control!$C$6, PV[[#This Row],[Notional Value Local Cur]], -PV[[#This Row],[Notional Value Local Cur]])</f>
        <v>0</v>
      </c>
    </row>
    <row r="7476" spans="1:5" x14ac:dyDescent="0.25">
      <c r="A7476" s="36" t="b">
        <v>0</v>
      </c>
      <c r="B7476" s="56" t="b">
        <v>0</v>
      </c>
      <c r="C7476" s="56" t="b">
        <v>0</v>
      </c>
      <c r="D7476" s="56" t="b">
        <v>0</v>
      </c>
      <c r="E7476" s="56">
        <f ca="1">IF(PV[[#This Row],[Business Date]]=Control!$C$6, PV[[#This Row],[Notional Value Local Cur]], -PV[[#This Row],[Notional Value Local Cur]])</f>
        <v>0</v>
      </c>
    </row>
    <row r="7477" spans="1:5" x14ac:dyDescent="0.25">
      <c r="A7477" s="36" t="b">
        <v>0</v>
      </c>
      <c r="B7477" s="56" t="b">
        <v>0</v>
      </c>
      <c r="C7477" s="56" t="b">
        <v>0</v>
      </c>
      <c r="D7477" s="56" t="b">
        <v>0</v>
      </c>
      <c r="E7477" s="56">
        <f ca="1">IF(PV[[#This Row],[Business Date]]=Control!$C$6, PV[[#This Row],[Notional Value Local Cur]], -PV[[#This Row],[Notional Value Local Cur]])</f>
        <v>0</v>
      </c>
    </row>
    <row r="7478" spans="1:5" x14ac:dyDescent="0.25">
      <c r="A7478" s="36" t="b">
        <v>0</v>
      </c>
      <c r="B7478" s="56" t="b">
        <v>0</v>
      </c>
      <c r="C7478" s="56" t="b">
        <v>0</v>
      </c>
      <c r="D7478" s="56" t="b">
        <v>0</v>
      </c>
      <c r="E7478" s="56">
        <f ca="1">IF(PV[[#This Row],[Business Date]]=Control!$C$6, PV[[#This Row],[Notional Value Local Cur]], -PV[[#This Row],[Notional Value Local Cur]])</f>
        <v>0</v>
      </c>
    </row>
    <row r="7479" spans="1:5" x14ac:dyDescent="0.25">
      <c r="A7479" s="36" t="b">
        <v>0</v>
      </c>
      <c r="B7479" s="56" t="b">
        <v>0</v>
      </c>
      <c r="C7479" s="56" t="b">
        <v>0</v>
      </c>
      <c r="D7479" s="56" t="b">
        <v>0</v>
      </c>
      <c r="E7479" s="56">
        <f ca="1">IF(PV[[#This Row],[Business Date]]=Control!$C$6, PV[[#This Row],[Notional Value Local Cur]], -PV[[#This Row],[Notional Value Local Cur]])</f>
        <v>0</v>
      </c>
    </row>
    <row r="7480" spans="1:5" x14ac:dyDescent="0.25">
      <c r="A7480" s="36" t="b">
        <v>0</v>
      </c>
      <c r="B7480" s="56" t="b">
        <v>0</v>
      </c>
      <c r="C7480" s="56" t="b">
        <v>0</v>
      </c>
      <c r="D7480" s="56" t="b">
        <v>0</v>
      </c>
      <c r="E7480" s="56">
        <f ca="1">IF(PV[[#This Row],[Business Date]]=Control!$C$6, PV[[#This Row],[Notional Value Local Cur]], -PV[[#This Row],[Notional Value Local Cur]])</f>
        <v>0</v>
      </c>
    </row>
    <row r="7481" spans="1:5" x14ac:dyDescent="0.25">
      <c r="A7481" s="36" t="b">
        <v>0</v>
      </c>
      <c r="B7481" s="56" t="b">
        <v>0</v>
      </c>
      <c r="C7481" s="56" t="b">
        <v>0</v>
      </c>
      <c r="D7481" s="56" t="b">
        <v>0</v>
      </c>
      <c r="E7481" s="56">
        <f ca="1">IF(PV[[#This Row],[Business Date]]=Control!$C$6, PV[[#This Row],[Notional Value Local Cur]], -PV[[#This Row],[Notional Value Local Cur]])</f>
        <v>0</v>
      </c>
    </row>
    <row r="7482" spans="1:5" x14ac:dyDescent="0.25">
      <c r="A7482" s="36" t="b">
        <v>0</v>
      </c>
      <c r="B7482" s="56" t="b">
        <v>0</v>
      </c>
      <c r="C7482" s="56" t="b">
        <v>0</v>
      </c>
      <c r="D7482" s="56" t="b">
        <v>0</v>
      </c>
      <c r="E7482" s="56">
        <f ca="1">IF(PV[[#This Row],[Business Date]]=Control!$C$6, PV[[#This Row],[Notional Value Local Cur]], -PV[[#This Row],[Notional Value Local Cur]])</f>
        <v>0</v>
      </c>
    </row>
    <row r="7483" spans="1:5" x14ac:dyDescent="0.25">
      <c r="A7483" s="36" t="b">
        <v>0</v>
      </c>
      <c r="B7483" s="56" t="b">
        <v>0</v>
      </c>
      <c r="C7483" s="56" t="b">
        <v>0</v>
      </c>
      <c r="D7483" s="56" t="b">
        <v>0</v>
      </c>
      <c r="E7483" s="56">
        <f ca="1">IF(PV[[#This Row],[Business Date]]=Control!$C$6, PV[[#This Row],[Notional Value Local Cur]], -PV[[#This Row],[Notional Value Local Cur]])</f>
        <v>0</v>
      </c>
    </row>
    <row r="7484" spans="1:5" x14ac:dyDescent="0.25">
      <c r="A7484" s="36" t="b">
        <v>0</v>
      </c>
      <c r="B7484" s="56" t="b">
        <v>0</v>
      </c>
      <c r="C7484" s="56" t="b">
        <v>0</v>
      </c>
      <c r="D7484" s="56" t="b">
        <v>0</v>
      </c>
      <c r="E7484" s="56">
        <f ca="1">IF(PV[[#This Row],[Business Date]]=Control!$C$6, PV[[#This Row],[Notional Value Local Cur]], -PV[[#This Row],[Notional Value Local Cur]])</f>
        <v>0</v>
      </c>
    </row>
    <row r="7485" spans="1:5" x14ac:dyDescent="0.25">
      <c r="A7485" s="36" t="b">
        <v>0</v>
      </c>
      <c r="B7485" s="56" t="b">
        <v>0</v>
      </c>
      <c r="C7485" s="56" t="b">
        <v>0</v>
      </c>
      <c r="D7485" s="56" t="b">
        <v>0</v>
      </c>
      <c r="E7485" s="56">
        <f ca="1">IF(PV[[#This Row],[Business Date]]=Control!$C$6, PV[[#This Row],[Notional Value Local Cur]], -PV[[#This Row],[Notional Value Local Cur]])</f>
        <v>0</v>
      </c>
    </row>
    <row r="7486" spans="1:5" x14ac:dyDescent="0.25">
      <c r="A7486" s="36" t="b">
        <v>0</v>
      </c>
      <c r="B7486" s="56" t="b">
        <v>0</v>
      </c>
      <c r="C7486" s="56" t="b">
        <v>0</v>
      </c>
      <c r="D7486" s="56" t="b">
        <v>0</v>
      </c>
      <c r="E7486" s="56">
        <f ca="1">IF(PV[[#This Row],[Business Date]]=Control!$C$6, PV[[#This Row],[Notional Value Local Cur]], -PV[[#This Row],[Notional Value Local Cur]])</f>
        <v>0</v>
      </c>
    </row>
    <row r="7487" spans="1:5" x14ac:dyDescent="0.25">
      <c r="A7487" s="36" t="b">
        <v>0</v>
      </c>
      <c r="B7487" s="56" t="b">
        <v>0</v>
      </c>
      <c r="C7487" s="56" t="b">
        <v>0</v>
      </c>
      <c r="D7487" s="56" t="b">
        <v>0</v>
      </c>
      <c r="E7487" s="56">
        <f ca="1">IF(PV[[#This Row],[Business Date]]=Control!$C$6, PV[[#This Row],[Notional Value Local Cur]], -PV[[#This Row],[Notional Value Local Cur]])</f>
        <v>0</v>
      </c>
    </row>
    <row r="7488" spans="1:5" x14ac:dyDescent="0.25">
      <c r="A7488" s="36" t="b">
        <v>0</v>
      </c>
      <c r="B7488" s="56" t="b">
        <v>0</v>
      </c>
      <c r="C7488" s="56" t="b">
        <v>0</v>
      </c>
      <c r="D7488" s="56" t="b">
        <v>0</v>
      </c>
      <c r="E7488" s="56">
        <f ca="1">IF(PV[[#This Row],[Business Date]]=Control!$C$6, PV[[#This Row],[Notional Value Local Cur]], -PV[[#This Row],[Notional Value Local Cur]])</f>
        <v>0</v>
      </c>
    </row>
    <row r="7489" spans="1:5" x14ac:dyDescent="0.25">
      <c r="A7489" s="36" t="b">
        <v>0</v>
      </c>
      <c r="B7489" s="56" t="b">
        <v>0</v>
      </c>
      <c r="C7489" s="56" t="b">
        <v>0</v>
      </c>
      <c r="D7489" s="56" t="b">
        <v>0</v>
      </c>
      <c r="E7489" s="56">
        <f ca="1">IF(PV[[#This Row],[Business Date]]=Control!$C$6, PV[[#This Row],[Notional Value Local Cur]], -PV[[#This Row],[Notional Value Local Cur]])</f>
        <v>0</v>
      </c>
    </row>
    <row r="7490" spans="1:5" x14ac:dyDescent="0.25">
      <c r="A7490" s="36" t="b">
        <v>0</v>
      </c>
      <c r="B7490" s="56" t="b">
        <v>0</v>
      </c>
      <c r="C7490" s="56" t="b">
        <v>0</v>
      </c>
      <c r="D7490" s="56" t="b">
        <v>0</v>
      </c>
      <c r="E7490" s="56">
        <f ca="1">IF(PV[[#This Row],[Business Date]]=Control!$C$6, PV[[#This Row],[Notional Value Local Cur]], -PV[[#This Row],[Notional Value Local Cur]])</f>
        <v>0</v>
      </c>
    </row>
    <row r="7491" spans="1:5" x14ac:dyDescent="0.25">
      <c r="A7491" s="36" t="b">
        <v>0</v>
      </c>
      <c r="B7491" s="56" t="b">
        <v>0</v>
      </c>
      <c r="C7491" s="56" t="b">
        <v>0</v>
      </c>
      <c r="D7491" s="56" t="b">
        <v>0</v>
      </c>
      <c r="E7491" s="56">
        <f ca="1">IF(PV[[#This Row],[Business Date]]=Control!$C$6, PV[[#This Row],[Notional Value Local Cur]], -PV[[#This Row],[Notional Value Local Cur]])</f>
        <v>0</v>
      </c>
    </row>
    <row r="7492" spans="1:5" x14ac:dyDescent="0.25">
      <c r="A7492" s="36" t="b">
        <v>0</v>
      </c>
      <c r="B7492" s="56" t="b">
        <v>0</v>
      </c>
      <c r="C7492" s="56" t="b">
        <v>0</v>
      </c>
      <c r="D7492" s="56" t="b">
        <v>0</v>
      </c>
      <c r="E7492" s="56">
        <f ca="1">IF(PV[[#This Row],[Business Date]]=Control!$C$6, PV[[#This Row],[Notional Value Local Cur]], -PV[[#This Row],[Notional Value Local Cur]])</f>
        <v>0</v>
      </c>
    </row>
    <row r="7493" spans="1:5" x14ac:dyDescent="0.25">
      <c r="A7493" s="36" t="b">
        <v>0</v>
      </c>
      <c r="B7493" s="56" t="b">
        <v>0</v>
      </c>
      <c r="C7493" s="56" t="b">
        <v>0</v>
      </c>
      <c r="D7493" s="56" t="b">
        <v>0</v>
      </c>
      <c r="E7493" s="56">
        <f ca="1">IF(PV[[#This Row],[Business Date]]=Control!$C$6, PV[[#This Row],[Notional Value Local Cur]], -PV[[#This Row],[Notional Value Local Cur]])</f>
        <v>0</v>
      </c>
    </row>
    <row r="7494" spans="1:5" x14ac:dyDescent="0.25">
      <c r="A7494" s="36" t="b">
        <v>0</v>
      </c>
      <c r="B7494" s="56" t="b">
        <v>0</v>
      </c>
      <c r="C7494" s="56" t="b">
        <v>0</v>
      </c>
      <c r="D7494" s="56" t="b">
        <v>0</v>
      </c>
      <c r="E7494" s="56">
        <f ca="1">IF(PV[[#This Row],[Business Date]]=Control!$C$6, PV[[#This Row],[Notional Value Local Cur]], -PV[[#This Row],[Notional Value Local Cur]])</f>
        <v>0</v>
      </c>
    </row>
    <row r="7495" spans="1:5" x14ac:dyDescent="0.25">
      <c r="A7495" s="36" t="b">
        <v>0</v>
      </c>
      <c r="B7495" s="56" t="b">
        <v>0</v>
      </c>
      <c r="C7495" s="56" t="b">
        <v>0</v>
      </c>
      <c r="D7495" s="56" t="b">
        <v>0</v>
      </c>
      <c r="E7495" s="56">
        <f ca="1">IF(PV[[#This Row],[Business Date]]=Control!$C$6, PV[[#This Row],[Notional Value Local Cur]], -PV[[#This Row],[Notional Value Local Cur]])</f>
        <v>0</v>
      </c>
    </row>
    <row r="7496" spans="1:5" x14ac:dyDescent="0.25">
      <c r="A7496" s="36" t="b">
        <v>0</v>
      </c>
      <c r="B7496" s="56" t="b">
        <v>0</v>
      </c>
      <c r="C7496" s="56" t="b">
        <v>0</v>
      </c>
      <c r="D7496" s="56" t="b">
        <v>0</v>
      </c>
      <c r="E7496" s="56">
        <f ca="1">IF(PV[[#This Row],[Business Date]]=Control!$C$6, PV[[#This Row],[Notional Value Local Cur]], -PV[[#This Row],[Notional Value Local Cur]])</f>
        <v>0</v>
      </c>
    </row>
    <row r="7497" spans="1:5" x14ac:dyDescent="0.25">
      <c r="A7497" s="36" t="b">
        <v>0</v>
      </c>
      <c r="B7497" s="56" t="b">
        <v>0</v>
      </c>
      <c r="C7497" s="56" t="b">
        <v>0</v>
      </c>
      <c r="D7497" s="56" t="b">
        <v>0</v>
      </c>
      <c r="E7497" s="56">
        <f ca="1">IF(PV[[#This Row],[Business Date]]=Control!$C$6, PV[[#This Row],[Notional Value Local Cur]], -PV[[#This Row],[Notional Value Local Cur]])</f>
        <v>0</v>
      </c>
    </row>
    <row r="7498" spans="1:5" x14ac:dyDescent="0.25">
      <c r="A7498" s="36" t="b">
        <v>0</v>
      </c>
      <c r="B7498" s="56" t="b">
        <v>0</v>
      </c>
      <c r="C7498" s="56" t="b">
        <v>0</v>
      </c>
      <c r="D7498" s="56" t="b">
        <v>0</v>
      </c>
      <c r="E7498" s="56">
        <f ca="1">IF(PV[[#This Row],[Business Date]]=Control!$C$6, PV[[#This Row],[Notional Value Local Cur]], -PV[[#This Row],[Notional Value Local Cur]])</f>
        <v>0</v>
      </c>
    </row>
    <row r="7499" spans="1:5" x14ac:dyDescent="0.25">
      <c r="A7499" s="36" t="b">
        <v>0</v>
      </c>
      <c r="B7499" s="56" t="b">
        <v>0</v>
      </c>
      <c r="C7499" s="56" t="b">
        <v>0</v>
      </c>
      <c r="D7499" s="56" t="b">
        <v>0</v>
      </c>
      <c r="E7499" s="56">
        <f ca="1">IF(PV[[#This Row],[Business Date]]=Control!$C$6, PV[[#This Row],[Notional Value Local Cur]], -PV[[#This Row],[Notional Value Local Cur]])</f>
        <v>0</v>
      </c>
    </row>
    <row r="7500" spans="1:5" x14ac:dyDescent="0.25">
      <c r="A7500" s="36" t="b">
        <v>0</v>
      </c>
      <c r="B7500" s="56" t="b">
        <v>0</v>
      </c>
      <c r="C7500" s="56" t="b">
        <v>0</v>
      </c>
      <c r="D7500" s="56" t="b">
        <v>0</v>
      </c>
      <c r="E7500" s="56">
        <f ca="1">IF(PV[[#This Row],[Business Date]]=Control!$C$6, PV[[#This Row],[Notional Value Local Cur]], -PV[[#This Row],[Notional Value Local Cur]])</f>
        <v>0</v>
      </c>
    </row>
    <row r="7501" spans="1:5" x14ac:dyDescent="0.25">
      <c r="A7501" s="36" t="b">
        <v>0</v>
      </c>
      <c r="B7501" s="56" t="b">
        <v>0</v>
      </c>
      <c r="C7501" s="56" t="b">
        <v>0</v>
      </c>
      <c r="D7501" s="56" t="b">
        <v>0</v>
      </c>
      <c r="E7501" s="56">
        <f ca="1">IF(PV[[#This Row],[Business Date]]=Control!$C$6, PV[[#This Row],[Notional Value Local Cur]], -PV[[#This Row],[Notional Value Local Cur]])</f>
        <v>0</v>
      </c>
    </row>
    <row r="7502" spans="1:5" x14ac:dyDescent="0.25">
      <c r="A7502" s="36" t="b">
        <v>0</v>
      </c>
      <c r="B7502" s="56" t="b">
        <v>0</v>
      </c>
      <c r="C7502" s="56" t="b">
        <v>0</v>
      </c>
      <c r="D7502" s="56" t="b">
        <v>0</v>
      </c>
      <c r="E7502" s="56">
        <f ca="1">IF(PV[[#This Row],[Business Date]]=Control!$C$6, PV[[#This Row],[Notional Value Local Cur]], -PV[[#This Row],[Notional Value Local Cur]])</f>
        <v>0</v>
      </c>
    </row>
    <row r="7503" spans="1:5" x14ac:dyDescent="0.25">
      <c r="A7503" s="36" t="b">
        <v>0</v>
      </c>
      <c r="B7503" s="56" t="b">
        <v>0</v>
      </c>
      <c r="C7503" s="56" t="b">
        <v>0</v>
      </c>
      <c r="D7503" s="56" t="b">
        <v>0</v>
      </c>
      <c r="E7503" s="56">
        <f ca="1">IF(PV[[#This Row],[Business Date]]=Control!$C$6, PV[[#This Row],[Notional Value Local Cur]], -PV[[#This Row],[Notional Value Local Cur]])</f>
        <v>0</v>
      </c>
    </row>
    <row r="7504" spans="1:5" x14ac:dyDescent="0.25">
      <c r="A7504" s="36" t="b">
        <v>0</v>
      </c>
      <c r="B7504" s="56" t="b">
        <v>0</v>
      </c>
      <c r="C7504" s="56" t="b">
        <v>0</v>
      </c>
      <c r="D7504" s="56" t="b">
        <v>0</v>
      </c>
      <c r="E7504" s="56">
        <f ca="1">IF(PV[[#This Row],[Business Date]]=Control!$C$6, PV[[#This Row],[Notional Value Local Cur]], -PV[[#This Row],[Notional Value Local Cur]])</f>
        <v>0</v>
      </c>
    </row>
    <row r="7505" spans="1:5" x14ac:dyDescent="0.25">
      <c r="A7505" s="36" t="b">
        <v>0</v>
      </c>
      <c r="B7505" s="56" t="b">
        <v>0</v>
      </c>
      <c r="C7505" s="56" t="b">
        <v>0</v>
      </c>
      <c r="D7505" s="56" t="b">
        <v>0</v>
      </c>
      <c r="E7505" s="56">
        <f ca="1">IF(PV[[#This Row],[Business Date]]=Control!$C$6, PV[[#This Row],[Notional Value Local Cur]], -PV[[#This Row],[Notional Value Local Cur]])</f>
        <v>0</v>
      </c>
    </row>
    <row r="7506" spans="1:5" x14ac:dyDescent="0.25">
      <c r="A7506" s="36" t="b">
        <v>0</v>
      </c>
      <c r="B7506" s="56" t="b">
        <v>0</v>
      </c>
      <c r="C7506" s="56" t="b">
        <v>0</v>
      </c>
      <c r="D7506" s="56" t="b">
        <v>0</v>
      </c>
      <c r="E7506" s="56">
        <f ca="1">IF(PV[[#This Row],[Business Date]]=Control!$C$6, PV[[#This Row],[Notional Value Local Cur]], -PV[[#This Row],[Notional Value Local Cur]])</f>
        <v>0</v>
      </c>
    </row>
    <row r="7507" spans="1:5" x14ac:dyDescent="0.25">
      <c r="A7507" s="36" t="b">
        <v>0</v>
      </c>
      <c r="B7507" s="56" t="b">
        <v>0</v>
      </c>
      <c r="C7507" s="56" t="b">
        <v>0</v>
      </c>
      <c r="D7507" s="56" t="b">
        <v>0</v>
      </c>
      <c r="E7507" s="56">
        <f ca="1">IF(PV[[#This Row],[Business Date]]=Control!$C$6, PV[[#This Row],[Notional Value Local Cur]], -PV[[#This Row],[Notional Value Local Cur]])</f>
        <v>0</v>
      </c>
    </row>
    <row r="7508" spans="1:5" x14ac:dyDescent="0.25">
      <c r="A7508" s="36" t="b">
        <v>0</v>
      </c>
      <c r="B7508" s="56" t="b">
        <v>0</v>
      </c>
      <c r="C7508" s="56" t="b">
        <v>0</v>
      </c>
      <c r="D7508" s="56" t="b">
        <v>0</v>
      </c>
      <c r="E7508" s="56">
        <f ca="1">IF(PV[[#This Row],[Business Date]]=Control!$C$6, PV[[#This Row],[Notional Value Local Cur]], -PV[[#This Row],[Notional Value Local Cur]])</f>
        <v>0</v>
      </c>
    </row>
    <row r="7509" spans="1:5" x14ac:dyDescent="0.25">
      <c r="A7509" s="36" t="b">
        <v>0</v>
      </c>
      <c r="B7509" s="56" t="b">
        <v>0</v>
      </c>
      <c r="C7509" s="56" t="b">
        <v>0</v>
      </c>
      <c r="D7509" s="56" t="b">
        <v>0</v>
      </c>
      <c r="E7509" s="56">
        <f ca="1">IF(PV[[#This Row],[Business Date]]=Control!$C$6, PV[[#This Row],[Notional Value Local Cur]], -PV[[#This Row],[Notional Value Local Cur]])</f>
        <v>0</v>
      </c>
    </row>
    <row r="7510" spans="1:5" x14ac:dyDescent="0.25">
      <c r="A7510" s="36" t="b">
        <v>0</v>
      </c>
      <c r="B7510" s="56" t="b">
        <v>0</v>
      </c>
      <c r="C7510" s="56" t="b">
        <v>0</v>
      </c>
      <c r="D7510" s="56" t="b">
        <v>0</v>
      </c>
      <c r="E7510" s="56">
        <f ca="1">IF(PV[[#This Row],[Business Date]]=Control!$C$6, PV[[#This Row],[Notional Value Local Cur]], -PV[[#This Row],[Notional Value Local Cur]])</f>
        <v>0</v>
      </c>
    </row>
    <row r="7511" spans="1:5" x14ac:dyDescent="0.25">
      <c r="A7511" s="36" t="b">
        <v>0</v>
      </c>
      <c r="B7511" s="56" t="b">
        <v>0</v>
      </c>
      <c r="C7511" s="56" t="b">
        <v>0</v>
      </c>
      <c r="D7511" s="56" t="b">
        <v>0</v>
      </c>
      <c r="E7511" s="56">
        <f ca="1">IF(PV[[#This Row],[Business Date]]=Control!$C$6, PV[[#This Row],[Notional Value Local Cur]], -PV[[#This Row],[Notional Value Local Cur]])</f>
        <v>0</v>
      </c>
    </row>
    <row r="7512" spans="1:5" x14ac:dyDescent="0.25">
      <c r="A7512" s="36" t="b">
        <v>0</v>
      </c>
      <c r="B7512" s="56" t="b">
        <v>0</v>
      </c>
      <c r="C7512" s="56" t="b">
        <v>0</v>
      </c>
      <c r="D7512" s="56" t="b">
        <v>0</v>
      </c>
      <c r="E7512" s="56">
        <f ca="1">IF(PV[[#This Row],[Business Date]]=Control!$C$6, PV[[#This Row],[Notional Value Local Cur]], -PV[[#This Row],[Notional Value Local Cur]])</f>
        <v>0</v>
      </c>
    </row>
    <row r="7513" spans="1:5" x14ac:dyDescent="0.25">
      <c r="A7513" s="36" t="b">
        <v>0</v>
      </c>
      <c r="B7513" s="56" t="b">
        <v>0</v>
      </c>
      <c r="C7513" s="56" t="b">
        <v>0</v>
      </c>
      <c r="D7513" s="56" t="b">
        <v>0</v>
      </c>
      <c r="E7513" s="56">
        <f ca="1">IF(PV[[#This Row],[Business Date]]=Control!$C$6, PV[[#This Row],[Notional Value Local Cur]], -PV[[#This Row],[Notional Value Local Cur]])</f>
        <v>0</v>
      </c>
    </row>
    <row r="7514" spans="1:5" x14ac:dyDescent="0.25">
      <c r="A7514" s="36" t="b">
        <v>0</v>
      </c>
      <c r="B7514" s="56" t="b">
        <v>0</v>
      </c>
      <c r="C7514" s="56" t="b">
        <v>0</v>
      </c>
      <c r="D7514" s="56" t="b">
        <v>0</v>
      </c>
      <c r="E7514" s="56">
        <f ca="1">IF(PV[[#This Row],[Business Date]]=Control!$C$6, PV[[#This Row],[Notional Value Local Cur]], -PV[[#This Row],[Notional Value Local Cur]])</f>
        <v>0</v>
      </c>
    </row>
    <row r="7515" spans="1:5" x14ac:dyDescent="0.25">
      <c r="A7515" s="36" t="b">
        <v>0</v>
      </c>
      <c r="B7515" s="56" t="b">
        <v>0</v>
      </c>
      <c r="C7515" s="56" t="b">
        <v>0</v>
      </c>
      <c r="D7515" s="56" t="b">
        <v>0</v>
      </c>
      <c r="E7515" s="56">
        <f ca="1">IF(PV[[#This Row],[Business Date]]=Control!$C$6, PV[[#This Row],[Notional Value Local Cur]], -PV[[#This Row],[Notional Value Local Cur]])</f>
        <v>0</v>
      </c>
    </row>
    <row r="7516" spans="1:5" x14ac:dyDescent="0.25">
      <c r="A7516" s="36" t="b">
        <v>0</v>
      </c>
      <c r="B7516" s="56" t="b">
        <v>0</v>
      </c>
      <c r="C7516" s="56" t="b">
        <v>0</v>
      </c>
      <c r="D7516" s="56" t="b">
        <v>0</v>
      </c>
      <c r="E7516" s="56">
        <f ca="1">IF(PV[[#This Row],[Business Date]]=Control!$C$6, PV[[#This Row],[Notional Value Local Cur]], -PV[[#This Row],[Notional Value Local Cur]])</f>
        <v>0</v>
      </c>
    </row>
    <row r="7517" spans="1:5" x14ac:dyDescent="0.25">
      <c r="A7517" s="36" t="b">
        <v>0</v>
      </c>
      <c r="B7517" s="56" t="b">
        <v>0</v>
      </c>
      <c r="C7517" s="56" t="b">
        <v>0</v>
      </c>
      <c r="D7517" s="56" t="b">
        <v>0</v>
      </c>
      <c r="E7517" s="56">
        <f ca="1">IF(PV[[#This Row],[Business Date]]=Control!$C$6, PV[[#This Row],[Notional Value Local Cur]], -PV[[#This Row],[Notional Value Local Cur]])</f>
        <v>0</v>
      </c>
    </row>
    <row r="7518" spans="1:5" x14ac:dyDescent="0.25">
      <c r="A7518" s="36" t="b">
        <v>0</v>
      </c>
      <c r="B7518" s="56" t="b">
        <v>0</v>
      </c>
      <c r="C7518" s="56" t="b">
        <v>0</v>
      </c>
      <c r="D7518" s="56" t="b">
        <v>0</v>
      </c>
      <c r="E7518" s="56">
        <f ca="1">IF(PV[[#This Row],[Business Date]]=Control!$C$6, PV[[#This Row],[Notional Value Local Cur]], -PV[[#This Row],[Notional Value Local Cur]])</f>
        <v>0</v>
      </c>
    </row>
    <row r="7519" spans="1:5" x14ac:dyDescent="0.25">
      <c r="A7519" s="36" t="b">
        <v>0</v>
      </c>
      <c r="B7519" s="56" t="b">
        <v>0</v>
      </c>
      <c r="C7519" s="56" t="b">
        <v>0</v>
      </c>
      <c r="D7519" s="56" t="b">
        <v>0</v>
      </c>
      <c r="E7519" s="56">
        <f ca="1">IF(PV[[#This Row],[Business Date]]=Control!$C$6, PV[[#This Row],[Notional Value Local Cur]], -PV[[#This Row],[Notional Value Local Cur]])</f>
        <v>0</v>
      </c>
    </row>
    <row r="7520" spans="1:5" x14ac:dyDescent="0.25">
      <c r="A7520" s="36" t="b">
        <v>0</v>
      </c>
      <c r="B7520" s="56" t="b">
        <v>0</v>
      </c>
      <c r="C7520" s="56" t="b">
        <v>0</v>
      </c>
      <c r="D7520" s="56" t="b">
        <v>0</v>
      </c>
      <c r="E7520" s="56">
        <f ca="1">IF(PV[[#This Row],[Business Date]]=Control!$C$6, PV[[#This Row],[Notional Value Local Cur]], -PV[[#This Row],[Notional Value Local Cur]])</f>
        <v>0</v>
      </c>
    </row>
    <row r="7521" spans="1:5" x14ac:dyDescent="0.25">
      <c r="A7521" s="36" t="b">
        <v>0</v>
      </c>
      <c r="B7521" s="56" t="b">
        <v>0</v>
      </c>
      <c r="C7521" s="56" t="b">
        <v>0</v>
      </c>
      <c r="D7521" s="56" t="b">
        <v>0</v>
      </c>
      <c r="E7521" s="56">
        <f ca="1">IF(PV[[#This Row],[Business Date]]=Control!$C$6, PV[[#This Row],[Notional Value Local Cur]], -PV[[#This Row],[Notional Value Local Cur]])</f>
        <v>0</v>
      </c>
    </row>
    <row r="7522" spans="1:5" x14ac:dyDescent="0.25">
      <c r="A7522" s="36" t="b">
        <v>0</v>
      </c>
      <c r="B7522" s="56" t="b">
        <v>0</v>
      </c>
      <c r="C7522" s="56" t="b">
        <v>0</v>
      </c>
      <c r="D7522" s="56" t="b">
        <v>0</v>
      </c>
      <c r="E7522" s="56">
        <f ca="1">IF(PV[[#This Row],[Business Date]]=Control!$C$6, PV[[#This Row],[Notional Value Local Cur]], -PV[[#This Row],[Notional Value Local Cur]])</f>
        <v>0</v>
      </c>
    </row>
    <row r="7523" spans="1:5" x14ac:dyDescent="0.25">
      <c r="A7523" s="36" t="b">
        <v>0</v>
      </c>
      <c r="B7523" s="56" t="b">
        <v>0</v>
      </c>
      <c r="C7523" s="56" t="b">
        <v>0</v>
      </c>
      <c r="D7523" s="56" t="b">
        <v>0</v>
      </c>
      <c r="E7523" s="56">
        <f ca="1">IF(PV[[#This Row],[Business Date]]=Control!$C$6, PV[[#This Row],[Notional Value Local Cur]], -PV[[#This Row],[Notional Value Local Cur]])</f>
        <v>0</v>
      </c>
    </row>
    <row r="7524" spans="1:5" x14ac:dyDescent="0.25">
      <c r="A7524" s="36" t="b">
        <v>0</v>
      </c>
      <c r="B7524" s="56" t="b">
        <v>0</v>
      </c>
      <c r="C7524" s="56" t="b">
        <v>0</v>
      </c>
      <c r="D7524" s="56" t="b">
        <v>0</v>
      </c>
      <c r="E7524" s="56">
        <f ca="1">IF(PV[[#This Row],[Business Date]]=Control!$C$6, PV[[#This Row],[Notional Value Local Cur]], -PV[[#This Row],[Notional Value Local Cur]])</f>
        <v>0</v>
      </c>
    </row>
    <row r="7525" spans="1:5" x14ac:dyDescent="0.25">
      <c r="A7525" s="36" t="b">
        <v>0</v>
      </c>
      <c r="B7525" s="56" t="b">
        <v>0</v>
      </c>
      <c r="C7525" s="56" t="b">
        <v>0</v>
      </c>
      <c r="D7525" s="56" t="b">
        <v>0</v>
      </c>
      <c r="E7525" s="56">
        <f ca="1">IF(PV[[#This Row],[Business Date]]=Control!$C$6, PV[[#This Row],[Notional Value Local Cur]], -PV[[#This Row],[Notional Value Local Cur]])</f>
        <v>0</v>
      </c>
    </row>
    <row r="7526" spans="1:5" x14ac:dyDescent="0.25">
      <c r="A7526" s="36" t="b">
        <v>0</v>
      </c>
      <c r="B7526" s="56" t="b">
        <v>0</v>
      </c>
      <c r="C7526" s="56" t="b">
        <v>0</v>
      </c>
      <c r="D7526" s="56" t="b">
        <v>0</v>
      </c>
      <c r="E7526" s="56">
        <f ca="1">IF(PV[[#This Row],[Business Date]]=Control!$C$6, PV[[#This Row],[Notional Value Local Cur]], -PV[[#This Row],[Notional Value Local Cur]])</f>
        <v>0</v>
      </c>
    </row>
    <row r="7527" spans="1:5" x14ac:dyDescent="0.25">
      <c r="A7527" s="36" t="b">
        <v>0</v>
      </c>
      <c r="B7527" s="56" t="b">
        <v>0</v>
      </c>
      <c r="C7527" s="56" t="b">
        <v>0</v>
      </c>
      <c r="D7527" s="56" t="b">
        <v>0</v>
      </c>
      <c r="E7527" s="56">
        <f ca="1">IF(PV[[#This Row],[Business Date]]=Control!$C$6, PV[[#This Row],[Notional Value Local Cur]], -PV[[#This Row],[Notional Value Local Cur]])</f>
        <v>0</v>
      </c>
    </row>
    <row r="7528" spans="1:5" x14ac:dyDescent="0.25">
      <c r="A7528" s="36" t="b">
        <v>0</v>
      </c>
      <c r="B7528" s="56" t="b">
        <v>0</v>
      </c>
      <c r="C7528" s="56" t="b">
        <v>0</v>
      </c>
      <c r="D7528" s="56" t="b">
        <v>0</v>
      </c>
      <c r="E7528" s="56">
        <f ca="1">IF(PV[[#This Row],[Business Date]]=Control!$C$6, PV[[#This Row],[Notional Value Local Cur]], -PV[[#This Row],[Notional Value Local Cur]])</f>
        <v>0</v>
      </c>
    </row>
    <row r="7529" spans="1:5" x14ac:dyDescent="0.25">
      <c r="A7529" s="36" t="b">
        <v>0</v>
      </c>
      <c r="B7529" s="56" t="b">
        <v>0</v>
      </c>
      <c r="C7529" s="56" t="b">
        <v>0</v>
      </c>
      <c r="D7529" s="56" t="b">
        <v>0</v>
      </c>
      <c r="E7529" s="56">
        <f ca="1">IF(PV[[#This Row],[Business Date]]=Control!$C$6, PV[[#This Row],[Notional Value Local Cur]], -PV[[#This Row],[Notional Value Local Cur]])</f>
        <v>0</v>
      </c>
    </row>
    <row r="7530" spans="1:5" x14ac:dyDescent="0.25">
      <c r="A7530" s="36" t="b">
        <v>0</v>
      </c>
      <c r="B7530" s="56" t="b">
        <v>0</v>
      </c>
      <c r="C7530" s="56" t="b">
        <v>0</v>
      </c>
      <c r="D7530" s="56" t="b">
        <v>0</v>
      </c>
      <c r="E7530" s="56">
        <f ca="1">IF(PV[[#This Row],[Business Date]]=Control!$C$6, PV[[#This Row],[Notional Value Local Cur]], -PV[[#This Row],[Notional Value Local Cur]])</f>
        <v>0</v>
      </c>
    </row>
    <row r="7531" spans="1:5" x14ac:dyDescent="0.25">
      <c r="A7531" s="36" t="b">
        <v>0</v>
      </c>
      <c r="B7531" s="56" t="b">
        <v>0</v>
      </c>
      <c r="C7531" s="56" t="b">
        <v>0</v>
      </c>
      <c r="D7531" s="56" t="b">
        <v>0</v>
      </c>
      <c r="E7531" s="56">
        <f ca="1">IF(PV[[#This Row],[Business Date]]=Control!$C$6, PV[[#This Row],[Notional Value Local Cur]], -PV[[#This Row],[Notional Value Local Cur]])</f>
        <v>0</v>
      </c>
    </row>
    <row r="7532" spans="1:5" x14ac:dyDescent="0.25">
      <c r="A7532" s="36" t="b">
        <v>0</v>
      </c>
      <c r="B7532" s="56" t="b">
        <v>0</v>
      </c>
      <c r="C7532" s="56" t="b">
        <v>0</v>
      </c>
      <c r="D7532" s="56" t="b">
        <v>0</v>
      </c>
      <c r="E7532" s="56">
        <f ca="1">IF(PV[[#This Row],[Business Date]]=Control!$C$6, PV[[#This Row],[Notional Value Local Cur]], -PV[[#This Row],[Notional Value Local Cur]])</f>
        <v>0</v>
      </c>
    </row>
    <row r="7533" spans="1:5" x14ac:dyDescent="0.25">
      <c r="A7533" s="36" t="b">
        <v>0</v>
      </c>
      <c r="B7533" s="56" t="b">
        <v>0</v>
      </c>
      <c r="C7533" s="56" t="b">
        <v>0</v>
      </c>
      <c r="D7533" s="56" t="b">
        <v>0</v>
      </c>
      <c r="E7533" s="56">
        <f ca="1">IF(PV[[#This Row],[Business Date]]=Control!$C$6, PV[[#This Row],[Notional Value Local Cur]], -PV[[#This Row],[Notional Value Local Cur]])</f>
        <v>0</v>
      </c>
    </row>
    <row r="7534" spans="1:5" x14ac:dyDescent="0.25">
      <c r="A7534" s="36" t="b">
        <v>0</v>
      </c>
      <c r="B7534" s="56" t="b">
        <v>0</v>
      </c>
      <c r="C7534" s="56" t="b">
        <v>0</v>
      </c>
      <c r="D7534" s="56" t="b">
        <v>0</v>
      </c>
      <c r="E7534" s="56">
        <f ca="1">IF(PV[[#This Row],[Business Date]]=Control!$C$6, PV[[#This Row],[Notional Value Local Cur]], -PV[[#This Row],[Notional Value Local Cur]])</f>
        <v>0</v>
      </c>
    </row>
    <row r="7535" spans="1:5" x14ac:dyDescent="0.25">
      <c r="A7535" s="36" t="b">
        <v>0</v>
      </c>
      <c r="B7535" s="56" t="b">
        <v>0</v>
      </c>
      <c r="C7535" s="56" t="b">
        <v>0</v>
      </c>
      <c r="D7535" s="56" t="b">
        <v>0</v>
      </c>
      <c r="E7535" s="56">
        <f ca="1">IF(PV[[#This Row],[Business Date]]=Control!$C$6, PV[[#This Row],[Notional Value Local Cur]], -PV[[#This Row],[Notional Value Local Cur]])</f>
        <v>0</v>
      </c>
    </row>
    <row r="7536" spans="1:5" x14ac:dyDescent="0.25">
      <c r="A7536" s="36" t="b">
        <v>0</v>
      </c>
      <c r="B7536" s="56" t="b">
        <v>0</v>
      </c>
      <c r="C7536" s="56" t="b">
        <v>0</v>
      </c>
      <c r="D7536" s="56" t="b">
        <v>0</v>
      </c>
      <c r="E7536" s="56">
        <f ca="1">IF(PV[[#This Row],[Business Date]]=Control!$C$6, PV[[#This Row],[Notional Value Local Cur]], -PV[[#This Row],[Notional Value Local Cur]])</f>
        <v>0</v>
      </c>
    </row>
    <row r="7537" spans="1:5" x14ac:dyDescent="0.25">
      <c r="A7537" s="36" t="b">
        <v>0</v>
      </c>
      <c r="B7537" s="56" t="b">
        <v>0</v>
      </c>
      <c r="C7537" s="56" t="b">
        <v>0</v>
      </c>
      <c r="D7537" s="56" t="b">
        <v>0</v>
      </c>
      <c r="E7537" s="56">
        <f ca="1">IF(PV[[#This Row],[Business Date]]=Control!$C$6, PV[[#This Row],[Notional Value Local Cur]], -PV[[#This Row],[Notional Value Local Cur]])</f>
        <v>0</v>
      </c>
    </row>
    <row r="7538" spans="1:5" x14ac:dyDescent="0.25">
      <c r="A7538" s="36" t="b">
        <v>0</v>
      </c>
      <c r="B7538" s="56" t="b">
        <v>0</v>
      </c>
      <c r="C7538" s="56" t="b">
        <v>0</v>
      </c>
      <c r="D7538" s="56" t="b">
        <v>0</v>
      </c>
      <c r="E7538" s="56">
        <f ca="1">IF(PV[[#This Row],[Business Date]]=Control!$C$6, PV[[#This Row],[Notional Value Local Cur]], -PV[[#This Row],[Notional Value Local Cur]])</f>
        <v>0</v>
      </c>
    </row>
    <row r="7539" spans="1:5" x14ac:dyDescent="0.25">
      <c r="A7539" s="36" t="b">
        <v>0</v>
      </c>
      <c r="B7539" s="56" t="b">
        <v>0</v>
      </c>
      <c r="C7539" s="56" t="b">
        <v>0</v>
      </c>
      <c r="D7539" s="56" t="b">
        <v>0</v>
      </c>
      <c r="E7539" s="56">
        <f ca="1">IF(PV[[#This Row],[Business Date]]=Control!$C$6, PV[[#This Row],[Notional Value Local Cur]], -PV[[#This Row],[Notional Value Local Cur]])</f>
        <v>0</v>
      </c>
    </row>
    <row r="7540" spans="1:5" x14ac:dyDescent="0.25">
      <c r="A7540" s="36" t="b">
        <v>0</v>
      </c>
      <c r="B7540" s="56" t="b">
        <v>0</v>
      </c>
      <c r="C7540" s="56" t="b">
        <v>0</v>
      </c>
      <c r="D7540" s="56" t="b">
        <v>0</v>
      </c>
      <c r="E7540" s="56">
        <f ca="1">IF(PV[[#This Row],[Business Date]]=Control!$C$6, PV[[#This Row],[Notional Value Local Cur]], -PV[[#This Row],[Notional Value Local Cur]])</f>
        <v>0</v>
      </c>
    </row>
    <row r="7541" spans="1:5" x14ac:dyDescent="0.25">
      <c r="A7541" s="36" t="b">
        <v>0</v>
      </c>
      <c r="B7541" s="56" t="b">
        <v>0</v>
      </c>
      <c r="C7541" s="56" t="b">
        <v>0</v>
      </c>
      <c r="D7541" s="56" t="b">
        <v>0</v>
      </c>
      <c r="E7541" s="56">
        <f ca="1">IF(PV[[#This Row],[Business Date]]=Control!$C$6, PV[[#This Row],[Notional Value Local Cur]], -PV[[#This Row],[Notional Value Local Cur]])</f>
        <v>0</v>
      </c>
    </row>
    <row r="7542" spans="1:5" x14ac:dyDescent="0.25">
      <c r="A7542" s="36" t="b">
        <v>0</v>
      </c>
      <c r="B7542" s="56" t="b">
        <v>0</v>
      </c>
      <c r="C7542" s="56" t="b">
        <v>0</v>
      </c>
      <c r="D7542" s="56" t="b">
        <v>0</v>
      </c>
      <c r="E7542" s="56">
        <f ca="1">IF(PV[[#This Row],[Business Date]]=Control!$C$6, PV[[#This Row],[Notional Value Local Cur]], -PV[[#This Row],[Notional Value Local Cur]])</f>
        <v>0</v>
      </c>
    </row>
    <row r="7543" spans="1:5" x14ac:dyDescent="0.25">
      <c r="A7543" s="36" t="b">
        <v>0</v>
      </c>
      <c r="B7543" s="56" t="b">
        <v>0</v>
      </c>
      <c r="C7543" s="56" t="b">
        <v>0</v>
      </c>
      <c r="D7543" s="56" t="b">
        <v>0</v>
      </c>
      <c r="E7543" s="56">
        <f ca="1">IF(PV[[#This Row],[Business Date]]=Control!$C$6, PV[[#This Row],[Notional Value Local Cur]], -PV[[#This Row],[Notional Value Local Cur]])</f>
        <v>0</v>
      </c>
    </row>
    <row r="7544" spans="1:5" x14ac:dyDescent="0.25">
      <c r="A7544" s="36" t="b">
        <v>0</v>
      </c>
      <c r="B7544" s="56" t="b">
        <v>0</v>
      </c>
      <c r="C7544" s="56" t="b">
        <v>0</v>
      </c>
      <c r="D7544" s="56" t="b">
        <v>0</v>
      </c>
      <c r="E7544" s="56">
        <f ca="1">IF(PV[[#This Row],[Business Date]]=Control!$C$6, PV[[#This Row],[Notional Value Local Cur]], -PV[[#This Row],[Notional Value Local Cur]])</f>
        <v>0</v>
      </c>
    </row>
    <row r="7545" spans="1:5" x14ac:dyDescent="0.25">
      <c r="A7545" s="36" t="b">
        <v>0</v>
      </c>
      <c r="B7545" s="56" t="b">
        <v>0</v>
      </c>
      <c r="C7545" s="56" t="b">
        <v>0</v>
      </c>
      <c r="D7545" s="56" t="b">
        <v>0</v>
      </c>
      <c r="E7545" s="56">
        <f ca="1">IF(PV[[#This Row],[Business Date]]=Control!$C$6, PV[[#This Row],[Notional Value Local Cur]], -PV[[#This Row],[Notional Value Local Cur]])</f>
        <v>0</v>
      </c>
    </row>
    <row r="7546" spans="1:5" x14ac:dyDescent="0.25">
      <c r="A7546" s="36" t="b">
        <v>0</v>
      </c>
      <c r="B7546" s="56" t="b">
        <v>0</v>
      </c>
      <c r="C7546" s="56" t="b">
        <v>0</v>
      </c>
      <c r="D7546" s="56" t="b">
        <v>0</v>
      </c>
      <c r="E7546" s="56">
        <f ca="1">IF(PV[[#This Row],[Business Date]]=Control!$C$6, PV[[#This Row],[Notional Value Local Cur]], -PV[[#This Row],[Notional Value Local Cur]])</f>
        <v>0</v>
      </c>
    </row>
    <row r="7547" spans="1:5" x14ac:dyDescent="0.25">
      <c r="A7547" s="36" t="b">
        <v>0</v>
      </c>
      <c r="B7547" s="56" t="b">
        <v>0</v>
      </c>
      <c r="C7547" s="56" t="b">
        <v>0</v>
      </c>
      <c r="D7547" s="56" t="b">
        <v>0</v>
      </c>
      <c r="E7547" s="56">
        <f ca="1">IF(PV[[#This Row],[Business Date]]=Control!$C$6, PV[[#This Row],[Notional Value Local Cur]], -PV[[#This Row],[Notional Value Local Cur]])</f>
        <v>0</v>
      </c>
    </row>
    <row r="7548" spans="1:5" x14ac:dyDescent="0.25">
      <c r="A7548" s="36" t="b">
        <v>0</v>
      </c>
      <c r="B7548" s="56" t="b">
        <v>0</v>
      </c>
      <c r="C7548" s="56" t="b">
        <v>0</v>
      </c>
      <c r="D7548" s="56" t="b">
        <v>0</v>
      </c>
      <c r="E7548" s="56">
        <f ca="1">IF(PV[[#This Row],[Business Date]]=Control!$C$6, PV[[#This Row],[Notional Value Local Cur]], -PV[[#This Row],[Notional Value Local Cur]])</f>
        <v>0</v>
      </c>
    </row>
    <row r="7549" spans="1:5" x14ac:dyDescent="0.25">
      <c r="A7549" s="36" t="b">
        <v>0</v>
      </c>
      <c r="B7549" s="56" t="b">
        <v>0</v>
      </c>
      <c r="C7549" s="56" t="b">
        <v>0</v>
      </c>
      <c r="D7549" s="56" t="b">
        <v>0</v>
      </c>
      <c r="E7549" s="56">
        <f ca="1">IF(PV[[#This Row],[Business Date]]=Control!$C$6, PV[[#This Row],[Notional Value Local Cur]], -PV[[#This Row],[Notional Value Local Cur]])</f>
        <v>0</v>
      </c>
    </row>
    <row r="7550" spans="1:5" x14ac:dyDescent="0.25">
      <c r="A7550" s="36" t="b">
        <v>0</v>
      </c>
      <c r="B7550" s="56" t="b">
        <v>0</v>
      </c>
      <c r="C7550" s="56" t="b">
        <v>0</v>
      </c>
      <c r="D7550" s="56" t="b">
        <v>0</v>
      </c>
      <c r="E7550" s="56">
        <f ca="1">IF(PV[[#This Row],[Business Date]]=Control!$C$6, PV[[#This Row],[Notional Value Local Cur]], -PV[[#This Row],[Notional Value Local Cur]])</f>
        <v>0</v>
      </c>
    </row>
    <row r="7551" spans="1:5" x14ac:dyDescent="0.25">
      <c r="A7551" s="36" t="b">
        <v>0</v>
      </c>
      <c r="B7551" s="56" t="b">
        <v>0</v>
      </c>
      <c r="C7551" s="56" t="b">
        <v>0</v>
      </c>
      <c r="D7551" s="56" t="b">
        <v>0</v>
      </c>
      <c r="E7551" s="56">
        <f ca="1">IF(PV[[#This Row],[Business Date]]=Control!$C$6, PV[[#This Row],[Notional Value Local Cur]], -PV[[#This Row],[Notional Value Local Cur]])</f>
        <v>0</v>
      </c>
    </row>
    <row r="7552" spans="1:5" x14ac:dyDescent="0.25">
      <c r="A7552" s="36" t="b">
        <v>0</v>
      </c>
      <c r="B7552" s="56" t="b">
        <v>0</v>
      </c>
      <c r="C7552" s="56" t="b">
        <v>0</v>
      </c>
      <c r="D7552" s="56" t="b">
        <v>0</v>
      </c>
      <c r="E7552" s="56">
        <f ca="1">IF(PV[[#This Row],[Business Date]]=Control!$C$6, PV[[#This Row],[Notional Value Local Cur]], -PV[[#This Row],[Notional Value Local Cur]])</f>
        <v>0</v>
      </c>
    </row>
    <row r="7553" spans="1:5" x14ac:dyDescent="0.25">
      <c r="A7553" s="36" t="b">
        <v>0</v>
      </c>
      <c r="B7553" s="56" t="b">
        <v>0</v>
      </c>
      <c r="C7553" s="56" t="b">
        <v>0</v>
      </c>
      <c r="D7553" s="56" t="b">
        <v>0</v>
      </c>
      <c r="E7553" s="56">
        <f ca="1">IF(PV[[#This Row],[Business Date]]=Control!$C$6, PV[[#This Row],[Notional Value Local Cur]], -PV[[#This Row],[Notional Value Local Cur]])</f>
        <v>0</v>
      </c>
    </row>
    <row r="7554" spans="1:5" x14ac:dyDescent="0.25">
      <c r="A7554" s="36" t="b">
        <v>0</v>
      </c>
      <c r="B7554" s="56" t="b">
        <v>0</v>
      </c>
      <c r="C7554" s="56" t="b">
        <v>0</v>
      </c>
      <c r="D7554" s="56" t="b">
        <v>0</v>
      </c>
      <c r="E7554" s="56">
        <f ca="1">IF(PV[[#This Row],[Business Date]]=Control!$C$6, PV[[#This Row],[Notional Value Local Cur]], -PV[[#This Row],[Notional Value Local Cur]])</f>
        <v>0</v>
      </c>
    </row>
    <row r="7555" spans="1:5" x14ac:dyDescent="0.25">
      <c r="A7555" s="36" t="b">
        <v>0</v>
      </c>
      <c r="B7555" s="56" t="b">
        <v>0</v>
      </c>
      <c r="C7555" s="56" t="b">
        <v>0</v>
      </c>
      <c r="D7555" s="56" t="b">
        <v>0</v>
      </c>
      <c r="E7555" s="56">
        <f ca="1">IF(PV[[#This Row],[Business Date]]=Control!$C$6, PV[[#This Row],[Notional Value Local Cur]], -PV[[#This Row],[Notional Value Local Cur]])</f>
        <v>0</v>
      </c>
    </row>
    <row r="7556" spans="1:5" x14ac:dyDescent="0.25">
      <c r="A7556" s="36" t="b">
        <v>0</v>
      </c>
      <c r="B7556" s="56" t="b">
        <v>0</v>
      </c>
      <c r="C7556" s="56" t="b">
        <v>0</v>
      </c>
      <c r="D7556" s="56" t="b">
        <v>0</v>
      </c>
      <c r="E7556" s="56">
        <f ca="1">IF(PV[[#This Row],[Business Date]]=Control!$C$6, PV[[#This Row],[Notional Value Local Cur]], -PV[[#This Row],[Notional Value Local Cur]])</f>
        <v>0</v>
      </c>
    </row>
    <row r="7557" spans="1:5" x14ac:dyDescent="0.25">
      <c r="A7557" s="36" t="b">
        <v>0</v>
      </c>
      <c r="B7557" s="56" t="b">
        <v>0</v>
      </c>
      <c r="C7557" s="56" t="b">
        <v>0</v>
      </c>
      <c r="D7557" s="56" t="b">
        <v>0</v>
      </c>
      <c r="E7557" s="56">
        <f ca="1">IF(PV[[#This Row],[Business Date]]=Control!$C$6, PV[[#This Row],[Notional Value Local Cur]], -PV[[#This Row],[Notional Value Local Cur]])</f>
        <v>0</v>
      </c>
    </row>
    <row r="7558" spans="1:5" x14ac:dyDescent="0.25">
      <c r="A7558" s="36" t="b">
        <v>0</v>
      </c>
      <c r="B7558" s="56" t="b">
        <v>0</v>
      </c>
      <c r="C7558" s="56" t="b">
        <v>0</v>
      </c>
      <c r="D7558" s="56" t="b">
        <v>0</v>
      </c>
      <c r="E7558" s="56">
        <f ca="1">IF(PV[[#This Row],[Business Date]]=Control!$C$6, PV[[#This Row],[Notional Value Local Cur]], -PV[[#This Row],[Notional Value Local Cur]])</f>
        <v>0</v>
      </c>
    </row>
    <row r="7559" spans="1:5" x14ac:dyDescent="0.25">
      <c r="A7559" s="36" t="b">
        <v>0</v>
      </c>
      <c r="B7559" s="56" t="b">
        <v>0</v>
      </c>
      <c r="C7559" s="56" t="b">
        <v>0</v>
      </c>
      <c r="D7559" s="56" t="b">
        <v>0</v>
      </c>
      <c r="E7559" s="56">
        <f ca="1">IF(PV[[#This Row],[Business Date]]=Control!$C$6, PV[[#This Row],[Notional Value Local Cur]], -PV[[#This Row],[Notional Value Local Cur]])</f>
        <v>0</v>
      </c>
    </row>
    <row r="7560" spans="1:5" x14ac:dyDescent="0.25">
      <c r="A7560" s="36" t="b">
        <v>0</v>
      </c>
      <c r="B7560" s="56" t="b">
        <v>0</v>
      </c>
      <c r="C7560" s="56" t="b">
        <v>0</v>
      </c>
      <c r="D7560" s="56" t="b">
        <v>0</v>
      </c>
      <c r="E7560" s="56">
        <f ca="1">IF(PV[[#This Row],[Business Date]]=Control!$C$6, PV[[#This Row],[Notional Value Local Cur]], -PV[[#This Row],[Notional Value Local Cur]])</f>
        <v>0</v>
      </c>
    </row>
    <row r="7561" spans="1:5" x14ac:dyDescent="0.25">
      <c r="A7561" s="36" t="b">
        <v>0</v>
      </c>
      <c r="B7561" s="56" t="b">
        <v>0</v>
      </c>
      <c r="C7561" s="56" t="b">
        <v>0</v>
      </c>
      <c r="D7561" s="56" t="b">
        <v>0</v>
      </c>
      <c r="E7561" s="56">
        <f ca="1">IF(PV[[#This Row],[Business Date]]=Control!$C$6, PV[[#This Row],[Notional Value Local Cur]], -PV[[#This Row],[Notional Value Local Cur]])</f>
        <v>0</v>
      </c>
    </row>
    <row r="7562" spans="1:5" x14ac:dyDescent="0.25">
      <c r="A7562" s="36" t="b">
        <v>0</v>
      </c>
      <c r="B7562" s="56" t="b">
        <v>0</v>
      </c>
      <c r="C7562" s="56" t="b">
        <v>0</v>
      </c>
      <c r="D7562" s="56" t="b">
        <v>0</v>
      </c>
      <c r="E7562" s="56">
        <f ca="1">IF(PV[[#This Row],[Business Date]]=Control!$C$6, PV[[#This Row],[Notional Value Local Cur]], -PV[[#This Row],[Notional Value Local Cur]])</f>
        <v>0</v>
      </c>
    </row>
    <row r="7563" spans="1:5" x14ac:dyDescent="0.25">
      <c r="A7563" s="36" t="b">
        <v>0</v>
      </c>
      <c r="B7563" s="56" t="b">
        <v>0</v>
      </c>
      <c r="C7563" s="56" t="b">
        <v>0</v>
      </c>
      <c r="D7563" s="56" t="b">
        <v>0</v>
      </c>
      <c r="E7563" s="56">
        <f ca="1">IF(PV[[#This Row],[Business Date]]=Control!$C$6, PV[[#This Row],[Notional Value Local Cur]], -PV[[#This Row],[Notional Value Local Cur]])</f>
        <v>0</v>
      </c>
    </row>
    <row r="7564" spans="1:5" x14ac:dyDescent="0.25">
      <c r="A7564" s="36" t="b">
        <v>0</v>
      </c>
      <c r="B7564" s="56" t="b">
        <v>0</v>
      </c>
      <c r="C7564" s="56" t="b">
        <v>0</v>
      </c>
      <c r="D7564" s="56" t="b">
        <v>0</v>
      </c>
      <c r="E7564" s="56">
        <f ca="1">IF(PV[[#This Row],[Business Date]]=Control!$C$6, PV[[#This Row],[Notional Value Local Cur]], -PV[[#This Row],[Notional Value Local Cur]])</f>
        <v>0</v>
      </c>
    </row>
    <row r="7565" spans="1:5" x14ac:dyDescent="0.25">
      <c r="A7565" s="36" t="b">
        <v>0</v>
      </c>
      <c r="B7565" s="56" t="b">
        <v>0</v>
      </c>
      <c r="C7565" s="56" t="b">
        <v>0</v>
      </c>
      <c r="D7565" s="56" t="b">
        <v>0</v>
      </c>
      <c r="E7565" s="56">
        <f ca="1">IF(PV[[#This Row],[Business Date]]=Control!$C$6, PV[[#This Row],[Notional Value Local Cur]], -PV[[#This Row],[Notional Value Local Cur]])</f>
        <v>0</v>
      </c>
    </row>
    <row r="7566" spans="1:5" x14ac:dyDescent="0.25">
      <c r="A7566" s="36" t="b">
        <v>0</v>
      </c>
      <c r="B7566" s="56" t="b">
        <v>0</v>
      </c>
      <c r="C7566" s="56" t="b">
        <v>0</v>
      </c>
      <c r="D7566" s="56" t="b">
        <v>0</v>
      </c>
      <c r="E7566" s="56">
        <f ca="1">IF(PV[[#This Row],[Business Date]]=Control!$C$6, PV[[#This Row],[Notional Value Local Cur]], -PV[[#This Row],[Notional Value Local Cur]])</f>
        <v>0</v>
      </c>
    </row>
    <row r="7567" spans="1:5" x14ac:dyDescent="0.25">
      <c r="A7567" s="36" t="b">
        <v>0</v>
      </c>
      <c r="B7567" s="56" t="b">
        <v>0</v>
      </c>
      <c r="C7567" s="56" t="b">
        <v>0</v>
      </c>
      <c r="D7567" s="56" t="b">
        <v>0</v>
      </c>
      <c r="E7567" s="56">
        <f ca="1">IF(PV[[#This Row],[Business Date]]=Control!$C$6, PV[[#This Row],[Notional Value Local Cur]], -PV[[#This Row],[Notional Value Local Cur]])</f>
        <v>0</v>
      </c>
    </row>
    <row r="7568" spans="1:5" x14ac:dyDescent="0.25">
      <c r="A7568" s="36" t="b">
        <v>0</v>
      </c>
      <c r="B7568" s="56" t="b">
        <v>0</v>
      </c>
      <c r="C7568" s="56" t="b">
        <v>0</v>
      </c>
      <c r="D7568" s="56" t="b">
        <v>0</v>
      </c>
      <c r="E7568" s="56">
        <f ca="1">IF(PV[[#This Row],[Business Date]]=Control!$C$6, PV[[#This Row],[Notional Value Local Cur]], -PV[[#This Row],[Notional Value Local Cur]])</f>
        <v>0</v>
      </c>
    </row>
    <row r="7569" spans="1:5" x14ac:dyDescent="0.25">
      <c r="A7569" s="36" t="b">
        <v>0</v>
      </c>
      <c r="B7569" s="56" t="b">
        <v>0</v>
      </c>
      <c r="C7569" s="56" t="b">
        <v>0</v>
      </c>
      <c r="D7569" s="56" t="b">
        <v>0</v>
      </c>
      <c r="E7569" s="56">
        <f ca="1">IF(PV[[#This Row],[Business Date]]=Control!$C$6, PV[[#This Row],[Notional Value Local Cur]], -PV[[#This Row],[Notional Value Local Cur]])</f>
        <v>0</v>
      </c>
    </row>
    <row r="7570" spans="1:5" x14ac:dyDescent="0.25">
      <c r="A7570" s="36" t="b">
        <v>0</v>
      </c>
      <c r="B7570" s="56" t="b">
        <v>0</v>
      </c>
      <c r="C7570" s="56" t="b">
        <v>0</v>
      </c>
      <c r="D7570" s="56" t="b">
        <v>0</v>
      </c>
      <c r="E7570" s="56">
        <f ca="1">IF(PV[[#This Row],[Business Date]]=Control!$C$6, PV[[#This Row],[Notional Value Local Cur]], -PV[[#This Row],[Notional Value Local Cur]])</f>
        <v>0</v>
      </c>
    </row>
    <row r="7571" spans="1:5" x14ac:dyDescent="0.25">
      <c r="A7571" s="36" t="b">
        <v>0</v>
      </c>
      <c r="B7571" s="56" t="b">
        <v>0</v>
      </c>
      <c r="C7571" s="56" t="b">
        <v>0</v>
      </c>
      <c r="D7571" s="56" t="b">
        <v>0</v>
      </c>
      <c r="E7571" s="56">
        <f ca="1">IF(PV[[#This Row],[Business Date]]=Control!$C$6, PV[[#This Row],[Notional Value Local Cur]], -PV[[#This Row],[Notional Value Local Cur]])</f>
        <v>0</v>
      </c>
    </row>
    <row r="7572" spans="1:5" x14ac:dyDescent="0.25">
      <c r="A7572" s="36" t="b">
        <v>0</v>
      </c>
      <c r="B7572" s="56" t="b">
        <v>0</v>
      </c>
      <c r="C7572" s="56" t="b">
        <v>0</v>
      </c>
      <c r="D7572" s="56" t="b">
        <v>0</v>
      </c>
      <c r="E7572" s="56">
        <f ca="1">IF(PV[[#This Row],[Business Date]]=Control!$C$6, PV[[#This Row],[Notional Value Local Cur]], -PV[[#This Row],[Notional Value Local Cur]])</f>
        <v>0</v>
      </c>
    </row>
    <row r="7573" spans="1:5" x14ac:dyDescent="0.25">
      <c r="A7573" s="36" t="b">
        <v>0</v>
      </c>
      <c r="B7573" s="56" t="b">
        <v>0</v>
      </c>
      <c r="C7573" s="56" t="b">
        <v>0</v>
      </c>
      <c r="D7573" s="56" t="b">
        <v>0</v>
      </c>
      <c r="E7573" s="56">
        <f ca="1">IF(PV[[#This Row],[Business Date]]=Control!$C$6, PV[[#This Row],[Notional Value Local Cur]], -PV[[#This Row],[Notional Value Local Cur]])</f>
        <v>0</v>
      </c>
    </row>
    <row r="7574" spans="1:5" x14ac:dyDescent="0.25">
      <c r="A7574" s="36" t="b">
        <v>0</v>
      </c>
      <c r="B7574" s="56" t="b">
        <v>0</v>
      </c>
      <c r="C7574" s="56" t="b">
        <v>0</v>
      </c>
      <c r="D7574" s="56" t="b">
        <v>0</v>
      </c>
      <c r="E7574" s="56">
        <f ca="1">IF(PV[[#This Row],[Business Date]]=Control!$C$6, PV[[#This Row],[Notional Value Local Cur]], -PV[[#This Row],[Notional Value Local Cur]])</f>
        <v>0</v>
      </c>
    </row>
    <row r="7575" spans="1:5" x14ac:dyDescent="0.25">
      <c r="A7575" s="36" t="b">
        <v>0</v>
      </c>
      <c r="B7575" s="56" t="b">
        <v>0</v>
      </c>
      <c r="C7575" s="56" t="b">
        <v>0</v>
      </c>
      <c r="D7575" s="56" t="b">
        <v>0</v>
      </c>
      <c r="E7575" s="56">
        <f ca="1">IF(PV[[#This Row],[Business Date]]=Control!$C$6, PV[[#This Row],[Notional Value Local Cur]], -PV[[#This Row],[Notional Value Local Cur]])</f>
        <v>0</v>
      </c>
    </row>
    <row r="7576" spans="1:5" x14ac:dyDescent="0.25">
      <c r="A7576" s="36" t="b">
        <v>0</v>
      </c>
      <c r="B7576" s="56" t="b">
        <v>0</v>
      </c>
      <c r="C7576" s="56" t="b">
        <v>0</v>
      </c>
      <c r="D7576" s="56" t="b">
        <v>0</v>
      </c>
      <c r="E7576" s="56">
        <f ca="1">IF(PV[[#This Row],[Business Date]]=Control!$C$6, PV[[#This Row],[Notional Value Local Cur]], -PV[[#This Row],[Notional Value Local Cur]])</f>
        <v>0</v>
      </c>
    </row>
    <row r="7577" spans="1:5" x14ac:dyDescent="0.25">
      <c r="A7577" s="36" t="b">
        <v>0</v>
      </c>
      <c r="B7577" s="56" t="b">
        <v>0</v>
      </c>
      <c r="C7577" s="56" t="b">
        <v>0</v>
      </c>
      <c r="D7577" s="56" t="b">
        <v>0</v>
      </c>
      <c r="E7577" s="56">
        <f ca="1">IF(PV[[#This Row],[Business Date]]=Control!$C$6, PV[[#This Row],[Notional Value Local Cur]], -PV[[#This Row],[Notional Value Local Cur]])</f>
        <v>0</v>
      </c>
    </row>
    <row r="7578" spans="1:5" x14ac:dyDescent="0.25">
      <c r="A7578" s="36" t="b">
        <v>0</v>
      </c>
      <c r="B7578" s="56" t="b">
        <v>0</v>
      </c>
      <c r="C7578" s="56" t="b">
        <v>0</v>
      </c>
      <c r="D7578" s="56" t="b">
        <v>0</v>
      </c>
      <c r="E7578" s="56">
        <f ca="1">IF(PV[[#This Row],[Business Date]]=Control!$C$6, PV[[#This Row],[Notional Value Local Cur]], -PV[[#This Row],[Notional Value Local Cur]])</f>
        <v>0</v>
      </c>
    </row>
    <row r="7579" spans="1:5" x14ac:dyDescent="0.25">
      <c r="A7579" s="36" t="b">
        <v>0</v>
      </c>
      <c r="B7579" s="56" t="b">
        <v>0</v>
      </c>
      <c r="C7579" s="56" t="b">
        <v>0</v>
      </c>
      <c r="D7579" s="56" t="b">
        <v>0</v>
      </c>
      <c r="E7579" s="56">
        <f ca="1">IF(PV[[#This Row],[Business Date]]=Control!$C$6, PV[[#This Row],[Notional Value Local Cur]], -PV[[#This Row],[Notional Value Local Cur]])</f>
        <v>0</v>
      </c>
    </row>
    <row r="7580" spans="1:5" x14ac:dyDescent="0.25">
      <c r="A7580" s="36" t="b">
        <v>0</v>
      </c>
      <c r="B7580" s="56" t="b">
        <v>0</v>
      </c>
      <c r="C7580" s="56" t="b">
        <v>0</v>
      </c>
      <c r="D7580" s="56" t="b">
        <v>0</v>
      </c>
      <c r="E7580" s="56">
        <f ca="1">IF(PV[[#This Row],[Business Date]]=Control!$C$6, PV[[#This Row],[Notional Value Local Cur]], -PV[[#This Row],[Notional Value Local Cur]])</f>
        <v>0</v>
      </c>
    </row>
    <row r="7581" spans="1:5" x14ac:dyDescent="0.25">
      <c r="A7581" s="36" t="b">
        <v>0</v>
      </c>
      <c r="B7581" s="56" t="b">
        <v>0</v>
      </c>
      <c r="C7581" s="56" t="b">
        <v>0</v>
      </c>
      <c r="D7581" s="56" t="b">
        <v>0</v>
      </c>
      <c r="E7581" s="56">
        <f ca="1">IF(PV[[#This Row],[Business Date]]=Control!$C$6, PV[[#This Row],[Notional Value Local Cur]], -PV[[#This Row],[Notional Value Local Cur]])</f>
        <v>0</v>
      </c>
    </row>
    <row r="7582" spans="1:5" x14ac:dyDescent="0.25">
      <c r="A7582" s="36" t="b">
        <v>0</v>
      </c>
      <c r="B7582" s="56" t="b">
        <v>0</v>
      </c>
      <c r="C7582" s="56" t="b">
        <v>0</v>
      </c>
      <c r="D7582" s="56" t="b">
        <v>0</v>
      </c>
      <c r="E7582" s="56">
        <f ca="1">IF(PV[[#This Row],[Business Date]]=Control!$C$6, PV[[#This Row],[Notional Value Local Cur]], -PV[[#This Row],[Notional Value Local Cur]])</f>
        <v>0</v>
      </c>
    </row>
    <row r="7583" spans="1:5" x14ac:dyDescent="0.25">
      <c r="A7583" s="36" t="b">
        <v>0</v>
      </c>
      <c r="B7583" s="56" t="b">
        <v>0</v>
      </c>
      <c r="C7583" s="56" t="b">
        <v>0</v>
      </c>
      <c r="D7583" s="56" t="b">
        <v>0</v>
      </c>
      <c r="E7583" s="56">
        <f ca="1">IF(PV[[#This Row],[Business Date]]=Control!$C$6, PV[[#This Row],[Notional Value Local Cur]], -PV[[#This Row],[Notional Value Local Cur]])</f>
        <v>0</v>
      </c>
    </row>
    <row r="7584" spans="1:5" x14ac:dyDescent="0.25">
      <c r="A7584" s="36" t="b">
        <v>0</v>
      </c>
      <c r="B7584" s="56" t="b">
        <v>0</v>
      </c>
      <c r="C7584" s="56" t="b">
        <v>0</v>
      </c>
      <c r="D7584" s="56" t="b">
        <v>0</v>
      </c>
      <c r="E7584" s="56">
        <f ca="1">IF(PV[[#This Row],[Business Date]]=Control!$C$6, PV[[#This Row],[Notional Value Local Cur]], -PV[[#This Row],[Notional Value Local Cur]])</f>
        <v>0</v>
      </c>
    </row>
    <row r="7585" spans="1:5" x14ac:dyDescent="0.25">
      <c r="A7585" s="36" t="b">
        <v>0</v>
      </c>
      <c r="B7585" s="56" t="b">
        <v>0</v>
      </c>
      <c r="C7585" s="56" t="b">
        <v>0</v>
      </c>
      <c r="D7585" s="56" t="b">
        <v>0</v>
      </c>
      <c r="E7585" s="56">
        <f ca="1">IF(PV[[#This Row],[Business Date]]=Control!$C$6, PV[[#This Row],[Notional Value Local Cur]], -PV[[#This Row],[Notional Value Local Cur]])</f>
        <v>0</v>
      </c>
    </row>
    <row r="7586" spans="1:5" x14ac:dyDescent="0.25">
      <c r="A7586" s="36" t="b">
        <v>0</v>
      </c>
      <c r="B7586" s="56" t="b">
        <v>0</v>
      </c>
      <c r="C7586" s="56" t="b">
        <v>0</v>
      </c>
      <c r="D7586" s="56" t="b">
        <v>0</v>
      </c>
      <c r="E7586" s="56">
        <f ca="1">IF(PV[[#This Row],[Business Date]]=Control!$C$6, PV[[#This Row],[Notional Value Local Cur]], -PV[[#This Row],[Notional Value Local Cur]])</f>
        <v>0</v>
      </c>
    </row>
    <row r="7587" spans="1:5" x14ac:dyDescent="0.25">
      <c r="A7587" s="36" t="b">
        <v>0</v>
      </c>
      <c r="B7587" s="56" t="b">
        <v>0</v>
      </c>
      <c r="C7587" s="56" t="b">
        <v>0</v>
      </c>
      <c r="D7587" s="56" t="b">
        <v>0</v>
      </c>
      <c r="E7587" s="56">
        <f ca="1">IF(PV[[#This Row],[Business Date]]=Control!$C$6, PV[[#This Row],[Notional Value Local Cur]], -PV[[#This Row],[Notional Value Local Cur]])</f>
        <v>0</v>
      </c>
    </row>
    <row r="7588" spans="1:5" x14ac:dyDescent="0.25">
      <c r="A7588" s="36" t="b">
        <v>0</v>
      </c>
      <c r="B7588" s="56" t="b">
        <v>0</v>
      </c>
      <c r="C7588" s="56" t="b">
        <v>0</v>
      </c>
      <c r="D7588" s="56" t="b">
        <v>0</v>
      </c>
      <c r="E7588" s="56">
        <f ca="1">IF(PV[[#This Row],[Business Date]]=Control!$C$6, PV[[#This Row],[Notional Value Local Cur]], -PV[[#This Row],[Notional Value Local Cur]])</f>
        <v>0</v>
      </c>
    </row>
    <row r="7589" spans="1:5" x14ac:dyDescent="0.25">
      <c r="A7589" s="36" t="b">
        <v>0</v>
      </c>
      <c r="B7589" s="56" t="b">
        <v>0</v>
      </c>
      <c r="C7589" s="56" t="b">
        <v>0</v>
      </c>
      <c r="D7589" s="56" t="b">
        <v>0</v>
      </c>
      <c r="E7589" s="56">
        <f ca="1">IF(PV[[#This Row],[Business Date]]=Control!$C$6, PV[[#This Row],[Notional Value Local Cur]], -PV[[#This Row],[Notional Value Local Cur]])</f>
        <v>0</v>
      </c>
    </row>
    <row r="7590" spans="1:5" x14ac:dyDescent="0.25">
      <c r="A7590" s="36" t="b">
        <v>0</v>
      </c>
      <c r="B7590" s="56" t="b">
        <v>0</v>
      </c>
      <c r="C7590" s="56" t="b">
        <v>0</v>
      </c>
      <c r="D7590" s="56" t="b">
        <v>0</v>
      </c>
      <c r="E7590" s="56">
        <f ca="1">IF(PV[[#This Row],[Business Date]]=Control!$C$6, PV[[#This Row],[Notional Value Local Cur]], -PV[[#This Row],[Notional Value Local Cur]])</f>
        <v>0</v>
      </c>
    </row>
    <row r="7591" spans="1:5" x14ac:dyDescent="0.25">
      <c r="A7591" s="36" t="b">
        <v>0</v>
      </c>
      <c r="B7591" s="56" t="b">
        <v>0</v>
      </c>
      <c r="C7591" s="56" t="b">
        <v>0</v>
      </c>
      <c r="D7591" s="56" t="b">
        <v>0</v>
      </c>
      <c r="E7591" s="56">
        <f ca="1">IF(PV[[#This Row],[Business Date]]=Control!$C$6, PV[[#This Row],[Notional Value Local Cur]], -PV[[#This Row],[Notional Value Local Cur]])</f>
        <v>0</v>
      </c>
    </row>
    <row r="7592" spans="1:5" x14ac:dyDescent="0.25">
      <c r="A7592" s="36" t="b">
        <v>0</v>
      </c>
      <c r="B7592" s="56" t="b">
        <v>0</v>
      </c>
      <c r="C7592" s="56" t="b">
        <v>0</v>
      </c>
      <c r="D7592" s="56" t="b">
        <v>0</v>
      </c>
      <c r="E7592" s="56">
        <f ca="1">IF(PV[[#This Row],[Business Date]]=Control!$C$6, PV[[#This Row],[Notional Value Local Cur]], -PV[[#This Row],[Notional Value Local Cur]])</f>
        <v>0</v>
      </c>
    </row>
    <row r="7593" spans="1:5" x14ac:dyDescent="0.25">
      <c r="A7593" s="36" t="b">
        <v>0</v>
      </c>
      <c r="B7593" s="56" t="b">
        <v>0</v>
      </c>
      <c r="C7593" s="56" t="b">
        <v>0</v>
      </c>
      <c r="D7593" s="56" t="b">
        <v>0</v>
      </c>
      <c r="E7593" s="56">
        <f ca="1">IF(PV[[#This Row],[Business Date]]=Control!$C$6, PV[[#This Row],[Notional Value Local Cur]], -PV[[#This Row],[Notional Value Local Cur]])</f>
        <v>0</v>
      </c>
    </row>
    <row r="7594" spans="1:5" x14ac:dyDescent="0.25">
      <c r="A7594" s="36" t="b">
        <v>0</v>
      </c>
      <c r="B7594" s="56" t="b">
        <v>0</v>
      </c>
      <c r="C7594" s="56" t="b">
        <v>0</v>
      </c>
      <c r="D7594" s="56" t="b">
        <v>0</v>
      </c>
      <c r="E7594" s="56">
        <f ca="1">IF(PV[[#This Row],[Business Date]]=Control!$C$6, PV[[#This Row],[Notional Value Local Cur]], -PV[[#This Row],[Notional Value Local Cur]])</f>
        <v>0</v>
      </c>
    </row>
    <row r="7595" spans="1:5" x14ac:dyDescent="0.25">
      <c r="A7595" s="36" t="b">
        <v>0</v>
      </c>
      <c r="B7595" s="56" t="b">
        <v>0</v>
      </c>
      <c r="C7595" s="56" t="b">
        <v>0</v>
      </c>
      <c r="D7595" s="56" t="b">
        <v>0</v>
      </c>
      <c r="E7595" s="56">
        <f ca="1">IF(PV[[#This Row],[Business Date]]=Control!$C$6, PV[[#This Row],[Notional Value Local Cur]], -PV[[#This Row],[Notional Value Local Cur]])</f>
        <v>0</v>
      </c>
    </row>
    <row r="7596" spans="1:5" x14ac:dyDescent="0.25">
      <c r="A7596" s="36" t="b">
        <v>0</v>
      </c>
      <c r="B7596" s="56" t="b">
        <v>0</v>
      </c>
      <c r="C7596" s="56" t="b">
        <v>0</v>
      </c>
      <c r="D7596" s="56" t="b">
        <v>0</v>
      </c>
      <c r="E7596" s="56">
        <f ca="1">IF(PV[[#This Row],[Business Date]]=Control!$C$6, PV[[#This Row],[Notional Value Local Cur]], -PV[[#This Row],[Notional Value Local Cur]])</f>
        <v>0</v>
      </c>
    </row>
    <row r="7597" spans="1:5" x14ac:dyDescent="0.25">
      <c r="A7597" s="36" t="b">
        <v>0</v>
      </c>
      <c r="B7597" s="56" t="b">
        <v>0</v>
      </c>
      <c r="C7597" s="56" t="b">
        <v>0</v>
      </c>
      <c r="D7597" s="56" t="b">
        <v>0</v>
      </c>
      <c r="E7597" s="56">
        <f ca="1">IF(PV[[#This Row],[Business Date]]=Control!$C$6, PV[[#This Row],[Notional Value Local Cur]], -PV[[#This Row],[Notional Value Local Cur]])</f>
        <v>0</v>
      </c>
    </row>
    <row r="7598" spans="1:5" x14ac:dyDescent="0.25">
      <c r="A7598" s="36" t="b">
        <v>0</v>
      </c>
      <c r="B7598" s="56" t="b">
        <v>0</v>
      </c>
      <c r="C7598" s="56" t="b">
        <v>0</v>
      </c>
      <c r="D7598" s="56" t="b">
        <v>0</v>
      </c>
      <c r="E7598" s="56">
        <f ca="1">IF(PV[[#This Row],[Business Date]]=Control!$C$6, PV[[#This Row],[Notional Value Local Cur]], -PV[[#This Row],[Notional Value Local Cur]])</f>
        <v>0</v>
      </c>
    </row>
    <row r="7599" spans="1:5" x14ac:dyDescent="0.25">
      <c r="A7599" s="36" t="b">
        <v>0</v>
      </c>
      <c r="B7599" s="56" t="b">
        <v>0</v>
      </c>
      <c r="C7599" s="56" t="b">
        <v>0</v>
      </c>
      <c r="D7599" s="56" t="b">
        <v>0</v>
      </c>
      <c r="E7599" s="56">
        <f ca="1">IF(PV[[#This Row],[Business Date]]=Control!$C$6, PV[[#This Row],[Notional Value Local Cur]], -PV[[#This Row],[Notional Value Local Cur]])</f>
        <v>0</v>
      </c>
    </row>
    <row r="7600" spans="1:5" x14ac:dyDescent="0.25">
      <c r="A7600" s="36" t="b">
        <v>0</v>
      </c>
      <c r="B7600" s="56" t="b">
        <v>0</v>
      </c>
      <c r="C7600" s="56" t="b">
        <v>0</v>
      </c>
      <c r="D7600" s="56" t="b">
        <v>0</v>
      </c>
      <c r="E7600" s="56">
        <f ca="1">IF(PV[[#This Row],[Business Date]]=Control!$C$6, PV[[#This Row],[Notional Value Local Cur]], -PV[[#This Row],[Notional Value Local Cur]])</f>
        <v>0</v>
      </c>
    </row>
    <row r="7601" spans="1:5" x14ac:dyDescent="0.25">
      <c r="A7601" s="36" t="b">
        <v>0</v>
      </c>
      <c r="B7601" s="56" t="b">
        <v>0</v>
      </c>
      <c r="C7601" s="56" t="b">
        <v>0</v>
      </c>
      <c r="D7601" s="56" t="b">
        <v>0</v>
      </c>
      <c r="E7601" s="56">
        <f ca="1">IF(PV[[#This Row],[Business Date]]=Control!$C$6, PV[[#This Row],[Notional Value Local Cur]], -PV[[#This Row],[Notional Value Local Cur]])</f>
        <v>0</v>
      </c>
    </row>
    <row r="7602" spans="1:5" x14ac:dyDescent="0.25">
      <c r="A7602" s="36" t="b">
        <v>0</v>
      </c>
      <c r="B7602" s="56" t="b">
        <v>0</v>
      </c>
      <c r="C7602" s="56" t="b">
        <v>0</v>
      </c>
      <c r="D7602" s="56" t="b">
        <v>0</v>
      </c>
      <c r="E7602" s="56">
        <f ca="1">IF(PV[[#This Row],[Business Date]]=Control!$C$6, PV[[#This Row],[Notional Value Local Cur]], -PV[[#This Row],[Notional Value Local Cur]])</f>
        <v>0</v>
      </c>
    </row>
    <row r="7603" spans="1:5" x14ac:dyDescent="0.25">
      <c r="A7603" s="36" t="b">
        <v>0</v>
      </c>
      <c r="B7603" s="56" t="b">
        <v>0</v>
      </c>
      <c r="C7603" s="56" t="b">
        <v>0</v>
      </c>
      <c r="D7603" s="56" t="b">
        <v>0</v>
      </c>
      <c r="E7603" s="56">
        <f ca="1">IF(PV[[#This Row],[Business Date]]=Control!$C$6, PV[[#This Row],[Notional Value Local Cur]], -PV[[#This Row],[Notional Value Local Cur]])</f>
        <v>0</v>
      </c>
    </row>
    <row r="7604" spans="1:5" x14ac:dyDescent="0.25">
      <c r="A7604" s="36" t="b">
        <v>0</v>
      </c>
      <c r="B7604" s="56" t="b">
        <v>0</v>
      </c>
      <c r="C7604" s="56" t="b">
        <v>0</v>
      </c>
      <c r="D7604" s="56" t="b">
        <v>0</v>
      </c>
      <c r="E7604" s="56">
        <f ca="1">IF(PV[[#This Row],[Business Date]]=Control!$C$6, PV[[#This Row],[Notional Value Local Cur]], -PV[[#This Row],[Notional Value Local Cur]])</f>
        <v>0</v>
      </c>
    </row>
    <row r="7605" spans="1:5" x14ac:dyDescent="0.25">
      <c r="A7605" s="36" t="b">
        <v>0</v>
      </c>
      <c r="B7605" s="56" t="b">
        <v>0</v>
      </c>
      <c r="C7605" s="56" t="b">
        <v>0</v>
      </c>
      <c r="D7605" s="56" t="b">
        <v>0</v>
      </c>
      <c r="E7605" s="56">
        <f ca="1">IF(PV[[#This Row],[Business Date]]=Control!$C$6, PV[[#This Row],[Notional Value Local Cur]], -PV[[#This Row],[Notional Value Local Cur]])</f>
        <v>0</v>
      </c>
    </row>
    <row r="7606" spans="1:5" x14ac:dyDescent="0.25">
      <c r="A7606" s="36" t="b">
        <v>0</v>
      </c>
      <c r="B7606" s="56" t="b">
        <v>0</v>
      </c>
      <c r="C7606" s="56" t="b">
        <v>0</v>
      </c>
      <c r="D7606" s="56" t="b">
        <v>0</v>
      </c>
      <c r="E7606" s="56">
        <f ca="1">IF(PV[[#This Row],[Business Date]]=Control!$C$6, PV[[#This Row],[Notional Value Local Cur]], -PV[[#This Row],[Notional Value Local Cur]])</f>
        <v>0</v>
      </c>
    </row>
    <row r="7607" spans="1:5" x14ac:dyDescent="0.25">
      <c r="A7607" s="36" t="b">
        <v>0</v>
      </c>
      <c r="B7607" s="56" t="b">
        <v>0</v>
      </c>
      <c r="C7607" s="56" t="b">
        <v>0</v>
      </c>
      <c r="D7607" s="56" t="b">
        <v>0</v>
      </c>
      <c r="E7607" s="56">
        <f ca="1">IF(PV[[#This Row],[Business Date]]=Control!$C$6, PV[[#This Row],[Notional Value Local Cur]], -PV[[#This Row],[Notional Value Local Cur]])</f>
        <v>0</v>
      </c>
    </row>
    <row r="7608" spans="1:5" x14ac:dyDescent="0.25">
      <c r="A7608" s="36" t="b">
        <v>0</v>
      </c>
      <c r="B7608" s="56" t="b">
        <v>0</v>
      </c>
      <c r="C7608" s="56" t="b">
        <v>0</v>
      </c>
      <c r="D7608" s="56" t="b">
        <v>0</v>
      </c>
      <c r="E7608" s="56">
        <f ca="1">IF(PV[[#This Row],[Business Date]]=Control!$C$6, PV[[#This Row],[Notional Value Local Cur]], -PV[[#This Row],[Notional Value Local Cur]])</f>
        <v>0</v>
      </c>
    </row>
    <row r="7609" spans="1:5" x14ac:dyDescent="0.25">
      <c r="A7609" s="36" t="b">
        <v>0</v>
      </c>
      <c r="B7609" s="56" t="b">
        <v>0</v>
      </c>
      <c r="C7609" s="56" t="b">
        <v>0</v>
      </c>
      <c r="D7609" s="56" t="b">
        <v>0</v>
      </c>
      <c r="E7609" s="56">
        <f ca="1">IF(PV[[#This Row],[Business Date]]=Control!$C$6, PV[[#This Row],[Notional Value Local Cur]], -PV[[#This Row],[Notional Value Local Cur]])</f>
        <v>0</v>
      </c>
    </row>
    <row r="7610" spans="1:5" x14ac:dyDescent="0.25">
      <c r="A7610" s="36" t="b">
        <v>0</v>
      </c>
      <c r="B7610" s="56" t="b">
        <v>0</v>
      </c>
      <c r="C7610" s="56" t="b">
        <v>0</v>
      </c>
      <c r="D7610" s="56" t="b">
        <v>0</v>
      </c>
      <c r="E7610" s="56">
        <f ca="1">IF(PV[[#This Row],[Business Date]]=Control!$C$6, PV[[#This Row],[Notional Value Local Cur]], -PV[[#This Row],[Notional Value Local Cur]])</f>
        <v>0</v>
      </c>
    </row>
    <row r="7611" spans="1:5" x14ac:dyDescent="0.25">
      <c r="A7611" s="36" t="b">
        <v>0</v>
      </c>
      <c r="B7611" s="56" t="b">
        <v>0</v>
      </c>
      <c r="C7611" s="56" t="b">
        <v>0</v>
      </c>
      <c r="D7611" s="56" t="b">
        <v>0</v>
      </c>
      <c r="E7611" s="56">
        <f ca="1">IF(PV[[#This Row],[Business Date]]=Control!$C$6, PV[[#This Row],[Notional Value Local Cur]], -PV[[#This Row],[Notional Value Local Cur]])</f>
        <v>0</v>
      </c>
    </row>
    <row r="7612" spans="1:5" x14ac:dyDescent="0.25">
      <c r="A7612" s="36" t="b">
        <v>0</v>
      </c>
      <c r="B7612" s="56" t="b">
        <v>0</v>
      </c>
      <c r="C7612" s="56" t="b">
        <v>0</v>
      </c>
      <c r="D7612" s="56" t="b">
        <v>0</v>
      </c>
      <c r="E7612" s="56">
        <f ca="1">IF(PV[[#This Row],[Business Date]]=Control!$C$6, PV[[#This Row],[Notional Value Local Cur]], -PV[[#This Row],[Notional Value Local Cur]])</f>
        <v>0</v>
      </c>
    </row>
    <row r="7613" spans="1:5" x14ac:dyDescent="0.25">
      <c r="A7613" s="36" t="b">
        <v>0</v>
      </c>
      <c r="B7613" s="56" t="b">
        <v>0</v>
      </c>
      <c r="C7613" s="56" t="b">
        <v>0</v>
      </c>
      <c r="D7613" s="56" t="b">
        <v>0</v>
      </c>
      <c r="E7613" s="56">
        <f ca="1">IF(PV[[#This Row],[Business Date]]=Control!$C$6, PV[[#This Row],[Notional Value Local Cur]], -PV[[#This Row],[Notional Value Local Cur]])</f>
        <v>0</v>
      </c>
    </row>
    <row r="7614" spans="1:5" x14ac:dyDescent="0.25">
      <c r="A7614" s="36" t="b">
        <v>0</v>
      </c>
      <c r="B7614" s="56" t="b">
        <v>0</v>
      </c>
      <c r="C7614" s="56" t="b">
        <v>0</v>
      </c>
      <c r="D7614" s="56" t="b">
        <v>0</v>
      </c>
      <c r="E7614" s="56">
        <f ca="1">IF(PV[[#This Row],[Business Date]]=Control!$C$6, PV[[#This Row],[Notional Value Local Cur]], -PV[[#This Row],[Notional Value Local Cur]])</f>
        <v>0</v>
      </c>
    </row>
    <row r="7615" spans="1:5" x14ac:dyDescent="0.25">
      <c r="A7615" s="36" t="b">
        <v>0</v>
      </c>
      <c r="B7615" s="56" t="b">
        <v>0</v>
      </c>
      <c r="C7615" s="56" t="b">
        <v>0</v>
      </c>
      <c r="D7615" s="56" t="b">
        <v>0</v>
      </c>
      <c r="E7615" s="56">
        <f ca="1">IF(PV[[#This Row],[Business Date]]=Control!$C$6, PV[[#This Row],[Notional Value Local Cur]], -PV[[#This Row],[Notional Value Local Cur]])</f>
        <v>0</v>
      </c>
    </row>
    <row r="7616" spans="1:5" x14ac:dyDescent="0.25">
      <c r="A7616" s="36" t="b">
        <v>0</v>
      </c>
      <c r="B7616" s="56" t="b">
        <v>0</v>
      </c>
      <c r="C7616" s="56" t="b">
        <v>0</v>
      </c>
      <c r="D7616" s="56" t="b">
        <v>0</v>
      </c>
      <c r="E7616" s="56">
        <f ca="1">IF(PV[[#This Row],[Business Date]]=Control!$C$6, PV[[#This Row],[Notional Value Local Cur]], -PV[[#This Row],[Notional Value Local Cur]])</f>
        <v>0</v>
      </c>
    </row>
    <row r="7617" spans="1:5" x14ac:dyDescent="0.25">
      <c r="A7617" s="36" t="b">
        <v>0</v>
      </c>
      <c r="B7617" s="56" t="b">
        <v>0</v>
      </c>
      <c r="C7617" s="56" t="b">
        <v>0</v>
      </c>
      <c r="D7617" s="56" t="b">
        <v>0</v>
      </c>
      <c r="E7617" s="56">
        <f ca="1">IF(PV[[#This Row],[Business Date]]=Control!$C$6, PV[[#This Row],[Notional Value Local Cur]], -PV[[#This Row],[Notional Value Local Cur]])</f>
        <v>0</v>
      </c>
    </row>
    <row r="7618" spans="1:5" x14ac:dyDescent="0.25">
      <c r="A7618" s="36" t="b">
        <v>0</v>
      </c>
      <c r="B7618" s="56" t="b">
        <v>0</v>
      </c>
      <c r="C7618" s="56" t="b">
        <v>0</v>
      </c>
      <c r="D7618" s="56" t="b">
        <v>0</v>
      </c>
      <c r="E7618" s="56">
        <f ca="1">IF(PV[[#This Row],[Business Date]]=Control!$C$6, PV[[#This Row],[Notional Value Local Cur]], -PV[[#This Row],[Notional Value Local Cur]])</f>
        <v>0</v>
      </c>
    </row>
    <row r="7619" spans="1:5" x14ac:dyDescent="0.25">
      <c r="A7619" s="36" t="b">
        <v>0</v>
      </c>
      <c r="B7619" s="56" t="b">
        <v>0</v>
      </c>
      <c r="C7619" s="56" t="b">
        <v>0</v>
      </c>
      <c r="D7619" s="56" t="b">
        <v>0</v>
      </c>
      <c r="E7619" s="56">
        <f ca="1">IF(PV[[#This Row],[Business Date]]=Control!$C$6, PV[[#This Row],[Notional Value Local Cur]], -PV[[#This Row],[Notional Value Local Cur]])</f>
        <v>0</v>
      </c>
    </row>
    <row r="7620" spans="1:5" x14ac:dyDescent="0.25">
      <c r="A7620" s="36" t="b">
        <v>0</v>
      </c>
      <c r="B7620" s="56" t="b">
        <v>0</v>
      </c>
      <c r="C7620" s="56" t="b">
        <v>0</v>
      </c>
      <c r="D7620" s="56" t="b">
        <v>0</v>
      </c>
      <c r="E7620" s="56">
        <f ca="1">IF(PV[[#This Row],[Business Date]]=Control!$C$6, PV[[#This Row],[Notional Value Local Cur]], -PV[[#This Row],[Notional Value Local Cur]])</f>
        <v>0</v>
      </c>
    </row>
    <row r="7621" spans="1:5" x14ac:dyDescent="0.25">
      <c r="A7621" s="36" t="b">
        <v>0</v>
      </c>
      <c r="B7621" s="56" t="b">
        <v>0</v>
      </c>
      <c r="C7621" s="56" t="b">
        <v>0</v>
      </c>
      <c r="D7621" s="56" t="b">
        <v>0</v>
      </c>
      <c r="E7621" s="56">
        <f ca="1">IF(PV[[#This Row],[Business Date]]=Control!$C$6, PV[[#This Row],[Notional Value Local Cur]], -PV[[#This Row],[Notional Value Local Cur]])</f>
        <v>0</v>
      </c>
    </row>
    <row r="7622" spans="1:5" x14ac:dyDescent="0.25">
      <c r="A7622" s="36" t="b">
        <v>0</v>
      </c>
      <c r="B7622" s="56" t="b">
        <v>0</v>
      </c>
      <c r="C7622" s="56" t="b">
        <v>0</v>
      </c>
      <c r="D7622" s="56" t="b">
        <v>0</v>
      </c>
      <c r="E7622" s="56">
        <f ca="1">IF(PV[[#This Row],[Business Date]]=Control!$C$6, PV[[#This Row],[Notional Value Local Cur]], -PV[[#This Row],[Notional Value Local Cur]])</f>
        <v>0</v>
      </c>
    </row>
    <row r="7623" spans="1:5" x14ac:dyDescent="0.25">
      <c r="A7623" s="36" t="b">
        <v>0</v>
      </c>
      <c r="B7623" s="56" t="b">
        <v>0</v>
      </c>
      <c r="C7623" s="56" t="b">
        <v>0</v>
      </c>
      <c r="D7623" s="56" t="b">
        <v>0</v>
      </c>
      <c r="E7623" s="56">
        <f ca="1">IF(PV[[#This Row],[Business Date]]=Control!$C$6, PV[[#This Row],[Notional Value Local Cur]], -PV[[#This Row],[Notional Value Local Cur]])</f>
        <v>0</v>
      </c>
    </row>
    <row r="7624" spans="1:5" x14ac:dyDescent="0.25">
      <c r="A7624" s="36" t="b">
        <v>0</v>
      </c>
      <c r="B7624" s="56" t="b">
        <v>0</v>
      </c>
      <c r="C7624" s="56" t="b">
        <v>0</v>
      </c>
      <c r="D7624" s="56" t="b">
        <v>0</v>
      </c>
      <c r="E7624" s="56">
        <f ca="1">IF(PV[[#This Row],[Business Date]]=Control!$C$6, PV[[#This Row],[Notional Value Local Cur]], -PV[[#This Row],[Notional Value Local Cur]])</f>
        <v>0</v>
      </c>
    </row>
    <row r="7625" spans="1:5" x14ac:dyDescent="0.25">
      <c r="A7625" s="36" t="b">
        <v>0</v>
      </c>
      <c r="B7625" s="56" t="b">
        <v>0</v>
      </c>
      <c r="C7625" s="56" t="b">
        <v>0</v>
      </c>
      <c r="D7625" s="56" t="b">
        <v>0</v>
      </c>
      <c r="E7625" s="56">
        <f ca="1">IF(PV[[#This Row],[Business Date]]=Control!$C$6, PV[[#This Row],[Notional Value Local Cur]], -PV[[#This Row],[Notional Value Local Cur]])</f>
        <v>0</v>
      </c>
    </row>
    <row r="7626" spans="1:5" x14ac:dyDescent="0.25">
      <c r="A7626" s="36" t="b">
        <v>0</v>
      </c>
      <c r="B7626" s="56" t="b">
        <v>0</v>
      </c>
      <c r="C7626" s="56" t="b">
        <v>0</v>
      </c>
      <c r="D7626" s="56" t="b">
        <v>0</v>
      </c>
      <c r="E7626" s="56">
        <f ca="1">IF(PV[[#This Row],[Business Date]]=Control!$C$6, PV[[#This Row],[Notional Value Local Cur]], -PV[[#This Row],[Notional Value Local Cur]])</f>
        <v>0</v>
      </c>
    </row>
    <row r="7627" spans="1:5" x14ac:dyDescent="0.25">
      <c r="A7627" s="36" t="b">
        <v>0</v>
      </c>
      <c r="B7627" s="56" t="b">
        <v>0</v>
      </c>
      <c r="C7627" s="56" t="b">
        <v>0</v>
      </c>
      <c r="D7627" s="56" t="b">
        <v>0</v>
      </c>
      <c r="E7627" s="56">
        <f ca="1">IF(PV[[#This Row],[Business Date]]=Control!$C$6, PV[[#This Row],[Notional Value Local Cur]], -PV[[#This Row],[Notional Value Local Cur]])</f>
        <v>0</v>
      </c>
    </row>
    <row r="7628" spans="1:5" x14ac:dyDescent="0.25">
      <c r="A7628" s="36" t="b">
        <v>0</v>
      </c>
      <c r="B7628" s="56" t="b">
        <v>0</v>
      </c>
      <c r="C7628" s="56" t="b">
        <v>0</v>
      </c>
      <c r="D7628" s="56" t="b">
        <v>0</v>
      </c>
      <c r="E7628" s="56">
        <f ca="1">IF(PV[[#This Row],[Business Date]]=Control!$C$6, PV[[#This Row],[Notional Value Local Cur]], -PV[[#This Row],[Notional Value Local Cur]])</f>
        <v>0</v>
      </c>
    </row>
    <row r="7629" spans="1:5" x14ac:dyDescent="0.25">
      <c r="A7629" s="36" t="b">
        <v>0</v>
      </c>
      <c r="B7629" s="56" t="b">
        <v>0</v>
      </c>
      <c r="C7629" s="56" t="b">
        <v>0</v>
      </c>
      <c r="D7629" s="56" t="b">
        <v>0</v>
      </c>
      <c r="E7629" s="56">
        <f ca="1">IF(PV[[#This Row],[Business Date]]=Control!$C$6, PV[[#This Row],[Notional Value Local Cur]], -PV[[#This Row],[Notional Value Local Cur]])</f>
        <v>0</v>
      </c>
    </row>
    <row r="7630" spans="1:5" x14ac:dyDescent="0.25">
      <c r="A7630" s="36" t="b">
        <v>0</v>
      </c>
      <c r="B7630" s="56" t="b">
        <v>0</v>
      </c>
      <c r="C7630" s="56" t="b">
        <v>0</v>
      </c>
      <c r="D7630" s="56" t="b">
        <v>0</v>
      </c>
      <c r="E7630" s="56">
        <f ca="1">IF(PV[[#This Row],[Business Date]]=Control!$C$6, PV[[#This Row],[Notional Value Local Cur]], -PV[[#This Row],[Notional Value Local Cur]])</f>
        <v>0</v>
      </c>
    </row>
    <row r="7631" spans="1:5" x14ac:dyDescent="0.25">
      <c r="A7631" s="36" t="b">
        <v>0</v>
      </c>
      <c r="B7631" s="56" t="b">
        <v>0</v>
      </c>
      <c r="C7631" s="56" t="b">
        <v>0</v>
      </c>
      <c r="D7631" s="56" t="b">
        <v>0</v>
      </c>
      <c r="E7631" s="56">
        <f ca="1">IF(PV[[#This Row],[Business Date]]=Control!$C$6, PV[[#This Row],[Notional Value Local Cur]], -PV[[#This Row],[Notional Value Local Cur]])</f>
        <v>0</v>
      </c>
    </row>
    <row r="7632" spans="1:5" x14ac:dyDescent="0.25">
      <c r="A7632" s="36" t="b">
        <v>0</v>
      </c>
      <c r="B7632" s="56" t="b">
        <v>0</v>
      </c>
      <c r="C7632" s="56" t="b">
        <v>0</v>
      </c>
      <c r="D7632" s="56" t="b">
        <v>0</v>
      </c>
      <c r="E7632" s="56">
        <f ca="1">IF(PV[[#This Row],[Business Date]]=Control!$C$6, PV[[#This Row],[Notional Value Local Cur]], -PV[[#This Row],[Notional Value Local Cur]])</f>
        <v>0</v>
      </c>
    </row>
    <row r="7633" spans="1:5" x14ac:dyDescent="0.25">
      <c r="A7633" s="36" t="b">
        <v>0</v>
      </c>
      <c r="B7633" s="56" t="b">
        <v>0</v>
      </c>
      <c r="C7633" s="56" t="b">
        <v>0</v>
      </c>
      <c r="D7633" s="56" t="b">
        <v>0</v>
      </c>
      <c r="E7633" s="56">
        <f ca="1">IF(PV[[#This Row],[Business Date]]=Control!$C$6, PV[[#This Row],[Notional Value Local Cur]], -PV[[#This Row],[Notional Value Local Cur]])</f>
        <v>0</v>
      </c>
    </row>
    <row r="7634" spans="1:5" x14ac:dyDescent="0.25">
      <c r="A7634" s="36" t="b">
        <v>0</v>
      </c>
      <c r="B7634" s="56" t="b">
        <v>0</v>
      </c>
      <c r="C7634" s="56" t="b">
        <v>0</v>
      </c>
      <c r="D7634" s="56" t="b">
        <v>0</v>
      </c>
      <c r="E7634" s="56">
        <f ca="1">IF(PV[[#This Row],[Business Date]]=Control!$C$6, PV[[#This Row],[Notional Value Local Cur]], -PV[[#This Row],[Notional Value Local Cur]])</f>
        <v>0</v>
      </c>
    </row>
    <row r="7635" spans="1:5" x14ac:dyDescent="0.25">
      <c r="A7635" s="36" t="b">
        <v>0</v>
      </c>
      <c r="B7635" s="56" t="b">
        <v>0</v>
      </c>
      <c r="C7635" s="56" t="b">
        <v>0</v>
      </c>
      <c r="D7635" s="56" t="b">
        <v>0</v>
      </c>
      <c r="E7635" s="56">
        <f ca="1">IF(PV[[#This Row],[Business Date]]=Control!$C$6, PV[[#This Row],[Notional Value Local Cur]], -PV[[#This Row],[Notional Value Local Cur]])</f>
        <v>0</v>
      </c>
    </row>
    <row r="7636" spans="1:5" x14ac:dyDescent="0.25">
      <c r="A7636" s="36" t="b">
        <v>0</v>
      </c>
      <c r="B7636" s="56" t="b">
        <v>0</v>
      </c>
      <c r="C7636" s="56" t="b">
        <v>0</v>
      </c>
      <c r="D7636" s="56" t="b">
        <v>0</v>
      </c>
      <c r="E7636" s="56">
        <f ca="1">IF(PV[[#This Row],[Business Date]]=Control!$C$6, PV[[#This Row],[Notional Value Local Cur]], -PV[[#This Row],[Notional Value Local Cur]])</f>
        <v>0</v>
      </c>
    </row>
    <row r="7637" spans="1:5" x14ac:dyDescent="0.25">
      <c r="A7637" s="36" t="b">
        <v>0</v>
      </c>
      <c r="B7637" s="56" t="b">
        <v>0</v>
      </c>
      <c r="C7637" s="56" t="b">
        <v>0</v>
      </c>
      <c r="D7637" s="56" t="b">
        <v>0</v>
      </c>
      <c r="E7637" s="56">
        <f ca="1">IF(PV[[#This Row],[Business Date]]=Control!$C$6, PV[[#This Row],[Notional Value Local Cur]], -PV[[#This Row],[Notional Value Local Cur]])</f>
        <v>0</v>
      </c>
    </row>
    <row r="7638" spans="1:5" x14ac:dyDescent="0.25">
      <c r="A7638" s="36" t="b">
        <v>0</v>
      </c>
      <c r="B7638" s="56" t="b">
        <v>0</v>
      </c>
      <c r="C7638" s="56" t="b">
        <v>0</v>
      </c>
      <c r="D7638" s="56" t="b">
        <v>0</v>
      </c>
      <c r="E7638" s="56">
        <f ca="1">IF(PV[[#This Row],[Business Date]]=Control!$C$6, PV[[#This Row],[Notional Value Local Cur]], -PV[[#This Row],[Notional Value Local Cur]])</f>
        <v>0</v>
      </c>
    </row>
    <row r="7639" spans="1:5" x14ac:dyDescent="0.25">
      <c r="A7639" s="36" t="b">
        <v>0</v>
      </c>
      <c r="B7639" s="56" t="b">
        <v>0</v>
      </c>
      <c r="C7639" s="56" t="b">
        <v>0</v>
      </c>
      <c r="D7639" s="56" t="b">
        <v>0</v>
      </c>
      <c r="E7639" s="56">
        <f ca="1">IF(PV[[#This Row],[Business Date]]=Control!$C$6, PV[[#This Row],[Notional Value Local Cur]], -PV[[#This Row],[Notional Value Local Cur]])</f>
        <v>0</v>
      </c>
    </row>
    <row r="7640" spans="1:5" x14ac:dyDescent="0.25">
      <c r="A7640" s="36" t="b">
        <v>0</v>
      </c>
      <c r="B7640" s="56" t="b">
        <v>0</v>
      </c>
      <c r="C7640" s="56" t="b">
        <v>0</v>
      </c>
      <c r="D7640" s="56" t="b">
        <v>0</v>
      </c>
      <c r="E7640" s="56">
        <f ca="1">IF(PV[[#This Row],[Business Date]]=Control!$C$6, PV[[#This Row],[Notional Value Local Cur]], -PV[[#This Row],[Notional Value Local Cur]])</f>
        <v>0</v>
      </c>
    </row>
    <row r="7641" spans="1:5" x14ac:dyDescent="0.25">
      <c r="A7641" s="36" t="b">
        <v>0</v>
      </c>
      <c r="B7641" s="56" t="b">
        <v>0</v>
      </c>
      <c r="C7641" s="56" t="b">
        <v>0</v>
      </c>
      <c r="D7641" s="56" t="b">
        <v>0</v>
      </c>
      <c r="E7641" s="56">
        <f ca="1">IF(PV[[#This Row],[Business Date]]=Control!$C$6, PV[[#This Row],[Notional Value Local Cur]], -PV[[#This Row],[Notional Value Local Cur]])</f>
        <v>0</v>
      </c>
    </row>
    <row r="7642" spans="1:5" x14ac:dyDescent="0.25">
      <c r="A7642" s="36" t="b">
        <v>0</v>
      </c>
      <c r="B7642" s="56" t="b">
        <v>0</v>
      </c>
      <c r="C7642" s="56" t="b">
        <v>0</v>
      </c>
      <c r="D7642" s="56" t="b">
        <v>0</v>
      </c>
      <c r="E7642" s="56">
        <f ca="1">IF(PV[[#This Row],[Business Date]]=Control!$C$6, PV[[#This Row],[Notional Value Local Cur]], -PV[[#This Row],[Notional Value Local Cur]])</f>
        <v>0</v>
      </c>
    </row>
    <row r="7643" spans="1:5" x14ac:dyDescent="0.25">
      <c r="A7643" s="36" t="b">
        <v>0</v>
      </c>
      <c r="B7643" s="56" t="b">
        <v>0</v>
      </c>
      <c r="C7643" s="56" t="b">
        <v>0</v>
      </c>
      <c r="D7643" s="56" t="b">
        <v>0</v>
      </c>
      <c r="E7643" s="56">
        <f ca="1">IF(PV[[#This Row],[Business Date]]=Control!$C$6, PV[[#This Row],[Notional Value Local Cur]], -PV[[#This Row],[Notional Value Local Cur]])</f>
        <v>0</v>
      </c>
    </row>
    <row r="7644" spans="1:5" x14ac:dyDescent="0.25">
      <c r="A7644" s="36" t="b">
        <v>0</v>
      </c>
      <c r="B7644" s="56" t="b">
        <v>0</v>
      </c>
      <c r="C7644" s="56" t="b">
        <v>0</v>
      </c>
      <c r="D7644" s="56" t="b">
        <v>0</v>
      </c>
      <c r="E7644" s="56">
        <f ca="1">IF(PV[[#This Row],[Business Date]]=Control!$C$6, PV[[#This Row],[Notional Value Local Cur]], -PV[[#This Row],[Notional Value Local Cur]])</f>
        <v>0</v>
      </c>
    </row>
    <row r="7645" spans="1:5" x14ac:dyDescent="0.25">
      <c r="A7645" s="36" t="b">
        <v>0</v>
      </c>
      <c r="B7645" s="56" t="b">
        <v>0</v>
      </c>
      <c r="C7645" s="56" t="b">
        <v>0</v>
      </c>
      <c r="D7645" s="56" t="b">
        <v>0</v>
      </c>
      <c r="E7645" s="56">
        <f ca="1">IF(PV[[#This Row],[Business Date]]=Control!$C$6, PV[[#This Row],[Notional Value Local Cur]], -PV[[#This Row],[Notional Value Local Cur]])</f>
        <v>0</v>
      </c>
    </row>
    <row r="7646" spans="1:5" x14ac:dyDescent="0.25">
      <c r="A7646" s="36" t="b">
        <v>0</v>
      </c>
      <c r="B7646" s="56" t="b">
        <v>0</v>
      </c>
      <c r="C7646" s="56" t="b">
        <v>0</v>
      </c>
      <c r="D7646" s="56" t="b">
        <v>0</v>
      </c>
      <c r="E7646" s="56">
        <f ca="1">IF(PV[[#This Row],[Business Date]]=Control!$C$6, PV[[#This Row],[Notional Value Local Cur]], -PV[[#This Row],[Notional Value Local Cur]])</f>
        <v>0</v>
      </c>
    </row>
    <row r="7647" spans="1:5" x14ac:dyDescent="0.25">
      <c r="A7647" s="36" t="b">
        <v>0</v>
      </c>
      <c r="B7647" s="56" t="b">
        <v>0</v>
      </c>
      <c r="C7647" s="56" t="b">
        <v>0</v>
      </c>
      <c r="D7647" s="56" t="b">
        <v>0</v>
      </c>
      <c r="E7647" s="56">
        <f ca="1">IF(PV[[#This Row],[Business Date]]=Control!$C$6, PV[[#This Row],[Notional Value Local Cur]], -PV[[#This Row],[Notional Value Local Cur]])</f>
        <v>0</v>
      </c>
    </row>
    <row r="7648" spans="1:5" x14ac:dyDescent="0.25">
      <c r="A7648" s="36" t="b">
        <v>0</v>
      </c>
      <c r="B7648" s="56" t="b">
        <v>0</v>
      </c>
      <c r="C7648" s="56" t="b">
        <v>0</v>
      </c>
      <c r="D7648" s="56" t="b">
        <v>0</v>
      </c>
      <c r="E7648" s="56">
        <f ca="1">IF(PV[[#This Row],[Business Date]]=Control!$C$6, PV[[#This Row],[Notional Value Local Cur]], -PV[[#This Row],[Notional Value Local Cur]])</f>
        <v>0</v>
      </c>
    </row>
    <row r="7649" spans="1:5" x14ac:dyDescent="0.25">
      <c r="A7649" s="36" t="b">
        <v>0</v>
      </c>
      <c r="B7649" s="56" t="b">
        <v>0</v>
      </c>
      <c r="C7649" s="56" t="b">
        <v>0</v>
      </c>
      <c r="D7649" s="56" t="b">
        <v>0</v>
      </c>
      <c r="E7649" s="56">
        <f ca="1">IF(PV[[#This Row],[Business Date]]=Control!$C$6, PV[[#This Row],[Notional Value Local Cur]], -PV[[#This Row],[Notional Value Local Cur]])</f>
        <v>0</v>
      </c>
    </row>
    <row r="7650" spans="1:5" x14ac:dyDescent="0.25">
      <c r="A7650" s="36" t="b">
        <v>0</v>
      </c>
      <c r="B7650" s="56" t="b">
        <v>0</v>
      </c>
      <c r="C7650" s="56" t="b">
        <v>0</v>
      </c>
      <c r="D7650" s="56" t="b">
        <v>0</v>
      </c>
      <c r="E7650" s="56">
        <f ca="1">IF(PV[[#This Row],[Business Date]]=Control!$C$6, PV[[#This Row],[Notional Value Local Cur]], -PV[[#This Row],[Notional Value Local Cur]])</f>
        <v>0</v>
      </c>
    </row>
    <row r="7651" spans="1:5" x14ac:dyDescent="0.25">
      <c r="A7651" s="36" t="b">
        <v>0</v>
      </c>
      <c r="B7651" s="56" t="b">
        <v>0</v>
      </c>
      <c r="C7651" s="56" t="b">
        <v>0</v>
      </c>
      <c r="D7651" s="56" t="b">
        <v>0</v>
      </c>
      <c r="E7651" s="56">
        <f ca="1">IF(PV[[#This Row],[Business Date]]=Control!$C$6, PV[[#This Row],[Notional Value Local Cur]], -PV[[#This Row],[Notional Value Local Cur]])</f>
        <v>0</v>
      </c>
    </row>
    <row r="7652" spans="1:5" x14ac:dyDescent="0.25">
      <c r="A7652" s="36" t="b">
        <v>0</v>
      </c>
      <c r="B7652" s="56" t="b">
        <v>0</v>
      </c>
      <c r="C7652" s="56" t="b">
        <v>0</v>
      </c>
      <c r="D7652" s="56" t="b">
        <v>0</v>
      </c>
      <c r="E7652" s="56">
        <f ca="1">IF(PV[[#This Row],[Business Date]]=Control!$C$6, PV[[#This Row],[Notional Value Local Cur]], -PV[[#This Row],[Notional Value Local Cur]])</f>
        <v>0</v>
      </c>
    </row>
    <row r="7653" spans="1:5" x14ac:dyDescent="0.25">
      <c r="A7653" s="36" t="b">
        <v>0</v>
      </c>
      <c r="B7653" s="56" t="b">
        <v>0</v>
      </c>
      <c r="C7653" s="56" t="b">
        <v>0</v>
      </c>
      <c r="D7653" s="56" t="b">
        <v>0</v>
      </c>
      <c r="E7653" s="56">
        <f ca="1">IF(PV[[#This Row],[Business Date]]=Control!$C$6, PV[[#This Row],[Notional Value Local Cur]], -PV[[#This Row],[Notional Value Local Cur]])</f>
        <v>0</v>
      </c>
    </row>
    <row r="7654" spans="1:5" x14ac:dyDescent="0.25">
      <c r="A7654" s="36" t="b">
        <v>0</v>
      </c>
      <c r="B7654" s="56" t="b">
        <v>0</v>
      </c>
      <c r="C7654" s="56" t="b">
        <v>0</v>
      </c>
      <c r="D7654" s="56" t="b">
        <v>0</v>
      </c>
      <c r="E7654" s="56">
        <f ca="1">IF(PV[[#This Row],[Business Date]]=Control!$C$6, PV[[#This Row],[Notional Value Local Cur]], -PV[[#This Row],[Notional Value Local Cur]])</f>
        <v>0</v>
      </c>
    </row>
    <row r="7655" spans="1:5" x14ac:dyDescent="0.25">
      <c r="A7655" s="36" t="b">
        <v>0</v>
      </c>
      <c r="B7655" s="56" t="b">
        <v>0</v>
      </c>
      <c r="C7655" s="56" t="b">
        <v>0</v>
      </c>
      <c r="D7655" s="56" t="b">
        <v>0</v>
      </c>
      <c r="E7655" s="56">
        <f ca="1">IF(PV[[#This Row],[Business Date]]=Control!$C$6, PV[[#This Row],[Notional Value Local Cur]], -PV[[#This Row],[Notional Value Local Cur]])</f>
        <v>0</v>
      </c>
    </row>
    <row r="7656" spans="1:5" x14ac:dyDescent="0.25">
      <c r="A7656" s="36" t="b">
        <v>0</v>
      </c>
      <c r="B7656" s="56" t="b">
        <v>0</v>
      </c>
      <c r="C7656" s="56" t="b">
        <v>0</v>
      </c>
      <c r="D7656" s="56" t="b">
        <v>0</v>
      </c>
      <c r="E7656" s="56">
        <f ca="1">IF(PV[[#This Row],[Business Date]]=Control!$C$6, PV[[#This Row],[Notional Value Local Cur]], -PV[[#This Row],[Notional Value Local Cur]])</f>
        <v>0</v>
      </c>
    </row>
    <row r="7657" spans="1:5" x14ac:dyDescent="0.25">
      <c r="A7657" s="36" t="b">
        <v>0</v>
      </c>
      <c r="B7657" s="56" t="b">
        <v>0</v>
      </c>
      <c r="C7657" s="56" t="b">
        <v>0</v>
      </c>
      <c r="D7657" s="56" t="b">
        <v>0</v>
      </c>
      <c r="E7657" s="56">
        <f ca="1">IF(PV[[#This Row],[Business Date]]=Control!$C$6, PV[[#This Row],[Notional Value Local Cur]], -PV[[#This Row],[Notional Value Local Cur]])</f>
        <v>0</v>
      </c>
    </row>
    <row r="7658" spans="1:5" x14ac:dyDescent="0.25">
      <c r="A7658" s="36" t="b">
        <v>0</v>
      </c>
      <c r="B7658" s="56" t="b">
        <v>0</v>
      </c>
      <c r="C7658" s="56" t="b">
        <v>0</v>
      </c>
      <c r="D7658" s="56" t="b">
        <v>0</v>
      </c>
      <c r="E7658" s="56">
        <f ca="1">IF(PV[[#This Row],[Business Date]]=Control!$C$6, PV[[#This Row],[Notional Value Local Cur]], -PV[[#This Row],[Notional Value Local Cur]])</f>
        <v>0</v>
      </c>
    </row>
    <row r="7659" spans="1:5" x14ac:dyDescent="0.25">
      <c r="A7659" s="36" t="b">
        <v>0</v>
      </c>
      <c r="B7659" s="56" t="b">
        <v>0</v>
      </c>
      <c r="C7659" s="56" t="b">
        <v>0</v>
      </c>
      <c r="D7659" s="56" t="b">
        <v>0</v>
      </c>
      <c r="E7659" s="56">
        <f ca="1">IF(PV[[#This Row],[Business Date]]=Control!$C$6, PV[[#This Row],[Notional Value Local Cur]], -PV[[#This Row],[Notional Value Local Cur]])</f>
        <v>0</v>
      </c>
    </row>
    <row r="7660" spans="1:5" x14ac:dyDescent="0.25">
      <c r="A7660" s="36" t="b">
        <v>0</v>
      </c>
      <c r="B7660" s="56" t="b">
        <v>0</v>
      </c>
      <c r="C7660" s="56" t="b">
        <v>0</v>
      </c>
      <c r="D7660" s="56" t="b">
        <v>0</v>
      </c>
      <c r="E7660" s="56">
        <f ca="1">IF(PV[[#This Row],[Business Date]]=Control!$C$6, PV[[#This Row],[Notional Value Local Cur]], -PV[[#This Row],[Notional Value Local Cur]])</f>
        <v>0</v>
      </c>
    </row>
    <row r="7661" spans="1:5" x14ac:dyDescent="0.25">
      <c r="A7661" s="36" t="b">
        <v>0</v>
      </c>
      <c r="B7661" s="56" t="b">
        <v>0</v>
      </c>
      <c r="C7661" s="56" t="b">
        <v>0</v>
      </c>
      <c r="D7661" s="56" t="b">
        <v>0</v>
      </c>
      <c r="E7661" s="56">
        <f ca="1">IF(PV[[#This Row],[Business Date]]=Control!$C$6, PV[[#This Row],[Notional Value Local Cur]], -PV[[#This Row],[Notional Value Local Cur]])</f>
        <v>0</v>
      </c>
    </row>
    <row r="7662" spans="1:5" x14ac:dyDescent="0.25">
      <c r="A7662" s="36" t="b">
        <v>0</v>
      </c>
      <c r="B7662" s="56" t="b">
        <v>0</v>
      </c>
      <c r="C7662" s="56" t="b">
        <v>0</v>
      </c>
      <c r="D7662" s="56" t="b">
        <v>0</v>
      </c>
      <c r="E7662" s="56">
        <f ca="1">IF(PV[[#This Row],[Business Date]]=Control!$C$6, PV[[#This Row],[Notional Value Local Cur]], -PV[[#This Row],[Notional Value Local Cur]])</f>
        <v>0</v>
      </c>
    </row>
    <row r="7663" spans="1:5" x14ac:dyDescent="0.25">
      <c r="A7663" s="36" t="b">
        <v>0</v>
      </c>
      <c r="B7663" s="56" t="b">
        <v>0</v>
      </c>
      <c r="C7663" s="56" t="b">
        <v>0</v>
      </c>
      <c r="D7663" s="56" t="b">
        <v>0</v>
      </c>
      <c r="E7663" s="56">
        <f ca="1">IF(PV[[#This Row],[Business Date]]=Control!$C$6, PV[[#This Row],[Notional Value Local Cur]], -PV[[#This Row],[Notional Value Local Cur]])</f>
        <v>0</v>
      </c>
    </row>
    <row r="7664" spans="1:5" x14ac:dyDescent="0.25">
      <c r="A7664" s="36" t="b">
        <v>0</v>
      </c>
      <c r="B7664" s="56" t="b">
        <v>0</v>
      </c>
      <c r="C7664" s="56" t="b">
        <v>0</v>
      </c>
      <c r="D7664" s="56" t="b">
        <v>0</v>
      </c>
      <c r="E7664" s="56">
        <f ca="1">IF(PV[[#This Row],[Business Date]]=Control!$C$6, PV[[#This Row],[Notional Value Local Cur]], -PV[[#This Row],[Notional Value Local Cur]])</f>
        <v>0</v>
      </c>
    </row>
    <row r="7665" spans="1:5" x14ac:dyDescent="0.25">
      <c r="A7665" s="36" t="b">
        <v>0</v>
      </c>
      <c r="B7665" s="56" t="b">
        <v>0</v>
      </c>
      <c r="C7665" s="56" t="b">
        <v>0</v>
      </c>
      <c r="D7665" s="56" t="b">
        <v>0</v>
      </c>
      <c r="E7665" s="56">
        <f ca="1">IF(PV[[#This Row],[Business Date]]=Control!$C$6, PV[[#This Row],[Notional Value Local Cur]], -PV[[#This Row],[Notional Value Local Cur]])</f>
        <v>0</v>
      </c>
    </row>
    <row r="7666" spans="1:5" x14ac:dyDescent="0.25">
      <c r="A7666" s="36" t="b">
        <v>0</v>
      </c>
      <c r="B7666" s="56" t="b">
        <v>0</v>
      </c>
      <c r="C7666" s="56" t="b">
        <v>0</v>
      </c>
      <c r="D7666" s="56" t="b">
        <v>0</v>
      </c>
      <c r="E7666" s="56">
        <f ca="1">IF(PV[[#This Row],[Business Date]]=Control!$C$6, PV[[#This Row],[Notional Value Local Cur]], -PV[[#This Row],[Notional Value Local Cur]])</f>
        <v>0</v>
      </c>
    </row>
    <row r="7667" spans="1:5" x14ac:dyDescent="0.25">
      <c r="A7667" s="36" t="b">
        <v>0</v>
      </c>
      <c r="B7667" s="56" t="b">
        <v>0</v>
      </c>
      <c r="C7667" s="56" t="b">
        <v>0</v>
      </c>
      <c r="D7667" s="56" t="b">
        <v>0</v>
      </c>
      <c r="E7667" s="56">
        <f ca="1">IF(PV[[#This Row],[Business Date]]=Control!$C$6, PV[[#This Row],[Notional Value Local Cur]], -PV[[#This Row],[Notional Value Local Cur]])</f>
        <v>0</v>
      </c>
    </row>
    <row r="7668" spans="1:5" x14ac:dyDescent="0.25">
      <c r="A7668" s="36" t="b">
        <v>0</v>
      </c>
      <c r="B7668" s="56" t="b">
        <v>0</v>
      </c>
      <c r="C7668" s="56" t="b">
        <v>0</v>
      </c>
      <c r="D7668" s="56" t="b">
        <v>0</v>
      </c>
      <c r="E7668" s="56">
        <f ca="1">IF(PV[[#This Row],[Business Date]]=Control!$C$6, PV[[#This Row],[Notional Value Local Cur]], -PV[[#This Row],[Notional Value Local Cur]])</f>
        <v>0</v>
      </c>
    </row>
    <row r="7669" spans="1:5" x14ac:dyDescent="0.25">
      <c r="A7669" s="36" t="b">
        <v>0</v>
      </c>
      <c r="B7669" s="56" t="b">
        <v>0</v>
      </c>
      <c r="C7669" s="56" t="b">
        <v>0</v>
      </c>
      <c r="D7669" s="56" t="b">
        <v>0</v>
      </c>
      <c r="E7669" s="56">
        <f ca="1">IF(PV[[#This Row],[Business Date]]=Control!$C$6, PV[[#This Row],[Notional Value Local Cur]], -PV[[#This Row],[Notional Value Local Cur]])</f>
        <v>0</v>
      </c>
    </row>
    <row r="7670" spans="1:5" x14ac:dyDescent="0.25">
      <c r="A7670" s="36" t="b">
        <v>0</v>
      </c>
      <c r="B7670" s="56" t="b">
        <v>0</v>
      </c>
      <c r="C7670" s="56" t="b">
        <v>0</v>
      </c>
      <c r="D7670" s="56" t="b">
        <v>0</v>
      </c>
      <c r="E7670" s="56">
        <f ca="1">IF(PV[[#This Row],[Business Date]]=Control!$C$6, PV[[#This Row],[Notional Value Local Cur]], -PV[[#This Row],[Notional Value Local Cur]])</f>
        <v>0</v>
      </c>
    </row>
    <row r="7671" spans="1:5" x14ac:dyDescent="0.25">
      <c r="A7671" s="36" t="b">
        <v>0</v>
      </c>
      <c r="B7671" s="56" t="b">
        <v>0</v>
      </c>
      <c r="C7671" s="56" t="b">
        <v>0</v>
      </c>
      <c r="D7671" s="56" t="b">
        <v>0</v>
      </c>
      <c r="E7671" s="56">
        <f ca="1">IF(PV[[#This Row],[Business Date]]=Control!$C$6, PV[[#This Row],[Notional Value Local Cur]], -PV[[#This Row],[Notional Value Local Cur]])</f>
        <v>0</v>
      </c>
    </row>
    <row r="7672" spans="1:5" x14ac:dyDescent="0.25">
      <c r="A7672" s="36" t="b">
        <v>0</v>
      </c>
      <c r="B7672" s="56" t="b">
        <v>0</v>
      </c>
      <c r="C7672" s="56" t="b">
        <v>0</v>
      </c>
      <c r="D7672" s="56" t="b">
        <v>0</v>
      </c>
      <c r="E7672" s="56">
        <f ca="1">IF(PV[[#This Row],[Business Date]]=Control!$C$6, PV[[#This Row],[Notional Value Local Cur]], -PV[[#This Row],[Notional Value Local Cur]])</f>
        <v>0</v>
      </c>
    </row>
    <row r="7673" spans="1:5" x14ac:dyDescent="0.25">
      <c r="A7673" s="36" t="b">
        <v>0</v>
      </c>
      <c r="B7673" s="56" t="b">
        <v>0</v>
      </c>
      <c r="C7673" s="56" t="b">
        <v>0</v>
      </c>
      <c r="D7673" s="56" t="b">
        <v>0</v>
      </c>
      <c r="E7673" s="56">
        <f ca="1">IF(PV[[#This Row],[Business Date]]=Control!$C$6, PV[[#This Row],[Notional Value Local Cur]], -PV[[#This Row],[Notional Value Local Cur]])</f>
        <v>0</v>
      </c>
    </row>
    <row r="7674" spans="1:5" x14ac:dyDescent="0.25">
      <c r="A7674" s="36" t="b">
        <v>0</v>
      </c>
      <c r="B7674" s="56" t="b">
        <v>0</v>
      </c>
      <c r="C7674" s="56" t="b">
        <v>0</v>
      </c>
      <c r="D7674" s="56" t="b">
        <v>0</v>
      </c>
      <c r="E7674" s="56">
        <f ca="1">IF(PV[[#This Row],[Business Date]]=Control!$C$6, PV[[#This Row],[Notional Value Local Cur]], -PV[[#This Row],[Notional Value Local Cur]])</f>
        <v>0</v>
      </c>
    </row>
    <row r="7675" spans="1:5" x14ac:dyDescent="0.25">
      <c r="A7675" s="36" t="b">
        <v>0</v>
      </c>
      <c r="B7675" s="56" t="b">
        <v>0</v>
      </c>
      <c r="C7675" s="56" t="b">
        <v>0</v>
      </c>
      <c r="D7675" s="56" t="b">
        <v>0</v>
      </c>
      <c r="E7675" s="56">
        <f ca="1">IF(PV[[#This Row],[Business Date]]=Control!$C$6, PV[[#This Row],[Notional Value Local Cur]], -PV[[#This Row],[Notional Value Local Cur]])</f>
        <v>0</v>
      </c>
    </row>
    <row r="7676" spans="1:5" x14ac:dyDescent="0.25">
      <c r="A7676" s="36" t="b">
        <v>0</v>
      </c>
      <c r="B7676" s="56" t="b">
        <v>0</v>
      </c>
      <c r="C7676" s="56" t="b">
        <v>0</v>
      </c>
      <c r="D7676" s="56" t="b">
        <v>0</v>
      </c>
      <c r="E7676" s="56">
        <f ca="1">IF(PV[[#This Row],[Business Date]]=Control!$C$6, PV[[#This Row],[Notional Value Local Cur]], -PV[[#This Row],[Notional Value Local Cur]])</f>
        <v>0</v>
      </c>
    </row>
    <row r="7677" spans="1:5" x14ac:dyDescent="0.25">
      <c r="A7677" s="36" t="b">
        <v>0</v>
      </c>
      <c r="B7677" s="56" t="b">
        <v>0</v>
      </c>
      <c r="C7677" s="56" t="b">
        <v>0</v>
      </c>
      <c r="D7677" s="56" t="b">
        <v>0</v>
      </c>
      <c r="E7677" s="56">
        <f ca="1">IF(PV[[#This Row],[Business Date]]=Control!$C$6, PV[[#This Row],[Notional Value Local Cur]], -PV[[#This Row],[Notional Value Local Cur]])</f>
        <v>0</v>
      </c>
    </row>
    <row r="7678" spans="1:5" x14ac:dyDescent="0.25">
      <c r="A7678" s="36" t="b">
        <v>0</v>
      </c>
      <c r="B7678" s="56" t="b">
        <v>0</v>
      </c>
      <c r="C7678" s="56" t="b">
        <v>0</v>
      </c>
      <c r="D7678" s="56" t="b">
        <v>0</v>
      </c>
      <c r="E7678" s="56">
        <f ca="1">IF(PV[[#This Row],[Business Date]]=Control!$C$6, PV[[#This Row],[Notional Value Local Cur]], -PV[[#This Row],[Notional Value Local Cur]])</f>
        <v>0</v>
      </c>
    </row>
    <row r="7679" spans="1:5" x14ac:dyDescent="0.25">
      <c r="A7679" s="36" t="b">
        <v>0</v>
      </c>
      <c r="B7679" s="56" t="b">
        <v>0</v>
      </c>
      <c r="C7679" s="56" t="b">
        <v>0</v>
      </c>
      <c r="D7679" s="56" t="b">
        <v>0</v>
      </c>
      <c r="E7679" s="56">
        <f ca="1">IF(PV[[#This Row],[Business Date]]=Control!$C$6, PV[[#This Row],[Notional Value Local Cur]], -PV[[#This Row],[Notional Value Local Cur]])</f>
        <v>0</v>
      </c>
    </row>
    <row r="7680" spans="1:5" x14ac:dyDescent="0.25">
      <c r="A7680" s="36" t="b">
        <v>0</v>
      </c>
      <c r="B7680" s="56" t="b">
        <v>0</v>
      </c>
      <c r="C7680" s="56" t="b">
        <v>0</v>
      </c>
      <c r="D7680" s="56" t="b">
        <v>0</v>
      </c>
      <c r="E7680" s="56">
        <f ca="1">IF(PV[[#This Row],[Business Date]]=Control!$C$6, PV[[#This Row],[Notional Value Local Cur]], -PV[[#This Row],[Notional Value Local Cur]])</f>
        <v>0</v>
      </c>
    </row>
    <row r="7681" spans="1:5" x14ac:dyDescent="0.25">
      <c r="A7681" s="36" t="b">
        <v>0</v>
      </c>
      <c r="B7681" s="56" t="b">
        <v>0</v>
      </c>
      <c r="C7681" s="56" t="b">
        <v>0</v>
      </c>
      <c r="D7681" s="56" t="b">
        <v>0</v>
      </c>
      <c r="E7681" s="56">
        <f ca="1">IF(PV[[#This Row],[Business Date]]=Control!$C$6, PV[[#This Row],[Notional Value Local Cur]], -PV[[#This Row],[Notional Value Local Cur]])</f>
        <v>0</v>
      </c>
    </row>
    <row r="7682" spans="1:5" x14ac:dyDescent="0.25">
      <c r="A7682" s="36" t="b">
        <v>0</v>
      </c>
      <c r="B7682" s="56" t="b">
        <v>0</v>
      </c>
      <c r="C7682" s="56" t="b">
        <v>0</v>
      </c>
      <c r="D7682" s="56" t="b">
        <v>0</v>
      </c>
      <c r="E7682" s="56">
        <f ca="1">IF(PV[[#This Row],[Business Date]]=Control!$C$6, PV[[#This Row],[Notional Value Local Cur]], -PV[[#This Row],[Notional Value Local Cur]])</f>
        <v>0</v>
      </c>
    </row>
    <row r="7683" spans="1:5" x14ac:dyDescent="0.25">
      <c r="A7683" s="36" t="b">
        <v>0</v>
      </c>
      <c r="B7683" s="56" t="b">
        <v>0</v>
      </c>
      <c r="C7683" s="56" t="b">
        <v>0</v>
      </c>
      <c r="D7683" s="56" t="b">
        <v>0</v>
      </c>
      <c r="E7683" s="56">
        <f ca="1">IF(PV[[#This Row],[Business Date]]=Control!$C$6, PV[[#This Row],[Notional Value Local Cur]], -PV[[#This Row],[Notional Value Local Cur]])</f>
        <v>0</v>
      </c>
    </row>
    <row r="7684" spans="1:5" x14ac:dyDescent="0.25">
      <c r="A7684" s="36" t="b">
        <v>0</v>
      </c>
      <c r="B7684" s="56" t="b">
        <v>0</v>
      </c>
      <c r="C7684" s="56" t="b">
        <v>0</v>
      </c>
      <c r="D7684" s="56" t="b">
        <v>0</v>
      </c>
      <c r="E7684" s="56">
        <f ca="1">IF(PV[[#This Row],[Business Date]]=Control!$C$6, PV[[#This Row],[Notional Value Local Cur]], -PV[[#This Row],[Notional Value Local Cur]])</f>
        <v>0</v>
      </c>
    </row>
    <row r="7685" spans="1:5" x14ac:dyDescent="0.25">
      <c r="A7685" s="36" t="b">
        <v>0</v>
      </c>
      <c r="B7685" s="56" t="b">
        <v>0</v>
      </c>
      <c r="C7685" s="56" t="b">
        <v>0</v>
      </c>
      <c r="D7685" s="56" t="b">
        <v>0</v>
      </c>
      <c r="E7685" s="56">
        <f ca="1">IF(PV[[#This Row],[Business Date]]=Control!$C$6, PV[[#This Row],[Notional Value Local Cur]], -PV[[#This Row],[Notional Value Local Cur]])</f>
        <v>0</v>
      </c>
    </row>
    <row r="7686" spans="1:5" x14ac:dyDescent="0.25">
      <c r="A7686" s="36" t="b">
        <v>0</v>
      </c>
      <c r="B7686" s="56" t="b">
        <v>0</v>
      </c>
      <c r="C7686" s="56" t="b">
        <v>0</v>
      </c>
      <c r="D7686" s="56" t="b">
        <v>0</v>
      </c>
      <c r="E7686" s="56">
        <f ca="1">IF(PV[[#This Row],[Business Date]]=Control!$C$6, PV[[#This Row],[Notional Value Local Cur]], -PV[[#This Row],[Notional Value Local Cur]])</f>
        <v>0</v>
      </c>
    </row>
    <row r="7687" spans="1:5" x14ac:dyDescent="0.25">
      <c r="A7687" s="36" t="b">
        <v>0</v>
      </c>
      <c r="B7687" s="56" t="b">
        <v>0</v>
      </c>
      <c r="C7687" s="56" t="b">
        <v>0</v>
      </c>
      <c r="D7687" s="56" t="b">
        <v>0</v>
      </c>
      <c r="E7687" s="56">
        <f ca="1">IF(PV[[#This Row],[Business Date]]=Control!$C$6, PV[[#This Row],[Notional Value Local Cur]], -PV[[#This Row],[Notional Value Local Cur]])</f>
        <v>0</v>
      </c>
    </row>
    <row r="7688" spans="1:5" x14ac:dyDescent="0.25">
      <c r="A7688" s="36" t="b">
        <v>0</v>
      </c>
      <c r="B7688" s="56" t="b">
        <v>0</v>
      </c>
      <c r="C7688" s="56" t="b">
        <v>0</v>
      </c>
      <c r="D7688" s="56" t="b">
        <v>0</v>
      </c>
      <c r="E7688" s="56">
        <f ca="1">IF(PV[[#This Row],[Business Date]]=Control!$C$6, PV[[#This Row],[Notional Value Local Cur]], -PV[[#This Row],[Notional Value Local Cur]])</f>
        <v>0</v>
      </c>
    </row>
    <row r="7689" spans="1:5" x14ac:dyDescent="0.25">
      <c r="A7689" s="36" t="b">
        <v>0</v>
      </c>
      <c r="B7689" s="56" t="b">
        <v>0</v>
      </c>
      <c r="C7689" s="56" t="b">
        <v>0</v>
      </c>
      <c r="D7689" s="56" t="b">
        <v>0</v>
      </c>
      <c r="E7689" s="56">
        <f ca="1">IF(PV[[#This Row],[Business Date]]=Control!$C$6, PV[[#This Row],[Notional Value Local Cur]], -PV[[#This Row],[Notional Value Local Cur]])</f>
        <v>0</v>
      </c>
    </row>
    <row r="7690" spans="1:5" x14ac:dyDescent="0.25">
      <c r="A7690" s="36" t="b">
        <v>0</v>
      </c>
      <c r="B7690" s="56" t="b">
        <v>0</v>
      </c>
      <c r="C7690" s="56" t="b">
        <v>0</v>
      </c>
      <c r="D7690" s="56" t="b">
        <v>0</v>
      </c>
      <c r="E7690" s="56">
        <f ca="1">IF(PV[[#This Row],[Business Date]]=Control!$C$6, PV[[#This Row],[Notional Value Local Cur]], -PV[[#This Row],[Notional Value Local Cur]])</f>
        <v>0</v>
      </c>
    </row>
    <row r="7691" spans="1:5" x14ac:dyDescent="0.25">
      <c r="A7691" s="36" t="b">
        <v>0</v>
      </c>
      <c r="B7691" s="56" t="b">
        <v>0</v>
      </c>
      <c r="C7691" s="56" t="b">
        <v>0</v>
      </c>
      <c r="D7691" s="56" t="b">
        <v>0</v>
      </c>
      <c r="E7691" s="56">
        <f ca="1">IF(PV[[#This Row],[Business Date]]=Control!$C$6, PV[[#This Row],[Notional Value Local Cur]], -PV[[#This Row],[Notional Value Local Cur]])</f>
        <v>0</v>
      </c>
    </row>
    <row r="7692" spans="1:5" x14ac:dyDescent="0.25">
      <c r="A7692" s="36" t="b">
        <v>0</v>
      </c>
      <c r="B7692" s="56" t="b">
        <v>0</v>
      </c>
      <c r="C7692" s="56" t="b">
        <v>0</v>
      </c>
      <c r="D7692" s="56" t="b">
        <v>0</v>
      </c>
      <c r="E7692" s="56">
        <f ca="1">IF(PV[[#This Row],[Business Date]]=Control!$C$6, PV[[#This Row],[Notional Value Local Cur]], -PV[[#This Row],[Notional Value Local Cur]])</f>
        <v>0</v>
      </c>
    </row>
    <row r="7693" spans="1:5" x14ac:dyDescent="0.25">
      <c r="A7693" s="36" t="b">
        <v>0</v>
      </c>
      <c r="B7693" s="56" t="b">
        <v>0</v>
      </c>
      <c r="C7693" s="56" t="b">
        <v>0</v>
      </c>
      <c r="D7693" s="56" t="b">
        <v>0</v>
      </c>
      <c r="E7693" s="56">
        <f ca="1">IF(PV[[#This Row],[Business Date]]=Control!$C$6, PV[[#This Row],[Notional Value Local Cur]], -PV[[#This Row],[Notional Value Local Cur]])</f>
        <v>0</v>
      </c>
    </row>
    <row r="7694" spans="1:5" x14ac:dyDescent="0.25">
      <c r="A7694" s="36" t="b">
        <v>0</v>
      </c>
      <c r="B7694" s="56" t="b">
        <v>0</v>
      </c>
      <c r="C7694" s="56" t="b">
        <v>0</v>
      </c>
      <c r="D7694" s="56" t="b">
        <v>0</v>
      </c>
      <c r="E7694" s="56">
        <f ca="1">IF(PV[[#This Row],[Business Date]]=Control!$C$6, PV[[#This Row],[Notional Value Local Cur]], -PV[[#This Row],[Notional Value Local Cur]])</f>
        <v>0</v>
      </c>
    </row>
    <row r="7695" spans="1:5" x14ac:dyDescent="0.25">
      <c r="A7695" s="36" t="b">
        <v>0</v>
      </c>
      <c r="B7695" s="56" t="b">
        <v>0</v>
      </c>
      <c r="C7695" s="56" t="b">
        <v>0</v>
      </c>
      <c r="D7695" s="56" t="b">
        <v>0</v>
      </c>
      <c r="E7695" s="56">
        <f ca="1">IF(PV[[#This Row],[Business Date]]=Control!$C$6, PV[[#This Row],[Notional Value Local Cur]], -PV[[#This Row],[Notional Value Local Cur]])</f>
        <v>0</v>
      </c>
    </row>
    <row r="7696" spans="1:5" x14ac:dyDescent="0.25">
      <c r="A7696" s="36" t="b">
        <v>0</v>
      </c>
      <c r="B7696" s="56" t="b">
        <v>0</v>
      </c>
      <c r="C7696" s="56" t="b">
        <v>0</v>
      </c>
      <c r="D7696" s="56" t="b">
        <v>0</v>
      </c>
      <c r="E7696" s="56">
        <f ca="1">IF(PV[[#This Row],[Business Date]]=Control!$C$6, PV[[#This Row],[Notional Value Local Cur]], -PV[[#This Row],[Notional Value Local Cur]])</f>
        <v>0</v>
      </c>
    </row>
    <row r="7697" spans="1:5" x14ac:dyDescent="0.25">
      <c r="A7697" s="36" t="b">
        <v>0</v>
      </c>
      <c r="B7697" s="56" t="b">
        <v>0</v>
      </c>
      <c r="C7697" s="56" t="b">
        <v>0</v>
      </c>
      <c r="D7697" s="56" t="b">
        <v>0</v>
      </c>
      <c r="E7697" s="56">
        <f ca="1">IF(PV[[#This Row],[Business Date]]=Control!$C$6, PV[[#This Row],[Notional Value Local Cur]], -PV[[#This Row],[Notional Value Local Cur]])</f>
        <v>0</v>
      </c>
    </row>
    <row r="7698" spans="1:5" x14ac:dyDescent="0.25">
      <c r="A7698" s="36" t="b">
        <v>0</v>
      </c>
      <c r="B7698" s="56" t="b">
        <v>0</v>
      </c>
      <c r="C7698" s="56" t="b">
        <v>0</v>
      </c>
      <c r="D7698" s="56" t="b">
        <v>0</v>
      </c>
      <c r="E7698" s="56">
        <f ca="1">IF(PV[[#This Row],[Business Date]]=Control!$C$6, PV[[#This Row],[Notional Value Local Cur]], -PV[[#This Row],[Notional Value Local Cur]])</f>
        <v>0</v>
      </c>
    </row>
    <row r="7699" spans="1:5" x14ac:dyDescent="0.25">
      <c r="A7699" s="36" t="b">
        <v>0</v>
      </c>
      <c r="B7699" s="56" t="b">
        <v>0</v>
      </c>
      <c r="C7699" s="56" t="b">
        <v>0</v>
      </c>
      <c r="D7699" s="56" t="b">
        <v>0</v>
      </c>
      <c r="E7699" s="56">
        <f ca="1">IF(PV[[#This Row],[Business Date]]=Control!$C$6, PV[[#This Row],[Notional Value Local Cur]], -PV[[#This Row],[Notional Value Local Cur]])</f>
        <v>0</v>
      </c>
    </row>
    <row r="7700" spans="1:5" x14ac:dyDescent="0.25">
      <c r="A7700" s="36" t="b">
        <v>0</v>
      </c>
      <c r="B7700" s="56" t="b">
        <v>0</v>
      </c>
      <c r="C7700" s="56" t="b">
        <v>0</v>
      </c>
      <c r="D7700" s="56" t="b">
        <v>0</v>
      </c>
      <c r="E7700" s="56">
        <f ca="1">IF(PV[[#This Row],[Business Date]]=Control!$C$6, PV[[#This Row],[Notional Value Local Cur]], -PV[[#This Row],[Notional Value Local Cur]])</f>
        <v>0</v>
      </c>
    </row>
    <row r="7701" spans="1:5" x14ac:dyDescent="0.25">
      <c r="A7701" s="36" t="b">
        <v>0</v>
      </c>
      <c r="B7701" s="56" t="b">
        <v>0</v>
      </c>
      <c r="C7701" s="56" t="b">
        <v>0</v>
      </c>
      <c r="D7701" s="56" t="b">
        <v>0</v>
      </c>
      <c r="E7701" s="56">
        <f ca="1">IF(PV[[#This Row],[Business Date]]=Control!$C$6, PV[[#This Row],[Notional Value Local Cur]], -PV[[#This Row],[Notional Value Local Cur]])</f>
        <v>0</v>
      </c>
    </row>
    <row r="7702" spans="1:5" x14ac:dyDescent="0.25">
      <c r="A7702" s="36" t="b">
        <v>0</v>
      </c>
      <c r="B7702" s="56" t="b">
        <v>0</v>
      </c>
      <c r="C7702" s="56" t="b">
        <v>0</v>
      </c>
      <c r="D7702" s="56" t="b">
        <v>0</v>
      </c>
      <c r="E7702" s="56">
        <f ca="1">IF(PV[[#This Row],[Business Date]]=Control!$C$6, PV[[#This Row],[Notional Value Local Cur]], -PV[[#This Row],[Notional Value Local Cur]])</f>
        <v>0</v>
      </c>
    </row>
    <row r="7703" spans="1:5" x14ac:dyDescent="0.25">
      <c r="A7703" s="36" t="b">
        <v>0</v>
      </c>
      <c r="B7703" s="56" t="b">
        <v>0</v>
      </c>
      <c r="C7703" s="56" t="b">
        <v>0</v>
      </c>
      <c r="D7703" s="56" t="b">
        <v>0</v>
      </c>
      <c r="E7703" s="56">
        <f ca="1">IF(PV[[#This Row],[Business Date]]=Control!$C$6, PV[[#This Row],[Notional Value Local Cur]], -PV[[#This Row],[Notional Value Local Cur]])</f>
        <v>0</v>
      </c>
    </row>
    <row r="7704" spans="1:5" x14ac:dyDescent="0.25">
      <c r="A7704" s="36" t="b">
        <v>0</v>
      </c>
      <c r="B7704" s="56" t="b">
        <v>0</v>
      </c>
      <c r="C7704" s="56" t="b">
        <v>0</v>
      </c>
      <c r="D7704" s="56" t="b">
        <v>0</v>
      </c>
      <c r="E7704" s="56">
        <f ca="1">IF(PV[[#This Row],[Business Date]]=Control!$C$6, PV[[#This Row],[Notional Value Local Cur]], -PV[[#This Row],[Notional Value Local Cur]])</f>
        <v>0</v>
      </c>
    </row>
    <row r="7705" spans="1:5" x14ac:dyDescent="0.25">
      <c r="A7705" s="36" t="b">
        <v>0</v>
      </c>
      <c r="B7705" s="56" t="b">
        <v>0</v>
      </c>
      <c r="C7705" s="56" t="b">
        <v>0</v>
      </c>
      <c r="D7705" s="56" t="b">
        <v>0</v>
      </c>
      <c r="E7705" s="56">
        <f ca="1">IF(PV[[#This Row],[Business Date]]=Control!$C$6, PV[[#This Row],[Notional Value Local Cur]], -PV[[#This Row],[Notional Value Local Cur]])</f>
        <v>0</v>
      </c>
    </row>
    <row r="7706" spans="1:5" x14ac:dyDescent="0.25">
      <c r="A7706" s="36" t="b">
        <v>0</v>
      </c>
      <c r="B7706" s="56" t="b">
        <v>0</v>
      </c>
      <c r="C7706" s="56" t="b">
        <v>0</v>
      </c>
      <c r="D7706" s="56" t="b">
        <v>0</v>
      </c>
      <c r="E7706" s="56">
        <f ca="1">IF(PV[[#This Row],[Business Date]]=Control!$C$6, PV[[#This Row],[Notional Value Local Cur]], -PV[[#This Row],[Notional Value Local Cur]])</f>
        <v>0</v>
      </c>
    </row>
    <row r="7707" spans="1:5" x14ac:dyDescent="0.25">
      <c r="A7707" s="36" t="b">
        <v>0</v>
      </c>
      <c r="B7707" s="56" t="b">
        <v>0</v>
      </c>
      <c r="C7707" s="56" t="b">
        <v>0</v>
      </c>
      <c r="D7707" s="56" t="b">
        <v>0</v>
      </c>
      <c r="E7707" s="56">
        <f ca="1">IF(PV[[#This Row],[Business Date]]=Control!$C$6, PV[[#This Row],[Notional Value Local Cur]], -PV[[#This Row],[Notional Value Local Cur]])</f>
        <v>0</v>
      </c>
    </row>
    <row r="7708" spans="1:5" x14ac:dyDescent="0.25">
      <c r="A7708" s="36" t="b">
        <v>0</v>
      </c>
      <c r="B7708" s="56" t="b">
        <v>0</v>
      </c>
      <c r="C7708" s="56" t="b">
        <v>0</v>
      </c>
      <c r="D7708" s="56" t="b">
        <v>0</v>
      </c>
      <c r="E7708" s="56">
        <f ca="1">IF(PV[[#This Row],[Business Date]]=Control!$C$6, PV[[#This Row],[Notional Value Local Cur]], -PV[[#This Row],[Notional Value Local Cur]])</f>
        <v>0</v>
      </c>
    </row>
    <row r="7709" spans="1:5" x14ac:dyDescent="0.25">
      <c r="A7709" s="36" t="b">
        <v>0</v>
      </c>
      <c r="B7709" s="56" t="b">
        <v>0</v>
      </c>
      <c r="C7709" s="56" t="b">
        <v>0</v>
      </c>
      <c r="D7709" s="56" t="b">
        <v>0</v>
      </c>
      <c r="E7709" s="56">
        <f ca="1">IF(PV[[#This Row],[Business Date]]=Control!$C$6, PV[[#This Row],[Notional Value Local Cur]], -PV[[#This Row],[Notional Value Local Cur]])</f>
        <v>0</v>
      </c>
    </row>
    <row r="7710" spans="1:5" x14ac:dyDescent="0.25">
      <c r="A7710" s="36" t="b">
        <v>0</v>
      </c>
      <c r="B7710" s="56" t="b">
        <v>0</v>
      </c>
      <c r="C7710" s="56" t="b">
        <v>0</v>
      </c>
      <c r="D7710" s="56" t="b">
        <v>0</v>
      </c>
      <c r="E7710" s="56">
        <f ca="1">IF(PV[[#This Row],[Business Date]]=Control!$C$6, PV[[#This Row],[Notional Value Local Cur]], -PV[[#This Row],[Notional Value Local Cur]])</f>
        <v>0</v>
      </c>
    </row>
    <row r="7711" spans="1:5" x14ac:dyDescent="0.25">
      <c r="A7711" s="36" t="b">
        <v>0</v>
      </c>
      <c r="B7711" s="56" t="b">
        <v>0</v>
      </c>
      <c r="C7711" s="56" t="b">
        <v>0</v>
      </c>
      <c r="D7711" s="56" t="b">
        <v>0</v>
      </c>
      <c r="E7711" s="56">
        <f ca="1">IF(PV[[#This Row],[Business Date]]=Control!$C$6, PV[[#This Row],[Notional Value Local Cur]], -PV[[#This Row],[Notional Value Local Cur]])</f>
        <v>0</v>
      </c>
    </row>
    <row r="7712" spans="1:5" x14ac:dyDescent="0.25">
      <c r="A7712" s="36" t="b">
        <v>0</v>
      </c>
      <c r="B7712" s="56" t="b">
        <v>0</v>
      </c>
      <c r="C7712" s="56" t="b">
        <v>0</v>
      </c>
      <c r="D7712" s="56" t="b">
        <v>0</v>
      </c>
      <c r="E7712" s="56">
        <f ca="1">IF(PV[[#This Row],[Business Date]]=Control!$C$6, PV[[#This Row],[Notional Value Local Cur]], -PV[[#This Row],[Notional Value Local Cur]])</f>
        <v>0</v>
      </c>
    </row>
    <row r="7713" spans="1:5" x14ac:dyDescent="0.25">
      <c r="A7713" s="36" t="b">
        <v>0</v>
      </c>
      <c r="B7713" s="56" t="b">
        <v>0</v>
      </c>
      <c r="C7713" s="56" t="b">
        <v>0</v>
      </c>
      <c r="D7713" s="56" t="b">
        <v>0</v>
      </c>
      <c r="E7713" s="56">
        <f ca="1">IF(PV[[#This Row],[Business Date]]=Control!$C$6, PV[[#This Row],[Notional Value Local Cur]], -PV[[#This Row],[Notional Value Local Cur]])</f>
        <v>0</v>
      </c>
    </row>
    <row r="7714" spans="1:5" x14ac:dyDescent="0.25">
      <c r="A7714" s="36" t="b">
        <v>0</v>
      </c>
      <c r="B7714" s="56" t="b">
        <v>0</v>
      </c>
      <c r="C7714" s="56" t="b">
        <v>0</v>
      </c>
      <c r="D7714" s="56" t="b">
        <v>0</v>
      </c>
      <c r="E7714" s="56">
        <f ca="1">IF(PV[[#This Row],[Business Date]]=Control!$C$6, PV[[#This Row],[Notional Value Local Cur]], -PV[[#This Row],[Notional Value Local Cur]])</f>
        <v>0</v>
      </c>
    </row>
    <row r="7715" spans="1:5" x14ac:dyDescent="0.25">
      <c r="A7715" s="36" t="b">
        <v>0</v>
      </c>
      <c r="B7715" s="56" t="b">
        <v>0</v>
      </c>
      <c r="C7715" s="56" t="b">
        <v>0</v>
      </c>
      <c r="D7715" s="56" t="b">
        <v>0</v>
      </c>
      <c r="E7715" s="56">
        <f ca="1">IF(PV[[#This Row],[Business Date]]=Control!$C$6, PV[[#This Row],[Notional Value Local Cur]], -PV[[#This Row],[Notional Value Local Cur]])</f>
        <v>0</v>
      </c>
    </row>
    <row r="7716" spans="1:5" x14ac:dyDescent="0.25">
      <c r="A7716" s="36" t="b">
        <v>0</v>
      </c>
      <c r="B7716" s="56" t="b">
        <v>0</v>
      </c>
      <c r="C7716" s="56" t="b">
        <v>0</v>
      </c>
      <c r="D7716" s="56" t="b">
        <v>0</v>
      </c>
      <c r="E7716" s="56">
        <f ca="1">IF(PV[[#This Row],[Business Date]]=Control!$C$6, PV[[#This Row],[Notional Value Local Cur]], -PV[[#This Row],[Notional Value Local Cur]])</f>
        <v>0</v>
      </c>
    </row>
    <row r="7717" spans="1:5" x14ac:dyDescent="0.25">
      <c r="A7717" s="36" t="b">
        <v>0</v>
      </c>
      <c r="B7717" s="56" t="b">
        <v>0</v>
      </c>
      <c r="C7717" s="56" t="b">
        <v>0</v>
      </c>
      <c r="D7717" s="56" t="b">
        <v>0</v>
      </c>
      <c r="E7717" s="56">
        <f ca="1">IF(PV[[#This Row],[Business Date]]=Control!$C$6, PV[[#This Row],[Notional Value Local Cur]], -PV[[#This Row],[Notional Value Local Cur]])</f>
        <v>0</v>
      </c>
    </row>
    <row r="7718" spans="1:5" x14ac:dyDescent="0.25">
      <c r="A7718" s="36" t="b">
        <v>0</v>
      </c>
      <c r="B7718" s="56" t="b">
        <v>0</v>
      </c>
      <c r="C7718" s="56" t="b">
        <v>0</v>
      </c>
      <c r="D7718" s="56" t="b">
        <v>0</v>
      </c>
      <c r="E7718" s="56">
        <f ca="1">IF(PV[[#This Row],[Business Date]]=Control!$C$6, PV[[#This Row],[Notional Value Local Cur]], -PV[[#This Row],[Notional Value Local Cur]])</f>
        <v>0</v>
      </c>
    </row>
    <row r="7719" spans="1:5" x14ac:dyDescent="0.25">
      <c r="A7719" s="36" t="b">
        <v>0</v>
      </c>
      <c r="B7719" s="56" t="b">
        <v>0</v>
      </c>
      <c r="C7719" s="56" t="b">
        <v>0</v>
      </c>
      <c r="D7719" s="56" t="b">
        <v>0</v>
      </c>
      <c r="E7719" s="56">
        <f ca="1">IF(PV[[#This Row],[Business Date]]=Control!$C$6, PV[[#This Row],[Notional Value Local Cur]], -PV[[#This Row],[Notional Value Local Cur]])</f>
        <v>0</v>
      </c>
    </row>
    <row r="7720" spans="1:5" x14ac:dyDescent="0.25">
      <c r="A7720" s="36" t="b">
        <v>0</v>
      </c>
      <c r="B7720" s="56" t="b">
        <v>0</v>
      </c>
      <c r="C7720" s="56" t="b">
        <v>0</v>
      </c>
      <c r="D7720" s="56" t="b">
        <v>0</v>
      </c>
      <c r="E7720" s="56">
        <f ca="1">IF(PV[[#This Row],[Business Date]]=Control!$C$6, PV[[#This Row],[Notional Value Local Cur]], -PV[[#This Row],[Notional Value Local Cur]])</f>
        <v>0</v>
      </c>
    </row>
    <row r="7721" spans="1:5" x14ac:dyDescent="0.25">
      <c r="A7721" s="36" t="b">
        <v>0</v>
      </c>
      <c r="B7721" s="56" t="b">
        <v>0</v>
      </c>
      <c r="C7721" s="56" t="b">
        <v>0</v>
      </c>
      <c r="D7721" s="56" t="b">
        <v>0</v>
      </c>
      <c r="E7721" s="56">
        <f ca="1">IF(PV[[#This Row],[Business Date]]=Control!$C$6, PV[[#This Row],[Notional Value Local Cur]], -PV[[#This Row],[Notional Value Local Cur]])</f>
        <v>0</v>
      </c>
    </row>
    <row r="7722" spans="1:5" x14ac:dyDescent="0.25">
      <c r="A7722" s="36" t="b">
        <v>0</v>
      </c>
      <c r="B7722" s="56" t="b">
        <v>0</v>
      </c>
      <c r="C7722" s="56" t="b">
        <v>0</v>
      </c>
      <c r="D7722" s="56" t="b">
        <v>0</v>
      </c>
      <c r="E7722" s="56">
        <f ca="1">IF(PV[[#This Row],[Business Date]]=Control!$C$6, PV[[#This Row],[Notional Value Local Cur]], -PV[[#This Row],[Notional Value Local Cur]])</f>
        <v>0</v>
      </c>
    </row>
    <row r="7723" spans="1:5" x14ac:dyDescent="0.25">
      <c r="A7723" s="36" t="b">
        <v>0</v>
      </c>
      <c r="B7723" s="56" t="b">
        <v>0</v>
      </c>
      <c r="C7723" s="56" t="b">
        <v>0</v>
      </c>
      <c r="D7723" s="56" t="b">
        <v>0</v>
      </c>
      <c r="E7723" s="56">
        <f ca="1">IF(PV[[#This Row],[Business Date]]=Control!$C$6, PV[[#This Row],[Notional Value Local Cur]], -PV[[#This Row],[Notional Value Local Cur]])</f>
        <v>0</v>
      </c>
    </row>
    <row r="7724" spans="1:5" x14ac:dyDescent="0.25">
      <c r="A7724" s="36" t="b">
        <v>0</v>
      </c>
      <c r="B7724" s="56" t="b">
        <v>0</v>
      </c>
      <c r="C7724" s="56" t="b">
        <v>0</v>
      </c>
      <c r="D7724" s="56" t="b">
        <v>0</v>
      </c>
      <c r="E7724" s="56">
        <f ca="1">IF(PV[[#This Row],[Business Date]]=Control!$C$6, PV[[#This Row],[Notional Value Local Cur]], -PV[[#This Row],[Notional Value Local Cur]])</f>
        <v>0</v>
      </c>
    </row>
    <row r="7725" spans="1:5" x14ac:dyDescent="0.25">
      <c r="A7725" s="36" t="b">
        <v>0</v>
      </c>
      <c r="B7725" s="56" t="b">
        <v>0</v>
      </c>
      <c r="C7725" s="56" t="b">
        <v>0</v>
      </c>
      <c r="D7725" s="56" t="b">
        <v>0</v>
      </c>
      <c r="E7725" s="56">
        <f ca="1">IF(PV[[#This Row],[Business Date]]=Control!$C$6, PV[[#This Row],[Notional Value Local Cur]], -PV[[#This Row],[Notional Value Local Cur]])</f>
        <v>0</v>
      </c>
    </row>
    <row r="7726" spans="1:5" x14ac:dyDescent="0.25">
      <c r="A7726" s="36" t="b">
        <v>0</v>
      </c>
      <c r="B7726" s="56" t="b">
        <v>0</v>
      </c>
      <c r="C7726" s="56" t="b">
        <v>0</v>
      </c>
      <c r="D7726" s="56" t="b">
        <v>0</v>
      </c>
      <c r="E7726" s="56">
        <f ca="1">IF(PV[[#This Row],[Business Date]]=Control!$C$6, PV[[#This Row],[Notional Value Local Cur]], -PV[[#This Row],[Notional Value Local Cur]])</f>
        <v>0</v>
      </c>
    </row>
    <row r="7727" spans="1:5" x14ac:dyDescent="0.25">
      <c r="A7727" s="36" t="b">
        <v>0</v>
      </c>
      <c r="B7727" s="56" t="b">
        <v>0</v>
      </c>
      <c r="C7727" s="56" t="b">
        <v>0</v>
      </c>
      <c r="D7727" s="56" t="b">
        <v>0</v>
      </c>
      <c r="E7727" s="56">
        <f ca="1">IF(PV[[#This Row],[Business Date]]=Control!$C$6, PV[[#This Row],[Notional Value Local Cur]], -PV[[#This Row],[Notional Value Local Cur]])</f>
        <v>0</v>
      </c>
    </row>
    <row r="7728" spans="1:5" x14ac:dyDescent="0.25">
      <c r="A7728" s="36" t="b">
        <v>0</v>
      </c>
      <c r="B7728" s="56" t="b">
        <v>0</v>
      </c>
      <c r="C7728" s="56" t="b">
        <v>0</v>
      </c>
      <c r="D7728" s="56" t="b">
        <v>0</v>
      </c>
      <c r="E7728" s="56">
        <f ca="1">IF(PV[[#This Row],[Business Date]]=Control!$C$6, PV[[#This Row],[Notional Value Local Cur]], -PV[[#This Row],[Notional Value Local Cur]])</f>
        <v>0</v>
      </c>
    </row>
    <row r="7729" spans="1:5" x14ac:dyDescent="0.25">
      <c r="A7729" s="36" t="b">
        <v>0</v>
      </c>
      <c r="B7729" s="56" t="b">
        <v>0</v>
      </c>
      <c r="C7729" s="56" t="b">
        <v>0</v>
      </c>
      <c r="D7729" s="56" t="b">
        <v>0</v>
      </c>
      <c r="E7729" s="56">
        <f ca="1">IF(PV[[#This Row],[Business Date]]=Control!$C$6, PV[[#This Row],[Notional Value Local Cur]], -PV[[#This Row],[Notional Value Local Cur]])</f>
        <v>0</v>
      </c>
    </row>
    <row r="7730" spans="1:5" x14ac:dyDescent="0.25">
      <c r="A7730" s="36" t="b">
        <v>0</v>
      </c>
      <c r="B7730" s="56" t="b">
        <v>0</v>
      </c>
      <c r="C7730" s="56" t="b">
        <v>0</v>
      </c>
      <c r="D7730" s="56" t="b">
        <v>0</v>
      </c>
      <c r="E7730" s="56">
        <f ca="1">IF(PV[[#This Row],[Business Date]]=Control!$C$6, PV[[#This Row],[Notional Value Local Cur]], -PV[[#This Row],[Notional Value Local Cur]])</f>
        <v>0</v>
      </c>
    </row>
    <row r="7731" spans="1:5" x14ac:dyDescent="0.25">
      <c r="A7731" s="36" t="b">
        <v>0</v>
      </c>
      <c r="B7731" s="56" t="b">
        <v>0</v>
      </c>
      <c r="C7731" s="56" t="b">
        <v>0</v>
      </c>
      <c r="D7731" s="56" t="b">
        <v>0</v>
      </c>
      <c r="E7731" s="56">
        <f ca="1">IF(PV[[#This Row],[Business Date]]=Control!$C$6, PV[[#This Row],[Notional Value Local Cur]], -PV[[#This Row],[Notional Value Local Cur]])</f>
        <v>0</v>
      </c>
    </row>
    <row r="7732" spans="1:5" x14ac:dyDescent="0.25">
      <c r="A7732" s="36" t="b">
        <v>0</v>
      </c>
      <c r="B7732" s="56" t="b">
        <v>0</v>
      </c>
      <c r="C7732" s="56" t="b">
        <v>0</v>
      </c>
      <c r="D7732" s="56" t="b">
        <v>0</v>
      </c>
      <c r="E7732" s="56">
        <f ca="1">IF(PV[[#This Row],[Business Date]]=Control!$C$6, PV[[#This Row],[Notional Value Local Cur]], -PV[[#This Row],[Notional Value Local Cur]])</f>
        <v>0</v>
      </c>
    </row>
    <row r="7733" spans="1:5" x14ac:dyDescent="0.25">
      <c r="A7733" s="36" t="b">
        <v>0</v>
      </c>
      <c r="B7733" s="56" t="b">
        <v>0</v>
      </c>
      <c r="C7733" s="56" t="b">
        <v>0</v>
      </c>
      <c r="D7733" s="56" t="b">
        <v>0</v>
      </c>
      <c r="E7733" s="56">
        <f ca="1">IF(PV[[#This Row],[Business Date]]=Control!$C$6, PV[[#This Row],[Notional Value Local Cur]], -PV[[#This Row],[Notional Value Local Cur]])</f>
        <v>0</v>
      </c>
    </row>
    <row r="7734" spans="1:5" x14ac:dyDescent="0.25">
      <c r="A7734" s="36" t="b">
        <v>0</v>
      </c>
      <c r="B7734" s="56" t="b">
        <v>0</v>
      </c>
      <c r="C7734" s="56" t="b">
        <v>0</v>
      </c>
      <c r="D7734" s="56" t="b">
        <v>0</v>
      </c>
      <c r="E7734" s="56">
        <f ca="1">IF(PV[[#This Row],[Business Date]]=Control!$C$6, PV[[#This Row],[Notional Value Local Cur]], -PV[[#This Row],[Notional Value Local Cur]])</f>
        <v>0</v>
      </c>
    </row>
    <row r="7735" spans="1:5" x14ac:dyDescent="0.25">
      <c r="A7735" s="36" t="b">
        <v>0</v>
      </c>
      <c r="B7735" s="56" t="b">
        <v>0</v>
      </c>
      <c r="C7735" s="56" t="b">
        <v>0</v>
      </c>
      <c r="D7735" s="56" t="b">
        <v>0</v>
      </c>
      <c r="E7735" s="56">
        <f ca="1">IF(PV[[#This Row],[Business Date]]=Control!$C$6, PV[[#This Row],[Notional Value Local Cur]], -PV[[#This Row],[Notional Value Local Cur]])</f>
        <v>0</v>
      </c>
    </row>
    <row r="7736" spans="1:5" x14ac:dyDescent="0.25">
      <c r="A7736" s="36" t="b">
        <v>0</v>
      </c>
      <c r="B7736" s="56" t="b">
        <v>0</v>
      </c>
      <c r="C7736" s="56" t="b">
        <v>0</v>
      </c>
      <c r="D7736" s="56" t="b">
        <v>0</v>
      </c>
      <c r="E7736" s="56">
        <f ca="1">IF(PV[[#This Row],[Business Date]]=Control!$C$6, PV[[#This Row],[Notional Value Local Cur]], -PV[[#This Row],[Notional Value Local Cur]])</f>
        <v>0</v>
      </c>
    </row>
    <row r="7737" spans="1:5" x14ac:dyDescent="0.25">
      <c r="A7737" s="36" t="b">
        <v>0</v>
      </c>
      <c r="B7737" s="56" t="b">
        <v>0</v>
      </c>
      <c r="C7737" s="56" t="b">
        <v>0</v>
      </c>
      <c r="D7737" s="56" t="b">
        <v>0</v>
      </c>
      <c r="E7737" s="56">
        <f ca="1">IF(PV[[#This Row],[Business Date]]=Control!$C$6, PV[[#This Row],[Notional Value Local Cur]], -PV[[#This Row],[Notional Value Local Cur]])</f>
        <v>0</v>
      </c>
    </row>
    <row r="7738" spans="1:5" x14ac:dyDescent="0.25">
      <c r="A7738" s="36" t="b">
        <v>0</v>
      </c>
      <c r="B7738" s="56" t="b">
        <v>0</v>
      </c>
      <c r="C7738" s="56" t="b">
        <v>0</v>
      </c>
      <c r="D7738" s="56" t="b">
        <v>0</v>
      </c>
      <c r="E7738" s="56">
        <f ca="1">IF(PV[[#This Row],[Business Date]]=Control!$C$6, PV[[#This Row],[Notional Value Local Cur]], -PV[[#This Row],[Notional Value Local Cur]])</f>
        <v>0</v>
      </c>
    </row>
    <row r="7739" spans="1:5" x14ac:dyDescent="0.25">
      <c r="A7739" s="36" t="b">
        <v>0</v>
      </c>
      <c r="B7739" s="56" t="b">
        <v>0</v>
      </c>
      <c r="C7739" s="56" t="b">
        <v>0</v>
      </c>
      <c r="D7739" s="56" t="b">
        <v>0</v>
      </c>
      <c r="E7739" s="56">
        <f ca="1">IF(PV[[#This Row],[Business Date]]=Control!$C$6, PV[[#This Row],[Notional Value Local Cur]], -PV[[#This Row],[Notional Value Local Cur]])</f>
        <v>0</v>
      </c>
    </row>
    <row r="7740" spans="1:5" x14ac:dyDescent="0.25">
      <c r="A7740" s="36" t="b">
        <v>0</v>
      </c>
      <c r="B7740" s="56" t="b">
        <v>0</v>
      </c>
      <c r="C7740" s="56" t="b">
        <v>0</v>
      </c>
      <c r="D7740" s="56" t="b">
        <v>0</v>
      </c>
      <c r="E7740" s="56">
        <f ca="1">IF(PV[[#This Row],[Business Date]]=Control!$C$6, PV[[#This Row],[Notional Value Local Cur]], -PV[[#This Row],[Notional Value Local Cur]])</f>
        <v>0</v>
      </c>
    </row>
    <row r="7741" spans="1:5" x14ac:dyDescent="0.25">
      <c r="A7741" s="36" t="b">
        <v>0</v>
      </c>
      <c r="B7741" s="56" t="b">
        <v>0</v>
      </c>
      <c r="C7741" s="56" t="b">
        <v>0</v>
      </c>
      <c r="D7741" s="56" t="b">
        <v>0</v>
      </c>
      <c r="E7741" s="56">
        <f ca="1">IF(PV[[#This Row],[Business Date]]=Control!$C$6, PV[[#This Row],[Notional Value Local Cur]], -PV[[#This Row],[Notional Value Local Cur]])</f>
        <v>0</v>
      </c>
    </row>
    <row r="7742" spans="1:5" x14ac:dyDescent="0.25">
      <c r="A7742" s="36" t="b">
        <v>0</v>
      </c>
      <c r="B7742" s="56" t="b">
        <v>0</v>
      </c>
      <c r="C7742" s="56" t="b">
        <v>0</v>
      </c>
      <c r="D7742" s="56" t="b">
        <v>0</v>
      </c>
      <c r="E7742" s="56">
        <f ca="1">IF(PV[[#This Row],[Business Date]]=Control!$C$6, PV[[#This Row],[Notional Value Local Cur]], -PV[[#This Row],[Notional Value Local Cur]])</f>
        <v>0</v>
      </c>
    </row>
    <row r="7743" spans="1:5" x14ac:dyDescent="0.25">
      <c r="A7743" s="36" t="b">
        <v>0</v>
      </c>
      <c r="B7743" s="56" t="b">
        <v>0</v>
      </c>
      <c r="C7743" s="56" t="b">
        <v>0</v>
      </c>
      <c r="D7743" s="56" t="b">
        <v>0</v>
      </c>
      <c r="E7743" s="56">
        <f ca="1">IF(PV[[#This Row],[Business Date]]=Control!$C$6, PV[[#This Row],[Notional Value Local Cur]], -PV[[#This Row],[Notional Value Local Cur]])</f>
        <v>0</v>
      </c>
    </row>
    <row r="7744" spans="1:5" x14ac:dyDescent="0.25">
      <c r="A7744" s="36" t="b">
        <v>0</v>
      </c>
      <c r="B7744" s="56" t="b">
        <v>0</v>
      </c>
      <c r="C7744" s="56" t="b">
        <v>0</v>
      </c>
      <c r="D7744" s="56" t="b">
        <v>0</v>
      </c>
      <c r="E7744" s="56">
        <f ca="1">IF(PV[[#This Row],[Business Date]]=Control!$C$6, PV[[#This Row],[Notional Value Local Cur]], -PV[[#This Row],[Notional Value Local Cur]])</f>
        <v>0</v>
      </c>
    </row>
    <row r="7745" spans="1:5" x14ac:dyDescent="0.25">
      <c r="A7745" s="36" t="b">
        <v>0</v>
      </c>
      <c r="B7745" s="56" t="b">
        <v>0</v>
      </c>
      <c r="C7745" s="56" t="b">
        <v>0</v>
      </c>
      <c r="D7745" s="56" t="b">
        <v>0</v>
      </c>
      <c r="E7745" s="56">
        <f ca="1">IF(PV[[#This Row],[Business Date]]=Control!$C$6, PV[[#This Row],[Notional Value Local Cur]], -PV[[#This Row],[Notional Value Local Cur]])</f>
        <v>0</v>
      </c>
    </row>
    <row r="7746" spans="1:5" x14ac:dyDescent="0.25">
      <c r="A7746" s="36" t="b">
        <v>0</v>
      </c>
      <c r="B7746" s="56" t="b">
        <v>0</v>
      </c>
      <c r="C7746" s="56" t="b">
        <v>0</v>
      </c>
      <c r="D7746" s="56" t="b">
        <v>0</v>
      </c>
      <c r="E7746" s="56">
        <f ca="1">IF(PV[[#This Row],[Business Date]]=Control!$C$6, PV[[#This Row],[Notional Value Local Cur]], -PV[[#This Row],[Notional Value Local Cur]])</f>
        <v>0</v>
      </c>
    </row>
    <row r="7747" spans="1:5" x14ac:dyDescent="0.25">
      <c r="A7747" s="36" t="b">
        <v>0</v>
      </c>
      <c r="B7747" s="56" t="b">
        <v>0</v>
      </c>
      <c r="C7747" s="56" t="b">
        <v>0</v>
      </c>
      <c r="D7747" s="56" t="b">
        <v>0</v>
      </c>
      <c r="E7747" s="56">
        <f ca="1">IF(PV[[#This Row],[Business Date]]=Control!$C$6, PV[[#This Row],[Notional Value Local Cur]], -PV[[#This Row],[Notional Value Local Cur]])</f>
        <v>0</v>
      </c>
    </row>
    <row r="7748" spans="1:5" x14ac:dyDescent="0.25">
      <c r="A7748" s="36" t="b">
        <v>0</v>
      </c>
      <c r="B7748" s="56" t="b">
        <v>0</v>
      </c>
      <c r="C7748" s="56" t="b">
        <v>0</v>
      </c>
      <c r="D7748" s="56" t="b">
        <v>0</v>
      </c>
      <c r="E7748" s="56">
        <f ca="1">IF(PV[[#This Row],[Business Date]]=Control!$C$6, PV[[#This Row],[Notional Value Local Cur]], -PV[[#This Row],[Notional Value Local Cur]])</f>
        <v>0</v>
      </c>
    </row>
    <row r="7749" spans="1:5" x14ac:dyDescent="0.25">
      <c r="A7749" s="36" t="b">
        <v>0</v>
      </c>
      <c r="B7749" s="56" t="b">
        <v>0</v>
      </c>
      <c r="C7749" s="56" t="b">
        <v>0</v>
      </c>
      <c r="D7749" s="56" t="b">
        <v>0</v>
      </c>
      <c r="E7749" s="56">
        <f ca="1">IF(PV[[#This Row],[Business Date]]=Control!$C$6, PV[[#This Row],[Notional Value Local Cur]], -PV[[#This Row],[Notional Value Local Cur]])</f>
        <v>0</v>
      </c>
    </row>
    <row r="7750" spans="1:5" x14ac:dyDescent="0.25">
      <c r="A7750" s="36" t="b">
        <v>0</v>
      </c>
      <c r="B7750" s="56" t="b">
        <v>0</v>
      </c>
      <c r="C7750" s="56" t="b">
        <v>0</v>
      </c>
      <c r="D7750" s="56" t="b">
        <v>0</v>
      </c>
      <c r="E7750" s="56">
        <f ca="1">IF(PV[[#This Row],[Business Date]]=Control!$C$6, PV[[#This Row],[Notional Value Local Cur]], -PV[[#This Row],[Notional Value Local Cur]])</f>
        <v>0</v>
      </c>
    </row>
    <row r="7751" spans="1:5" x14ac:dyDescent="0.25">
      <c r="A7751" s="36" t="b">
        <v>0</v>
      </c>
      <c r="B7751" s="56" t="b">
        <v>0</v>
      </c>
      <c r="C7751" s="56" t="b">
        <v>0</v>
      </c>
      <c r="D7751" s="56" t="b">
        <v>0</v>
      </c>
      <c r="E7751" s="56">
        <f ca="1">IF(PV[[#This Row],[Business Date]]=Control!$C$6, PV[[#This Row],[Notional Value Local Cur]], -PV[[#This Row],[Notional Value Local Cur]])</f>
        <v>0</v>
      </c>
    </row>
    <row r="7752" spans="1:5" x14ac:dyDescent="0.25">
      <c r="A7752" s="36" t="b">
        <v>0</v>
      </c>
      <c r="B7752" s="56" t="b">
        <v>0</v>
      </c>
      <c r="C7752" s="56" t="b">
        <v>0</v>
      </c>
      <c r="D7752" s="56" t="b">
        <v>0</v>
      </c>
      <c r="E7752" s="56">
        <f ca="1">IF(PV[[#This Row],[Business Date]]=Control!$C$6, PV[[#This Row],[Notional Value Local Cur]], -PV[[#This Row],[Notional Value Local Cur]])</f>
        <v>0</v>
      </c>
    </row>
    <row r="7753" spans="1:5" x14ac:dyDescent="0.25">
      <c r="A7753" s="36" t="b">
        <v>0</v>
      </c>
      <c r="B7753" s="56" t="b">
        <v>0</v>
      </c>
      <c r="C7753" s="56" t="b">
        <v>0</v>
      </c>
      <c r="D7753" s="56" t="b">
        <v>0</v>
      </c>
      <c r="E7753" s="56">
        <f ca="1">IF(PV[[#This Row],[Business Date]]=Control!$C$6, PV[[#This Row],[Notional Value Local Cur]], -PV[[#This Row],[Notional Value Local Cur]])</f>
        <v>0</v>
      </c>
    </row>
    <row r="7754" spans="1:5" x14ac:dyDescent="0.25">
      <c r="A7754" s="36" t="b">
        <v>0</v>
      </c>
      <c r="B7754" s="56" t="b">
        <v>0</v>
      </c>
      <c r="C7754" s="56" t="b">
        <v>0</v>
      </c>
      <c r="D7754" s="56" t="b">
        <v>0</v>
      </c>
      <c r="E7754" s="56">
        <f ca="1">IF(PV[[#This Row],[Business Date]]=Control!$C$6, PV[[#This Row],[Notional Value Local Cur]], -PV[[#This Row],[Notional Value Local Cur]])</f>
        <v>0</v>
      </c>
    </row>
    <row r="7755" spans="1:5" x14ac:dyDescent="0.25">
      <c r="A7755" s="36" t="b">
        <v>0</v>
      </c>
      <c r="B7755" s="56" t="b">
        <v>0</v>
      </c>
      <c r="C7755" s="56" t="b">
        <v>0</v>
      </c>
      <c r="D7755" s="56" t="b">
        <v>0</v>
      </c>
      <c r="E7755" s="56">
        <f ca="1">IF(PV[[#This Row],[Business Date]]=Control!$C$6, PV[[#This Row],[Notional Value Local Cur]], -PV[[#This Row],[Notional Value Local Cur]])</f>
        <v>0</v>
      </c>
    </row>
    <row r="7756" spans="1:5" x14ac:dyDescent="0.25">
      <c r="A7756" s="36" t="b">
        <v>0</v>
      </c>
      <c r="B7756" s="56" t="b">
        <v>0</v>
      </c>
      <c r="C7756" s="56" t="b">
        <v>0</v>
      </c>
      <c r="D7756" s="56" t="b">
        <v>0</v>
      </c>
      <c r="E7756" s="56">
        <f ca="1">IF(PV[[#This Row],[Business Date]]=Control!$C$6, PV[[#This Row],[Notional Value Local Cur]], -PV[[#This Row],[Notional Value Local Cur]])</f>
        <v>0</v>
      </c>
    </row>
    <row r="7757" spans="1:5" x14ac:dyDescent="0.25">
      <c r="A7757" s="36" t="b">
        <v>0</v>
      </c>
      <c r="B7757" s="56" t="b">
        <v>0</v>
      </c>
      <c r="C7757" s="56" t="b">
        <v>0</v>
      </c>
      <c r="D7757" s="56" t="b">
        <v>0</v>
      </c>
      <c r="E7757" s="56">
        <f ca="1">IF(PV[[#This Row],[Business Date]]=Control!$C$6, PV[[#This Row],[Notional Value Local Cur]], -PV[[#This Row],[Notional Value Local Cur]])</f>
        <v>0</v>
      </c>
    </row>
    <row r="7758" spans="1:5" x14ac:dyDescent="0.25">
      <c r="A7758" s="36" t="b">
        <v>0</v>
      </c>
      <c r="B7758" s="56" t="b">
        <v>0</v>
      </c>
      <c r="C7758" s="56" t="b">
        <v>0</v>
      </c>
      <c r="D7758" s="56" t="b">
        <v>0</v>
      </c>
      <c r="E7758" s="56">
        <f ca="1">IF(PV[[#This Row],[Business Date]]=Control!$C$6, PV[[#This Row],[Notional Value Local Cur]], -PV[[#This Row],[Notional Value Local Cur]])</f>
        <v>0</v>
      </c>
    </row>
    <row r="7759" spans="1:5" x14ac:dyDescent="0.25">
      <c r="A7759" s="36" t="b">
        <v>0</v>
      </c>
      <c r="B7759" s="56" t="b">
        <v>0</v>
      </c>
      <c r="C7759" s="56" t="b">
        <v>0</v>
      </c>
      <c r="D7759" s="56" t="b">
        <v>0</v>
      </c>
      <c r="E7759" s="56">
        <f ca="1">IF(PV[[#This Row],[Business Date]]=Control!$C$6, PV[[#This Row],[Notional Value Local Cur]], -PV[[#This Row],[Notional Value Local Cur]])</f>
        <v>0</v>
      </c>
    </row>
    <row r="7760" spans="1:5" x14ac:dyDescent="0.25">
      <c r="A7760" s="36" t="b">
        <v>0</v>
      </c>
      <c r="B7760" s="56" t="b">
        <v>0</v>
      </c>
      <c r="C7760" s="56" t="b">
        <v>0</v>
      </c>
      <c r="D7760" s="56" t="b">
        <v>0</v>
      </c>
      <c r="E7760" s="56">
        <f ca="1">IF(PV[[#This Row],[Business Date]]=Control!$C$6, PV[[#This Row],[Notional Value Local Cur]], -PV[[#This Row],[Notional Value Local Cur]])</f>
        <v>0</v>
      </c>
    </row>
    <row r="7761" spans="1:5" x14ac:dyDescent="0.25">
      <c r="A7761" s="36" t="b">
        <v>0</v>
      </c>
      <c r="B7761" s="56" t="b">
        <v>0</v>
      </c>
      <c r="C7761" s="56" t="b">
        <v>0</v>
      </c>
      <c r="D7761" s="56" t="b">
        <v>0</v>
      </c>
      <c r="E7761" s="56">
        <f ca="1">IF(PV[[#This Row],[Business Date]]=Control!$C$6, PV[[#This Row],[Notional Value Local Cur]], -PV[[#This Row],[Notional Value Local Cur]])</f>
        <v>0</v>
      </c>
    </row>
    <row r="7762" spans="1:5" x14ac:dyDescent="0.25">
      <c r="A7762" s="36" t="b">
        <v>0</v>
      </c>
      <c r="B7762" s="56" t="b">
        <v>0</v>
      </c>
      <c r="C7762" s="56" t="b">
        <v>0</v>
      </c>
      <c r="D7762" s="56" t="b">
        <v>0</v>
      </c>
      <c r="E7762" s="56">
        <f ca="1">IF(PV[[#This Row],[Business Date]]=Control!$C$6, PV[[#This Row],[Notional Value Local Cur]], -PV[[#This Row],[Notional Value Local Cur]])</f>
        <v>0</v>
      </c>
    </row>
    <row r="7763" spans="1:5" x14ac:dyDescent="0.25">
      <c r="A7763" s="36" t="b">
        <v>0</v>
      </c>
      <c r="B7763" s="56" t="b">
        <v>0</v>
      </c>
      <c r="C7763" s="56" t="b">
        <v>0</v>
      </c>
      <c r="D7763" s="56" t="b">
        <v>0</v>
      </c>
      <c r="E7763" s="56">
        <f ca="1">IF(PV[[#This Row],[Business Date]]=Control!$C$6, PV[[#This Row],[Notional Value Local Cur]], -PV[[#This Row],[Notional Value Local Cur]])</f>
        <v>0</v>
      </c>
    </row>
    <row r="7764" spans="1:5" x14ac:dyDescent="0.25">
      <c r="A7764" s="36" t="b">
        <v>0</v>
      </c>
      <c r="B7764" s="56" t="b">
        <v>0</v>
      </c>
      <c r="C7764" s="56" t="b">
        <v>0</v>
      </c>
      <c r="D7764" s="56" t="b">
        <v>0</v>
      </c>
      <c r="E7764" s="56">
        <f ca="1">IF(PV[[#This Row],[Business Date]]=Control!$C$6, PV[[#This Row],[Notional Value Local Cur]], -PV[[#This Row],[Notional Value Local Cur]])</f>
        <v>0</v>
      </c>
    </row>
    <row r="7765" spans="1:5" x14ac:dyDescent="0.25">
      <c r="A7765" s="36" t="b">
        <v>0</v>
      </c>
      <c r="B7765" s="56" t="b">
        <v>0</v>
      </c>
      <c r="C7765" s="56" t="b">
        <v>0</v>
      </c>
      <c r="D7765" s="56" t="b">
        <v>0</v>
      </c>
      <c r="E7765" s="56">
        <f ca="1">IF(PV[[#This Row],[Business Date]]=Control!$C$6, PV[[#This Row],[Notional Value Local Cur]], -PV[[#This Row],[Notional Value Local Cur]])</f>
        <v>0</v>
      </c>
    </row>
    <row r="7766" spans="1:5" x14ac:dyDescent="0.25">
      <c r="A7766" s="36" t="b">
        <v>0</v>
      </c>
      <c r="B7766" s="56" t="b">
        <v>0</v>
      </c>
      <c r="C7766" s="56" t="b">
        <v>0</v>
      </c>
      <c r="D7766" s="56" t="b">
        <v>0</v>
      </c>
      <c r="E7766" s="56">
        <f ca="1">IF(PV[[#This Row],[Business Date]]=Control!$C$6, PV[[#This Row],[Notional Value Local Cur]], -PV[[#This Row],[Notional Value Local Cur]])</f>
        <v>0</v>
      </c>
    </row>
    <row r="7767" spans="1:5" x14ac:dyDescent="0.25">
      <c r="A7767" s="36" t="b">
        <v>0</v>
      </c>
      <c r="B7767" s="56" t="b">
        <v>0</v>
      </c>
      <c r="C7767" s="56" t="b">
        <v>0</v>
      </c>
      <c r="D7767" s="56" t="b">
        <v>0</v>
      </c>
      <c r="E7767" s="56">
        <f ca="1">IF(PV[[#This Row],[Business Date]]=Control!$C$6, PV[[#This Row],[Notional Value Local Cur]], -PV[[#This Row],[Notional Value Local Cur]])</f>
        <v>0</v>
      </c>
    </row>
    <row r="7768" spans="1:5" x14ac:dyDescent="0.25">
      <c r="A7768" s="36" t="b">
        <v>0</v>
      </c>
      <c r="B7768" s="56" t="b">
        <v>0</v>
      </c>
      <c r="C7768" s="56" t="b">
        <v>0</v>
      </c>
      <c r="D7768" s="56" t="b">
        <v>0</v>
      </c>
      <c r="E7768" s="56">
        <f ca="1">IF(PV[[#This Row],[Business Date]]=Control!$C$6, PV[[#This Row],[Notional Value Local Cur]], -PV[[#This Row],[Notional Value Local Cur]])</f>
        <v>0</v>
      </c>
    </row>
    <row r="7769" spans="1:5" x14ac:dyDescent="0.25">
      <c r="A7769" s="36" t="b">
        <v>0</v>
      </c>
      <c r="B7769" s="56" t="b">
        <v>0</v>
      </c>
      <c r="C7769" s="56" t="b">
        <v>0</v>
      </c>
      <c r="D7769" s="56" t="b">
        <v>0</v>
      </c>
      <c r="E7769" s="56">
        <f ca="1">IF(PV[[#This Row],[Business Date]]=Control!$C$6, PV[[#This Row],[Notional Value Local Cur]], -PV[[#This Row],[Notional Value Local Cur]])</f>
        <v>0</v>
      </c>
    </row>
    <row r="7770" spans="1:5" x14ac:dyDescent="0.25">
      <c r="A7770" s="36" t="b">
        <v>0</v>
      </c>
      <c r="B7770" s="56" t="b">
        <v>0</v>
      </c>
      <c r="C7770" s="56" t="b">
        <v>0</v>
      </c>
      <c r="D7770" s="56" t="b">
        <v>0</v>
      </c>
      <c r="E7770" s="56">
        <f ca="1">IF(PV[[#This Row],[Business Date]]=Control!$C$6, PV[[#This Row],[Notional Value Local Cur]], -PV[[#This Row],[Notional Value Local Cur]])</f>
        <v>0</v>
      </c>
    </row>
    <row r="7771" spans="1:5" x14ac:dyDescent="0.25">
      <c r="A7771" s="36" t="b">
        <v>0</v>
      </c>
      <c r="B7771" s="56" t="b">
        <v>0</v>
      </c>
      <c r="C7771" s="56" t="b">
        <v>0</v>
      </c>
      <c r="D7771" s="56" t="b">
        <v>0</v>
      </c>
      <c r="E7771" s="56">
        <f ca="1">IF(PV[[#This Row],[Business Date]]=Control!$C$6, PV[[#This Row],[Notional Value Local Cur]], -PV[[#This Row],[Notional Value Local Cur]])</f>
        <v>0</v>
      </c>
    </row>
    <row r="7772" spans="1:5" x14ac:dyDescent="0.25">
      <c r="A7772" s="36" t="b">
        <v>0</v>
      </c>
      <c r="B7772" s="56" t="b">
        <v>0</v>
      </c>
      <c r="C7772" s="56" t="b">
        <v>0</v>
      </c>
      <c r="D7772" s="56" t="b">
        <v>0</v>
      </c>
      <c r="E7772" s="56">
        <f ca="1">IF(PV[[#This Row],[Business Date]]=Control!$C$6, PV[[#This Row],[Notional Value Local Cur]], -PV[[#This Row],[Notional Value Local Cur]])</f>
        <v>0</v>
      </c>
    </row>
    <row r="7773" spans="1:5" x14ac:dyDescent="0.25">
      <c r="A7773" s="36" t="b">
        <v>0</v>
      </c>
      <c r="B7773" s="56" t="b">
        <v>0</v>
      </c>
      <c r="C7773" s="56" t="b">
        <v>0</v>
      </c>
      <c r="D7773" s="56" t="b">
        <v>0</v>
      </c>
      <c r="E7773" s="56">
        <f ca="1">IF(PV[[#This Row],[Business Date]]=Control!$C$6, PV[[#This Row],[Notional Value Local Cur]], -PV[[#This Row],[Notional Value Local Cur]])</f>
        <v>0</v>
      </c>
    </row>
    <row r="7774" spans="1:5" x14ac:dyDescent="0.25">
      <c r="A7774" s="36" t="b">
        <v>0</v>
      </c>
      <c r="B7774" s="56" t="b">
        <v>0</v>
      </c>
      <c r="C7774" s="56" t="b">
        <v>0</v>
      </c>
      <c r="D7774" s="56" t="b">
        <v>0</v>
      </c>
      <c r="E7774" s="56">
        <f ca="1">IF(PV[[#This Row],[Business Date]]=Control!$C$6, PV[[#This Row],[Notional Value Local Cur]], -PV[[#This Row],[Notional Value Local Cur]])</f>
        <v>0</v>
      </c>
    </row>
    <row r="7775" spans="1:5" x14ac:dyDescent="0.25">
      <c r="A7775" s="36" t="b">
        <v>0</v>
      </c>
      <c r="B7775" s="56" t="b">
        <v>0</v>
      </c>
      <c r="C7775" s="56" t="b">
        <v>0</v>
      </c>
      <c r="D7775" s="56" t="b">
        <v>0</v>
      </c>
      <c r="E7775" s="56">
        <f ca="1">IF(PV[[#This Row],[Business Date]]=Control!$C$6, PV[[#This Row],[Notional Value Local Cur]], -PV[[#This Row],[Notional Value Local Cur]])</f>
        <v>0</v>
      </c>
    </row>
    <row r="7776" spans="1:5" x14ac:dyDescent="0.25">
      <c r="A7776" s="36" t="b">
        <v>0</v>
      </c>
      <c r="B7776" s="56" t="b">
        <v>0</v>
      </c>
      <c r="C7776" s="56" t="b">
        <v>0</v>
      </c>
      <c r="D7776" s="56" t="b">
        <v>0</v>
      </c>
      <c r="E7776" s="56">
        <f ca="1">IF(PV[[#This Row],[Business Date]]=Control!$C$6, PV[[#This Row],[Notional Value Local Cur]], -PV[[#This Row],[Notional Value Local Cur]])</f>
        <v>0</v>
      </c>
    </row>
    <row r="7777" spans="1:5" x14ac:dyDescent="0.25">
      <c r="A7777" s="36" t="b">
        <v>0</v>
      </c>
      <c r="B7777" s="56" t="b">
        <v>0</v>
      </c>
      <c r="C7777" s="56" t="b">
        <v>0</v>
      </c>
      <c r="D7777" s="56" t="b">
        <v>0</v>
      </c>
      <c r="E7777" s="56">
        <f ca="1">IF(PV[[#This Row],[Business Date]]=Control!$C$6, PV[[#This Row],[Notional Value Local Cur]], -PV[[#This Row],[Notional Value Local Cur]])</f>
        <v>0</v>
      </c>
    </row>
    <row r="7778" spans="1:5" x14ac:dyDescent="0.25">
      <c r="A7778" s="36" t="b">
        <v>0</v>
      </c>
      <c r="B7778" s="56" t="b">
        <v>0</v>
      </c>
      <c r="C7778" s="56" t="b">
        <v>0</v>
      </c>
      <c r="D7778" s="56" t="b">
        <v>0</v>
      </c>
      <c r="E7778" s="56">
        <f ca="1">IF(PV[[#This Row],[Business Date]]=Control!$C$6, PV[[#This Row],[Notional Value Local Cur]], -PV[[#This Row],[Notional Value Local Cur]])</f>
        <v>0</v>
      </c>
    </row>
    <row r="7779" spans="1:5" x14ac:dyDescent="0.25">
      <c r="A7779" s="36" t="b">
        <v>0</v>
      </c>
      <c r="B7779" s="56" t="b">
        <v>0</v>
      </c>
      <c r="C7779" s="56" t="b">
        <v>0</v>
      </c>
      <c r="D7779" s="56" t="b">
        <v>0</v>
      </c>
      <c r="E7779" s="56">
        <f ca="1">IF(PV[[#This Row],[Business Date]]=Control!$C$6, PV[[#This Row],[Notional Value Local Cur]], -PV[[#This Row],[Notional Value Local Cur]])</f>
        <v>0</v>
      </c>
    </row>
    <row r="7780" spans="1:5" x14ac:dyDescent="0.25">
      <c r="A7780" s="36" t="b">
        <v>0</v>
      </c>
      <c r="B7780" s="56" t="b">
        <v>0</v>
      </c>
      <c r="C7780" s="56" t="b">
        <v>0</v>
      </c>
      <c r="D7780" s="56" t="b">
        <v>0</v>
      </c>
      <c r="E7780" s="56">
        <f ca="1">IF(PV[[#This Row],[Business Date]]=Control!$C$6, PV[[#This Row],[Notional Value Local Cur]], -PV[[#This Row],[Notional Value Local Cur]])</f>
        <v>0</v>
      </c>
    </row>
    <row r="7781" spans="1:5" x14ac:dyDescent="0.25">
      <c r="A7781" s="36" t="b">
        <v>0</v>
      </c>
      <c r="B7781" s="56" t="b">
        <v>0</v>
      </c>
      <c r="C7781" s="56" t="b">
        <v>0</v>
      </c>
      <c r="D7781" s="56" t="b">
        <v>0</v>
      </c>
      <c r="E7781" s="56">
        <f ca="1">IF(PV[[#This Row],[Business Date]]=Control!$C$6, PV[[#This Row],[Notional Value Local Cur]], -PV[[#This Row],[Notional Value Local Cur]])</f>
        <v>0</v>
      </c>
    </row>
    <row r="7782" spans="1:5" x14ac:dyDescent="0.25">
      <c r="A7782" s="36" t="b">
        <v>0</v>
      </c>
      <c r="B7782" s="56" t="b">
        <v>0</v>
      </c>
      <c r="C7782" s="56" t="b">
        <v>0</v>
      </c>
      <c r="D7782" s="56" t="b">
        <v>0</v>
      </c>
      <c r="E7782" s="56">
        <f ca="1">IF(PV[[#This Row],[Business Date]]=Control!$C$6, PV[[#This Row],[Notional Value Local Cur]], -PV[[#This Row],[Notional Value Local Cur]])</f>
        <v>0</v>
      </c>
    </row>
    <row r="7783" spans="1:5" x14ac:dyDescent="0.25">
      <c r="A7783" s="36" t="b">
        <v>0</v>
      </c>
      <c r="B7783" s="56" t="b">
        <v>0</v>
      </c>
      <c r="C7783" s="56" t="b">
        <v>0</v>
      </c>
      <c r="D7783" s="56" t="b">
        <v>0</v>
      </c>
      <c r="E7783" s="56">
        <f ca="1">IF(PV[[#This Row],[Business Date]]=Control!$C$6, PV[[#This Row],[Notional Value Local Cur]], -PV[[#This Row],[Notional Value Local Cur]])</f>
        <v>0</v>
      </c>
    </row>
    <row r="7784" spans="1:5" x14ac:dyDescent="0.25">
      <c r="A7784" s="36" t="b">
        <v>0</v>
      </c>
      <c r="B7784" s="56" t="b">
        <v>0</v>
      </c>
      <c r="C7784" s="56" t="b">
        <v>0</v>
      </c>
      <c r="D7784" s="56" t="b">
        <v>0</v>
      </c>
      <c r="E7784" s="56">
        <f ca="1">IF(PV[[#This Row],[Business Date]]=Control!$C$6, PV[[#This Row],[Notional Value Local Cur]], -PV[[#This Row],[Notional Value Local Cur]])</f>
        <v>0</v>
      </c>
    </row>
    <row r="7785" spans="1:5" x14ac:dyDescent="0.25">
      <c r="A7785" s="36" t="b">
        <v>0</v>
      </c>
      <c r="B7785" s="56" t="b">
        <v>0</v>
      </c>
      <c r="C7785" s="56" t="b">
        <v>0</v>
      </c>
      <c r="D7785" s="56" t="b">
        <v>0</v>
      </c>
      <c r="E7785" s="56">
        <f ca="1">IF(PV[[#This Row],[Business Date]]=Control!$C$6, PV[[#This Row],[Notional Value Local Cur]], -PV[[#This Row],[Notional Value Local Cur]])</f>
        <v>0</v>
      </c>
    </row>
    <row r="7786" spans="1:5" x14ac:dyDescent="0.25">
      <c r="A7786" s="36" t="b">
        <v>0</v>
      </c>
      <c r="B7786" s="56" t="b">
        <v>0</v>
      </c>
      <c r="C7786" s="56" t="b">
        <v>0</v>
      </c>
      <c r="D7786" s="56" t="b">
        <v>0</v>
      </c>
      <c r="E7786" s="56">
        <f ca="1">IF(PV[[#This Row],[Business Date]]=Control!$C$6, PV[[#This Row],[Notional Value Local Cur]], -PV[[#This Row],[Notional Value Local Cur]])</f>
        <v>0</v>
      </c>
    </row>
    <row r="7787" spans="1:5" x14ac:dyDescent="0.25">
      <c r="A7787" s="36" t="b">
        <v>0</v>
      </c>
      <c r="B7787" s="56" t="b">
        <v>0</v>
      </c>
      <c r="C7787" s="56" t="b">
        <v>0</v>
      </c>
      <c r="D7787" s="56" t="b">
        <v>0</v>
      </c>
      <c r="E7787" s="56">
        <f ca="1">IF(PV[[#This Row],[Business Date]]=Control!$C$6, PV[[#This Row],[Notional Value Local Cur]], -PV[[#This Row],[Notional Value Local Cur]])</f>
        <v>0</v>
      </c>
    </row>
    <row r="7788" spans="1:5" x14ac:dyDescent="0.25">
      <c r="A7788" s="36" t="b">
        <v>0</v>
      </c>
      <c r="B7788" s="56" t="b">
        <v>0</v>
      </c>
      <c r="C7788" s="56" t="b">
        <v>0</v>
      </c>
      <c r="D7788" s="56" t="b">
        <v>0</v>
      </c>
      <c r="E7788" s="56">
        <f ca="1">IF(PV[[#This Row],[Business Date]]=Control!$C$6, PV[[#This Row],[Notional Value Local Cur]], -PV[[#This Row],[Notional Value Local Cur]])</f>
        <v>0</v>
      </c>
    </row>
    <row r="7789" spans="1:5" x14ac:dyDescent="0.25">
      <c r="A7789" s="36" t="b">
        <v>0</v>
      </c>
      <c r="B7789" s="56" t="b">
        <v>0</v>
      </c>
      <c r="C7789" s="56" t="b">
        <v>0</v>
      </c>
      <c r="D7789" s="56" t="b">
        <v>0</v>
      </c>
      <c r="E7789" s="56">
        <f ca="1">IF(PV[[#This Row],[Business Date]]=Control!$C$6, PV[[#This Row],[Notional Value Local Cur]], -PV[[#This Row],[Notional Value Local Cur]])</f>
        <v>0</v>
      </c>
    </row>
    <row r="7790" spans="1:5" x14ac:dyDescent="0.25">
      <c r="A7790" s="36" t="b">
        <v>0</v>
      </c>
      <c r="B7790" s="56" t="b">
        <v>0</v>
      </c>
      <c r="C7790" s="56" t="b">
        <v>0</v>
      </c>
      <c r="D7790" s="56" t="b">
        <v>0</v>
      </c>
      <c r="E7790" s="56">
        <f ca="1">IF(PV[[#This Row],[Business Date]]=Control!$C$6, PV[[#This Row],[Notional Value Local Cur]], -PV[[#This Row],[Notional Value Local Cur]])</f>
        <v>0</v>
      </c>
    </row>
    <row r="7791" spans="1:5" x14ac:dyDescent="0.25">
      <c r="A7791" s="36" t="b">
        <v>0</v>
      </c>
      <c r="B7791" s="56" t="b">
        <v>0</v>
      </c>
      <c r="C7791" s="56" t="b">
        <v>0</v>
      </c>
      <c r="D7791" s="56" t="b">
        <v>0</v>
      </c>
      <c r="E7791" s="56">
        <f ca="1">IF(PV[[#This Row],[Business Date]]=Control!$C$6, PV[[#This Row],[Notional Value Local Cur]], -PV[[#This Row],[Notional Value Local Cur]])</f>
        <v>0</v>
      </c>
    </row>
    <row r="7792" spans="1:5" x14ac:dyDescent="0.25">
      <c r="A7792" s="36" t="b">
        <v>0</v>
      </c>
      <c r="B7792" s="56" t="b">
        <v>0</v>
      </c>
      <c r="C7792" s="56" t="b">
        <v>0</v>
      </c>
      <c r="D7792" s="56" t="b">
        <v>0</v>
      </c>
      <c r="E7792" s="56">
        <f ca="1">IF(PV[[#This Row],[Business Date]]=Control!$C$6, PV[[#This Row],[Notional Value Local Cur]], -PV[[#This Row],[Notional Value Local Cur]])</f>
        <v>0</v>
      </c>
    </row>
    <row r="7793" spans="1:5" x14ac:dyDescent="0.25">
      <c r="A7793" s="36" t="b">
        <v>0</v>
      </c>
      <c r="B7793" s="56" t="b">
        <v>0</v>
      </c>
      <c r="C7793" s="56" t="b">
        <v>0</v>
      </c>
      <c r="D7793" s="56" t="b">
        <v>0</v>
      </c>
      <c r="E7793" s="56">
        <f ca="1">IF(PV[[#This Row],[Business Date]]=Control!$C$6, PV[[#This Row],[Notional Value Local Cur]], -PV[[#This Row],[Notional Value Local Cur]])</f>
        <v>0</v>
      </c>
    </row>
    <row r="7794" spans="1:5" x14ac:dyDescent="0.25">
      <c r="A7794" s="36" t="b">
        <v>0</v>
      </c>
      <c r="B7794" s="56" t="b">
        <v>0</v>
      </c>
      <c r="C7794" s="56" t="b">
        <v>0</v>
      </c>
      <c r="D7794" s="56" t="b">
        <v>0</v>
      </c>
      <c r="E7794" s="56">
        <f ca="1">IF(PV[[#This Row],[Business Date]]=Control!$C$6, PV[[#This Row],[Notional Value Local Cur]], -PV[[#This Row],[Notional Value Local Cur]])</f>
        <v>0</v>
      </c>
    </row>
    <row r="7795" spans="1:5" x14ac:dyDescent="0.25">
      <c r="A7795" s="36" t="b">
        <v>0</v>
      </c>
      <c r="B7795" s="56" t="b">
        <v>0</v>
      </c>
      <c r="C7795" s="56" t="b">
        <v>0</v>
      </c>
      <c r="D7795" s="56" t="b">
        <v>0</v>
      </c>
      <c r="E7795" s="56">
        <f ca="1">IF(PV[[#This Row],[Business Date]]=Control!$C$6, PV[[#This Row],[Notional Value Local Cur]], -PV[[#This Row],[Notional Value Local Cur]])</f>
        <v>0</v>
      </c>
    </row>
    <row r="7796" spans="1:5" x14ac:dyDescent="0.25">
      <c r="A7796" s="36" t="b">
        <v>0</v>
      </c>
      <c r="B7796" s="56" t="b">
        <v>0</v>
      </c>
      <c r="C7796" s="56" t="b">
        <v>0</v>
      </c>
      <c r="D7796" s="56" t="b">
        <v>0</v>
      </c>
      <c r="E7796" s="56">
        <f ca="1">IF(PV[[#This Row],[Business Date]]=Control!$C$6, PV[[#This Row],[Notional Value Local Cur]], -PV[[#This Row],[Notional Value Local Cur]])</f>
        <v>0</v>
      </c>
    </row>
    <row r="7797" spans="1:5" x14ac:dyDescent="0.25">
      <c r="A7797" s="36" t="b">
        <v>0</v>
      </c>
      <c r="B7797" s="56" t="b">
        <v>0</v>
      </c>
      <c r="C7797" s="56" t="b">
        <v>0</v>
      </c>
      <c r="D7797" s="56" t="b">
        <v>0</v>
      </c>
      <c r="E7797" s="56">
        <f ca="1">IF(PV[[#This Row],[Business Date]]=Control!$C$6, PV[[#This Row],[Notional Value Local Cur]], -PV[[#This Row],[Notional Value Local Cur]])</f>
        <v>0</v>
      </c>
    </row>
    <row r="7798" spans="1:5" x14ac:dyDescent="0.25">
      <c r="A7798" s="36" t="b">
        <v>0</v>
      </c>
      <c r="B7798" s="56" t="b">
        <v>0</v>
      </c>
      <c r="C7798" s="56" t="b">
        <v>0</v>
      </c>
      <c r="D7798" s="56" t="b">
        <v>0</v>
      </c>
      <c r="E7798" s="56">
        <f ca="1">IF(PV[[#This Row],[Business Date]]=Control!$C$6, PV[[#This Row],[Notional Value Local Cur]], -PV[[#This Row],[Notional Value Local Cur]])</f>
        <v>0</v>
      </c>
    </row>
    <row r="7799" spans="1:5" x14ac:dyDescent="0.25">
      <c r="A7799" s="36" t="b">
        <v>0</v>
      </c>
      <c r="B7799" s="56" t="b">
        <v>0</v>
      </c>
      <c r="C7799" s="56" t="b">
        <v>0</v>
      </c>
      <c r="D7799" s="56" t="b">
        <v>0</v>
      </c>
      <c r="E7799" s="56">
        <f ca="1">IF(PV[[#This Row],[Business Date]]=Control!$C$6, PV[[#This Row],[Notional Value Local Cur]], -PV[[#This Row],[Notional Value Local Cur]])</f>
        <v>0</v>
      </c>
    </row>
    <row r="7800" spans="1:5" x14ac:dyDescent="0.25">
      <c r="A7800" s="36" t="b">
        <v>0</v>
      </c>
      <c r="B7800" s="56" t="b">
        <v>0</v>
      </c>
      <c r="C7800" s="56" t="b">
        <v>0</v>
      </c>
      <c r="D7800" s="56" t="b">
        <v>0</v>
      </c>
      <c r="E7800" s="56">
        <f ca="1">IF(PV[[#This Row],[Business Date]]=Control!$C$6, PV[[#This Row],[Notional Value Local Cur]], -PV[[#This Row],[Notional Value Local Cur]])</f>
        <v>0</v>
      </c>
    </row>
    <row r="7801" spans="1:5" x14ac:dyDescent="0.25">
      <c r="A7801" s="36" t="b">
        <v>0</v>
      </c>
      <c r="B7801" s="56" t="b">
        <v>0</v>
      </c>
      <c r="C7801" s="56" t="b">
        <v>0</v>
      </c>
      <c r="D7801" s="56" t="b">
        <v>0</v>
      </c>
      <c r="E7801" s="56">
        <f ca="1">IF(PV[[#This Row],[Business Date]]=Control!$C$6, PV[[#This Row],[Notional Value Local Cur]], -PV[[#This Row],[Notional Value Local Cur]])</f>
        <v>0</v>
      </c>
    </row>
    <row r="7802" spans="1:5" x14ac:dyDescent="0.25">
      <c r="A7802" s="36" t="b">
        <v>0</v>
      </c>
      <c r="B7802" s="56" t="b">
        <v>0</v>
      </c>
      <c r="C7802" s="56" t="b">
        <v>0</v>
      </c>
      <c r="D7802" s="56" t="b">
        <v>0</v>
      </c>
      <c r="E7802" s="56">
        <f ca="1">IF(PV[[#This Row],[Business Date]]=Control!$C$6, PV[[#This Row],[Notional Value Local Cur]], -PV[[#This Row],[Notional Value Local Cur]])</f>
        <v>0</v>
      </c>
    </row>
    <row r="7803" spans="1:5" x14ac:dyDescent="0.25">
      <c r="A7803" s="36" t="b">
        <v>0</v>
      </c>
      <c r="B7803" s="56" t="b">
        <v>0</v>
      </c>
      <c r="C7803" s="56" t="b">
        <v>0</v>
      </c>
      <c r="D7803" s="56" t="b">
        <v>0</v>
      </c>
      <c r="E7803" s="56">
        <f ca="1">IF(PV[[#This Row],[Business Date]]=Control!$C$6, PV[[#This Row],[Notional Value Local Cur]], -PV[[#This Row],[Notional Value Local Cur]])</f>
        <v>0</v>
      </c>
    </row>
    <row r="7804" spans="1:5" x14ac:dyDescent="0.25">
      <c r="A7804" s="36" t="b">
        <v>0</v>
      </c>
      <c r="B7804" s="56" t="b">
        <v>0</v>
      </c>
      <c r="C7804" s="56" t="b">
        <v>0</v>
      </c>
      <c r="D7804" s="56" t="b">
        <v>0</v>
      </c>
      <c r="E7804" s="56">
        <f ca="1">IF(PV[[#This Row],[Business Date]]=Control!$C$6, PV[[#This Row],[Notional Value Local Cur]], -PV[[#This Row],[Notional Value Local Cur]])</f>
        <v>0</v>
      </c>
    </row>
    <row r="7805" spans="1:5" x14ac:dyDescent="0.25">
      <c r="A7805" s="36" t="b">
        <v>0</v>
      </c>
      <c r="B7805" s="56" t="b">
        <v>0</v>
      </c>
      <c r="C7805" s="56" t="b">
        <v>0</v>
      </c>
      <c r="D7805" s="56" t="b">
        <v>0</v>
      </c>
      <c r="E7805" s="56">
        <f ca="1">IF(PV[[#This Row],[Business Date]]=Control!$C$6, PV[[#This Row],[Notional Value Local Cur]], -PV[[#This Row],[Notional Value Local Cur]])</f>
        <v>0</v>
      </c>
    </row>
    <row r="7806" spans="1:5" x14ac:dyDescent="0.25">
      <c r="A7806" s="36" t="b">
        <v>0</v>
      </c>
      <c r="B7806" s="56" t="b">
        <v>0</v>
      </c>
      <c r="C7806" s="56" t="b">
        <v>0</v>
      </c>
      <c r="D7806" s="56" t="b">
        <v>0</v>
      </c>
      <c r="E7806" s="56">
        <f ca="1">IF(PV[[#This Row],[Business Date]]=Control!$C$6, PV[[#This Row],[Notional Value Local Cur]], -PV[[#This Row],[Notional Value Local Cur]])</f>
        <v>0</v>
      </c>
    </row>
    <row r="7807" spans="1:5" x14ac:dyDescent="0.25">
      <c r="A7807" s="36" t="b">
        <v>0</v>
      </c>
      <c r="B7807" s="56" t="b">
        <v>0</v>
      </c>
      <c r="C7807" s="56" t="b">
        <v>0</v>
      </c>
      <c r="D7807" s="56" t="b">
        <v>0</v>
      </c>
      <c r="E7807" s="56">
        <f ca="1">IF(PV[[#This Row],[Business Date]]=Control!$C$6, PV[[#This Row],[Notional Value Local Cur]], -PV[[#This Row],[Notional Value Local Cur]])</f>
        <v>0</v>
      </c>
    </row>
    <row r="7808" spans="1:5" x14ac:dyDescent="0.25">
      <c r="A7808" s="36" t="b">
        <v>0</v>
      </c>
      <c r="B7808" s="56" t="b">
        <v>0</v>
      </c>
      <c r="C7808" s="56" t="b">
        <v>0</v>
      </c>
      <c r="D7808" s="56" t="b">
        <v>0</v>
      </c>
      <c r="E7808" s="56">
        <f ca="1">IF(PV[[#This Row],[Business Date]]=Control!$C$6, PV[[#This Row],[Notional Value Local Cur]], -PV[[#This Row],[Notional Value Local Cur]])</f>
        <v>0</v>
      </c>
    </row>
    <row r="7809" spans="1:5" x14ac:dyDescent="0.25">
      <c r="A7809" s="36" t="b">
        <v>0</v>
      </c>
      <c r="B7809" s="56" t="b">
        <v>0</v>
      </c>
      <c r="C7809" s="56" t="b">
        <v>0</v>
      </c>
      <c r="D7809" s="56" t="b">
        <v>0</v>
      </c>
      <c r="E7809" s="56">
        <f ca="1">IF(PV[[#This Row],[Business Date]]=Control!$C$6, PV[[#This Row],[Notional Value Local Cur]], -PV[[#This Row],[Notional Value Local Cur]])</f>
        <v>0</v>
      </c>
    </row>
    <row r="7810" spans="1:5" x14ac:dyDescent="0.25">
      <c r="A7810" s="36" t="b">
        <v>0</v>
      </c>
      <c r="B7810" s="56" t="b">
        <v>0</v>
      </c>
      <c r="C7810" s="56" t="b">
        <v>0</v>
      </c>
      <c r="D7810" s="56" t="b">
        <v>0</v>
      </c>
      <c r="E7810" s="56">
        <f ca="1">IF(PV[[#This Row],[Business Date]]=Control!$C$6, PV[[#This Row],[Notional Value Local Cur]], -PV[[#This Row],[Notional Value Local Cur]])</f>
        <v>0</v>
      </c>
    </row>
    <row r="7811" spans="1:5" x14ac:dyDescent="0.25">
      <c r="A7811" s="36" t="b">
        <v>0</v>
      </c>
      <c r="B7811" s="56" t="b">
        <v>0</v>
      </c>
      <c r="C7811" s="56" t="b">
        <v>0</v>
      </c>
      <c r="D7811" s="56" t="b">
        <v>0</v>
      </c>
      <c r="E7811" s="56">
        <f ca="1">IF(PV[[#This Row],[Business Date]]=Control!$C$6, PV[[#This Row],[Notional Value Local Cur]], -PV[[#This Row],[Notional Value Local Cur]])</f>
        <v>0</v>
      </c>
    </row>
    <row r="7812" spans="1:5" x14ac:dyDescent="0.25">
      <c r="A7812" s="36" t="b">
        <v>0</v>
      </c>
      <c r="B7812" s="56" t="b">
        <v>0</v>
      </c>
      <c r="C7812" s="56" t="b">
        <v>0</v>
      </c>
      <c r="D7812" s="56" t="b">
        <v>0</v>
      </c>
      <c r="E7812" s="56">
        <f ca="1">IF(PV[[#This Row],[Business Date]]=Control!$C$6, PV[[#This Row],[Notional Value Local Cur]], -PV[[#This Row],[Notional Value Local Cur]])</f>
        <v>0</v>
      </c>
    </row>
    <row r="7813" spans="1:5" x14ac:dyDescent="0.25">
      <c r="A7813" s="36" t="b">
        <v>0</v>
      </c>
      <c r="B7813" s="56" t="b">
        <v>0</v>
      </c>
      <c r="C7813" s="56" t="b">
        <v>0</v>
      </c>
      <c r="D7813" s="56" t="b">
        <v>0</v>
      </c>
      <c r="E7813" s="56">
        <f ca="1">IF(PV[[#This Row],[Business Date]]=Control!$C$6, PV[[#This Row],[Notional Value Local Cur]], -PV[[#This Row],[Notional Value Local Cur]])</f>
        <v>0</v>
      </c>
    </row>
    <row r="7814" spans="1:5" x14ac:dyDescent="0.25">
      <c r="A7814" s="36" t="b">
        <v>0</v>
      </c>
      <c r="B7814" s="56" t="b">
        <v>0</v>
      </c>
      <c r="C7814" s="56" t="b">
        <v>0</v>
      </c>
      <c r="D7814" s="56" t="b">
        <v>0</v>
      </c>
      <c r="E7814" s="56">
        <f ca="1">IF(PV[[#This Row],[Business Date]]=Control!$C$6, PV[[#This Row],[Notional Value Local Cur]], -PV[[#This Row],[Notional Value Local Cur]])</f>
        <v>0</v>
      </c>
    </row>
    <row r="7815" spans="1:5" x14ac:dyDescent="0.25">
      <c r="A7815" s="36" t="b">
        <v>0</v>
      </c>
      <c r="B7815" s="56" t="b">
        <v>0</v>
      </c>
      <c r="C7815" s="56" t="b">
        <v>0</v>
      </c>
      <c r="D7815" s="56" t="b">
        <v>0</v>
      </c>
      <c r="E7815" s="56">
        <f ca="1">IF(PV[[#This Row],[Business Date]]=Control!$C$6, PV[[#This Row],[Notional Value Local Cur]], -PV[[#This Row],[Notional Value Local Cur]])</f>
        <v>0</v>
      </c>
    </row>
    <row r="7816" spans="1:5" x14ac:dyDescent="0.25">
      <c r="A7816" s="36" t="b">
        <v>0</v>
      </c>
      <c r="B7816" s="56" t="b">
        <v>0</v>
      </c>
      <c r="C7816" s="56" t="b">
        <v>0</v>
      </c>
      <c r="D7816" s="56" t="b">
        <v>0</v>
      </c>
      <c r="E7816" s="56">
        <f ca="1">IF(PV[[#This Row],[Business Date]]=Control!$C$6, PV[[#This Row],[Notional Value Local Cur]], -PV[[#This Row],[Notional Value Local Cur]])</f>
        <v>0</v>
      </c>
    </row>
    <row r="7817" spans="1:5" x14ac:dyDescent="0.25">
      <c r="A7817" s="36" t="b">
        <v>0</v>
      </c>
      <c r="B7817" s="56" t="b">
        <v>0</v>
      </c>
      <c r="C7817" s="56" t="b">
        <v>0</v>
      </c>
      <c r="D7817" s="56" t="b">
        <v>0</v>
      </c>
      <c r="E7817" s="56">
        <f ca="1">IF(PV[[#This Row],[Business Date]]=Control!$C$6, PV[[#This Row],[Notional Value Local Cur]], -PV[[#This Row],[Notional Value Local Cur]])</f>
        <v>0</v>
      </c>
    </row>
    <row r="7818" spans="1:5" x14ac:dyDescent="0.25">
      <c r="A7818" s="36" t="b">
        <v>0</v>
      </c>
      <c r="B7818" s="56" t="b">
        <v>0</v>
      </c>
      <c r="C7818" s="56" t="b">
        <v>0</v>
      </c>
      <c r="D7818" s="56" t="b">
        <v>0</v>
      </c>
      <c r="E7818" s="56">
        <f ca="1">IF(PV[[#This Row],[Business Date]]=Control!$C$6, PV[[#This Row],[Notional Value Local Cur]], -PV[[#This Row],[Notional Value Local Cur]])</f>
        <v>0</v>
      </c>
    </row>
    <row r="7819" spans="1:5" x14ac:dyDescent="0.25">
      <c r="A7819" s="36" t="b">
        <v>0</v>
      </c>
      <c r="B7819" s="56" t="b">
        <v>0</v>
      </c>
      <c r="C7819" s="56" t="b">
        <v>0</v>
      </c>
      <c r="D7819" s="56" t="b">
        <v>0</v>
      </c>
      <c r="E7819" s="56">
        <f ca="1">IF(PV[[#This Row],[Business Date]]=Control!$C$6, PV[[#This Row],[Notional Value Local Cur]], -PV[[#This Row],[Notional Value Local Cur]])</f>
        <v>0</v>
      </c>
    </row>
    <row r="7820" spans="1:5" x14ac:dyDescent="0.25">
      <c r="A7820" s="36" t="b">
        <v>0</v>
      </c>
      <c r="B7820" s="56" t="b">
        <v>0</v>
      </c>
      <c r="C7820" s="56" t="b">
        <v>0</v>
      </c>
      <c r="D7820" s="56" t="b">
        <v>0</v>
      </c>
      <c r="E7820" s="56">
        <f ca="1">IF(PV[[#This Row],[Business Date]]=Control!$C$6, PV[[#This Row],[Notional Value Local Cur]], -PV[[#This Row],[Notional Value Local Cur]])</f>
        <v>0</v>
      </c>
    </row>
    <row r="7821" spans="1:5" x14ac:dyDescent="0.25">
      <c r="A7821" s="36" t="b">
        <v>0</v>
      </c>
      <c r="B7821" s="56" t="b">
        <v>0</v>
      </c>
      <c r="C7821" s="56" t="b">
        <v>0</v>
      </c>
      <c r="D7821" s="56" t="b">
        <v>0</v>
      </c>
      <c r="E7821" s="56">
        <f ca="1">IF(PV[[#This Row],[Business Date]]=Control!$C$6, PV[[#This Row],[Notional Value Local Cur]], -PV[[#This Row],[Notional Value Local Cur]])</f>
        <v>0</v>
      </c>
    </row>
    <row r="7822" spans="1:5" x14ac:dyDescent="0.25">
      <c r="A7822" s="36" t="b">
        <v>0</v>
      </c>
      <c r="B7822" s="56" t="b">
        <v>0</v>
      </c>
      <c r="C7822" s="56" t="b">
        <v>0</v>
      </c>
      <c r="D7822" s="56" t="b">
        <v>0</v>
      </c>
      <c r="E7822" s="56">
        <f ca="1">IF(PV[[#This Row],[Business Date]]=Control!$C$6, PV[[#This Row],[Notional Value Local Cur]], -PV[[#This Row],[Notional Value Local Cur]])</f>
        <v>0</v>
      </c>
    </row>
    <row r="7823" spans="1:5" x14ac:dyDescent="0.25">
      <c r="A7823" s="36" t="b">
        <v>0</v>
      </c>
      <c r="B7823" s="56" t="b">
        <v>0</v>
      </c>
      <c r="C7823" s="56" t="b">
        <v>0</v>
      </c>
      <c r="D7823" s="56" t="b">
        <v>0</v>
      </c>
      <c r="E7823" s="56">
        <f ca="1">IF(PV[[#This Row],[Business Date]]=Control!$C$6, PV[[#This Row],[Notional Value Local Cur]], -PV[[#This Row],[Notional Value Local Cur]])</f>
        <v>0</v>
      </c>
    </row>
    <row r="7824" spans="1:5" x14ac:dyDescent="0.25">
      <c r="A7824" s="36" t="b">
        <v>0</v>
      </c>
      <c r="B7824" s="56" t="b">
        <v>0</v>
      </c>
      <c r="C7824" s="56" t="b">
        <v>0</v>
      </c>
      <c r="D7824" s="56" t="b">
        <v>0</v>
      </c>
      <c r="E7824" s="56">
        <f ca="1">IF(PV[[#This Row],[Business Date]]=Control!$C$6, PV[[#This Row],[Notional Value Local Cur]], -PV[[#This Row],[Notional Value Local Cur]])</f>
        <v>0</v>
      </c>
    </row>
    <row r="7825" spans="1:5" x14ac:dyDescent="0.25">
      <c r="A7825" s="36" t="b">
        <v>0</v>
      </c>
      <c r="B7825" s="56" t="b">
        <v>0</v>
      </c>
      <c r="C7825" s="56" t="b">
        <v>0</v>
      </c>
      <c r="D7825" s="56" t="b">
        <v>0</v>
      </c>
      <c r="E7825" s="56">
        <f ca="1">IF(PV[[#This Row],[Business Date]]=Control!$C$6, PV[[#This Row],[Notional Value Local Cur]], -PV[[#This Row],[Notional Value Local Cur]])</f>
        <v>0</v>
      </c>
    </row>
    <row r="7826" spans="1:5" x14ac:dyDescent="0.25">
      <c r="A7826" s="36" t="b">
        <v>0</v>
      </c>
      <c r="B7826" s="56" t="b">
        <v>0</v>
      </c>
      <c r="C7826" s="56" t="b">
        <v>0</v>
      </c>
      <c r="D7826" s="56" t="b">
        <v>0</v>
      </c>
      <c r="E7826" s="56">
        <f ca="1">IF(PV[[#This Row],[Business Date]]=Control!$C$6, PV[[#This Row],[Notional Value Local Cur]], -PV[[#This Row],[Notional Value Local Cur]])</f>
        <v>0</v>
      </c>
    </row>
    <row r="7827" spans="1:5" x14ac:dyDescent="0.25">
      <c r="A7827" s="36" t="b">
        <v>0</v>
      </c>
      <c r="B7827" s="56" t="b">
        <v>0</v>
      </c>
      <c r="C7827" s="56" t="b">
        <v>0</v>
      </c>
      <c r="D7827" s="56" t="b">
        <v>0</v>
      </c>
      <c r="E7827" s="56">
        <f ca="1">IF(PV[[#This Row],[Business Date]]=Control!$C$6, PV[[#This Row],[Notional Value Local Cur]], -PV[[#This Row],[Notional Value Local Cur]])</f>
        <v>0</v>
      </c>
    </row>
    <row r="7828" spans="1:5" x14ac:dyDescent="0.25">
      <c r="A7828" s="36" t="b">
        <v>0</v>
      </c>
      <c r="B7828" s="56" t="b">
        <v>0</v>
      </c>
      <c r="C7828" s="56" t="b">
        <v>0</v>
      </c>
      <c r="D7828" s="56" t="b">
        <v>0</v>
      </c>
      <c r="E7828" s="56">
        <f ca="1">IF(PV[[#This Row],[Business Date]]=Control!$C$6, PV[[#This Row],[Notional Value Local Cur]], -PV[[#This Row],[Notional Value Local Cur]])</f>
        <v>0</v>
      </c>
    </row>
    <row r="7829" spans="1:5" x14ac:dyDescent="0.25">
      <c r="A7829" s="36" t="b">
        <v>0</v>
      </c>
      <c r="B7829" s="56" t="b">
        <v>0</v>
      </c>
      <c r="C7829" s="56" t="b">
        <v>0</v>
      </c>
      <c r="D7829" s="56" t="b">
        <v>0</v>
      </c>
      <c r="E7829" s="56">
        <f ca="1">IF(PV[[#This Row],[Business Date]]=Control!$C$6, PV[[#This Row],[Notional Value Local Cur]], -PV[[#This Row],[Notional Value Local Cur]])</f>
        <v>0</v>
      </c>
    </row>
    <row r="7830" spans="1:5" x14ac:dyDescent="0.25">
      <c r="A7830" s="36" t="b">
        <v>0</v>
      </c>
      <c r="B7830" s="56" t="b">
        <v>0</v>
      </c>
      <c r="C7830" s="56" t="b">
        <v>0</v>
      </c>
      <c r="D7830" s="56" t="b">
        <v>0</v>
      </c>
      <c r="E7830" s="56">
        <f ca="1">IF(PV[[#This Row],[Business Date]]=Control!$C$6, PV[[#This Row],[Notional Value Local Cur]], -PV[[#This Row],[Notional Value Local Cur]])</f>
        <v>0</v>
      </c>
    </row>
    <row r="7831" spans="1:5" x14ac:dyDescent="0.25">
      <c r="A7831" s="36" t="b">
        <v>0</v>
      </c>
      <c r="B7831" s="56" t="b">
        <v>0</v>
      </c>
      <c r="C7831" s="56" t="b">
        <v>0</v>
      </c>
      <c r="D7831" s="56" t="b">
        <v>0</v>
      </c>
      <c r="E7831" s="56">
        <f ca="1">IF(PV[[#This Row],[Business Date]]=Control!$C$6, PV[[#This Row],[Notional Value Local Cur]], -PV[[#This Row],[Notional Value Local Cur]])</f>
        <v>0</v>
      </c>
    </row>
    <row r="7832" spans="1:5" x14ac:dyDescent="0.25">
      <c r="A7832" s="36" t="b">
        <v>0</v>
      </c>
      <c r="B7832" s="56" t="b">
        <v>0</v>
      </c>
      <c r="C7832" s="56" t="b">
        <v>0</v>
      </c>
      <c r="D7832" s="56" t="b">
        <v>0</v>
      </c>
      <c r="E7832" s="56">
        <f ca="1">IF(PV[[#This Row],[Business Date]]=Control!$C$6, PV[[#This Row],[Notional Value Local Cur]], -PV[[#This Row],[Notional Value Local Cur]])</f>
        <v>0</v>
      </c>
    </row>
    <row r="7833" spans="1:5" x14ac:dyDescent="0.25">
      <c r="A7833" s="36" t="b">
        <v>0</v>
      </c>
      <c r="B7833" s="56" t="b">
        <v>0</v>
      </c>
      <c r="C7833" s="56" t="b">
        <v>0</v>
      </c>
      <c r="D7833" s="56" t="b">
        <v>0</v>
      </c>
      <c r="E7833" s="56">
        <f ca="1">IF(PV[[#This Row],[Business Date]]=Control!$C$6, PV[[#This Row],[Notional Value Local Cur]], -PV[[#This Row],[Notional Value Local Cur]])</f>
        <v>0</v>
      </c>
    </row>
    <row r="7834" spans="1:5" x14ac:dyDescent="0.25">
      <c r="A7834" s="36" t="b">
        <v>0</v>
      </c>
      <c r="B7834" s="56" t="b">
        <v>0</v>
      </c>
      <c r="C7834" s="56" t="b">
        <v>0</v>
      </c>
      <c r="D7834" s="56" t="b">
        <v>0</v>
      </c>
      <c r="E7834" s="56">
        <f ca="1">IF(PV[[#This Row],[Business Date]]=Control!$C$6, PV[[#This Row],[Notional Value Local Cur]], -PV[[#This Row],[Notional Value Local Cur]])</f>
        <v>0</v>
      </c>
    </row>
    <row r="7835" spans="1:5" x14ac:dyDescent="0.25">
      <c r="A7835" s="36" t="b">
        <v>0</v>
      </c>
      <c r="B7835" s="56" t="b">
        <v>0</v>
      </c>
      <c r="C7835" s="56" t="b">
        <v>0</v>
      </c>
      <c r="D7835" s="56" t="b">
        <v>0</v>
      </c>
      <c r="E7835" s="56">
        <f ca="1">IF(PV[[#This Row],[Business Date]]=Control!$C$6, PV[[#This Row],[Notional Value Local Cur]], -PV[[#This Row],[Notional Value Local Cur]])</f>
        <v>0</v>
      </c>
    </row>
    <row r="7836" spans="1:5" x14ac:dyDescent="0.25">
      <c r="A7836" s="36" t="b">
        <v>0</v>
      </c>
      <c r="B7836" s="56" t="b">
        <v>0</v>
      </c>
      <c r="C7836" s="56" t="b">
        <v>0</v>
      </c>
      <c r="D7836" s="56" t="b">
        <v>0</v>
      </c>
      <c r="E7836" s="56">
        <f ca="1">IF(PV[[#This Row],[Business Date]]=Control!$C$6, PV[[#This Row],[Notional Value Local Cur]], -PV[[#This Row],[Notional Value Local Cur]])</f>
        <v>0</v>
      </c>
    </row>
    <row r="7837" spans="1:5" x14ac:dyDescent="0.25">
      <c r="A7837" s="36" t="b">
        <v>0</v>
      </c>
      <c r="B7837" s="56" t="b">
        <v>0</v>
      </c>
      <c r="C7837" s="56" t="b">
        <v>0</v>
      </c>
      <c r="D7837" s="56" t="b">
        <v>0</v>
      </c>
      <c r="E7837" s="56">
        <f ca="1">IF(PV[[#This Row],[Business Date]]=Control!$C$6, PV[[#This Row],[Notional Value Local Cur]], -PV[[#This Row],[Notional Value Local Cur]])</f>
        <v>0</v>
      </c>
    </row>
    <row r="7838" spans="1:5" x14ac:dyDescent="0.25">
      <c r="A7838" s="36" t="b">
        <v>0</v>
      </c>
      <c r="B7838" s="56" t="b">
        <v>0</v>
      </c>
      <c r="C7838" s="56" t="b">
        <v>0</v>
      </c>
      <c r="D7838" s="56" t="b">
        <v>0</v>
      </c>
      <c r="E7838" s="56">
        <f ca="1">IF(PV[[#This Row],[Business Date]]=Control!$C$6, PV[[#This Row],[Notional Value Local Cur]], -PV[[#This Row],[Notional Value Local Cur]])</f>
        <v>0</v>
      </c>
    </row>
    <row r="7839" spans="1:5" x14ac:dyDescent="0.25">
      <c r="A7839" s="36" t="b">
        <v>0</v>
      </c>
      <c r="B7839" s="56" t="b">
        <v>0</v>
      </c>
      <c r="C7839" s="56" t="b">
        <v>0</v>
      </c>
      <c r="D7839" s="56" t="b">
        <v>0</v>
      </c>
      <c r="E7839" s="56">
        <f ca="1">IF(PV[[#This Row],[Business Date]]=Control!$C$6, PV[[#This Row],[Notional Value Local Cur]], -PV[[#This Row],[Notional Value Local Cur]])</f>
        <v>0</v>
      </c>
    </row>
    <row r="7840" spans="1:5" x14ac:dyDescent="0.25">
      <c r="A7840" s="36" t="b">
        <v>0</v>
      </c>
      <c r="B7840" s="56" t="b">
        <v>0</v>
      </c>
      <c r="C7840" s="56" t="b">
        <v>0</v>
      </c>
      <c r="D7840" s="56" t="b">
        <v>0</v>
      </c>
      <c r="E7840" s="56">
        <f ca="1">IF(PV[[#This Row],[Business Date]]=Control!$C$6, PV[[#This Row],[Notional Value Local Cur]], -PV[[#This Row],[Notional Value Local Cur]])</f>
        <v>0</v>
      </c>
    </row>
    <row r="7841" spans="1:5" x14ac:dyDescent="0.25">
      <c r="A7841" s="36" t="b">
        <v>0</v>
      </c>
      <c r="B7841" s="56" t="b">
        <v>0</v>
      </c>
      <c r="C7841" s="56" t="b">
        <v>0</v>
      </c>
      <c r="D7841" s="56" t="b">
        <v>0</v>
      </c>
      <c r="E7841" s="56">
        <f ca="1">IF(PV[[#This Row],[Business Date]]=Control!$C$6, PV[[#This Row],[Notional Value Local Cur]], -PV[[#This Row],[Notional Value Local Cur]])</f>
        <v>0</v>
      </c>
    </row>
    <row r="7842" spans="1:5" x14ac:dyDescent="0.25">
      <c r="A7842" s="36" t="b">
        <v>0</v>
      </c>
      <c r="B7842" s="56" t="b">
        <v>0</v>
      </c>
      <c r="C7842" s="56" t="b">
        <v>0</v>
      </c>
      <c r="D7842" s="56" t="b">
        <v>0</v>
      </c>
      <c r="E7842" s="56">
        <f ca="1">IF(PV[[#This Row],[Business Date]]=Control!$C$6, PV[[#This Row],[Notional Value Local Cur]], -PV[[#This Row],[Notional Value Local Cur]])</f>
        <v>0</v>
      </c>
    </row>
    <row r="7843" spans="1:5" x14ac:dyDescent="0.25">
      <c r="A7843" s="36" t="b">
        <v>0</v>
      </c>
      <c r="B7843" s="56" t="b">
        <v>0</v>
      </c>
      <c r="C7843" s="56" t="b">
        <v>0</v>
      </c>
      <c r="D7843" s="56" t="b">
        <v>0</v>
      </c>
      <c r="E7843" s="56">
        <f ca="1">IF(PV[[#This Row],[Business Date]]=Control!$C$6, PV[[#This Row],[Notional Value Local Cur]], -PV[[#This Row],[Notional Value Local Cur]])</f>
        <v>0</v>
      </c>
    </row>
    <row r="7844" spans="1:5" x14ac:dyDescent="0.25">
      <c r="A7844" s="36" t="b">
        <v>0</v>
      </c>
      <c r="B7844" s="56" t="b">
        <v>0</v>
      </c>
      <c r="C7844" s="56" t="b">
        <v>0</v>
      </c>
      <c r="D7844" s="56" t="b">
        <v>0</v>
      </c>
      <c r="E7844" s="56">
        <f ca="1">IF(PV[[#This Row],[Business Date]]=Control!$C$6, PV[[#This Row],[Notional Value Local Cur]], -PV[[#This Row],[Notional Value Local Cur]])</f>
        <v>0</v>
      </c>
    </row>
    <row r="7845" spans="1:5" x14ac:dyDescent="0.25">
      <c r="A7845" s="36" t="b">
        <v>0</v>
      </c>
      <c r="B7845" s="56" t="b">
        <v>0</v>
      </c>
      <c r="C7845" s="56" t="b">
        <v>0</v>
      </c>
      <c r="D7845" s="56" t="b">
        <v>0</v>
      </c>
      <c r="E7845" s="56">
        <f ca="1">IF(PV[[#This Row],[Business Date]]=Control!$C$6, PV[[#This Row],[Notional Value Local Cur]], -PV[[#This Row],[Notional Value Local Cur]])</f>
        <v>0</v>
      </c>
    </row>
    <row r="7846" spans="1:5" x14ac:dyDescent="0.25">
      <c r="A7846" s="36" t="b">
        <v>0</v>
      </c>
      <c r="B7846" s="56" t="b">
        <v>0</v>
      </c>
      <c r="C7846" s="56" t="b">
        <v>0</v>
      </c>
      <c r="D7846" s="56" t="b">
        <v>0</v>
      </c>
      <c r="E7846" s="56">
        <f ca="1">IF(PV[[#This Row],[Business Date]]=Control!$C$6, PV[[#This Row],[Notional Value Local Cur]], -PV[[#This Row],[Notional Value Local Cur]])</f>
        <v>0</v>
      </c>
    </row>
    <row r="7847" spans="1:5" x14ac:dyDescent="0.25">
      <c r="A7847" s="36" t="b">
        <v>0</v>
      </c>
      <c r="B7847" s="56" t="b">
        <v>0</v>
      </c>
      <c r="C7847" s="56" t="b">
        <v>0</v>
      </c>
      <c r="D7847" s="56" t="b">
        <v>0</v>
      </c>
      <c r="E7847" s="56">
        <f ca="1">IF(PV[[#This Row],[Business Date]]=Control!$C$6, PV[[#This Row],[Notional Value Local Cur]], -PV[[#This Row],[Notional Value Local Cur]])</f>
        <v>0</v>
      </c>
    </row>
    <row r="7848" spans="1:5" x14ac:dyDescent="0.25">
      <c r="A7848" s="36" t="b">
        <v>0</v>
      </c>
      <c r="B7848" s="56" t="b">
        <v>0</v>
      </c>
      <c r="C7848" s="56" t="b">
        <v>0</v>
      </c>
      <c r="D7848" s="56" t="b">
        <v>0</v>
      </c>
      <c r="E7848" s="56">
        <f ca="1">IF(PV[[#This Row],[Business Date]]=Control!$C$6, PV[[#This Row],[Notional Value Local Cur]], -PV[[#This Row],[Notional Value Local Cur]])</f>
        <v>0</v>
      </c>
    </row>
    <row r="7849" spans="1:5" x14ac:dyDescent="0.25">
      <c r="A7849" s="36" t="b">
        <v>0</v>
      </c>
      <c r="B7849" s="56" t="b">
        <v>0</v>
      </c>
      <c r="C7849" s="56" t="b">
        <v>0</v>
      </c>
      <c r="D7849" s="56" t="b">
        <v>0</v>
      </c>
      <c r="E7849" s="56">
        <f ca="1">IF(PV[[#This Row],[Business Date]]=Control!$C$6, PV[[#This Row],[Notional Value Local Cur]], -PV[[#This Row],[Notional Value Local Cur]])</f>
        <v>0</v>
      </c>
    </row>
    <row r="7850" spans="1:5" x14ac:dyDescent="0.25">
      <c r="A7850" s="36" t="b">
        <v>0</v>
      </c>
      <c r="B7850" s="56" t="b">
        <v>0</v>
      </c>
      <c r="C7850" s="56" t="b">
        <v>0</v>
      </c>
      <c r="D7850" s="56" t="b">
        <v>0</v>
      </c>
      <c r="E7850" s="56">
        <f ca="1">IF(PV[[#This Row],[Business Date]]=Control!$C$6, PV[[#This Row],[Notional Value Local Cur]], -PV[[#This Row],[Notional Value Local Cur]])</f>
        <v>0</v>
      </c>
    </row>
    <row r="7851" spans="1:5" x14ac:dyDescent="0.25">
      <c r="A7851" s="36" t="b">
        <v>0</v>
      </c>
      <c r="B7851" s="56" t="b">
        <v>0</v>
      </c>
      <c r="C7851" s="56" t="b">
        <v>0</v>
      </c>
      <c r="D7851" s="56" t="b">
        <v>0</v>
      </c>
      <c r="E7851" s="56">
        <f ca="1">IF(PV[[#This Row],[Business Date]]=Control!$C$6, PV[[#This Row],[Notional Value Local Cur]], -PV[[#This Row],[Notional Value Local Cur]])</f>
        <v>0</v>
      </c>
    </row>
    <row r="7852" spans="1:5" x14ac:dyDescent="0.25">
      <c r="A7852" s="36" t="b">
        <v>0</v>
      </c>
      <c r="B7852" s="56" t="b">
        <v>0</v>
      </c>
      <c r="C7852" s="56" t="b">
        <v>0</v>
      </c>
      <c r="D7852" s="56" t="b">
        <v>0</v>
      </c>
      <c r="E7852" s="56">
        <f ca="1">IF(PV[[#This Row],[Business Date]]=Control!$C$6, PV[[#This Row],[Notional Value Local Cur]], -PV[[#This Row],[Notional Value Local Cur]])</f>
        <v>0</v>
      </c>
    </row>
    <row r="7853" spans="1:5" x14ac:dyDescent="0.25">
      <c r="A7853" s="36" t="b">
        <v>0</v>
      </c>
      <c r="B7853" s="56" t="b">
        <v>0</v>
      </c>
      <c r="C7853" s="56" t="b">
        <v>0</v>
      </c>
      <c r="D7853" s="56" t="b">
        <v>0</v>
      </c>
      <c r="E7853" s="56">
        <f ca="1">IF(PV[[#This Row],[Business Date]]=Control!$C$6, PV[[#This Row],[Notional Value Local Cur]], -PV[[#This Row],[Notional Value Local Cur]])</f>
        <v>0</v>
      </c>
    </row>
    <row r="7854" spans="1:5" x14ac:dyDescent="0.25">
      <c r="A7854" s="36" t="b">
        <v>0</v>
      </c>
      <c r="B7854" s="56" t="b">
        <v>0</v>
      </c>
      <c r="C7854" s="56" t="b">
        <v>0</v>
      </c>
      <c r="D7854" s="56" t="b">
        <v>0</v>
      </c>
      <c r="E7854" s="56">
        <f ca="1">IF(PV[[#This Row],[Business Date]]=Control!$C$6, PV[[#This Row],[Notional Value Local Cur]], -PV[[#This Row],[Notional Value Local Cur]])</f>
        <v>0</v>
      </c>
    </row>
    <row r="7855" spans="1:5" x14ac:dyDescent="0.25">
      <c r="A7855" s="36" t="b">
        <v>0</v>
      </c>
      <c r="B7855" s="56" t="b">
        <v>0</v>
      </c>
      <c r="C7855" s="56" t="b">
        <v>0</v>
      </c>
      <c r="D7855" s="56" t="b">
        <v>0</v>
      </c>
      <c r="E7855" s="56">
        <f ca="1">IF(PV[[#This Row],[Business Date]]=Control!$C$6, PV[[#This Row],[Notional Value Local Cur]], -PV[[#This Row],[Notional Value Local Cur]])</f>
        <v>0</v>
      </c>
    </row>
    <row r="7856" spans="1:5" x14ac:dyDescent="0.25">
      <c r="A7856" s="36" t="b">
        <v>0</v>
      </c>
      <c r="B7856" s="56" t="b">
        <v>0</v>
      </c>
      <c r="C7856" s="56" t="b">
        <v>0</v>
      </c>
      <c r="D7856" s="56" t="b">
        <v>0</v>
      </c>
      <c r="E7856" s="56">
        <f ca="1">IF(PV[[#This Row],[Business Date]]=Control!$C$6, PV[[#This Row],[Notional Value Local Cur]], -PV[[#This Row],[Notional Value Local Cur]])</f>
        <v>0</v>
      </c>
    </row>
    <row r="7857" spans="1:5" x14ac:dyDescent="0.25">
      <c r="A7857" s="36" t="b">
        <v>0</v>
      </c>
      <c r="B7857" s="56" t="b">
        <v>0</v>
      </c>
      <c r="C7857" s="56" t="b">
        <v>0</v>
      </c>
      <c r="D7857" s="56" t="b">
        <v>0</v>
      </c>
      <c r="E7857" s="56">
        <f ca="1">IF(PV[[#This Row],[Business Date]]=Control!$C$6, PV[[#This Row],[Notional Value Local Cur]], -PV[[#This Row],[Notional Value Local Cur]])</f>
        <v>0</v>
      </c>
    </row>
    <row r="7858" spans="1:5" x14ac:dyDescent="0.25">
      <c r="A7858" s="36" t="b">
        <v>0</v>
      </c>
      <c r="B7858" s="56" t="b">
        <v>0</v>
      </c>
      <c r="C7858" s="56" t="b">
        <v>0</v>
      </c>
      <c r="D7858" s="56" t="b">
        <v>0</v>
      </c>
      <c r="E7858" s="56">
        <f ca="1">IF(PV[[#This Row],[Business Date]]=Control!$C$6, PV[[#This Row],[Notional Value Local Cur]], -PV[[#This Row],[Notional Value Local Cur]])</f>
        <v>0</v>
      </c>
    </row>
    <row r="7859" spans="1:5" x14ac:dyDescent="0.25">
      <c r="A7859" s="36" t="b">
        <v>0</v>
      </c>
      <c r="B7859" s="56" t="b">
        <v>0</v>
      </c>
      <c r="C7859" s="56" t="b">
        <v>0</v>
      </c>
      <c r="D7859" s="56" t="b">
        <v>0</v>
      </c>
      <c r="E7859" s="56">
        <f ca="1">IF(PV[[#This Row],[Business Date]]=Control!$C$6, PV[[#This Row],[Notional Value Local Cur]], -PV[[#This Row],[Notional Value Local Cur]])</f>
        <v>0</v>
      </c>
    </row>
    <row r="7860" spans="1:5" x14ac:dyDescent="0.25">
      <c r="A7860" s="36" t="b">
        <v>0</v>
      </c>
      <c r="B7860" s="56" t="b">
        <v>0</v>
      </c>
      <c r="C7860" s="56" t="b">
        <v>0</v>
      </c>
      <c r="D7860" s="56" t="b">
        <v>0</v>
      </c>
      <c r="E7860" s="56">
        <f ca="1">IF(PV[[#This Row],[Business Date]]=Control!$C$6, PV[[#This Row],[Notional Value Local Cur]], -PV[[#This Row],[Notional Value Local Cur]])</f>
        <v>0</v>
      </c>
    </row>
    <row r="7861" spans="1:5" x14ac:dyDescent="0.25">
      <c r="A7861" s="36" t="b">
        <v>0</v>
      </c>
      <c r="B7861" s="56" t="b">
        <v>0</v>
      </c>
      <c r="C7861" s="56" t="b">
        <v>0</v>
      </c>
      <c r="D7861" s="56" t="b">
        <v>0</v>
      </c>
      <c r="E7861" s="56">
        <f ca="1">IF(PV[[#This Row],[Business Date]]=Control!$C$6, PV[[#This Row],[Notional Value Local Cur]], -PV[[#This Row],[Notional Value Local Cur]])</f>
        <v>0</v>
      </c>
    </row>
    <row r="7862" spans="1:5" x14ac:dyDescent="0.25">
      <c r="A7862" s="36" t="b">
        <v>0</v>
      </c>
      <c r="B7862" s="56" t="b">
        <v>0</v>
      </c>
      <c r="C7862" s="56" t="b">
        <v>0</v>
      </c>
      <c r="D7862" s="56" t="b">
        <v>0</v>
      </c>
      <c r="E7862" s="56">
        <f ca="1">IF(PV[[#This Row],[Business Date]]=Control!$C$6, PV[[#This Row],[Notional Value Local Cur]], -PV[[#This Row],[Notional Value Local Cur]])</f>
        <v>0</v>
      </c>
    </row>
    <row r="7863" spans="1:5" x14ac:dyDescent="0.25">
      <c r="A7863" s="36" t="b">
        <v>0</v>
      </c>
      <c r="B7863" s="56" t="b">
        <v>0</v>
      </c>
      <c r="C7863" s="56" t="b">
        <v>0</v>
      </c>
      <c r="D7863" s="56" t="b">
        <v>0</v>
      </c>
      <c r="E7863" s="56">
        <f ca="1">IF(PV[[#This Row],[Business Date]]=Control!$C$6, PV[[#This Row],[Notional Value Local Cur]], -PV[[#This Row],[Notional Value Local Cur]])</f>
        <v>0</v>
      </c>
    </row>
    <row r="7864" spans="1:5" x14ac:dyDescent="0.25">
      <c r="A7864" s="36" t="b">
        <v>0</v>
      </c>
      <c r="B7864" s="56" t="b">
        <v>0</v>
      </c>
      <c r="C7864" s="56" t="b">
        <v>0</v>
      </c>
      <c r="D7864" s="56" t="b">
        <v>0</v>
      </c>
      <c r="E7864" s="56">
        <f ca="1">IF(PV[[#This Row],[Business Date]]=Control!$C$6, PV[[#This Row],[Notional Value Local Cur]], -PV[[#This Row],[Notional Value Local Cur]])</f>
        <v>0</v>
      </c>
    </row>
    <row r="7865" spans="1:5" x14ac:dyDescent="0.25">
      <c r="A7865" s="36" t="b">
        <v>0</v>
      </c>
      <c r="B7865" s="56" t="b">
        <v>0</v>
      </c>
      <c r="C7865" s="56" t="b">
        <v>0</v>
      </c>
      <c r="D7865" s="56" t="b">
        <v>0</v>
      </c>
      <c r="E7865" s="56">
        <f ca="1">IF(PV[[#This Row],[Business Date]]=Control!$C$6, PV[[#This Row],[Notional Value Local Cur]], -PV[[#This Row],[Notional Value Local Cur]])</f>
        <v>0</v>
      </c>
    </row>
    <row r="7866" spans="1:5" x14ac:dyDescent="0.25">
      <c r="A7866" s="36" t="b">
        <v>0</v>
      </c>
      <c r="B7866" s="56" t="b">
        <v>0</v>
      </c>
      <c r="C7866" s="56" t="b">
        <v>0</v>
      </c>
      <c r="D7866" s="56" t="b">
        <v>0</v>
      </c>
      <c r="E7866" s="56">
        <f ca="1">IF(PV[[#This Row],[Business Date]]=Control!$C$6, PV[[#This Row],[Notional Value Local Cur]], -PV[[#This Row],[Notional Value Local Cur]])</f>
        <v>0</v>
      </c>
    </row>
    <row r="7867" spans="1:5" x14ac:dyDescent="0.25">
      <c r="A7867" s="36" t="b">
        <v>0</v>
      </c>
      <c r="B7867" s="56" t="b">
        <v>0</v>
      </c>
      <c r="C7867" s="56" t="b">
        <v>0</v>
      </c>
      <c r="D7867" s="56" t="b">
        <v>0</v>
      </c>
      <c r="E7867" s="56">
        <f ca="1">IF(PV[[#This Row],[Business Date]]=Control!$C$6, PV[[#This Row],[Notional Value Local Cur]], -PV[[#This Row],[Notional Value Local Cur]])</f>
        <v>0</v>
      </c>
    </row>
    <row r="7868" spans="1:5" x14ac:dyDescent="0.25">
      <c r="A7868" s="36" t="b">
        <v>0</v>
      </c>
      <c r="B7868" s="56" t="b">
        <v>0</v>
      </c>
      <c r="C7868" s="56" t="b">
        <v>0</v>
      </c>
      <c r="D7868" s="56" t="b">
        <v>0</v>
      </c>
      <c r="E7868" s="56">
        <f ca="1">IF(PV[[#This Row],[Business Date]]=Control!$C$6, PV[[#This Row],[Notional Value Local Cur]], -PV[[#This Row],[Notional Value Local Cur]])</f>
        <v>0</v>
      </c>
    </row>
    <row r="7869" spans="1:5" x14ac:dyDescent="0.25">
      <c r="A7869" s="36" t="b">
        <v>0</v>
      </c>
      <c r="B7869" s="56" t="b">
        <v>0</v>
      </c>
      <c r="C7869" s="56" t="b">
        <v>0</v>
      </c>
      <c r="D7869" s="56" t="b">
        <v>0</v>
      </c>
      <c r="E7869" s="56">
        <f ca="1">IF(PV[[#This Row],[Business Date]]=Control!$C$6, PV[[#This Row],[Notional Value Local Cur]], -PV[[#This Row],[Notional Value Local Cur]])</f>
        <v>0</v>
      </c>
    </row>
    <row r="7870" spans="1:5" x14ac:dyDescent="0.25">
      <c r="A7870" s="36" t="b">
        <v>0</v>
      </c>
      <c r="B7870" s="56" t="b">
        <v>0</v>
      </c>
      <c r="C7870" s="56" t="b">
        <v>0</v>
      </c>
      <c r="D7870" s="56" t="b">
        <v>0</v>
      </c>
      <c r="E7870" s="56">
        <f ca="1">IF(PV[[#This Row],[Business Date]]=Control!$C$6, PV[[#This Row],[Notional Value Local Cur]], -PV[[#This Row],[Notional Value Local Cur]])</f>
        <v>0</v>
      </c>
    </row>
    <row r="7871" spans="1:5" x14ac:dyDescent="0.25">
      <c r="A7871" s="36" t="b">
        <v>0</v>
      </c>
      <c r="B7871" s="56" t="b">
        <v>0</v>
      </c>
      <c r="C7871" s="56" t="b">
        <v>0</v>
      </c>
      <c r="D7871" s="56" t="b">
        <v>0</v>
      </c>
      <c r="E7871" s="56">
        <f ca="1">IF(PV[[#This Row],[Business Date]]=Control!$C$6, PV[[#This Row],[Notional Value Local Cur]], -PV[[#This Row],[Notional Value Local Cur]])</f>
        <v>0</v>
      </c>
    </row>
    <row r="7872" spans="1:5" x14ac:dyDescent="0.25">
      <c r="A7872" s="36" t="b">
        <v>0</v>
      </c>
      <c r="B7872" s="56" t="b">
        <v>0</v>
      </c>
      <c r="C7872" s="56" t="b">
        <v>0</v>
      </c>
      <c r="D7872" s="56" t="b">
        <v>0</v>
      </c>
      <c r="E7872" s="56">
        <f ca="1">IF(PV[[#This Row],[Business Date]]=Control!$C$6, PV[[#This Row],[Notional Value Local Cur]], -PV[[#This Row],[Notional Value Local Cur]])</f>
        <v>0</v>
      </c>
    </row>
    <row r="7873" spans="1:5" x14ac:dyDescent="0.25">
      <c r="A7873" s="36" t="b">
        <v>0</v>
      </c>
      <c r="B7873" s="56" t="b">
        <v>0</v>
      </c>
      <c r="C7873" s="56" t="b">
        <v>0</v>
      </c>
      <c r="D7873" s="56" t="b">
        <v>0</v>
      </c>
      <c r="E7873" s="56">
        <f ca="1">IF(PV[[#This Row],[Business Date]]=Control!$C$6, PV[[#This Row],[Notional Value Local Cur]], -PV[[#This Row],[Notional Value Local Cur]])</f>
        <v>0</v>
      </c>
    </row>
    <row r="7874" spans="1:5" x14ac:dyDescent="0.25">
      <c r="A7874" s="36" t="b">
        <v>0</v>
      </c>
      <c r="B7874" s="56" t="b">
        <v>0</v>
      </c>
      <c r="C7874" s="56" t="b">
        <v>0</v>
      </c>
      <c r="D7874" s="56" t="b">
        <v>0</v>
      </c>
      <c r="E7874" s="56">
        <f ca="1">IF(PV[[#This Row],[Business Date]]=Control!$C$6, PV[[#This Row],[Notional Value Local Cur]], -PV[[#This Row],[Notional Value Local Cur]])</f>
        <v>0</v>
      </c>
    </row>
    <row r="7875" spans="1:5" x14ac:dyDescent="0.25">
      <c r="A7875" s="36" t="b">
        <v>0</v>
      </c>
      <c r="B7875" s="56" t="b">
        <v>0</v>
      </c>
      <c r="C7875" s="56" t="b">
        <v>0</v>
      </c>
      <c r="D7875" s="56" t="b">
        <v>0</v>
      </c>
      <c r="E7875" s="56">
        <f ca="1">IF(PV[[#This Row],[Business Date]]=Control!$C$6, PV[[#This Row],[Notional Value Local Cur]], -PV[[#This Row],[Notional Value Local Cur]])</f>
        <v>0</v>
      </c>
    </row>
    <row r="7876" spans="1:5" x14ac:dyDescent="0.25">
      <c r="A7876" s="36" t="b">
        <v>0</v>
      </c>
      <c r="B7876" s="56" t="b">
        <v>0</v>
      </c>
      <c r="C7876" s="56" t="b">
        <v>0</v>
      </c>
      <c r="D7876" s="56" t="b">
        <v>0</v>
      </c>
      <c r="E7876" s="56">
        <f ca="1">IF(PV[[#This Row],[Business Date]]=Control!$C$6, PV[[#This Row],[Notional Value Local Cur]], -PV[[#This Row],[Notional Value Local Cur]])</f>
        <v>0</v>
      </c>
    </row>
    <row r="7877" spans="1:5" x14ac:dyDescent="0.25">
      <c r="A7877" s="36" t="b">
        <v>0</v>
      </c>
      <c r="B7877" s="56" t="b">
        <v>0</v>
      </c>
      <c r="C7877" s="56" t="b">
        <v>0</v>
      </c>
      <c r="D7877" s="56" t="b">
        <v>0</v>
      </c>
      <c r="E7877" s="56">
        <f ca="1">IF(PV[[#This Row],[Business Date]]=Control!$C$6, PV[[#This Row],[Notional Value Local Cur]], -PV[[#This Row],[Notional Value Local Cur]])</f>
        <v>0</v>
      </c>
    </row>
    <row r="7878" spans="1:5" x14ac:dyDescent="0.25">
      <c r="A7878" s="36" t="b">
        <v>0</v>
      </c>
      <c r="B7878" s="56" t="b">
        <v>0</v>
      </c>
      <c r="C7878" s="56" t="b">
        <v>0</v>
      </c>
      <c r="D7878" s="56" t="b">
        <v>0</v>
      </c>
      <c r="E7878" s="56">
        <f ca="1">IF(PV[[#This Row],[Business Date]]=Control!$C$6, PV[[#This Row],[Notional Value Local Cur]], -PV[[#This Row],[Notional Value Local Cur]])</f>
        <v>0</v>
      </c>
    </row>
    <row r="7879" spans="1:5" x14ac:dyDescent="0.25">
      <c r="A7879" s="36" t="b">
        <v>0</v>
      </c>
      <c r="B7879" s="56" t="b">
        <v>0</v>
      </c>
      <c r="C7879" s="56" t="b">
        <v>0</v>
      </c>
      <c r="D7879" s="56" t="b">
        <v>0</v>
      </c>
      <c r="E7879" s="56">
        <f ca="1">IF(PV[[#This Row],[Business Date]]=Control!$C$6, PV[[#This Row],[Notional Value Local Cur]], -PV[[#This Row],[Notional Value Local Cur]])</f>
        <v>0</v>
      </c>
    </row>
    <row r="7880" spans="1:5" x14ac:dyDescent="0.25">
      <c r="A7880" s="36" t="b">
        <v>0</v>
      </c>
      <c r="B7880" s="56" t="b">
        <v>0</v>
      </c>
      <c r="C7880" s="56" t="b">
        <v>0</v>
      </c>
      <c r="D7880" s="56" t="b">
        <v>0</v>
      </c>
      <c r="E7880" s="56">
        <f ca="1">IF(PV[[#This Row],[Business Date]]=Control!$C$6, PV[[#This Row],[Notional Value Local Cur]], -PV[[#This Row],[Notional Value Local Cur]])</f>
        <v>0</v>
      </c>
    </row>
    <row r="7881" spans="1:5" x14ac:dyDescent="0.25">
      <c r="A7881" s="36" t="b">
        <v>0</v>
      </c>
      <c r="B7881" s="56" t="b">
        <v>0</v>
      </c>
      <c r="C7881" s="56" t="b">
        <v>0</v>
      </c>
      <c r="D7881" s="56" t="b">
        <v>0</v>
      </c>
      <c r="E7881" s="56">
        <f ca="1">IF(PV[[#This Row],[Business Date]]=Control!$C$6, PV[[#This Row],[Notional Value Local Cur]], -PV[[#This Row],[Notional Value Local Cur]])</f>
        <v>0</v>
      </c>
    </row>
    <row r="7882" spans="1:5" x14ac:dyDescent="0.25">
      <c r="A7882" s="36" t="b">
        <v>0</v>
      </c>
      <c r="B7882" s="56" t="b">
        <v>0</v>
      </c>
      <c r="C7882" s="56" t="b">
        <v>0</v>
      </c>
      <c r="D7882" s="56" t="b">
        <v>0</v>
      </c>
      <c r="E7882" s="56">
        <f ca="1">IF(PV[[#This Row],[Business Date]]=Control!$C$6, PV[[#This Row],[Notional Value Local Cur]], -PV[[#This Row],[Notional Value Local Cur]])</f>
        <v>0</v>
      </c>
    </row>
    <row r="7883" spans="1:5" x14ac:dyDescent="0.25">
      <c r="A7883" s="36" t="b">
        <v>0</v>
      </c>
      <c r="B7883" s="56" t="b">
        <v>0</v>
      </c>
      <c r="C7883" s="56" t="b">
        <v>0</v>
      </c>
      <c r="D7883" s="56" t="b">
        <v>0</v>
      </c>
      <c r="E7883" s="56">
        <f ca="1">IF(PV[[#This Row],[Business Date]]=Control!$C$6, PV[[#This Row],[Notional Value Local Cur]], -PV[[#This Row],[Notional Value Local Cur]])</f>
        <v>0</v>
      </c>
    </row>
    <row r="7884" spans="1:5" x14ac:dyDescent="0.25">
      <c r="A7884" s="36" t="b">
        <v>0</v>
      </c>
      <c r="B7884" s="56" t="b">
        <v>0</v>
      </c>
      <c r="C7884" s="56" t="b">
        <v>0</v>
      </c>
      <c r="D7884" s="56" t="b">
        <v>0</v>
      </c>
      <c r="E7884" s="56">
        <f ca="1">IF(PV[[#This Row],[Business Date]]=Control!$C$6, PV[[#This Row],[Notional Value Local Cur]], -PV[[#This Row],[Notional Value Local Cur]])</f>
        <v>0</v>
      </c>
    </row>
    <row r="7885" spans="1:5" x14ac:dyDescent="0.25">
      <c r="A7885" s="36" t="b">
        <v>0</v>
      </c>
      <c r="B7885" s="56" t="b">
        <v>0</v>
      </c>
      <c r="C7885" s="56" t="b">
        <v>0</v>
      </c>
      <c r="D7885" s="56" t="b">
        <v>0</v>
      </c>
      <c r="E7885" s="56">
        <f ca="1">IF(PV[[#This Row],[Business Date]]=Control!$C$6, PV[[#This Row],[Notional Value Local Cur]], -PV[[#This Row],[Notional Value Local Cur]])</f>
        <v>0</v>
      </c>
    </row>
    <row r="7886" spans="1:5" x14ac:dyDescent="0.25">
      <c r="A7886" s="36" t="b">
        <v>0</v>
      </c>
      <c r="B7886" s="56" t="b">
        <v>0</v>
      </c>
      <c r="C7886" s="56" t="b">
        <v>0</v>
      </c>
      <c r="D7886" s="56" t="b">
        <v>0</v>
      </c>
      <c r="E7886" s="56">
        <f ca="1">IF(PV[[#This Row],[Business Date]]=Control!$C$6, PV[[#This Row],[Notional Value Local Cur]], -PV[[#This Row],[Notional Value Local Cur]])</f>
        <v>0</v>
      </c>
    </row>
    <row r="7887" spans="1:5" x14ac:dyDescent="0.25">
      <c r="A7887" s="36" t="b">
        <v>0</v>
      </c>
      <c r="B7887" s="56" t="b">
        <v>0</v>
      </c>
      <c r="C7887" s="56" t="b">
        <v>0</v>
      </c>
      <c r="D7887" s="56" t="b">
        <v>0</v>
      </c>
      <c r="E7887" s="56">
        <f ca="1">IF(PV[[#This Row],[Business Date]]=Control!$C$6, PV[[#This Row],[Notional Value Local Cur]], -PV[[#This Row],[Notional Value Local Cur]])</f>
        <v>0</v>
      </c>
    </row>
    <row r="7888" spans="1:5" x14ac:dyDescent="0.25">
      <c r="A7888" s="36" t="b">
        <v>0</v>
      </c>
      <c r="B7888" s="56" t="b">
        <v>0</v>
      </c>
      <c r="C7888" s="56" t="b">
        <v>0</v>
      </c>
      <c r="D7888" s="56" t="b">
        <v>0</v>
      </c>
      <c r="E7888" s="56">
        <f ca="1">IF(PV[[#This Row],[Business Date]]=Control!$C$6, PV[[#This Row],[Notional Value Local Cur]], -PV[[#This Row],[Notional Value Local Cur]])</f>
        <v>0</v>
      </c>
    </row>
    <row r="7889" spans="1:5" x14ac:dyDescent="0.25">
      <c r="A7889" s="36" t="b">
        <v>0</v>
      </c>
      <c r="B7889" s="56" t="b">
        <v>0</v>
      </c>
      <c r="C7889" s="56" t="b">
        <v>0</v>
      </c>
      <c r="D7889" s="56" t="b">
        <v>0</v>
      </c>
      <c r="E7889" s="56">
        <f ca="1">IF(PV[[#This Row],[Business Date]]=Control!$C$6, PV[[#This Row],[Notional Value Local Cur]], -PV[[#This Row],[Notional Value Local Cur]])</f>
        <v>0</v>
      </c>
    </row>
    <row r="7890" spans="1:5" x14ac:dyDescent="0.25">
      <c r="A7890" s="36" t="b">
        <v>0</v>
      </c>
      <c r="B7890" s="56" t="b">
        <v>0</v>
      </c>
      <c r="C7890" s="56" t="b">
        <v>0</v>
      </c>
      <c r="D7890" s="56" t="b">
        <v>0</v>
      </c>
      <c r="E7890" s="56">
        <f ca="1">IF(PV[[#This Row],[Business Date]]=Control!$C$6, PV[[#This Row],[Notional Value Local Cur]], -PV[[#This Row],[Notional Value Local Cur]])</f>
        <v>0</v>
      </c>
    </row>
    <row r="7891" spans="1:5" x14ac:dyDescent="0.25">
      <c r="A7891" s="36" t="b">
        <v>0</v>
      </c>
      <c r="B7891" s="56" t="b">
        <v>0</v>
      </c>
      <c r="C7891" s="56" t="b">
        <v>0</v>
      </c>
      <c r="D7891" s="56" t="b">
        <v>0</v>
      </c>
      <c r="E7891" s="56">
        <f ca="1">IF(PV[[#This Row],[Business Date]]=Control!$C$6, PV[[#This Row],[Notional Value Local Cur]], -PV[[#This Row],[Notional Value Local Cur]])</f>
        <v>0</v>
      </c>
    </row>
    <row r="7892" spans="1:5" x14ac:dyDescent="0.25">
      <c r="A7892" s="36" t="b">
        <v>0</v>
      </c>
      <c r="B7892" s="56" t="b">
        <v>0</v>
      </c>
      <c r="C7892" s="56" t="b">
        <v>0</v>
      </c>
      <c r="D7892" s="56" t="b">
        <v>0</v>
      </c>
      <c r="E7892" s="56">
        <f ca="1">IF(PV[[#This Row],[Business Date]]=Control!$C$6, PV[[#This Row],[Notional Value Local Cur]], -PV[[#This Row],[Notional Value Local Cur]])</f>
        <v>0</v>
      </c>
    </row>
    <row r="7893" spans="1:5" x14ac:dyDescent="0.25">
      <c r="A7893" s="36" t="b">
        <v>0</v>
      </c>
      <c r="B7893" s="56" t="b">
        <v>0</v>
      </c>
      <c r="C7893" s="56" t="b">
        <v>0</v>
      </c>
      <c r="D7893" s="56" t="b">
        <v>0</v>
      </c>
      <c r="E7893" s="56">
        <f ca="1">IF(PV[[#This Row],[Business Date]]=Control!$C$6, PV[[#This Row],[Notional Value Local Cur]], -PV[[#This Row],[Notional Value Local Cur]])</f>
        <v>0</v>
      </c>
    </row>
    <row r="7894" spans="1:5" x14ac:dyDescent="0.25">
      <c r="A7894" s="36" t="b">
        <v>0</v>
      </c>
      <c r="B7894" s="56" t="b">
        <v>0</v>
      </c>
      <c r="C7894" s="56" t="b">
        <v>0</v>
      </c>
      <c r="D7894" s="56" t="b">
        <v>0</v>
      </c>
      <c r="E7894" s="56">
        <f ca="1">IF(PV[[#This Row],[Business Date]]=Control!$C$6, PV[[#This Row],[Notional Value Local Cur]], -PV[[#This Row],[Notional Value Local Cur]])</f>
        <v>0</v>
      </c>
    </row>
    <row r="7895" spans="1:5" x14ac:dyDescent="0.25">
      <c r="A7895" s="36" t="b">
        <v>0</v>
      </c>
      <c r="B7895" s="56" t="b">
        <v>0</v>
      </c>
      <c r="C7895" s="56" t="b">
        <v>0</v>
      </c>
      <c r="D7895" s="56" t="b">
        <v>0</v>
      </c>
      <c r="E7895" s="56">
        <f ca="1">IF(PV[[#This Row],[Business Date]]=Control!$C$6, PV[[#This Row],[Notional Value Local Cur]], -PV[[#This Row],[Notional Value Local Cur]])</f>
        <v>0</v>
      </c>
    </row>
    <row r="7896" spans="1:5" x14ac:dyDescent="0.25">
      <c r="A7896" s="36" t="b">
        <v>0</v>
      </c>
      <c r="B7896" s="56" t="b">
        <v>0</v>
      </c>
      <c r="C7896" s="56" t="b">
        <v>0</v>
      </c>
      <c r="D7896" s="56" t="b">
        <v>0</v>
      </c>
      <c r="E7896" s="56">
        <f ca="1">IF(PV[[#This Row],[Business Date]]=Control!$C$6, PV[[#This Row],[Notional Value Local Cur]], -PV[[#This Row],[Notional Value Local Cur]])</f>
        <v>0</v>
      </c>
    </row>
    <row r="7897" spans="1:5" x14ac:dyDescent="0.25">
      <c r="A7897" s="36" t="b">
        <v>0</v>
      </c>
      <c r="B7897" s="56" t="b">
        <v>0</v>
      </c>
      <c r="C7897" s="56" t="b">
        <v>0</v>
      </c>
      <c r="D7897" s="56" t="b">
        <v>0</v>
      </c>
      <c r="E7897" s="56">
        <f ca="1">IF(PV[[#This Row],[Business Date]]=Control!$C$6, PV[[#This Row],[Notional Value Local Cur]], -PV[[#This Row],[Notional Value Local Cur]])</f>
        <v>0</v>
      </c>
    </row>
    <row r="7898" spans="1:5" x14ac:dyDescent="0.25">
      <c r="A7898" s="36" t="b">
        <v>0</v>
      </c>
      <c r="B7898" s="56" t="b">
        <v>0</v>
      </c>
      <c r="C7898" s="56" t="b">
        <v>0</v>
      </c>
      <c r="D7898" s="56" t="b">
        <v>0</v>
      </c>
      <c r="E7898" s="56">
        <f ca="1">IF(PV[[#This Row],[Business Date]]=Control!$C$6, PV[[#This Row],[Notional Value Local Cur]], -PV[[#This Row],[Notional Value Local Cur]])</f>
        <v>0</v>
      </c>
    </row>
    <row r="7899" spans="1:5" x14ac:dyDescent="0.25">
      <c r="A7899" s="36" t="b">
        <v>0</v>
      </c>
      <c r="B7899" s="56" t="b">
        <v>0</v>
      </c>
      <c r="C7899" s="56" t="b">
        <v>0</v>
      </c>
      <c r="D7899" s="56" t="b">
        <v>0</v>
      </c>
      <c r="E7899" s="56">
        <f ca="1">IF(PV[[#This Row],[Business Date]]=Control!$C$6, PV[[#This Row],[Notional Value Local Cur]], -PV[[#This Row],[Notional Value Local Cur]])</f>
        <v>0</v>
      </c>
    </row>
    <row r="7900" spans="1:5" x14ac:dyDescent="0.25">
      <c r="A7900" s="36" t="b">
        <v>0</v>
      </c>
      <c r="B7900" s="56" t="b">
        <v>0</v>
      </c>
      <c r="C7900" s="56" t="b">
        <v>0</v>
      </c>
      <c r="D7900" s="56" t="b">
        <v>0</v>
      </c>
      <c r="E7900" s="56">
        <f ca="1">IF(PV[[#This Row],[Business Date]]=Control!$C$6, PV[[#This Row],[Notional Value Local Cur]], -PV[[#This Row],[Notional Value Local Cur]])</f>
        <v>0</v>
      </c>
    </row>
    <row r="7901" spans="1:5" x14ac:dyDescent="0.25">
      <c r="A7901" s="36" t="b">
        <v>0</v>
      </c>
      <c r="B7901" s="56" t="b">
        <v>0</v>
      </c>
      <c r="C7901" s="56" t="b">
        <v>0</v>
      </c>
      <c r="D7901" s="56" t="b">
        <v>0</v>
      </c>
      <c r="E7901" s="56">
        <f ca="1">IF(PV[[#This Row],[Business Date]]=Control!$C$6, PV[[#This Row],[Notional Value Local Cur]], -PV[[#This Row],[Notional Value Local Cur]])</f>
        <v>0</v>
      </c>
    </row>
    <row r="7902" spans="1:5" x14ac:dyDescent="0.25">
      <c r="A7902" s="36" t="b">
        <v>0</v>
      </c>
      <c r="B7902" s="56" t="b">
        <v>0</v>
      </c>
      <c r="C7902" s="56" t="b">
        <v>0</v>
      </c>
      <c r="D7902" s="56" t="b">
        <v>0</v>
      </c>
      <c r="E7902" s="56">
        <f ca="1">IF(PV[[#This Row],[Business Date]]=Control!$C$6, PV[[#This Row],[Notional Value Local Cur]], -PV[[#This Row],[Notional Value Local Cur]])</f>
        <v>0</v>
      </c>
    </row>
    <row r="7903" spans="1:5" x14ac:dyDescent="0.25">
      <c r="A7903" s="36" t="b">
        <v>0</v>
      </c>
      <c r="B7903" s="56" t="b">
        <v>0</v>
      </c>
      <c r="C7903" s="56" t="b">
        <v>0</v>
      </c>
      <c r="D7903" s="56" t="b">
        <v>0</v>
      </c>
      <c r="E7903" s="56">
        <f ca="1">IF(PV[[#This Row],[Business Date]]=Control!$C$6, PV[[#This Row],[Notional Value Local Cur]], -PV[[#This Row],[Notional Value Local Cur]])</f>
        <v>0</v>
      </c>
    </row>
    <row r="7904" spans="1:5" x14ac:dyDescent="0.25">
      <c r="A7904" s="36" t="b">
        <v>0</v>
      </c>
      <c r="B7904" s="56" t="b">
        <v>0</v>
      </c>
      <c r="C7904" s="56" t="b">
        <v>0</v>
      </c>
      <c r="D7904" s="56" t="b">
        <v>0</v>
      </c>
      <c r="E7904" s="56">
        <f ca="1">IF(PV[[#This Row],[Business Date]]=Control!$C$6, PV[[#This Row],[Notional Value Local Cur]], -PV[[#This Row],[Notional Value Local Cur]])</f>
        <v>0</v>
      </c>
    </row>
    <row r="7905" spans="1:5" x14ac:dyDescent="0.25">
      <c r="A7905" s="36" t="b">
        <v>0</v>
      </c>
      <c r="B7905" s="56" t="b">
        <v>0</v>
      </c>
      <c r="C7905" s="56" t="b">
        <v>0</v>
      </c>
      <c r="D7905" s="56" t="b">
        <v>0</v>
      </c>
      <c r="E7905" s="56">
        <f ca="1">IF(PV[[#This Row],[Business Date]]=Control!$C$6, PV[[#This Row],[Notional Value Local Cur]], -PV[[#This Row],[Notional Value Local Cur]])</f>
        <v>0</v>
      </c>
    </row>
    <row r="7906" spans="1:5" x14ac:dyDescent="0.25">
      <c r="A7906" s="36" t="b">
        <v>0</v>
      </c>
      <c r="B7906" s="56" t="b">
        <v>0</v>
      </c>
      <c r="C7906" s="56" t="b">
        <v>0</v>
      </c>
      <c r="D7906" s="56" t="b">
        <v>0</v>
      </c>
      <c r="E7906" s="56">
        <f ca="1">IF(PV[[#This Row],[Business Date]]=Control!$C$6, PV[[#This Row],[Notional Value Local Cur]], -PV[[#This Row],[Notional Value Local Cur]])</f>
        <v>0</v>
      </c>
    </row>
    <row r="7907" spans="1:5" x14ac:dyDescent="0.25">
      <c r="A7907" s="36" t="b">
        <v>0</v>
      </c>
      <c r="B7907" s="56" t="b">
        <v>0</v>
      </c>
      <c r="C7907" s="56" t="b">
        <v>0</v>
      </c>
      <c r="D7907" s="56" t="b">
        <v>0</v>
      </c>
      <c r="E7907" s="56">
        <f ca="1">IF(PV[[#This Row],[Business Date]]=Control!$C$6, PV[[#This Row],[Notional Value Local Cur]], -PV[[#This Row],[Notional Value Local Cur]])</f>
        <v>0</v>
      </c>
    </row>
    <row r="7908" spans="1:5" x14ac:dyDescent="0.25">
      <c r="A7908" s="36" t="b">
        <v>0</v>
      </c>
      <c r="B7908" s="56" t="b">
        <v>0</v>
      </c>
      <c r="C7908" s="56" t="b">
        <v>0</v>
      </c>
      <c r="D7908" s="56" t="b">
        <v>0</v>
      </c>
      <c r="E7908" s="56">
        <f ca="1">IF(PV[[#This Row],[Business Date]]=Control!$C$6, PV[[#This Row],[Notional Value Local Cur]], -PV[[#This Row],[Notional Value Local Cur]])</f>
        <v>0</v>
      </c>
    </row>
    <row r="7909" spans="1:5" x14ac:dyDescent="0.25">
      <c r="A7909" s="36" t="b">
        <v>0</v>
      </c>
      <c r="B7909" s="56" t="b">
        <v>0</v>
      </c>
      <c r="C7909" s="56" t="b">
        <v>0</v>
      </c>
      <c r="D7909" s="56" t="b">
        <v>0</v>
      </c>
      <c r="E7909" s="56">
        <f ca="1">IF(PV[[#This Row],[Business Date]]=Control!$C$6, PV[[#This Row],[Notional Value Local Cur]], -PV[[#This Row],[Notional Value Local Cur]])</f>
        <v>0</v>
      </c>
    </row>
    <row r="7910" spans="1:5" x14ac:dyDescent="0.25">
      <c r="A7910" s="36" t="b">
        <v>0</v>
      </c>
      <c r="B7910" s="56" t="b">
        <v>0</v>
      </c>
      <c r="C7910" s="56" t="b">
        <v>0</v>
      </c>
      <c r="D7910" s="56" t="b">
        <v>0</v>
      </c>
      <c r="E7910" s="56">
        <f ca="1">IF(PV[[#This Row],[Business Date]]=Control!$C$6, PV[[#This Row],[Notional Value Local Cur]], -PV[[#This Row],[Notional Value Local Cur]])</f>
        <v>0</v>
      </c>
    </row>
    <row r="7911" spans="1:5" x14ac:dyDescent="0.25">
      <c r="A7911" s="36" t="b">
        <v>0</v>
      </c>
      <c r="B7911" s="56" t="b">
        <v>0</v>
      </c>
      <c r="C7911" s="56" t="b">
        <v>0</v>
      </c>
      <c r="D7911" s="56" t="b">
        <v>0</v>
      </c>
      <c r="E7911" s="56">
        <f ca="1">IF(PV[[#This Row],[Business Date]]=Control!$C$6, PV[[#This Row],[Notional Value Local Cur]], -PV[[#This Row],[Notional Value Local Cur]])</f>
        <v>0</v>
      </c>
    </row>
    <row r="7912" spans="1:5" x14ac:dyDescent="0.25">
      <c r="A7912" s="36" t="b">
        <v>0</v>
      </c>
      <c r="B7912" s="56" t="b">
        <v>0</v>
      </c>
      <c r="C7912" s="56" t="b">
        <v>0</v>
      </c>
      <c r="D7912" s="56" t="b">
        <v>0</v>
      </c>
      <c r="E7912" s="56">
        <f ca="1">IF(PV[[#This Row],[Business Date]]=Control!$C$6, PV[[#This Row],[Notional Value Local Cur]], -PV[[#This Row],[Notional Value Local Cur]])</f>
        <v>0</v>
      </c>
    </row>
    <row r="7913" spans="1:5" x14ac:dyDescent="0.25">
      <c r="A7913" s="36" t="b">
        <v>0</v>
      </c>
      <c r="B7913" s="56" t="b">
        <v>0</v>
      </c>
      <c r="C7913" s="56" t="b">
        <v>0</v>
      </c>
      <c r="D7913" s="56" t="b">
        <v>0</v>
      </c>
      <c r="E7913" s="56">
        <f ca="1">IF(PV[[#This Row],[Business Date]]=Control!$C$6, PV[[#This Row],[Notional Value Local Cur]], -PV[[#This Row],[Notional Value Local Cur]])</f>
        <v>0</v>
      </c>
    </row>
    <row r="7914" spans="1:5" x14ac:dyDescent="0.25">
      <c r="A7914" s="36" t="b">
        <v>0</v>
      </c>
      <c r="B7914" s="56" t="b">
        <v>0</v>
      </c>
      <c r="C7914" s="56" t="b">
        <v>0</v>
      </c>
      <c r="D7914" s="56" t="b">
        <v>0</v>
      </c>
      <c r="E7914" s="56">
        <f ca="1">IF(PV[[#This Row],[Business Date]]=Control!$C$6, PV[[#This Row],[Notional Value Local Cur]], -PV[[#This Row],[Notional Value Local Cur]])</f>
        <v>0</v>
      </c>
    </row>
    <row r="7915" spans="1:5" x14ac:dyDescent="0.25">
      <c r="A7915" s="36" t="b">
        <v>0</v>
      </c>
      <c r="B7915" s="56" t="b">
        <v>0</v>
      </c>
      <c r="C7915" s="56" t="b">
        <v>0</v>
      </c>
      <c r="D7915" s="56" t="b">
        <v>0</v>
      </c>
      <c r="E7915" s="56">
        <f ca="1">IF(PV[[#This Row],[Business Date]]=Control!$C$6, PV[[#This Row],[Notional Value Local Cur]], -PV[[#This Row],[Notional Value Local Cur]])</f>
        <v>0</v>
      </c>
    </row>
    <row r="7916" spans="1:5" x14ac:dyDescent="0.25">
      <c r="A7916" s="36" t="b">
        <v>0</v>
      </c>
      <c r="B7916" s="56" t="b">
        <v>0</v>
      </c>
      <c r="C7916" s="56" t="b">
        <v>0</v>
      </c>
      <c r="D7916" s="56" t="b">
        <v>0</v>
      </c>
      <c r="E7916" s="56">
        <f ca="1">IF(PV[[#This Row],[Business Date]]=Control!$C$6, PV[[#This Row],[Notional Value Local Cur]], -PV[[#This Row],[Notional Value Local Cur]])</f>
        <v>0</v>
      </c>
    </row>
    <row r="7917" spans="1:5" x14ac:dyDescent="0.25">
      <c r="A7917" s="36" t="b">
        <v>0</v>
      </c>
      <c r="B7917" s="56" t="b">
        <v>0</v>
      </c>
      <c r="C7917" s="56" t="b">
        <v>0</v>
      </c>
      <c r="D7917" s="56" t="b">
        <v>0</v>
      </c>
      <c r="E7917" s="56">
        <f ca="1">IF(PV[[#This Row],[Business Date]]=Control!$C$6, PV[[#This Row],[Notional Value Local Cur]], -PV[[#This Row],[Notional Value Local Cur]])</f>
        <v>0</v>
      </c>
    </row>
    <row r="7918" spans="1:5" x14ac:dyDescent="0.25">
      <c r="A7918" s="36" t="b">
        <v>0</v>
      </c>
      <c r="B7918" s="56" t="b">
        <v>0</v>
      </c>
      <c r="C7918" s="56" t="b">
        <v>0</v>
      </c>
      <c r="D7918" s="56" t="b">
        <v>0</v>
      </c>
      <c r="E7918" s="56">
        <f ca="1">IF(PV[[#This Row],[Business Date]]=Control!$C$6, PV[[#This Row],[Notional Value Local Cur]], -PV[[#This Row],[Notional Value Local Cur]])</f>
        <v>0</v>
      </c>
    </row>
    <row r="7919" spans="1:5" x14ac:dyDescent="0.25">
      <c r="A7919" s="36" t="b">
        <v>0</v>
      </c>
      <c r="B7919" s="56" t="b">
        <v>0</v>
      </c>
      <c r="C7919" s="56" t="b">
        <v>0</v>
      </c>
      <c r="D7919" s="56" t="b">
        <v>0</v>
      </c>
      <c r="E7919" s="56">
        <f ca="1">IF(PV[[#This Row],[Business Date]]=Control!$C$6, PV[[#This Row],[Notional Value Local Cur]], -PV[[#This Row],[Notional Value Local Cur]])</f>
        <v>0</v>
      </c>
    </row>
    <row r="7920" spans="1:5" x14ac:dyDescent="0.25">
      <c r="A7920" s="36" t="b">
        <v>0</v>
      </c>
      <c r="B7920" s="56" t="b">
        <v>0</v>
      </c>
      <c r="C7920" s="56" t="b">
        <v>0</v>
      </c>
      <c r="D7920" s="56" t="b">
        <v>0</v>
      </c>
      <c r="E7920" s="56">
        <f ca="1">IF(PV[[#This Row],[Business Date]]=Control!$C$6, PV[[#This Row],[Notional Value Local Cur]], -PV[[#This Row],[Notional Value Local Cur]])</f>
        <v>0</v>
      </c>
    </row>
    <row r="7921" spans="1:5" x14ac:dyDescent="0.25">
      <c r="A7921" s="36" t="b">
        <v>0</v>
      </c>
      <c r="B7921" s="56" t="b">
        <v>0</v>
      </c>
      <c r="C7921" s="56" t="b">
        <v>0</v>
      </c>
      <c r="D7921" s="56" t="b">
        <v>0</v>
      </c>
      <c r="E7921" s="56">
        <f ca="1">IF(PV[[#This Row],[Business Date]]=Control!$C$6, PV[[#This Row],[Notional Value Local Cur]], -PV[[#This Row],[Notional Value Local Cur]])</f>
        <v>0</v>
      </c>
    </row>
    <row r="7922" spans="1:5" x14ac:dyDescent="0.25">
      <c r="A7922" s="36" t="b">
        <v>0</v>
      </c>
      <c r="B7922" s="56" t="b">
        <v>0</v>
      </c>
      <c r="C7922" s="56" t="b">
        <v>0</v>
      </c>
      <c r="D7922" s="56" t="b">
        <v>0</v>
      </c>
      <c r="E7922" s="56">
        <f ca="1">IF(PV[[#This Row],[Business Date]]=Control!$C$6, PV[[#This Row],[Notional Value Local Cur]], -PV[[#This Row],[Notional Value Local Cur]])</f>
        <v>0</v>
      </c>
    </row>
    <row r="7923" spans="1:5" x14ac:dyDescent="0.25">
      <c r="A7923" s="36" t="b">
        <v>0</v>
      </c>
      <c r="B7923" s="56" t="b">
        <v>0</v>
      </c>
      <c r="C7923" s="56" t="b">
        <v>0</v>
      </c>
      <c r="D7923" s="56" t="b">
        <v>0</v>
      </c>
      <c r="E7923" s="56">
        <f ca="1">IF(PV[[#This Row],[Business Date]]=Control!$C$6, PV[[#This Row],[Notional Value Local Cur]], -PV[[#This Row],[Notional Value Local Cur]])</f>
        <v>0</v>
      </c>
    </row>
    <row r="7924" spans="1:5" x14ac:dyDescent="0.25">
      <c r="A7924" s="36" t="b">
        <v>0</v>
      </c>
      <c r="B7924" s="56" t="b">
        <v>0</v>
      </c>
      <c r="C7924" s="56" t="b">
        <v>0</v>
      </c>
      <c r="D7924" s="56" t="b">
        <v>0</v>
      </c>
      <c r="E7924" s="56">
        <f ca="1">IF(PV[[#This Row],[Business Date]]=Control!$C$6, PV[[#This Row],[Notional Value Local Cur]], -PV[[#This Row],[Notional Value Local Cur]])</f>
        <v>0</v>
      </c>
    </row>
    <row r="7925" spans="1:5" x14ac:dyDescent="0.25">
      <c r="A7925" s="36" t="b">
        <v>0</v>
      </c>
      <c r="B7925" s="56" t="b">
        <v>0</v>
      </c>
      <c r="C7925" s="56" t="b">
        <v>0</v>
      </c>
      <c r="D7925" s="56" t="b">
        <v>0</v>
      </c>
      <c r="E7925" s="56">
        <f ca="1">IF(PV[[#This Row],[Business Date]]=Control!$C$6, PV[[#This Row],[Notional Value Local Cur]], -PV[[#This Row],[Notional Value Local Cur]])</f>
        <v>0</v>
      </c>
    </row>
    <row r="7926" spans="1:5" x14ac:dyDescent="0.25">
      <c r="A7926" s="36" t="b">
        <v>0</v>
      </c>
      <c r="B7926" s="56" t="b">
        <v>0</v>
      </c>
      <c r="C7926" s="56" t="b">
        <v>0</v>
      </c>
      <c r="D7926" s="56" t="b">
        <v>0</v>
      </c>
      <c r="E7926" s="56">
        <f ca="1">IF(PV[[#This Row],[Business Date]]=Control!$C$6, PV[[#This Row],[Notional Value Local Cur]], -PV[[#This Row],[Notional Value Local Cur]])</f>
        <v>0</v>
      </c>
    </row>
    <row r="7927" spans="1:5" x14ac:dyDescent="0.25">
      <c r="A7927" s="36" t="b">
        <v>0</v>
      </c>
      <c r="B7927" s="56" t="b">
        <v>0</v>
      </c>
      <c r="C7927" s="56" t="b">
        <v>0</v>
      </c>
      <c r="D7927" s="56" t="b">
        <v>0</v>
      </c>
      <c r="E7927" s="56">
        <f ca="1">IF(PV[[#This Row],[Business Date]]=Control!$C$6, PV[[#This Row],[Notional Value Local Cur]], -PV[[#This Row],[Notional Value Local Cur]])</f>
        <v>0</v>
      </c>
    </row>
    <row r="7928" spans="1:5" x14ac:dyDescent="0.25">
      <c r="A7928" s="36" t="b">
        <v>0</v>
      </c>
      <c r="B7928" s="56" t="b">
        <v>0</v>
      </c>
      <c r="C7928" s="56" t="b">
        <v>0</v>
      </c>
      <c r="D7928" s="56" t="b">
        <v>0</v>
      </c>
      <c r="E7928" s="56">
        <f ca="1">IF(PV[[#This Row],[Business Date]]=Control!$C$6, PV[[#This Row],[Notional Value Local Cur]], -PV[[#This Row],[Notional Value Local Cur]])</f>
        <v>0</v>
      </c>
    </row>
    <row r="7929" spans="1:5" x14ac:dyDescent="0.25">
      <c r="A7929" s="36" t="b">
        <v>0</v>
      </c>
      <c r="B7929" s="56" t="b">
        <v>0</v>
      </c>
      <c r="C7929" s="56" t="b">
        <v>0</v>
      </c>
      <c r="D7929" s="56" t="b">
        <v>0</v>
      </c>
      <c r="E7929" s="56">
        <f ca="1">IF(PV[[#This Row],[Business Date]]=Control!$C$6, PV[[#This Row],[Notional Value Local Cur]], -PV[[#This Row],[Notional Value Local Cur]])</f>
        <v>0</v>
      </c>
    </row>
    <row r="7930" spans="1:5" x14ac:dyDescent="0.25">
      <c r="A7930" s="36" t="b">
        <v>0</v>
      </c>
      <c r="B7930" s="56" t="b">
        <v>0</v>
      </c>
      <c r="C7930" s="56" t="b">
        <v>0</v>
      </c>
      <c r="D7930" s="56" t="b">
        <v>0</v>
      </c>
      <c r="E7930" s="56">
        <f ca="1">IF(PV[[#This Row],[Business Date]]=Control!$C$6, PV[[#This Row],[Notional Value Local Cur]], -PV[[#This Row],[Notional Value Local Cur]])</f>
        <v>0</v>
      </c>
    </row>
    <row r="7931" spans="1:5" x14ac:dyDescent="0.25">
      <c r="A7931" s="36" t="b">
        <v>0</v>
      </c>
      <c r="B7931" s="56" t="b">
        <v>0</v>
      </c>
      <c r="C7931" s="56" t="b">
        <v>0</v>
      </c>
      <c r="D7931" s="56" t="b">
        <v>0</v>
      </c>
      <c r="E7931" s="56">
        <f ca="1">IF(PV[[#This Row],[Business Date]]=Control!$C$6, PV[[#This Row],[Notional Value Local Cur]], -PV[[#This Row],[Notional Value Local Cur]])</f>
        <v>0</v>
      </c>
    </row>
    <row r="7932" spans="1:5" x14ac:dyDescent="0.25">
      <c r="A7932" s="36" t="b">
        <v>0</v>
      </c>
      <c r="B7932" s="56" t="b">
        <v>0</v>
      </c>
      <c r="C7932" s="56" t="b">
        <v>0</v>
      </c>
      <c r="D7932" s="56" t="b">
        <v>0</v>
      </c>
      <c r="E7932" s="56">
        <f ca="1">IF(PV[[#This Row],[Business Date]]=Control!$C$6, PV[[#This Row],[Notional Value Local Cur]], -PV[[#This Row],[Notional Value Local Cur]])</f>
        <v>0</v>
      </c>
    </row>
    <row r="7933" spans="1:5" x14ac:dyDescent="0.25">
      <c r="A7933" s="36" t="b">
        <v>0</v>
      </c>
      <c r="B7933" s="56" t="b">
        <v>0</v>
      </c>
      <c r="C7933" s="56" t="b">
        <v>0</v>
      </c>
      <c r="D7933" s="56" t="b">
        <v>0</v>
      </c>
      <c r="E7933" s="56">
        <f ca="1">IF(PV[[#This Row],[Business Date]]=Control!$C$6, PV[[#This Row],[Notional Value Local Cur]], -PV[[#This Row],[Notional Value Local Cur]])</f>
        <v>0</v>
      </c>
    </row>
    <row r="7934" spans="1:5" x14ac:dyDescent="0.25">
      <c r="A7934" s="36" t="b">
        <v>0</v>
      </c>
      <c r="B7934" s="56" t="b">
        <v>0</v>
      </c>
      <c r="C7934" s="56" t="b">
        <v>0</v>
      </c>
      <c r="D7934" s="56" t="b">
        <v>0</v>
      </c>
      <c r="E7934" s="56">
        <f ca="1">IF(PV[[#This Row],[Business Date]]=Control!$C$6, PV[[#This Row],[Notional Value Local Cur]], -PV[[#This Row],[Notional Value Local Cur]])</f>
        <v>0</v>
      </c>
    </row>
    <row r="7935" spans="1:5" x14ac:dyDescent="0.25">
      <c r="A7935" s="36" t="b">
        <v>0</v>
      </c>
      <c r="B7935" s="56" t="b">
        <v>0</v>
      </c>
      <c r="C7935" s="56" t="b">
        <v>0</v>
      </c>
      <c r="D7935" s="56" t="b">
        <v>0</v>
      </c>
      <c r="E7935" s="56">
        <f ca="1">IF(PV[[#This Row],[Business Date]]=Control!$C$6, PV[[#This Row],[Notional Value Local Cur]], -PV[[#This Row],[Notional Value Local Cur]])</f>
        <v>0</v>
      </c>
    </row>
    <row r="7936" spans="1:5" x14ac:dyDescent="0.25">
      <c r="A7936" s="36" t="b">
        <v>0</v>
      </c>
      <c r="B7936" s="56" t="b">
        <v>0</v>
      </c>
      <c r="C7936" s="56" t="b">
        <v>0</v>
      </c>
      <c r="D7936" s="56" t="b">
        <v>0</v>
      </c>
      <c r="E7936" s="56">
        <f ca="1">IF(PV[[#This Row],[Business Date]]=Control!$C$6, PV[[#This Row],[Notional Value Local Cur]], -PV[[#This Row],[Notional Value Local Cur]])</f>
        <v>0</v>
      </c>
    </row>
    <row r="7937" spans="1:5" x14ac:dyDescent="0.25">
      <c r="A7937" s="36" t="b">
        <v>0</v>
      </c>
      <c r="B7937" s="56" t="b">
        <v>0</v>
      </c>
      <c r="C7937" s="56" t="b">
        <v>0</v>
      </c>
      <c r="D7937" s="56" t="b">
        <v>0</v>
      </c>
      <c r="E7937" s="56">
        <f ca="1">IF(PV[[#This Row],[Business Date]]=Control!$C$6, PV[[#This Row],[Notional Value Local Cur]], -PV[[#This Row],[Notional Value Local Cur]])</f>
        <v>0</v>
      </c>
    </row>
    <row r="7938" spans="1:5" x14ac:dyDescent="0.25">
      <c r="A7938" s="36" t="b">
        <v>0</v>
      </c>
      <c r="B7938" s="56" t="b">
        <v>0</v>
      </c>
      <c r="C7938" s="56" t="b">
        <v>0</v>
      </c>
      <c r="D7938" s="56" t="b">
        <v>0</v>
      </c>
      <c r="E7938" s="56">
        <f ca="1">IF(PV[[#This Row],[Business Date]]=Control!$C$6, PV[[#This Row],[Notional Value Local Cur]], -PV[[#This Row],[Notional Value Local Cur]])</f>
        <v>0</v>
      </c>
    </row>
    <row r="7939" spans="1:5" x14ac:dyDescent="0.25">
      <c r="A7939" s="36" t="b">
        <v>0</v>
      </c>
      <c r="B7939" s="56" t="b">
        <v>0</v>
      </c>
      <c r="C7939" s="56" t="b">
        <v>0</v>
      </c>
      <c r="D7939" s="56" t="b">
        <v>0</v>
      </c>
      <c r="E7939" s="56">
        <f ca="1">IF(PV[[#This Row],[Business Date]]=Control!$C$6, PV[[#This Row],[Notional Value Local Cur]], -PV[[#This Row],[Notional Value Local Cur]])</f>
        <v>0</v>
      </c>
    </row>
    <row r="7940" spans="1:5" x14ac:dyDescent="0.25">
      <c r="A7940" s="36" t="b">
        <v>0</v>
      </c>
      <c r="B7940" s="56" t="b">
        <v>0</v>
      </c>
      <c r="C7940" s="56" t="b">
        <v>0</v>
      </c>
      <c r="D7940" s="56" t="b">
        <v>0</v>
      </c>
      <c r="E7940" s="56">
        <f ca="1">IF(PV[[#This Row],[Business Date]]=Control!$C$6, PV[[#This Row],[Notional Value Local Cur]], -PV[[#This Row],[Notional Value Local Cur]])</f>
        <v>0</v>
      </c>
    </row>
    <row r="7941" spans="1:5" x14ac:dyDescent="0.25">
      <c r="A7941" s="36" t="b">
        <v>0</v>
      </c>
      <c r="B7941" s="56" t="b">
        <v>0</v>
      </c>
      <c r="C7941" s="56" t="b">
        <v>0</v>
      </c>
      <c r="D7941" s="56" t="b">
        <v>0</v>
      </c>
      <c r="E7941" s="56">
        <f ca="1">IF(PV[[#This Row],[Business Date]]=Control!$C$6, PV[[#This Row],[Notional Value Local Cur]], -PV[[#This Row],[Notional Value Local Cur]])</f>
        <v>0</v>
      </c>
    </row>
    <row r="7942" spans="1:5" x14ac:dyDescent="0.25">
      <c r="A7942" s="36" t="b">
        <v>0</v>
      </c>
      <c r="B7942" s="56" t="b">
        <v>0</v>
      </c>
      <c r="C7942" s="56" t="b">
        <v>0</v>
      </c>
      <c r="D7942" s="56" t="b">
        <v>0</v>
      </c>
      <c r="E7942" s="56">
        <f ca="1">IF(PV[[#This Row],[Business Date]]=Control!$C$6, PV[[#This Row],[Notional Value Local Cur]], -PV[[#This Row],[Notional Value Local Cur]])</f>
        <v>0</v>
      </c>
    </row>
    <row r="7943" spans="1:5" x14ac:dyDescent="0.25">
      <c r="A7943" s="36" t="b">
        <v>0</v>
      </c>
      <c r="B7943" s="56" t="b">
        <v>0</v>
      </c>
      <c r="C7943" s="56" t="b">
        <v>0</v>
      </c>
      <c r="D7943" s="56" t="b">
        <v>0</v>
      </c>
      <c r="E7943" s="56">
        <f ca="1">IF(PV[[#This Row],[Business Date]]=Control!$C$6, PV[[#This Row],[Notional Value Local Cur]], -PV[[#This Row],[Notional Value Local Cur]])</f>
        <v>0</v>
      </c>
    </row>
    <row r="7944" spans="1:5" x14ac:dyDescent="0.25">
      <c r="A7944" s="36" t="b">
        <v>0</v>
      </c>
      <c r="B7944" s="56" t="b">
        <v>0</v>
      </c>
      <c r="C7944" s="56" t="b">
        <v>0</v>
      </c>
      <c r="D7944" s="56" t="b">
        <v>0</v>
      </c>
      <c r="E7944" s="56">
        <f ca="1">IF(PV[[#This Row],[Business Date]]=Control!$C$6, PV[[#This Row],[Notional Value Local Cur]], -PV[[#This Row],[Notional Value Local Cur]])</f>
        <v>0</v>
      </c>
    </row>
    <row r="7945" spans="1:5" x14ac:dyDescent="0.25">
      <c r="A7945" s="36" t="b">
        <v>0</v>
      </c>
      <c r="B7945" s="56" t="b">
        <v>0</v>
      </c>
      <c r="C7945" s="56" t="b">
        <v>0</v>
      </c>
      <c r="D7945" s="56" t="b">
        <v>0</v>
      </c>
      <c r="E7945" s="56">
        <f ca="1">IF(PV[[#This Row],[Business Date]]=Control!$C$6, PV[[#This Row],[Notional Value Local Cur]], -PV[[#This Row],[Notional Value Local Cur]])</f>
        <v>0</v>
      </c>
    </row>
    <row r="7946" spans="1:5" x14ac:dyDescent="0.25">
      <c r="A7946" s="36" t="b">
        <v>0</v>
      </c>
      <c r="B7946" s="56" t="b">
        <v>0</v>
      </c>
      <c r="C7946" s="56" t="b">
        <v>0</v>
      </c>
      <c r="D7946" s="56" t="b">
        <v>0</v>
      </c>
      <c r="E7946" s="56">
        <f ca="1">IF(PV[[#This Row],[Business Date]]=Control!$C$6, PV[[#This Row],[Notional Value Local Cur]], -PV[[#This Row],[Notional Value Local Cur]])</f>
        <v>0</v>
      </c>
    </row>
    <row r="7947" spans="1:5" x14ac:dyDescent="0.25">
      <c r="A7947" s="36" t="b">
        <v>0</v>
      </c>
      <c r="B7947" s="56" t="b">
        <v>0</v>
      </c>
      <c r="C7947" s="56" t="b">
        <v>0</v>
      </c>
      <c r="D7947" s="56" t="b">
        <v>0</v>
      </c>
      <c r="E7947" s="56">
        <f ca="1">IF(PV[[#This Row],[Business Date]]=Control!$C$6, PV[[#This Row],[Notional Value Local Cur]], -PV[[#This Row],[Notional Value Local Cur]])</f>
        <v>0</v>
      </c>
    </row>
    <row r="7948" spans="1:5" x14ac:dyDescent="0.25">
      <c r="A7948" s="36" t="b">
        <v>0</v>
      </c>
      <c r="B7948" s="56" t="b">
        <v>0</v>
      </c>
      <c r="C7948" s="56" t="b">
        <v>0</v>
      </c>
      <c r="D7948" s="56" t="b">
        <v>0</v>
      </c>
      <c r="E7948" s="56">
        <f ca="1">IF(PV[[#This Row],[Business Date]]=Control!$C$6, PV[[#This Row],[Notional Value Local Cur]], -PV[[#This Row],[Notional Value Local Cur]])</f>
        <v>0</v>
      </c>
    </row>
    <row r="7949" spans="1:5" x14ac:dyDescent="0.25">
      <c r="A7949" s="36" t="b">
        <v>0</v>
      </c>
      <c r="B7949" s="56" t="b">
        <v>0</v>
      </c>
      <c r="C7949" s="56" t="b">
        <v>0</v>
      </c>
      <c r="D7949" s="56" t="b">
        <v>0</v>
      </c>
      <c r="E7949" s="56">
        <f ca="1">IF(PV[[#This Row],[Business Date]]=Control!$C$6, PV[[#This Row],[Notional Value Local Cur]], -PV[[#This Row],[Notional Value Local Cur]])</f>
        <v>0</v>
      </c>
    </row>
    <row r="7950" spans="1:5" x14ac:dyDescent="0.25">
      <c r="A7950" s="36" t="b">
        <v>0</v>
      </c>
      <c r="B7950" s="56" t="b">
        <v>0</v>
      </c>
      <c r="C7950" s="56" t="b">
        <v>0</v>
      </c>
      <c r="D7950" s="56" t="b">
        <v>0</v>
      </c>
      <c r="E7950" s="56">
        <f ca="1">IF(PV[[#This Row],[Business Date]]=Control!$C$6, PV[[#This Row],[Notional Value Local Cur]], -PV[[#This Row],[Notional Value Local Cur]])</f>
        <v>0</v>
      </c>
    </row>
    <row r="7951" spans="1:5" x14ac:dyDescent="0.25">
      <c r="A7951" s="36" t="b">
        <v>0</v>
      </c>
      <c r="B7951" s="56" t="b">
        <v>0</v>
      </c>
      <c r="C7951" s="56" t="b">
        <v>0</v>
      </c>
      <c r="D7951" s="56" t="b">
        <v>0</v>
      </c>
      <c r="E7951" s="56">
        <f ca="1">IF(PV[[#This Row],[Business Date]]=Control!$C$6, PV[[#This Row],[Notional Value Local Cur]], -PV[[#This Row],[Notional Value Local Cur]])</f>
        <v>0</v>
      </c>
    </row>
    <row r="7952" spans="1:5" x14ac:dyDescent="0.25">
      <c r="A7952" s="36" t="b">
        <v>0</v>
      </c>
      <c r="B7952" s="56" t="b">
        <v>0</v>
      </c>
      <c r="C7952" s="56" t="b">
        <v>0</v>
      </c>
      <c r="D7952" s="56" t="b">
        <v>0</v>
      </c>
      <c r="E7952" s="56">
        <f ca="1">IF(PV[[#This Row],[Business Date]]=Control!$C$6, PV[[#This Row],[Notional Value Local Cur]], -PV[[#This Row],[Notional Value Local Cur]])</f>
        <v>0</v>
      </c>
    </row>
    <row r="7953" spans="1:5" x14ac:dyDescent="0.25">
      <c r="A7953" s="36" t="b">
        <v>0</v>
      </c>
      <c r="B7953" s="56" t="b">
        <v>0</v>
      </c>
      <c r="C7953" s="56" t="b">
        <v>0</v>
      </c>
      <c r="D7953" s="56" t="b">
        <v>0</v>
      </c>
      <c r="E7953" s="56">
        <f ca="1">IF(PV[[#This Row],[Business Date]]=Control!$C$6, PV[[#This Row],[Notional Value Local Cur]], -PV[[#This Row],[Notional Value Local Cur]])</f>
        <v>0</v>
      </c>
    </row>
    <row r="7954" spans="1:5" x14ac:dyDescent="0.25">
      <c r="A7954" s="36" t="b">
        <v>0</v>
      </c>
      <c r="B7954" s="56" t="b">
        <v>0</v>
      </c>
      <c r="C7954" s="56" t="b">
        <v>0</v>
      </c>
      <c r="D7954" s="56" t="b">
        <v>0</v>
      </c>
      <c r="E7954" s="56">
        <f ca="1">IF(PV[[#This Row],[Business Date]]=Control!$C$6, PV[[#This Row],[Notional Value Local Cur]], -PV[[#This Row],[Notional Value Local Cur]])</f>
        <v>0</v>
      </c>
    </row>
    <row r="7955" spans="1:5" x14ac:dyDescent="0.25">
      <c r="A7955" s="36" t="b">
        <v>0</v>
      </c>
      <c r="B7955" s="56" t="b">
        <v>0</v>
      </c>
      <c r="C7955" s="56" t="b">
        <v>0</v>
      </c>
      <c r="D7955" s="56" t="b">
        <v>0</v>
      </c>
      <c r="E7955" s="56">
        <f ca="1">IF(PV[[#This Row],[Business Date]]=Control!$C$6, PV[[#This Row],[Notional Value Local Cur]], -PV[[#This Row],[Notional Value Local Cur]])</f>
        <v>0</v>
      </c>
    </row>
    <row r="7956" spans="1:5" x14ac:dyDescent="0.25">
      <c r="A7956" s="36" t="b">
        <v>0</v>
      </c>
      <c r="B7956" s="56" t="b">
        <v>0</v>
      </c>
      <c r="C7956" s="56" t="b">
        <v>0</v>
      </c>
      <c r="D7956" s="56" t="b">
        <v>0</v>
      </c>
      <c r="E7956" s="56">
        <f ca="1">IF(PV[[#This Row],[Business Date]]=Control!$C$6, PV[[#This Row],[Notional Value Local Cur]], -PV[[#This Row],[Notional Value Local Cur]])</f>
        <v>0</v>
      </c>
    </row>
    <row r="7957" spans="1:5" x14ac:dyDescent="0.25">
      <c r="A7957" s="36" t="b">
        <v>0</v>
      </c>
      <c r="B7957" s="56" t="b">
        <v>0</v>
      </c>
      <c r="C7957" s="56" t="b">
        <v>0</v>
      </c>
      <c r="D7957" s="56" t="b">
        <v>0</v>
      </c>
      <c r="E7957" s="56">
        <f ca="1">IF(PV[[#This Row],[Business Date]]=Control!$C$6, PV[[#This Row],[Notional Value Local Cur]], -PV[[#This Row],[Notional Value Local Cur]])</f>
        <v>0</v>
      </c>
    </row>
    <row r="7958" spans="1:5" x14ac:dyDescent="0.25">
      <c r="A7958" s="36" t="b">
        <v>0</v>
      </c>
      <c r="B7958" s="56" t="b">
        <v>0</v>
      </c>
      <c r="C7958" s="56" t="b">
        <v>0</v>
      </c>
      <c r="D7958" s="56" t="b">
        <v>0</v>
      </c>
      <c r="E7958" s="56">
        <f ca="1">IF(PV[[#This Row],[Business Date]]=Control!$C$6, PV[[#This Row],[Notional Value Local Cur]], -PV[[#This Row],[Notional Value Local Cur]])</f>
        <v>0</v>
      </c>
    </row>
    <row r="7959" spans="1:5" x14ac:dyDescent="0.25">
      <c r="A7959" s="36" t="b">
        <v>0</v>
      </c>
      <c r="B7959" s="56" t="b">
        <v>0</v>
      </c>
      <c r="C7959" s="56" t="b">
        <v>0</v>
      </c>
      <c r="D7959" s="56" t="b">
        <v>0</v>
      </c>
      <c r="E7959" s="56">
        <f ca="1">IF(PV[[#This Row],[Business Date]]=Control!$C$6, PV[[#This Row],[Notional Value Local Cur]], -PV[[#This Row],[Notional Value Local Cur]])</f>
        <v>0</v>
      </c>
    </row>
    <row r="7960" spans="1:5" x14ac:dyDescent="0.25">
      <c r="A7960" s="36" t="b">
        <v>0</v>
      </c>
      <c r="B7960" s="56" t="b">
        <v>0</v>
      </c>
      <c r="C7960" s="56" t="b">
        <v>0</v>
      </c>
      <c r="D7960" s="56" t="b">
        <v>0</v>
      </c>
      <c r="E7960" s="56">
        <f ca="1">IF(PV[[#This Row],[Business Date]]=Control!$C$6, PV[[#This Row],[Notional Value Local Cur]], -PV[[#This Row],[Notional Value Local Cur]])</f>
        <v>0</v>
      </c>
    </row>
    <row r="7961" spans="1:5" x14ac:dyDescent="0.25">
      <c r="A7961" s="36" t="b">
        <v>0</v>
      </c>
      <c r="B7961" s="56" t="b">
        <v>0</v>
      </c>
      <c r="C7961" s="56" t="b">
        <v>0</v>
      </c>
      <c r="D7961" s="56" t="b">
        <v>0</v>
      </c>
      <c r="E7961" s="56">
        <f ca="1">IF(PV[[#This Row],[Business Date]]=Control!$C$6, PV[[#This Row],[Notional Value Local Cur]], -PV[[#This Row],[Notional Value Local Cur]])</f>
        <v>0</v>
      </c>
    </row>
    <row r="7962" spans="1:5" x14ac:dyDescent="0.25">
      <c r="A7962" s="36" t="b">
        <v>0</v>
      </c>
      <c r="B7962" s="56" t="b">
        <v>0</v>
      </c>
      <c r="C7962" s="56" t="b">
        <v>0</v>
      </c>
      <c r="D7962" s="56" t="b">
        <v>0</v>
      </c>
      <c r="E7962" s="56">
        <f ca="1">IF(PV[[#This Row],[Business Date]]=Control!$C$6, PV[[#This Row],[Notional Value Local Cur]], -PV[[#This Row],[Notional Value Local Cur]])</f>
        <v>0</v>
      </c>
    </row>
    <row r="7963" spans="1:5" x14ac:dyDescent="0.25">
      <c r="A7963" s="36" t="b">
        <v>0</v>
      </c>
      <c r="B7963" s="56" t="b">
        <v>0</v>
      </c>
      <c r="C7963" s="56" t="b">
        <v>0</v>
      </c>
      <c r="D7963" s="56" t="b">
        <v>0</v>
      </c>
      <c r="E7963" s="56">
        <f ca="1">IF(PV[[#This Row],[Business Date]]=Control!$C$6, PV[[#This Row],[Notional Value Local Cur]], -PV[[#This Row],[Notional Value Local Cur]])</f>
        <v>0</v>
      </c>
    </row>
    <row r="7964" spans="1:5" x14ac:dyDescent="0.25">
      <c r="A7964" s="36" t="b">
        <v>0</v>
      </c>
      <c r="B7964" s="56" t="b">
        <v>0</v>
      </c>
      <c r="C7964" s="56" t="b">
        <v>0</v>
      </c>
      <c r="D7964" s="56" t="b">
        <v>0</v>
      </c>
      <c r="E7964" s="56">
        <f ca="1">IF(PV[[#This Row],[Business Date]]=Control!$C$6, PV[[#This Row],[Notional Value Local Cur]], -PV[[#This Row],[Notional Value Local Cur]])</f>
        <v>0</v>
      </c>
    </row>
    <row r="7965" spans="1:5" x14ac:dyDescent="0.25">
      <c r="A7965" s="36" t="b">
        <v>0</v>
      </c>
      <c r="B7965" s="56" t="b">
        <v>0</v>
      </c>
      <c r="C7965" s="56" t="b">
        <v>0</v>
      </c>
      <c r="D7965" s="56" t="b">
        <v>0</v>
      </c>
      <c r="E7965" s="56">
        <f ca="1">IF(PV[[#This Row],[Business Date]]=Control!$C$6, PV[[#This Row],[Notional Value Local Cur]], -PV[[#This Row],[Notional Value Local Cur]])</f>
        <v>0</v>
      </c>
    </row>
    <row r="7966" spans="1:5" x14ac:dyDescent="0.25">
      <c r="A7966" s="36" t="b">
        <v>0</v>
      </c>
      <c r="B7966" s="56" t="b">
        <v>0</v>
      </c>
      <c r="C7966" s="56" t="b">
        <v>0</v>
      </c>
      <c r="D7966" s="56" t="b">
        <v>0</v>
      </c>
      <c r="E7966" s="56">
        <f ca="1">IF(PV[[#This Row],[Business Date]]=Control!$C$6, PV[[#This Row],[Notional Value Local Cur]], -PV[[#This Row],[Notional Value Local Cur]])</f>
        <v>0</v>
      </c>
    </row>
    <row r="7967" spans="1:5" x14ac:dyDescent="0.25">
      <c r="A7967" s="36" t="b">
        <v>0</v>
      </c>
      <c r="B7967" s="56" t="b">
        <v>0</v>
      </c>
      <c r="C7967" s="56" t="b">
        <v>0</v>
      </c>
      <c r="D7967" s="56" t="b">
        <v>0</v>
      </c>
      <c r="E7967" s="56">
        <f ca="1">IF(PV[[#This Row],[Business Date]]=Control!$C$6, PV[[#This Row],[Notional Value Local Cur]], -PV[[#This Row],[Notional Value Local Cur]])</f>
        <v>0</v>
      </c>
    </row>
    <row r="7968" spans="1:5" x14ac:dyDescent="0.25">
      <c r="A7968" s="36" t="b">
        <v>0</v>
      </c>
      <c r="B7968" s="56" t="b">
        <v>0</v>
      </c>
      <c r="C7968" s="56" t="b">
        <v>0</v>
      </c>
      <c r="D7968" s="56" t="b">
        <v>0</v>
      </c>
      <c r="E7968" s="56">
        <f ca="1">IF(PV[[#This Row],[Business Date]]=Control!$C$6, PV[[#This Row],[Notional Value Local Cur]], -PV[[#This Row],[Notional Value Local Cur]])</f>
        <v>0</v>
      </c>
    </row>
    <row r="7969" spans="1:5" x14ac:dyDescent="0.25">
      <c r="A7969" s="36" t="b">
        <v>0</v>
      </c>
      <c r="B7969" s="56" t="b">
        <v>0</v>
      </c>
      <c r="C7969" s="56" t="b">
        <v>0</v>
      </c>
      <c r="D7969" s="56" t="b">
        <v>0</v>
      </c>
      <c r="E7969" s="56">
        <f ca="1">IF(PV[[#This Row],[Business Date]]=Control!$C$6, PV[[#This Row],[Notional Value Local Cur]], -PV[[#This Row],[Notional Value Local Cur]])</f>
        <v>0</v>
      </c>
    </row>
    <row r="7970" spans="1:5" x14ac:dyDescent="0.25">
      <c r="A7970" s="36" t="b">
        <v>0</v>
      </c>
      <c r="B7970" s="56" t="b">
        <v>0</v>
      </c>
      <c r="C7970" s="56" t="b">
        <v>0</v>
      </c>
      <c r="D7970" s="56" t="b">
        <v>0</v>
      </c>
      <c r="E7970" s="56">
        <f ca="1">IF(PV[[#This Row],[Business Date]]=Control!$C$6, PV[[#This Row],[Notional Value Local Cur]], -PV[[#This Row],[Notional Value Local Cur]])</f>
        <v>0</v>
      </c>
    </row>
    <row r="7971" spans="1:5" x14ac:dyDescent="0.25">
      <c r="A7971" s="36" t="b">
        <v>0</v>
      </c>
      <c r="B7971" s="56" t="b">
        <v>0</v>
      </c>
      <c r="C7971" s="56" t="b">
        <v>0</v>
      </c>
      <c r="D7971" s="56" t="b">
        <v>0</v>
      </c>
      <c r="E7971" s="56">
        <f ca="1">IF(PV[[#This Row],[Business Date]]=Control!$C$6, PV[[#This Row],[Notional Value Local Cur]], -PV[[#This Row],[Notional Value Local Cur]])</f>
        <v>0</v>
      </c>
    </row>
    <row r="7972" spans="1:5" x14ac:dyDescent="0.25">
      <c r="A7972" s="36" t="b">
        <v>0</v>
      </c>
      <c r="B7972" s="56" t="b">
        <v>0</v>
      </c>
      <c r="C7972" s="56" t="b">
        <v>0</v>
      </c>
      <c r="D7972" s="56" t="b">
        <v>0</v>
      </c>
      <c r="E7972" s="56">
        <f ca="1">IF(PV[[#This Row],[Business Date]]=Control!$C$6, PV[[#This Row],[Notional Value Local Cur]], -PV[[#This Row],[Notional Value Local Cur]])</f>
        <v>0</v>
      </c>
    </row>
    <row r="7973" spans="1:5" x14ac:dyDescent="0.25">
      <c r="A7973" s="36" t="b">
        <v>0</v>
      </c>
      <c r="B7973" s="56" t="b">
        <v>0</v>
      </c>
      <c r="C7973" s="56" t="b">
        <v>0</v>
      </c>
      <c r="D7973" s="56" t="b">
        <v>0</v>
      </c>
      <c r="E7973" s="56">
        <f ca="1">IF(PV[[#This Row],[Business Date]]=Control!$C$6, PV[[#This Row],[Notional Value Local Cur]], -PV[[#This Row],[Notional Value Local Cur]])</f>
        <v>0</v>
      </c>
    </row>
    <row r="7974" spans="1:5" x14ac:dyDescent="0.25">
      <c r="A7974" s="36" t="b">
        <v>0</v>
      </c>
      <c r="B7974" s="56" t="b">
        <v>0</v>
      </c>
      <c r="C7974" s="56" t="b">
        <v>0</v>
      </c>
      <c r="D7974" s="56" t="b">
        <v>0</v>
      </c>
      <c r="E7974" s="56">
        <f ca="1">IF(PV[[#This Row],[Business Date]]=Control!$C$6, PV[[#This Row],[Notional Value Local Cur]], -PV[[#This Row],[Notional Value Local Cur]])</f>
        <v>0</v>
      </c>
    </row>
    <row r="7975" spans="1:5" x14ac:dyDescent="0.25">
      <c r="A7975" s="36" t="b">
        <v>0</v>
      </c>
      <c r="B7975" s="56" t="b">
        <v>0</v>
      </c>
      <c r="C7975" s="56" t="b">
        <v>0</v>
      </c>
      <c r="D7975" s="56" t="b">
        <v>0</v>
      </c>
      <c r="E7975" s="56">
        <f ca="1">IF(PV[[#This Row],[Business Date]]=Control!$C$6, PV[[#This Row],[Notional Value Local Cur]], -PV[[#This Row],[Notional Value Local Cur]])</f>
        <v>0</v>
      </c>
    </row>
    <row r="7976" spans="1:5" x14ac:dyDescent="0.25">
      <c r="A7976" s="36" t="b">
        <v>0</v>
      </c>
      <c r="B7976" s="56" t="b">
        <v>0</v>
      </c>
      <c r="C7976" s="56" t="b">
        <v>0</v>
      </c>
      <c r="D7976" s="56" t="b">
        <v>0</v>
      </c>
      <c r="E7976" s="56">
        <f ca="1">IF(PV[[#This Row],[Business Date]]=Control!$C$6, PV[[#This Row],[Notional Value Local Cur]], -PV[[#This Row],[Notional Value Local Cur]])</f>
        <v>0</v>
      </c>
    </row>
    <row r="7977" spans="1:5" x14ac:dyDescent="0.25">
      <c r="A7977" s="36" t="b">
        <v>0</v>
      </c>
      <c r="B7977" s="56" t="b">
        <v>0</v>
      </c>
      <c r="C7977" s="56" t="b">
        <v>0</v>
      </c>
      <c r="D7977" s="56" t="b">
        <v>0</v>
      </c>
      <c r="E7977" s="56">
        <f ca="1">IF(PV[[#This Row],[Business Date]]=Control!$C$6, PV[[#This Row],[Notional Value Local Cur]], -PV[[#This Row],[Notional Value Local Cur]])</f>
        <v>0</v>
      </c>
    </row>
    <row r="7978" spans="1:5" x14ac:dyDescent="0.25">
      <c r="A7978" s="36" t="b">
        <v>0</v>
      </c>
      <c r="B7978" s="56" t="b">
        <v>0</v>
      </c>
      <c r="C7978" s="56" t="b">
        <v>0</v>
      </c>
      <c r="D7978" s="56" t="b">
        <v>0</v>
      </c>
      <c r="E7978" s="56">
        <f ca="1">IF(PV[[#This Row],[Business Date]]=Control!$C$6, PV[[#This Row],[Notional Value Local Cur]], -PV[[#This Row],[Notional Value Local Cur]])</f>
        <v>0</v>
      </c>
    </row>
    <row r="7979" spans="1:5" x14ac:dyDescent="0.25">
      <c r="A7979" s="36" t="b">
        <v>0</v>
      </c>
      <c r="B7979" s="56" t="b">
        <v>0</v>
      </c>
      <c r="C7979" s="56" t="b">
        <v>0</v>
      </c>
      <c r="D7979" s="56" t="b">
        <v>0</v>
      </c>
      <c r="E7979" s="56">
        <f ca="1">IF(PV[[#This Row],[Business Date]]=Control!$C$6, PV[[#This Row],[Notional Value Local Cur]], -PV[[#This Row],[Notional Value Local Cur]])</f>
        <v>0</v>
      </c>
    </row>
    <row r="7980" spans="1:5" x14ac:dyDescent="0.25">
      <c r="A7980" s="36" t="b">
        <v>0</v>
      </c>
      <c r="B7980" s="56" t="b">
        <v>0</v>
      </c>
      <c r="C7980" s="56" t="b">
        <v>0</v>
      </c>
      <c r="D7980" s="56" t="b">
        <v>0</v>
      </c>
      <c r="E7980" s="56">
        <f ca="1">IF(PV[[#This Row],[Business Date]]=Control!$C$6, PV[[#This Row],[Notional Value Local Cur]], -PV[[#This Row],[Notional Value Local Cur]])</f>
        <v>0</v>
      </c>
    </row>
    <row r="7981" spans="1:5" x14ac:dyDescent="0.25">
      <c r="A7981" s="36" t="b">
        <v>0</v>
      </c>
      <c r="B7981" s="56" t="b">
        <v>0</v>
      </c>
      <c r="C7981" s="56" t="b">
        <v>0</v>
      </c>
      <c r="D7981" s="56" t="b">
        <v>0</v>
      </c>
      <c r="E7981" s="56">
        <f ca="1">IF(PV[[#This Row],[Business Date]]=Control!$C$6, PV[[#This Row],[Notional Value Local Cur]], -PV[[#This Row],[Notional Value Local Cur]])</f>
        <v>0</v>
      </c>
    </row>
    <row r="7982" spans="1:5" x14ac:dyDescent="0.25">
      <c r="A7982" s="36" t="b">
        <v>0</v>
      </c>
      <c r="B7982" s="56" t="b">
        <v>0</v>
      </c>
      <c r="C7982" s="56" t="b">
        <v>0</v>
      </c>
      <c r="D7982" s="56" t="b">
        <v>0</v>
      </c>
      <c r="E7982" s="56">
        <f ca="1">IF(PV[[#This Row],[Business Date]]=Control!$C$6, PV[[#This Row],[Notional Value Local Cur]], -PV[[#This Row],[Notional Value Local Cur]])</f>
        <v>0</v>
      </c>
    </row>
    <row r="7983" spans="1:5" x14ac:dyDescent="0.25">
      <c r="A7983" s="36" t="b">
        <v>0</v>
      </c>
      <c r="B7983" s="56" t="b">
        <v>0</v>
      </c>
      <c r="C7983" s="56" t="b">
        <v>0</v>
      </c>
      <c r="D7983" s="56" t="b">
        <v>0</v>
      </c>
      <c r="E7983" s="56">
        <f ca="1">IF(PV[[#This Row],[Business Date]]=Control!$C$6, PV[[#This Row],[Notional Value Local Cur]], -PV[[#This Row],[Notional Value Local Cur]])</f>
        <v>0</v>
      </c>
    </row>
    <row r="7984" spans="1:5" x14ac:dyDescent="0.25">
      <c r="A7984" s="36" t="b">
        <v>0</v>
      </c>
      <c r="B7984" s="56" t="b">
        <v>0</v>
      </c>
      <c r="C7984" s="56" t="b">
        <v>0</v>
      </c>
      <c r="D7984" s="56" t="b">
        <v>0</v>
      </c>
      <c r="E7984" s="56">
        <f ca="1">IF(PV[[#This Row],[Business Date]]=Control!$C$6, PV[[#This Row],[Notional Value Local Cur]], -PV[[#This Row],[Notional Value Local Cur]])</f>
        <v>0</v>
      </c>
    </row>
    <row r="7985" spans="1:5" x14ac:dyDescent="0.25">
      <c r="A7985" s="36" t="b">
        <v>0</v>
      </c>
      <c r="B7985" s="56" t="b">
        <v>0</v>
      </c>
      <c r="C7985" s="56" t="b">
        <v>0</v>
      </c>
      <c r="D7985" s="56" t="b">
        <v>0</v>
      </c>
      <c r="E7985" s="56">
        <f ca="1">IF(PV[[#This Row],[Business Date]]=Control!$C$6, PV[[#This Row],[Notional Value Local Cur]], -PV[[#This Row],[Notional Value Local Cur]])</f>
        <v>0</v>
      </c>
    </row>
    <row r="7986" spans="1:5" x14ac:dyDescent="0.25">
      <c r="A7986" s="36" t="b">
        <v>0</v>
      </c>
      <c r="B7986" s="56" t="b">
        <v>0</v>
      </c>
      <c r="C7986" s="56" t="b">
        <v>0</v>
      </c>
      <c r="D7986" s="56" t="b">
        <v>0</v>
      </c>
      <c r="E7986" s="56">
        <f ca="1">IF(PV[[#This Row],[Business Date]]=Control!$C$6, PV[[#This Row],[Notional Value Local Cur]], -PV[[#This Row],[Notional Value Local Cur]])</f>
        <v>0</v>
      </c>
    </row>
    <row r="7987" spans="1:5" x14ac:dyDescent="0.25">
      <c r="A7987" s="36" t="b">
        <v>0</v>
      </c>
      <c r="B7987" s="56" t="b">
        <v>0</v>
      </c>
      <c r="C7987" s="56" t="b">
        <v>0</v>
      </c>
      <c r="D7987" s="56" t="b">
        <v>0</v>
      </c>
      <c r="E7987" s="56">
        <f ca="1">IF(PV[[#This Row],[Business Date]]=Control!$C$6, PV[[#This Row],[Notional Value Local Cur]], -PV[[#This Row],[Notional Value Local Cur]])</f>
        <v>0</v>
      </c>
    </row>
    <row r="7988" spans="1:5" x14ac:dyDescent="0.25">
      <c r="A7988" s="36" t="b">
        <v>0</v>
      </c>
      <c r="B7988" s="56" t="b">
        <v>0</v>
      </c>
      <c r="C7988" s="56" t="b">
        <v>0</v>
      </c>
      <c r="D7988" s="56" t="b">
        <v>0</v>
      </c>
      <c r="E7988" s="56">
        <f ca="1">IF(PV[[#This Row],[Business Date]]=Control!$C$6, PV[[#This Row],[Notional Value Local Cur]], -PV[[#This Row],[Notional Value Local Cur]])</f>
        <v>0</v>
      </c>
    </row>
    <row r="7989" spans="1:5" x14ac:dyDescent="0.25">
      <c r="A7989" s="36" t="b">
        <v>0</v>
      </c>
      <c r="B7989" s="56" t="b">
        <v>0</v>
      </c>
      <c r="C7989" s="56" t="b">
        <v>0</v>
      </c>
      <c r="D7989" s="56" t="b">
        <v>0</v>
      </c>
      <c r="E7989" s="56">
        <f ca="1">IF(PV[[#This Row],[Business Date]]=Control!$C$6, PV[[#This Row],[Notional Value Local Cur]], -PV[[#This Row],[Notional Value Local Cur]])</f>
        <v>0</v>
      </c>
    </row>
    <row r="7990" spans="1:5" x14ac:dyDescent="0.25">
      <c r="A7990" s="36" t="b">
        <v>0</v>
      </c>
      <c r="B7990" s="56" t="b">
        <v>0</v>
      </c>
      <c r="C7990" s="56" t="b">
        <v>0</v>
      </c>
      <c r="D7990" s="56" t="b">
        <v>0</v>
      </c>
      <c r="E7990" s="56">
        <f ca="1">IF(PV[[#This Row],[Business Date]]=Control!$C$6, PV[[#This Row],[Notional Value Local Cur]], -PV[[#This Row],[Notional Value Local Cur]])</f>
        <v>0</v>
      </c>
    </row>
    <row r="7991" spans="1:5" x14ac:dyDescent="0.25">
      <c r="A7991" s="36" t="b">
        <v>0</v>
      </c>
      <c r="B7991" s="56" t="b">
        <v>0</v>
      </c>
      <c r="C7991" s="56" t="b">
        <v>0</v>
      </c>
      <c r="D7991" s="56" t="b">
        <v>0</v>
      </c>
      <c r="E7991" s="56">
        <f ca="1">IF(PV[[#This Row],[Business Date]]=Control!$C$6, PV[[#This Row],[Notional Value Local Cur]], -PV[[#This Row],[Notional Value Local Cur]])</f>
        <v>0</v>
      </c>
    </row>
    <row r="7992" spans="1:5" x14ac:dyDescent="0.25">
      <c r="A7992" s="36" t="b">
        <v>0</v>
      </c>
      <c r="B7992" s="56" t="b">
        <v>0</v>
      </c>
      <c r="C7992" s="56" t="b">
        <v>0</v>
      </c>
      <c r="D7992" s="56" t="b">
        <v>0</v>
      </c>
      <c r="E7992" s="56">
        <f ca="1">IF(PV[[#This Row],[Business Date]]=Control!$C$6, PV[[#This Row],[Notional Value Local Cur]], -PV[[#This Row],[Notional Value Local Cur]])</f>
        <v>0</v>
      </c>
    </row>
    <row r="7993" spans="1:5" x14ac:dyDescent="0.25">
      <c r="A7993" s="36" t="b">
        <v>0</v>
      </c>
      <c r="B7993" s="56" t="b">
        <v>0</v>
      </c>
      <c r="C7993" s="56" t="b">
        <v>0</v>
      </c>
      <c r="D7993" s="56" t="b">
        <v>0</v>
      </c>
      <c r="E7993" s="56">
        <f ca="1">IF(PV[[#This Row],[Business Date]]=Control!$C$6, PV[[#This Row],[Notional Value Local Cur]], -PV[[#This Row],[Notional Value Local Cur]])</f>
        <v>0</v>
      </c>
    </row>
    <row r="7994" spans="1:5" x14ac:dyDescent="0.25">
      <c r="A7994" s="36" t="b">
        <v>0</v>
      </c>
      <c r="B7994" s="56" t="b">
        <v>0</v>
      </c>
      <c r="C7994" s="56" t="b">
        <v>0</v>
      </c>
      <c r="D7994" s="56" t="b">
        <v>0</v>
      </c>
      <c r="E7994" s="56">
        <f ca="1">IF(PV[[#This Row],[Business Date]]=Control!$C$6, PV[[#This Row],[Notional Value Local Cur]], -PV[[#This Row],[Notional Value Local Cur]])</f>
        <v>0</v>
      </c>
    </row>
    <row r="7995" spans="1:5" x14ac:dyDescent="0.25">
      <c r="A7995" s="36" t="b">
        <v>0</v>
      </c>
      <c r="B7995" s="56" t="b">
        <v>0</v>
      </c>
      <c r="C7995" s="56" t="b">
        <v>0</v>
      </c>
      <c r="D7995" s="56" t="b">
        <v>0</v>
      </c>
      <c r="E7995" s="56">
        <f ca="1">IF(PV[[#This Row],[Business Date]]=Control!$C$6, PV[[#This Row],[Notional Value Local Cur]], -PV[[#This Row],[Notional Value Local Cur]])</f>
        <v>0</v>
      </c>
    </row>
    <row r="7996" spans="1:5" x14ac:dyDescent="0.25">
      <c r="A7996" s="36" t="b">
        <v>0</v>
      </c>
      <c r="B7996" s="56" t="b">
        <v>0</v>
      </c>
      <c r="C7996" s="56" t="b">
        <v>0</v>
      </c>
      <c r="D7996" s="56" t="b">
        <v>0</v>
      </c>
      <c r="E7996" s="56">
        <f ca="1">IF(PV[[#This Row],[Business Date]]=Control!$C$6, PV[[#This Row],[Notional Value Local Cur]], -PV[[#This Row],[Notional Value Local Cur]])</f>
        <v>0</v>
      </c>
    </row>
    <row r="7997" spans="1:5" x14ac:dyDescent="0.25">
      <c r="A7997" s="36" t="b">
        <v>0</v>
      </c>
      <c r="B7997" s="56" t="b">
        <v>0</v>
      </c>
      <c r="C7997" s="56" t="b">
        <v>0</v>
      </c>
      <c r="D7997" s="56" t="b">
        <v>0</v>
      </c>
      <c r="E7997" s="56">
        <f ca="1">IF(PV[[#This Row],[Business Date]]=Control!$C$6, PV[[#This Row],[Notional Value Local Cur]], -PV[[#This Row],[Notional Value Local Cur]])</f>
        <v>0</v>
      </c>
    </row>
    <row r="7998" spans="1:5" x14ac:dyDescent="0.25">
      <c r="A7998" s="36" t="b">
        <v>0</v>
      </c>
      <c r="B7998" s="56" t="b">
        <v>0</v>
      </c>
      <c r="C7998" s="56" t="b">
        <v>0</v>
      </c>
      <c r="D7998" s="56" t="b">
        <v>0</v>
      </c>
      <c r="E7998" s="56">
        <f ca="1">IF(PV[[#This Row],[Business Date]]=Control!$C$6, PV[[#This Row],[Notional Value Local Cur]], -PV[[#This Row],[Notional Value Local Cur]])</f>
        <v>0</v>
      </c>
    </row>
    <row r="7999" spans="1:5" x14ac:dyDescent="0.25">
      <c r="A7999" s="36" t="b">
        <v>0</v>
      </c>
      <c r="B7999" s="56" t="b">
        <v>0</v>
      </c>
      <c r="C7999" s="56" t="b">
        <v>0</v>
      </c>
      <c r="D7999" s="56" t="b">
        <v>0</v>
      </c>
      <c r="E7999" s="56">
        <f ca="1">IF(PV[[#This Row],[Business Date]]=Control!$C$6, PV[[#This Row],[Notional Value Local Cur]], -PV[[#This Row],[Notional Value Local Cur]])</f>
        <v>0</v>
      </c>
    </row>
    <row r="8000" spans="1:5" x14ac:dyDescent="0.25">
      <c r="A8000" s="36" t="b">
        <v>0</v>
      </c>
      <c r="B8000" s="56" t="b">
        <v>0</v>
      </c>
      <c r="C8000" s="56" t="b">
        <v>0</v>
      </c>
      <c r="D8000" s="56" t="b">
        <v>0</v>
      </c>
      <c r="E8000" s="56">
        <f ca="1">IF(PV[[#This Row],[Business Date]]=Control!$C$6, PV[[#This Row],[Notional Value Local Cur]], -PV[[#This Row],[Notional Value Local Cur]])</f>
        <v>0</v>
      </c>
    </row>
    <row r="8001" spans="1:5" x14ac:dyDescent="0.25">
      <c r="A8001" s="36" t="b">
        <v>0</v>
      </c>
      <c r="B8001" s="56" t="b">
        <v>0</v>
      </c>
      <c r="C8001" s="56" t="b">
        <v>0</v>
      </c>
      <c r="D8001" s="56" t="b">
        <v>0</v>
      </c>
      <c r="E8001" s="56">
        <f ca="1">IF(PV[[#This Row],[Business Date]]=Control!$C$6, PV[[#This Row],[Notional Value Local Cur]], -PV[[#This Row],[Notional Value Local Cur]])</f>
        <v>0</v>
      </c>
    </row>
    <row r="8002" spans="1:5" x14ac:dyDescent="0.25">
      <c r="A8002" s="36" t="b">
        <v>0</v>
      </c>
      <c r="B8002" s="56" t="b">
        <v>0</v>
      </c>
      <c r="C8002" s="56" t="b">
        <v>0</v>
      </c>
      <c r="D8002" s="56" t="b">
        <v>0</v>
      </c>
      <c r="E8002" s="56">
        <f ca="1">IF(PV[[#This Row],[Business Date]]=Control!$C$6, PV[[#This Row],[Notional Value Local Cur]], -PV[[#This Row],[Notional Value Local Cur]])</f>
        <v>0</v>
      </c>
    </row>
    <row r="8003" spans="1:5" x14ac:dyDescent="0.25">
      <c r="A8003" s="36" t="b">
        <v>0</v>
      </c>
      <c r="B8003" s="56" t="b">
        <v>0</v>
      </c>
      <c r="C8003" s="56" t="b">
        <v>0</v>
      </c>
      <c r="D8003" s="56" t="b">
        <v>0</v>
      </c>
      <c r="E8003" s="56">
        <f ca="1">IF(PV[[#This Row],[Business Date]]=Control!$C$6, PV[[#This Row],[Notional Value Local Cur]], -PV[[#This Row],[Notional Value Local Cur]])</f>
        <v>0</v>
      </c>
    </row>
    <row r="8004" spans="1:5" x14ac:dyDescent="0.25">
      <c r="A8004" s="36" t="b">
        <v>0</v>
      </c>
      <c r="B8004" s="56" t="b">
        <v>0</v>
      </c>
      <c r="C8004" s="56" t="b">
        <v>0</v>
      </c>
      <c r="D8004" s="56" t="b">
        <v>0</v>
      </c>
      <c r="E8004" s="56">
        <f ca="1">IF(PV[[#This Row],[Business Date]]=Control!$C$6, PV[[#This Row],[Notional Value Local Cur]], -PV[[#This Row],[Notional Value Local Cur]])</f>
        <v>0</v>
      </c>
    </row>
    <row r="8005" spans="1:5" x14ac:dyDescent="0.25">
      <c r="A8005" s="36" t="b">
        <v>0</v>
      </c>
      <c r="B8005" s="56" t="b">
        <v>0</v>
      </c>
      <c r="C8005" s="56" t="b">
        <v>0</v>
      </c>
      <c r="D8005" s="56" t="b">
        <v>0</v>
      </c>
      <c r="E8005" s="56">
        <f ca="1">IF(PV[[#This Row],[Business Date]]=Control!$C$6, PV[[#This Row],[Notional Value Local Cur]], -PV[[#This Row],[Notional Value Local Cur]])</f>
        <v>0</v>
      </c>
    </row>
    <row r="8006" spans="1:5" x14ac:dyDescent="0.25">
      <c r="A8006" s="36" t="b">
        <v>0</v>
      </c>
      <c r="B8006" s="56" t="b">
        <v>0</v>
      </c>
      <c r="C8006" s="56" t="b">
        <v>0</v>
      </c>
      <c r="D8006" s="56" t="b">
        <v>0</v>
      </c>
      <c r="E8006" s="56">
        <f ca="1">IF(PV[[#This Row],[Business Date]]=Control!$C$6, PV[[#This Row],[Notional Value Local Cur]], -PV[[#This Row],[Notional Value Local Cur]])</f>
        <v>0</v>
      </c>
    </row>
    <row r="8007" spans="1:5" x14ac:dyDescent="0.25">
      <c r="A8007" s="36" t="b">
        <v>0</v>
      </c>
      <c r="B8007" s="56" t="b">
        <v>0</v>
      </c>
      <c r="C8007" s="56" t="b">
        <v>0</v>
      </c>
      <c r="D8007" s="56" t="b">
        <v>0</v>
      </c>
      <c r="E8007" s="56">
        <f ca="1">IF(PV[[#This Row],[Business Date]]=Control!$C$6, PV[[#This Row],[Notional Value Local Cur]], -PV[[#This Row],[Notional Value Local Cur]])</f>
        <v>0</v>
      </c>
    </row>
    <row r="8008" spans="1:5" x14ac:dyDescent="0.25">
      <c r="A8008" s="36" t="b">
        <v>0</v>
      </c>
      <c r="B8008" s="56" t="b">
        <v>0</v>
      </c>
      <c r="C8008" s="56" t="b">
        <v>0</v>
      </c>
      <c r="D8008" s="56" t="b">
        <v>0</v>
      </c>
      <c r="E8008" s="56">
        <f ca="1">IF(PV[[#This Row],[Business Date]]=Control!$C$6, PV[[#This Row],[Notional Value Local Cur]], -PV[[#This Row],[Notional Value Local Cur]])</f>
        <v>0</v>
      </c>
    </row>
    <row r="8009" spans="1:5" x14ac:dyDescent="0.25">
      <c r="A8009" s="36" t="b">
        <v>0</v>
      </c>
      <c r="B8009" s="56" t="b">
        <v>0</v>
      </c>
      <c r="C8009" s="56" t="b">
        <v>0</v>
      </c>
      <c r="D8009" s="56" t="b">
        <v>0</v>
      </c>
      <c r="E8009" s="56">
        <f ca="1">IF(PV[[#This Row],[Business Date]]=Control!$C$6, PV[[#This Row],[Notional Value Local Cur]], -PV[[#This Row],[Notional Value Local Cur]])</f>
        <v>0</v>
      </c>
    </row>
    <row r="8010" spans="1:5" x14ac:dyDescent="0.25">
      <c r="A8010" s="36" t="b">
        <v>0</v>
      </c>
      <c r="B8010" s="56" t="b">
        <v>0</v>
      </c>
      <c r="C8010" s="56" t="b">
        <v>0</v>
      </c>
      <c r="D8010" s="56" t="b">
        <v>0</v>
      </c>
      <c r="E8010" s="56">
        <f ca="1">IF(PV[[#This Row],[Business Date]]=Control!$C$6, PV[[#This Row],[Notional Value Local Cur]], -PV[[#This Row],[Notional Value Local Cur]])</f>
        <v>0</v>
      </c>
    </row>
    <row r="8011" spans="1:5" x14ac:dyDescent="0.25">
      <c r="A8011" s="36" t="b">
        <v>0</v>
      </c>
      <c r="B8011" s="56" t="b">
        <v>0</v>
      </c>
      <c r="C8011" s="56" t="b">
        <v>0</v>
      </c>
      <c r="D8011" s="56" t="b">
        <v>0</v>
      </c>
      <c r="E8011" s="56">
        <f ca="1">IF(PV[[#This Row],[Business Date]]=Control!$C$6, PV[[#This Row],[Notional Value Local Cur]], -PV[[#This Row],[Notional Value Local Cur]])</f>
        <v>0</v>
      </c>
    </row>
    <row r="8012" spans="1:5" x14ac:dyDescent="0.25">
      <c r="A8012" s="36" t="b">
        <v>0</v>
      </c>
      <c r="B8012" s="56" t="b">
        <v>0</v>
      </c>
      <c r="C8012" s="56" t="b">
        <v>0</v>
      </c>
      <c r="D8012" s="56" t="b">
        <v>0</v>
      </c>
      <c r="E8012" s="56">
        <f ca="1">IF(PV[[#This Row],[Business Date]]=Control!$C$6, PV[[#This Row],[Notional Value Local Cur]], -PV[[#This Row],[Notional Value Local Cur]])</f>
        <v>0</v>
      </c>
    </row>
    <row r="8013" spans="1:5" x14ac:dyDescent="0.25">
      <c r="A8013" s="36" t="b">
        <v>0</v>
      </c>
      <c r="B8013" s="56" t="b">
        <v>0</v>
      </c>
      <c r="C8013" s="56" t="b">
        <v>0</v>
      </c>
      <c r="D8013" s="56" t="b">
        <v>0</v>
      </c>
      <c r="E8013" s="56">
        <f ca="1">IF(PV[[#This Row],[Business Date]]=Control!$C$6, PV[[#This Row],[Notional Value Local Cur]], -PV[[#This Row],[Notional Value Local Cur]])</f>
        <v>0</v>
      </c>
    </row>
    <row r="8014" spans="1:5" x14ac:dyDescent="0.25">
      <c r="A8014" s="36" t="b">
        <v>0</v>
      </c>
      <c r="B8014" s="56" t="b">
        <v>0</v>
      </c>
      <c r="C8014" s="56" t="b">
        <v>0</v>
      </c>
      <c r="D8014" s="56" t="b">
        <v>0</v>
      </c>
      <c r="E8014" s="56">
        <f ca="1">IF(PV[[#This Row],[Business Date]]=Control!$C$6, PV[[#This Row],[Notional Value Local Cur]], -PV[[#This Row],[Notional Value Local Cur]])</f>
        <v>0</v>
      </c>
    </row>
    <row r="8015" spans="1:5" x14ac:dyDescent="0.25">
      <c r="A8015" s="36" t="b">
        <v>0</v>
      </c>
      <c r="B8015" s="56" t="b">
        <v>0</v>
      </c>
      <c r="C8015" s="56" t="b">
        <v>0</v>
      </c>
      <c r="D8015" s="56" t="b">
        <v>0</v>
      </c>
      <c r="E8015" s="56">
        <f ca="1">IF(PV[[#This Row],[Business Date]]=Control!$C$6, PV[[#This Row],[Notional Value Local Cur]], -PV[[#This Row],[Notional Value Local Cur]])</f>
        <v>0</v>
      </c>
    </row>
    <row r="8016" spans="1:5" x14ac:dyDescent="0.25">
      <c r="A8016" s="36" t="b">
        <v>0</v>
      </c>
      <c r="B8016" s="56" t="b">
        <v>0</v>
      </c>
      <c r="C8016" s="56" t="b">
        <v>0</v>
      </c>
      <c r="D8016" s="56" t="b">
        <v>0</v>
      </c>
      <c r="E8016" s="56">
        <f ca="1">IF(PV[[#This Row],[Business Date]]=Control!$C$6, PV[[#This Row],[Notional Value Local Cur]], -PV[[#This Row],[Notional Value Local Cur]])</f>
        <v>0</v>
      </c>
    </row>
    <row r="8017" spans="1:5" x14ac:dyDescent="0.25">
      <c r="A8017" s="36" t="b">
        <v>0</v>
      </c>
      <c r="B8017" s="56" t="b">
        <v>0</v>
      </c>
      <c r="C8017" s="56" t="b">
        <v>0</v>
      </c>
      <c r="D8017" s="56" t="b">
        <v>0</v>
      </c>
      <c r="E8017" s="56">
        <f ca="1">IF(PV[[#This Row],[Business Date]]=Control!$C$6, PV[[#This Row],[Notional Value Local Cur]], -PV[[#This Row],[Notional Value Local Cur]])</f>
        <v>0</v>
      </c>
    </row>
    <row r="8018" spans="1:5" x14ac:dyDescent="0.25">
      <c r="A8018" s="36" t="b">
        <v>0</v>
      </c>
      <c r="B8018" s="56" t="b">
        <v>0</v>
      </c>
      <c r="C8018" s="56" t="b">
        <v>0</v>
      </c>
      <c r="D8018" s="56" t="b">
        <v>0</v>
      </c>
      <c r="E8018" s="56">
        <f ca="1">IF(PV[[#This Row],[Business Date]]=Control!$C$6, PV[[#This Row],[Notional Value Local Cur]], -PV[[#This Row],[Notional Value Local Cur]])</f>
        <v>0</v>
      </c>
    </row>
    <row r="8019" spans="1:5" x14ac:dyDescent="0.25">
      <c r="A8019" s="36" t="b">
        <v>0</v>
      </c>
      <c r="B8019" s="56" t="b">
        <v>0</v>
      </c>
      <c r="C8019" s="56" t="b">
        <v>0</v>
      </c>
      <c r="D8019" s="56" t="b">
        <v>0</v>
      </c>
      <c r="E8019" s="56">
        <f ca="1">IF(PV[[#This Row],[Business Date]]=Control!$C$6, PV[[#This Row],[Notional Value Local Cur]], -PV[[#This Row],[Notional Value Local Cur]])</f>
        <v>0</v>
      </c>
    </row>
    <row r="8020" spans="1:5" x14ac:dyDescent="0.25">
      <c r="A8020" s="36" t="b">
        <v>0</v>
      </c>
      <c r="B8020" s="56" t="b">
        <v>0</v>
      </c>
      <c r="C8020" s="56" t="b">
        <v>0</v>
      </c>
      <c r="D8020" s="56" t="b">
        <v>0</v>
      </c>
      <c r="E8020" s="56">
        <f ca="1">IF(PV[[#This Row],[Business Date]]=Control!$C$6, PV[[#This Row],[Notional Value Local Cur]], -PV[[#This Row],[Notional Value Local Cur]])</f>
        <v>0</v>
      </c>
    </row>
    <row r="8021" spans="1:5" x14ac:dyDescent="0.25">
      <c r="A8021" s="36" t="b">
        <v>0</v>
      </c>
      <c r="B8021" s="56" t="b">
        <v>0</v>
      </c>
      <c r="C8021" s="56" t="b">
        <v>0</v>
      </c>
      <c r="D8021" s="56" t="b">
        <v>0</v>
      </c>
      <c r="E8021" s="56">
        <f ca="1">IF(PV[[#This Row],[Business Date]]=Control!$C$6, PV[[#This Row],[Notional Value Local Cur]], -PV[[#This Row],[Notional Value Local Cur]])</f>
        <v>0</v>
      </c>
    </row>
    <row r="8022" spans="1:5" x14ac:dyDescent="0.25">
      <c r="A8022" s="36" t="b">
        <v>0</v>
      </c>
      <c r="B8022" s="56" t="b">
        <v>0</v>
      </c>
      <c r="C8022" s="56" t="b">
        <v>0</v>
      </c>
      <c r="D8022" s="56" t="b">
        <v>0</v>
      </c>
      <c r="E8022" s="56">
        <f ca="1">IF(PV[[#This Row],[Business Date]]=Control!$C$6, PV[[#This Row],[Notional Value Local Cur]], -PV[[#This Row],[Notional Value Local Cur]])</f>
        <v>0</v>
      </c>
    </row>
    <row r="8023" spans="1:5" x14ac:dyDescent="0.25">
      <c r="A8023" s="36" t="b">
        <v>0</v>
      </c>
      <c r="B8023" s="56" t="b">
        <v>0</v>
      </c>
      <c r="C8023" s="56" t="b">
        <v>0</v>
      </c>
      <c r="D8023" s="56" t="b">
        <v>0</v>
      </c>
      <c r="E8023" s="56">
        <f ca="1">IF(PV[[#This Row],[Business Date]]=Control!$C$6, PV[[#This Row],[Notional Value Local Cur]], -PV[[#This Row],[Notional Value Local Cur]])</f>
        <v>0</v>
      </c>
    </row>
    <row r="8024" spans="1:5" x14ac:dyDescent="0.25">
      <c r="A8024" s="36" t="b">
        <v>0</v>
      </c>
      <c r="B8024" s="56" t="b">
        <v>0</v>
      </c>
      <c r="C8024" s="56" t="b">
        <v>0</v>
      </c>
      <c r="D8024" s="56" t="b">
        <v>0</v>
      </c>
      <c r="E8024" s="56">
        <f ca="1">IF(PV[[#This Row],[Business Date]]=Control!$C$6, PV[[#This Row],[Notional Value Local Cur]], -PV[[#This Row],[Notional Value Local Cur]])</f>
        <v>0</v>
      </c>
    </row>
    <row r="8025" spans="1:5" x14ac:dyDescent="0.25">
      <c r="A8025" s="36" t="b">
        <v>0</v>
      </c>
      <c r="B8025" s="56" t="b">
        <v>0</v>
      </c>
      <c r="C8025" s="56" t="b">
        <v>0</v>
      </c>
      <c r="D8025" s="56" t="b">
        <v>0</v>
      </c>
      <c r="E8025" s="56">
        <f ca="1">IF(PV[[#This Row],[Business Date]]=Control!$C$6, PV[[#This Row],[Notional Value Local Cur]], -PV[[#This Row],[Notional Value Local Cur]])</f>
        <v>0</v>
      </c>
    </row>
    <row r="8026" spans="1:5" x14ac:dyDescent="0.25">
      <c r="A8026" s="36" t="b">
        <v>0</v>
      </c>
      <c r="B8026" s="56" t="b">
        <v>0</v>
      </c>
      <c r="C8026" s="56" t="b">
        <v>0</v>
      </c>
      <c r="D8026" s="56" t="b">
        <v>0</v>
      </c>
      <c r="E8026" s="56">
        <f ca="1">IF(PV[[#This Row],[Business Date]]=Control!$C$6, PV[[#This Row],[Notional Value Local Cur]], -PV[[#This Row],[Notional Value Local Cur]])</f>
        <v>0</v>
      </c>
    </row>
    <row r="8027" spans="1:5" x14ac:dyDescent="0.25">
      <c r="A8027" s="36" t="b">
        <v>0</v>
      </c>
      <c r="B8027" s="56" t="b">
        <v>0</v>
      </c>
      <c r="C8027" s="56" t="b">
        <v>0</v>
      </c>
      <c r="D8027" s="56" t="b">
        <v>0</v>
      </c>
      <c r="E8027" s="56">
        <f ca="1">IF(PV[[#This Row],[Business Date]]=Control!$C$6, PV[[#This Row],[Notional Value Local Cur]], -PV[[#This Row],[Notional Value Local Cur]])</f>
        <v>0</v>
      </c>
    </row>
    <row r="8028" spans="1:5" x14ac:dyDescent="0.25">
      <c r="A8028" s="36" t="b">
        <v>0</v>
      </c>
      <c r="B8028" s="56" t="b">
        <v>0</v>
      </c>
      <c r="C8028" s="56" t="b">
        <v>0</v>
      </c>
      <c r="D8028" s="56" t="b">
        <v>0</v>
      </c>
      <c r="E8028" s="56">
        <f ca="1">IF(PV[[#This Row],[Business Date]]=Control!$C$6, PV[[#This Row],[Notional Value Local Cur]], -PV[[#This Row],[Notional Value Local Cur]])</f>
        <v>0</v>
      </c>
    </row>
    <row r="8029" spans="1:5" x14ac:dyDescent="0.25">
      <c r="A8029" s="36" t="b">
        <v>0</v>
      </c>
      <c r="B8029" s="56" t="b">
        <v>0</v>
      </c>
      <c r="C8029" s="56" t="b">
        <v>0</v>
      </c>
      <c r="D8029" s="56" t="b">
        <v>0</v>
      </c>
      <c r="E8029" s="56">
        <f ca="1">IF(PV[[#This Row],[Business Date]]=Control!$C$6, PV[[#This Row],[Notional Value Local Cur]], -PV[[#This Row],[Notional Value Local Cur]])</f>
        <v>0</v>
      </c>
    </row>
    <row r="8030" spans="1:5" x14ac:dyDescent="0.25">
      <c r="A8030" s="36" t="b">
        <v>0</v>
      </c>
      <c r="B8030" s="56" t="b">
        <v>0</v>
      </c>
      <c r="C8030" s="56" t="b">
        <v>0</v>
      </c>
      <c r="D8030" s="56" t="b">
        <v>0</v>
      </c>
      <c r="E8030" s="56">
        <f ca="1">IF(PV[[#This Row],[Business Date]]=Control!$C$6, PV[[#This Row],[Notional Value Local Cur]], -PV[[#This Row],[Notional Value Local Cur]])</f>
        <v>0</v>
      </c>
    </row>
    <row r="8031" spans="1:5" x14ac:dyDescent="0.25">
      <c r="A8031" s="36" t="b">
        <v>0</v>
      </c>
      <c r="B8031" s="56" t="b">
        <v>0</v>
      </c>
      <c r="C8031" s="56" t="b">
        <v>0</v>
      </c>
      <c r="D8031" s="56" t="b">
        <v>0</v>
      </c>
      <c r="E8031" s="56">
        <f ca="1">IF(PV[[#This Row],[Business Date]]=Control!$C$6, PV[[#This Row],[Notional Value Local Cur]], -PV[[#This Row],[Notional Value Local Cur]])</f>
        <v>0</v>
      </c>
    </row>
    <row r="8032" spans="1:5" x14ac:dyDescent="0.25">
      <c r="A8032" s="36" t="b">
        <v>0</v>
      </c>
      <c r="B8032" s="56" t="b">
        <v>0</v>
      </c>
      <c r="C8032" s="56" t="b">
        <v>0</v>
      </c>
      <c r="D8032" s="56" t="b">
        <v>0</v>
      </c>
      <c r="E8032" s="56">
        <f ca="1">IF(PV[[#This Row],[Business Date]]=Control!$C$6, PV[[#This Row],[Notional Value Local Cur]], -PV[[#This Row],[Notional Value Local Cur]])</f>
        <v>0</v>
      </c>
    </row>
    <row r="8033" spans="1:5" x14ac:dyDescent="0.25">
      <c r="A8033" s="36" t="b">
        <v>0</v>
      </c>
      <c r="B8033" s="56" t="b">
        <v>0</v>
      </c>
      <c r="C8033" s="56" t="b">
        <v>0</v>
      </c>
      <c r="D8033" s="56" t="b">
        <v>0</v>
      </c>
      <c r="E8033" s="56">
        <f ca="1">IF(PV[[#This Row],[Business Date]]=Control!$C$6, PV[[#This Row],[Notional Value Local Cur]], -PV[[#This Row],[Notional Value Local Cur]])</f>
        <v>0</v>
      </c>
    </row>
    <row r="8034" spans="1:5" x14ac:dyDescent="0.25">
      <c r="A8034" s="36" t="b">
        <v>0</v>
      </c>
      <c r="B8034" s="56" t="b">
        <v>0</v>
      </c>
      <c r="C8034" s="56" t="b">
        <v>0</v>
      </c>
      <c r="D8034" s="56" t="b">
        <v>0</v>
      </c>
      <c r="E8034" s="56">
        <f ca="1">IF(PV[[#This Row],[Business Date]]=Control!$C$6, PV[[#This Row],[Notional Value Local Cur]], -PV[[#This Row],[Notional Value Local Cur]])</f>
        <v>0</v>
      </c>
    </row>
    <row r="8035" spans="1:5" x14ac:dyDescent="0.25">
      <c r="A8035" s="36" t="b">
        <v>0</v>
      </c>
      <c r="B8035" s="56" t="b">
        <v>0</v>
      </c>
      <c r="C8035" s="56" t="b">
        <v>0</v>
      </c>
      <c r="D8035" s="56" t="b">
        <v>0</v>
      </c>
      <c r="E8035" s="56">
        <f ca="1">IF(PV[[#This Row],[Business Date]]=Control!$C$6, PV[[#This Row],[Notional Value Local Cur]], -PV[[#This Row],[Notional Value Local Cur]])</f>
        <v>0</v>
      </c>
    </row>
    <row r="8036" spans="1:5" x14ac:dyDescent="0.25">
      <c r="A8036" s="36" t="b">
        <v>0</v>
      </c>
      <c r="B8036" s="56" t="b">
        <v>0</v>
      </c>
      <c r="C8036" s="56" t="b">
        <v>0</v>
      </c>
      <c r="D8036" s="56" t="b">
        <v>0</v>
      </c>
      <c r="E8036" s="56">
        <f ca="1">IF(PV[[#This Row],[Business Date]]=Control!$C$6, PV[[#This Row],[Notional Value Local Cur]], -PV[[#This Row],[Notional Value Local Cur]])</f>
        <v>0</v>
      </c>
    </row>
    <row r="8037" spans="1:5" x14ac:dyDescent="0.25">
      <c r="A8037" s="36" t="b">
        <v>0</v>
      </c>
      <c r="B8037" s="56" t="b">
        <v>0</v>
      </c>
      <c r="C8037" s="56" t="b">
        <v>0</v>
      </c>
      <c r="D8037" s="56" t="b">
        <v>0</v>
      </c>
      <c r="E8037" s="56">
        <f ca="1">IF(PV[[#This Row],[Business Date]]=Control!$C$6, PV[[#This Row],[Notional Value Local Cur]], -PV[[#This Row],[Notional Value Local Cur]])</f>
        <v>0</v>
      </c>
    </row>
    <row r="8038" spans="1:5" x14ac:dyDescent="0.25">
      <c r="A8038" s="36" t="b">
        <v>0</v>
      </c>
      <c r="B8038" s="56" t="b">
        <v>0</v>
      </c>
      <c r="C8038" s="56" t="b">
        <v>0</v>
      </c>
      <c r="D8038" s="56" t="b">
        <v>0</v>
      </c>
      <c r="E8038" s="56">
        <f ca="1">IF(PV[[#This Row],[Business Date]]=Control!$C$6, PV[[#This Row],[Notional Value Local Cur]], -PV[[#This Row],[Notional Value Local Cur]])</f>
        <v>0</v>
      </c>
    </row>
    <row r="8039" spans="1:5" x14ac:dyDescent="0.25">
      <c r="A8039" s="36" t="b">
        <v>0</v>
      </c>
      <c r="B8039" s="56" t="b">
        <v>0</v>
      </c>
      <c r="C8039" s="56" t="b">
        <v>0</v>
      </c>
      <c r="D8039" s="56" t="b">
        <v>0</v>
      </c>
      <c r="E8039" s="56">
        <f ca="1">IF(PV[[#This Row],[Business Date]]=Control!$C$6, PV[[#This Row],[Notional Value Local Cur]], -PV[[#This Row],[Notional Value Local Cur]])</f>
        <v>0</v>
      </c>
    </row>
    <row r="8040" spans="1:5" x14ac:dyDescent="0.25">
      <c r="A8040" s="36" t="b">
        <v>0</v>
      </c>
      <c r="B8040" s="56" t="b">
        <v>0</v>
      </c>
      <c r="C8040" s="56" t="b">
        <v>0</v>
      </c>
      <c r="D8040" s="56" t="b">
        <v>0</v>
      </c>
      <c r="E8040" s="56">
        <f ca="1">IF(PV[[#This Row],[Business Date]]=Control!$C$6, PV[[#This Row],[Notional Value Local Cur]], -PV[[#This Row],[Notional Value Local Cur]])</f>
        <v>0</v>
      </c>
    </row>
    <row r="8041" spans="1:5" x14ac:dyDescent="0.25">
      <c r="A8041" s="36" t="b">
        <v>0</v>
      </c>
      <c r="B8041" s="56" t="b">
        <v>0</v>
      </c>
      <c r="C8041" s="56" t="b">
        <v>0</v>
      </c>
      <c r="D8041" s="56" t="b">
        <v>0</v>
      </c>
      <c r="E8041" s="56">
        <f ca="1">IF(PV[[#This Row],[Business Date]]=Control!$C$6, PV[[#This Row],[Notional Value Local Cur]], -PV[[#This Row],[Notional Value Local Cur]])</f>
        <v>0</v>
      </c>
    </row>
    <row r="8042" spans="1:5" x14ac:dyDescent="0.25">
      <c r="A8042" s="36" t="b">
        <v>0</v>
      </c>
      <c r="B8042" s="56" t="b">
        <v>0</v>
      </c>
      <c r="C8042" s="56" t="b">
        <v>0</v>
      </c>
      <c r="D8042" s="56" t="b">
        <v>0</v>
      </c>
      <c r="E8042" s="56">
        <f ca="1">IF(PV[[#This Row],[Business Date]]=Control!$C$6, PV[[#This Row],[Notional Value Local Cur]], -PV[[#This Row],[Notional Value Local Cur]])</f>
        <v>0</v>
      </c>
    </row>
    <row r="8043" spans="1:5" x14ac:dyDescent="0.25">
      <c r="A8043" s="36" t="b">
        <v>0</v>
      </c>
      <c r="B8043" s="56" t="b">
        <v>0</v>
      </c>
      <c r="C8043" s="56" t="b">
        <v>0</v>
      </c>
      <c r="D8043" s="56" t="b">
        <v>0</v>
      </c>
      <c r="E8043" s="56">
        <f ca="1">IF(PV[[#This Row],[Business Date]]=Control!$C$6, PV[[#This Row],[Notional Value Local Cur]], -PV[[#This Row],[Notional Value Local Cur]])</f>
        <v>0</v>
      </c>
    </row>
    <row r="8044" spans="1:5" x14ac:dyDescent="0.25">
      <c r="A8044" s="36" t="b">
        <v>0</v>
      </c>
      <c r="B8044" s="56" t="b">
        <v>0</v>
      </c>
      <c r="C8044" s="56" t="b">
        <v>0</v>
      </c>
      <c r="D8044" s="56" t="b">
        <v>0</v>
      </c>
      <c r="E8044" s="56">
        <f ca="1">IF(PV[[#This Row],[Business Date]]=Control!$C$6, PV[[#This Row],[Notional Value Local Cur]], -PV[[#This Row],[Notional Value Local Cur]])</f>
        <v>0</v>
      </c>
    </row>
    <row r="8045" spans="1:5" x14ac:dyDescent="0.25">
      <c r="A8045" s="36" t="b">
        <v>0</v>
      </c>
      <c r="B8045" s="56" t="b">
        <v>0</v>
      </c>
      <c r="C8045" s="56" t="b">
        <v>0</v>
      </c>
      <c r="D8045" s="56" t="b">
        <v>0</v>
      </c>
      <c r="E8045" s="56">
        <f ca="1">IF(PV[[#This Row],[Business Date]]=Control!$C$6, PV[[#This Row],[Notional Value Local Cur]], -PV[[#This Row],[Notional Value Local Cur]])</f>
        <v>0</v>
      </c>
    </row>
    <row r="8046" spans="1:5" x14ac:dyDescent="0.25">
      <c r="A8046" s="36" t="b">
        <v>0</v>
      </c>
      <c r="B8046" s="56" t="b">
        <v>0</v>
      </c>
      <c r="C8046" s="56" t="b">
        <v>0</v>
      </c>
      <c r="D8046" s="56" t="b">
        <v>0</v>
      </c>
      <c r="E8046" s="56">
        <f ca="1">IF(PV[[#This Row],[Business Date]]=Control!$C$6, PV[[#This Row],[Notional Value Local Cur]], -PV[[#This Row],[Notional Value Local Cur]])</f>
        <v>0</v>
      </c>
    </row>
    <row r="8047" spans="1:5" x14ac:dyDescent="0.25">
      <c r="A8047" s="36" t="b">
        <v>0</v>
      </c>
      <c r="B8047" s="56" t="b">
        <v>0</v>
      </c>
      <c r="C8047" s="56" t="b">
        <v>0</v>
      </c>
      <c r="D8047" s="56" t="b">
        <v>0</v>
      </c>
      <c r="E8047" s="56">
        <f ca="1">IF(PV[[#This Row],[Business Date]]=Control!$C$6, PV[[#This Row],[Notional Value Local Cur]], -PV[[#This Row],[Notional Value Local Cur]])</f>
        <v>0</v>
      </c>
    </row>
    <row r="8048" spans="1:5" x14ac:dyDescent="0.25">
      <c r="A8048" s="36" t="b">
        <v>0</v>
      </c>
      <c r="B8048" s="56" t="b">
        <v>0</v>
      </c>
      <c r="C8048" s="56" t="b">
        <v>0</v>
      </c>
      <c r="D8048" s="56" t="b">
        <v>0</v>
      </c>
      <c r="E8048" s="56">
        <f ca="1">IF(PV[[#This Row],[Business Date]]=Control!$C$6, PV[[#This Row],[Notional Value Local Cur]], -PV[[#This Row],[Notional Value Local Cur]])</f>
        <v>0</v>
      </c>
    </row>
    <row r="8049" spans="1:5" x14ac:dyDescent="0.25">
      <c r="A8049" s="36" t="b">
        <v>0</v>
      </c>
      <c r="B8049" s="56" t="b">
        <v>0</v>
      </c>
      <c r="C8049" s="56" t="b">
        <v>0</v>
      </c>
      <c r="D8049" s="56" t="b">
        <v>0</v>
      </c>
      <c r="E8049" s="56">
        <f ca="1">IF(PV[[#This Row],[Business Date]]=Control!$C$6, PV[[#This Row],[Notional Value Local Cur]], -PV[[#This Row],[Notional Value Local Cur]])</f>
        <v>0</v>
      </c>
    </row>
    <row r="8050" spans="1:5" x14ac:dyDescent="0.25">
      <c r="A8050" s="36" t="b">
        <v>0</v>
      </c>
      <c r="B8050" s="56" t="b">
        <v>0</v>
      </c>
      <c r="C8050" s="56" t="b">
        <v>0</v>
      </c>
      <c r="D8050" s="56" t="b">
        <v>0</v>
      </c>
      <c r="E8050" s="56">
        <f ca="1">IF(PV[[#This Row],[Business Date]]=Control!$C$6, PV[[#This Row],[Notional Value Local Cur]], -PV[[#This Row],[Notional Value Local Cur]])</f>
        <v>0</v>
      </c>
    </row>
    <row r="8051" spans="1:5" x14ac:dyDescent="0.25">
      <c r="A8051" s="36" t="b">
        <v>0</v>
      </c>
      <c r="B8051" s="56" t="b">
        <v>0</v>
      </c>
      <c r="C8051" s="56" t="b">
        <v>0</v>
      </c>
      <c r="D8051" s="56" t="b">
        <v>0</v>
      </c>
      <c r="E8051" s="56">
        <f ca="1">IF(PV[[#This Row],[Business Date]]=Control!$C$6, PV[[#This Row],[Notional Value Local Cur]], -PV[[#This Row],[Notional Value Local Cur]])</f>
        <v>0</v>
      </c>
    </row>
    <row r="8052" spans="1:5" x14ac:dyDescent="0.25">
      <c r="A8052" s="36" t="b">
        <v>0</v>
      </c>
      <c r="B8052" s="56" t="b">
        <v>0</v>
      </c>
      <c r="C8052" s="56" t="b">
        <v>0</v>
      </c>
      <c r="D8052" s="56" t="b">
        <v>0</v>
      </c>
      <c r="E8052" s="56">
        <f ca="1">IF(PV[[#This Row],[Business Date]]=Control!$C$6, PV[[#This Row],[Notional Value Local Cur]], -PV[[#This Row],[Notional Value Local Cur]])</f>
        <v>0</v>
      </c>
    </row>
    <row r="8053" spans="1:5" x14ac:dyDescent="0.25">
      <c r="A8053" s="36" t="b">
        <v>0</v>
      </c>
      <c r="B8053" s="56" t="b">
        <v>0</v>
      </c>
      <c r="C8053" s="56" t="b">
        <v>0</v>
      </c>
      <c r="D8053" s="56" t="b">
        <v>0</v>
      </c>
      <c r="E8053" s="56">
        <f ca="1">IF(PV[[#This Row],[Business Date]]=Control!$C$6, PV[[#This Row],[Notional Value Local Cur]], -PV[[#This Row],[Notional Value Local Cur]])</f>
        <v>0</v>
      </c>
    </row>
    <row r="8054" spans="1:5" x14ac:dyDescent="0.25">
      <c r="A8054" s="36" t="b">
        <v>0</v>
      </c>
      <c r="B8054" s="56" t="b">
        <v>0</v>
      </c>
      <c r="C8054" s="56" t="b">
        <v>0</v>
      </c>
      <c r="D8054" s="56" t="b">
        <v>0</v>
      </c>
      <c r="E8054" s="56">
        <f ca="1">IF(PV[[#This Row],[Business Date]]=Control!$C$6, PV[[#This Row],[Notional Value Local Cur]], -PV[[#This Row],[Notional Value Local Cur]])</f>
        <v>0</v>
      </c>
    </row>
    <row r="8055" spans="1:5" x14ac:dyDescent="0.25">
      <c r="A8055" s="36" t="b">
        <v>0</v>
      </c>
      <c r="B8055" s="56" t="b">
        <v>0</v>
      </c>
      <c r="C8055" s="56" t="b">
        <v>0</v>
      </c>
      <c r="D8055" s="56" t="b">
        <v>0</v>
      </c>
      <c r="E8055" s="56">
        <f ca="1">IF(PV[[#This Row],[Business Date]]=Control!$C$6, PV[[#This Row],[Notional Value Local Cur]], -PV[[#This Row],[Notional Value Local Cur]])</f>
        <v>0</v>
      </c>
    </row>
    <row r="8056" spans="1:5" x14ac:dyDescent="0.25">
      <c r="A8056" s="36" t="b">
        <v>0</v>
      </c>
      <c r="B8056" s="56" t="b">
        <v>0</v>
      </c>
      <c r="C8056" s="56" t="b">
        <v>0</v>
      </c>
      <c r="D8056" s="56" t="b">
        <v>0</v>
      </c>
      <c r="E8056" s="56">
        <f ca="1">IF(PV[[#This Row],[Business Date]]=Control!$C$6, PV[[#This Row],[Notional Value Local Cur]], -PV[[#This Row],[Notional Value Local Cur]])</f>
        <v>0</v>
      </c>
    </row>
    <row r="8057" spans="1:5" x14ac:dyDescent="0.25">
      <c r="A8057" s="36" t="b">
        <v>0</v>
      </c>
      <c r="B8057" s="56" t="b">
        <v>0</v>
      </c>
      <c r="C8057" s="56" t="b">
        <v>0</v>
      </c>
      <c r="D8057" s="56" t="b">
        <v>0</v>
      </c>
      <c r="E8057" s="56">
        <f ca="1">IF(PV[[#This Row],[Business Date]]=Control!$C$6, PV[[#This Row],[Notional Value Local Cur]], -PV[[#This Row],[Notional Value Local Cur]])</f>
        <v>0</v>
      </c>
    </row>
    <row r="8058" spans="1:5" x14ac:dyDescent="0.25">
      <c r="A8058" s="36" t="b">
        <v>0</v>
      </c>
      <c r="B8058" s="56" t="b">
        <v>0</v>
      </c>
      <c r="C8058" s="56" t="b">
        <v>0</v>
      </c>
      <c r="D8058" s="56" t="b">
        <v>0</v>
      </c>
      <c r="E8058" s="56">
        <f ca="1">IF(PV[[#This Row],[Business Date]]=Control!$C$6, PV[[#This Row],[Notional Value Local Cur]], -PV[[#This Row],[Notional Value Local Cur]])</f>
        <v>0</v>
      </c>
    </row>
    <row r="8059" spans="1:5" x14ac:dyDescent="0.25">
      <c r="A8059" s="36" t="b">
        <v>0</v>
      </c>
      <c r="B8059" s="56" t="b">
        <v>0</v>
      </c>
      <c r="C8059" s="56" t="b">
        <v>0</v>
      </c>
      <c r="D8059" s="56" t="b">
        <v>0</v>
      </c>
      <c r="E8059" s="56">
        <f ca="1">IF(PV[[#This Row],[Business Date]]=Control!$C$6, PV[[#This Row],[Notional Value Local Cur]], -PV[[#This Row],[Notional Value Local Cur]])</f>
        <v>0</v>
      </c>
    </row>
    <row r="8060" spans="1:5" x14ac:dyDescent="0.25">
      <c r="A8060" s="36" t="b">
        <v>0</v>
      </c>
      <c r="B8060" s="56" t="b">
        <v>0</v>
      </c>
      <c r="C8060" s="56" t="b">
        <v>0</v>
      </c>
      <c r="D8060" s="56" t="b">
        <v>0</v>
      </c>
      <c r="E8060" s="56">
        <f ca="1">IF(PV[[#This Row],[Business Date]]=Control!$C$6, PV[[#This Row],[Notional Value Local Cur]], -PV[[#This Row],[Notional Value Local Cur]])</f>
        <v>0</v>
      </c>
    </row>
    <row r="8061" spans="1:5" x14ac:dyDescent="0.25">
      <c r="A8061" s="36" t="b">
        <v>0</v>
      </c>
      <c r="B8061" s="56" t="b">
        <v>0</v>
      </c>
      <c r="C8061" s="56" t="b">
        <v>0</v>
      </c>
      <c r="D8061" s="56" t="b">
        <v>0</v>
      </c>
      <c r="E8061" s="56">
        <f ca="1">IF(PV[[#This Row],[Business Date]]=Control!$C$6, PV[[#This Row],[Notional Value Local Cur]], -PV[[#This Row],[Notional Value Local Cur]])</f>
        <v>0</v>
      </c>
    </row>
    <row r="8062" spans="1:5" x14ac:dyDescent="0.25">
      <c r="A8062" s="36" t="b">
        <v>0</v>
      </c>
      <c r="B8062" s="56" t="b">
        <v>0</v>
      </c>
      <c r="C8062" s="56" t="b">
        <v>0</v>
      </c>
      <c r="D8062" s="56" t="b">
        <v>0</v>
      </c>
      <c r="E8062" s="56">
        <f ca="1">IF(PV[[#This Row],[Business Date]]=Control!$C$6, PV[[#This Row],[Notional Value Local Cur]], -PV[[#This Row],[Notional Value Local Cur]])</f>
        <v>0</v>
      </c>
    </row>
    <row r="8063" spans="1:5" x14ac:dyDescent="0.25">
      <c r="A8063" s="36" t="b">
        <v>0</v>
      </c>
      <c r="B8063" s="56" t="b">
        <v>0</v>
      </c>
      <c r="C8063" s="56" t="b">
        <v>0</v>
      </c>
      <c r="D8063" s="56" t="b">
        <v>0</v>
      </c>
      <c r="E8063" s="56">
        <f ca="1">IF(PV[[#This Row],[Business Date]]=Control!$C$6, PV[[#This Row],[Notional Value Local Cur]], -PV[[#This Row],[Notional Value Local Cur]])</f>
        <v>0</v>
      </c>
    </row>
    <row r="8064" spans="1:5" x14ac:dyDescent="0.25">
      <c r="A8064" s="36" t="b">
        <v>0</v>
      </c>
      <c r="B8064" s="56" t="b">
        <v>0</v>
      </c>
      <c r="C8064" s="56" t="b">
        <v>0</v>
      </c>
      <c r="D8064" s="56" t="b">
        <v>0</v>
      </c>
      <c r="E8064" s="56">
        <f ca="1">IF(PV[[#This Row],[Business Date]]=Control!$C$6, PV[[#This Row],[Notional Value Local Cur]], -PV[[#This Row],[Notional Value Local Cur]])</f>
        <v>0</v>
      </c>
    </row>
    <row r="8065" spans="1:5" x14ac:dyDescent="0.25">
      <c r="A8065" s="36" t="b">
        <v>0</v>
      </c>
      <c r="B8065" s="56" t="b">
        <v>0</v>
      </c>
      <c r="C8065" s="56" t="b">
        <v>0</v>
      </c>
      <c r="D8065" s="56" t="b">
        <v>0</v>
      </c>
      <c r="E8065" s="56">
        <f ca="1">IF(PV[[#This Row],[Business Date]]=Control!$C$6, PV[[#This Row],[Notional Value Local Cur]], -PV[[#This Row],[Notional Value Local Cur]])</f>
        <v>0</v>
      </c>
    </row>
    <row r="8066" spans="1:5" x14ac:dyDescent="0.25">
      <c r="A8066" s="36" t="b">
        <v>0</v>
      </c>
      <c r="B8066" s="56" t="b">
        <v>0</v>
      </c>
      <c r="C8066" s="56" t="b">
        <v>0</v>
      </c>
      <c r="D8066" s="56" t="b">
        <v>0</v>
      </c>
      <c r="E8066" s="56">
        <f ca="1">IF(PV[[#This Row],[Business Date]]=Control!$C$6, PV[[#This Row],[Notional Value Local Cur]], -PV[[#This Row],[Notional Value Local Cur]])</f>
        <v>0</v>
      </c>
    </row>
    <row r="8067" spans="1:5" x14ac:dyDescent="0.25">
      <c r="A8067" s="36" t="b">
        <v>0</v>
      </c>
      <c r="B8067" s="56" t="b">
        <v>0</v>
      </c>
      <c r="C8067" s="56" t="b">
        <v>0</v>
      </c>
      <c r="D8067" s="56" t="b">
        <v>0</v>
      </c>
      <c r="E8067" s="56">
        <f ca="1">IF(PV[[#This Row],[Business Date]]=Control!$C$6, PV[[#This Row],[Notional Value Local Cur]], -PV[[#This Row],[Notional Value Local Cur]])</f>
        <v>0</v>
      </c>
    </row>
    <row r="8068" spans="1:5" x14ac:dyDescent="0.25">
      <c r="A8068" s="36" t="b">
        <v>0</v>
      </c>
      <c r="B8068" s="56" t="b">
        <v>0</v>
      </c>
      <c r="C8068" s="56" t="b">
        <v>0</v>
      </c>
      <c r="D8068" s="56" t="b">
        <v>0</v>
      </c>
      <c r="E8068" s="56">
        <f ca="1">IF(PV[[#This Row],[Business Date]]=Control!$C$6, PV[[#This Row],[Notional Value Local Cur]], -PV[[#This Row],[Notional Value Local Cur]])</f>
        <v>0</v>
      </c>
    </row>
    <row r="8069" spans="1:5" x14ac:dyDescent="0.25">
      <c r="A8069" s="36" t="b">
        <v>0</v>
      </c>
      <c r="B8069" s="56" t="b">
        <v>0</v>
      </c>
      <c r="C8069" s="56" t="b">
        <v>0</v>
      </c>
      <c r="D8069" s="56" t="b">
        <v>0</v>
      </c>
      <c r="E8069" s="56">
        <f ca="1">IF(PV[[#This Row],[Business Date]]=Control!$C$6, PV[[#This Row],[Notional Value Local Cur]], -PV[[#This Row],[Notional Value Local Cur]])</f>
        <v>0</v>
      </c>
    </row>
    <row r="8070" spans="1:5" x14ac:dyDescent="0.25">
      <c r="A8070" s="36" t="b">
        <v>0</v>
      </c>
      <c r="B8070" s="56" t="b">
        <v>0</v>
      </c>
      <c r="C8070" s="56" t="b">
        <v>0</v>
      </c>
      <c r="D8070" s="56" t="b">
        <v>0</v>
      </c>
      <c r="E8070" s="56">
        <f ca="1">IF(PV[[#This Row],[Business Date]]=Control!$C$6, PV[[#This Row],[Notional Value Local Cur]], -PV[[#This Row],[Notional Value Local Cur]])</f>
        <v>0</v>
      </c>
    </row>
    <row r="8071" spans="1:5" x14ac:dyDescent="0.25">
      <c r="A8071" s="36" t="b">
        <v>0</v>
      </c>
      <c r="B8071" s="56" t="b">
        <v>0</v>
      </c>
      <c r="C8071" s="56" t="b">
        <v>0</v>
      </c>
      <c r="D8071" s="56" t="b">
        <v>0</v>
      </c>
      <c r="E8071" s="56">
        <f ca="1">IF(PV[[#This Row],[Business Date]]=Control!$C$6, PV[[#This Row],[Notional Value Local Cur]], -PV[[#This Row],[Notional Value Local Cur]])</f>
        <v>0</v>
      </c>
    </row>
    <row r="8072" spans="1:5" x14ac:dyDescent="0.25">
      <c r="A8072" s="36" t="b">
        <v>0</v>
      </c>
      <c r="B8072" s="56" t="b">
        <v>0</v>
      </c>
      <c r="C8072" s="56" t="b">
        <v>0</v>
      </c>
      <c r="D8072" s="56" t="b">
        <v>0</v>
      </c>
      <c r="E8072" s="56">
        <f ca="1">IF(PV[[#This Row],[Business Date]]=Control!$C$6, PV[[#This Row],[Notional Value Local Cur]], -PV[[#This Row],[Notional Value Local Cur]])</f>
        <v>0</v>
      </c>
    </row>
    <row r="8073" spans="1:5" x14ac:dyDescent="0.25">
      <c r="A8073" s="36" t="b">
        <v>0</v>
      </c>
      <c r="B8073" s="56" t="b">
        <v>0</v>
      </c>
      <c r="C8073" s="56" t="b">
        <v>0</v>
      </c>
      <c r="D8073" s="56" t="b">
        <v>0</v>
      </c>
      <c r="E8073" s="56">
        <f ca="1">IF(PV[[#This Row],[Business Date]]=Control!$C$6, PV[[#This Row],[Notional Value Local Cur]], -PV[[#This Row],[Notional Value Local Cur]])</f>
        <v>0</v>
      </c>
    </row>
    <row r="8074" spans="1:5" x14ac:dyDescent="0.25">
      <c r="A8074" s="36" t="b">
        <v>0</v>
      </c>
      <c r="B8074" s="56" t="b">
        <v>0</v>
      </c>
      <c r="C8074" s="56" t="b">
        <v>0</v>
      </c>
      <c r="D8074" s="56" t="b">
        <v>0</v>
      </c>
      <c r="E8074" s="56">
        <f ca="1">IF(PV[[#This Row],[Business Date]]=Control!$C$6, PV[[#This Row],[Notional Value Local Cur]], -PV[[#This Row],[Notional Value Local Cur]])</f>
        <v>0</v>
      </c>
    </row>
    <row r="8075" spans="1:5" x14ac:dyDescent="0.25">
      <c r="A8075" s="36" t="b">
        <v>0</v>
      </c>
      <c r="B8075" s="56" t="b">
        <v>0</v>
      </c>
      <c r="C8075" s="56" t="b">
        <v>0</v>
      </c>
      <c r="D8075" s="56" t="b">
        <v>0</v>
      </c>
      <c r="E8075" s="56">
        <f ca="1">IF(PV[[#This Row],[Business Date]]=Control!$C$6, PV[[#This Row],[Notional Value Local Cur]], -PV[[#This Row],[Notional Value Local Cur]])</f>
        <v>0</v>
      </c>
    </row>
    <row r="8076" spans="1:5" x14ac:dyDescent="0.25">
      <c r="A8076" s="36" t="b">
        <v>0</v>
      </c>
      <c r="B8076" s="56" t="b">
        <v>0</v>
      </c>
      <c r="C8076" s="56" t="b">
        <v>0</v>
      </c>
      <c r="D8076" s="56" t="b">
        <v>0</v>
      </c>
      <c r="E8076" s="56">
        <f ca="1">IF(PV[[#This Row],[Business Date]]=Control!$C$6, PV[[#This Row],[Notional Value Local Cur]], -PV[[#This Row],[Notional Value Local Cur]])</f>
        <v>0</v>
      </c>
    </row>
    <row r="8077" spans="1:5" x14ac:dyDescent="0.25">
      <c r="A8077" s="36" t="b">
        <v>0</v>
      </c>
      <c r="B8077" s="56" t="b">
        <v>0</v>
      </c>
      <c r="C8077" s="56" t="b">
        <v>0</v>
      </c>
      <c r="D8077" s="56" t="b">
        <v>0</v>
      </c>
      <c r="E8077" s="56">
        <f ca="1">IF(PV[[#This Row],[Business Date]]=Control!$C$6, PV[[#This Row],[Notional Value Local Cur]], -PV[[#This Row],[Notional Value Local Cur]])</f>
        <v>0</v>
      </c>
    </row>
    <row r="8078" spans="1:5" x14ac:dyDescent="0.25">
      <c r="A8078" s="36" t="b">
        <v>0</v>
      </c>
      <c r="B8078" s="56" t="b">
        <v>0</v>
      </c>
      <c r="C8078" s="56" t="b">
        <v>0</v>
      </c>
      <c r="D8078" s="56" t="b">
        <v>0</v>
      </c>
      <c r="E8078" s="56">
        <f ca="1">IF(PV[[#This Row],[Business Date]]=Control!$C$6, PV[[#This Row],[Notional Value Local Cur]], -PV[[#This Row],[Notional Value Local Cur]])</f>
        <v>0</v>
      </c>
    </row>
    <row r="8079" spans="1:5" x14ac:dyDescent="0.25">
      <c r="A8079" s="36" t="b">
        <v>0</v>
      </c>
      <c r="B8079" s="56" t="b">
        <v>0</v>
      </c>
      <c r="C8079" s="56" t="b">
        <v>0</v>
      </c>
      <c r="D8079" s="56" t="b">
        <v>0</v>
      </c>
      <c r="E8079" s="56">
        <f ca="1">IF(PV[[#This Row],[Business Date]]=Control!$C$6, PV[[#This Row],[Notional Value Local Cur]], -PV[[#This Row],[Notional Value Local Cur]])</f>
        <v>0</v>
      </c>
    </row>
    <row r="8080" spans="1:5" x14ac:dyDescent="0.25">
      <c r="A8080" s="36" t="b">
        <v>0</v>
      </c>
      <c r="B8080" s="56" t="b">
        <v>0</v>
      </c>
      <c r="C8080" s="56" t="b">
        <v>0</v>
      </c>
      <c r="D8080" s="56" t="b">
        <v>0</v>
      </c>
      <c r="E8080" s="56">
        <f ca="1">IF(PV[[#This Row],[Business Date]]=Control!$C$6, PV[[#This Row],[Notional Value Local Cur]], -PV[[#This Row],[Notional Value Local Cur]])</f>
        <v>0</v>
      </c>
    </row>
    <row r="8081" spans="1:5" x14ac:dyDescent="0.25">
      <c r="A8081" s="36" t="b">
        <v>0</v>
      </c>
      <c r="B8081" s="56" t="b">
        <v>0</v>
      </c>
      <c r="C8081" s="56" t="b">
        <v>0</v>
      </c>
      <c r="D8081" s="56" t="b">
        <v>0</v>
      </c>
      <c r="E8081" s="56">
        <f ca="1">IF(PV[[#This Row],[Business Date]]=Control!$C$6, PV[[#This Row],[Notional Value Local Cur]], -PV[[#This Row],[Notional Value Local Cur]])</f>
        <v>0</v>
      </c>
    </row>
    <row r="8082" spans="1:5" x14ac:dyDescent="0.25">
      <c r="A8082" s="36" t="b">
        <v>0</v>
      </c>
      <c r="B8082" s="56" t="b">
        <v>0</v>
      </c>
      <c r="C8082" s="56" t="b">
        <v>0</v>
      </c>
      <c r="D8082" s="56" t="b">
        <v>0</v>
      </c>
      <c r="E8082" s="56">
        <f ca="1">IF(PV[[#This Row],[Business Date]]=Control!$C$6, PV[[#This Row],[Notional Value Local Cur]], -PV[[#This Row],[Notional Value Local Cur]])</f>
        <v>0</v>
      </c>
    </row>
    <row r="8083" spans="1:5" x14ac:dyDescent="0.25">
      <c r="A8083" s="36" t="b">
        <v>0</v>
      </c>
      <c r="B8083" s="56" t="b">
        <v>0</v>
      </c>
      <c r="C8083" s="56" t="b">
        <v>0</v>
      </c>
      <c r="D8083" s="56" t="b">
        <v>0</v>
      </c>
      <c r="E8083" s="56">
        <f ca="1">IF(PV[[#This Row],[Business Date]]=Control!$C$6, PV[[#This Row],[Notional Value Local Cur]], -PV[[#This Row],[Notional Value Local Cur]])</f>
        <v>0</v>
      </c>
    </row>
    <row r="8084" spans="1:5" x14ac:dyDescent="0.25">
      <c r="A8084" s="36" t="b">
        <v>0</v>
      </c>
      <c r="B8084" s="56" t="b">
        <v>0</v>
      </c>
      <c r="C8084" s="56" t="b">
        <v>0</v>
      </c>
      <c r="D8084" s="56" t="b">
        <v>0</v>
      </c>
      <c r="E8084" s="56">
        <f ca="1">IF(PV[[#This Row],[Business Date]]=Control!$C$6, PV[[#This Row],[Notional Value Local Cur]], -PV[[#This Row],[Notional Value Local Cur]])</f>
        <v>0</v>
      </c>
    </row>
    <row r="8085" spans="1:5" x14ac:dyDescent="0.25">
      <c r="A8085" s="36" t="b">
        <v>0</v>
      </c>
      <c r="B8085" s="56" t="b">
        <v>0</v>
      </c>
      <c r="C8085" s="56" t="b">
        <v>0</v>
      </c>
      <c r="D8085" s="56" t="b">
        <v>0</v>
      </c>
      <c r="E8085" s="56">
        <f ca="1">IF(PV[[#This Row],[Business Date]]=Control!$C$6, PV[[#This Row],[Notional Value Local Cur]], -PV[[#This Row],[Notional Value Local Cur]])</f>
        <v>0</v>
      </c>
    </row>
    <row r="8086" spans="1:5" x14ac:dyDescent="0.25">
      <c r="A8086" s="36" t="b">
        <v>0</v>
      </c>
      <c r="B8086" s="56" t="b">
        <v>0</v>
      </c>
      <c r="C8086" s="56" t="b">
        <v>0</v>
      </c>
      <c r="D8086" s="56" t="b">
        <v>0</v>
      </c>
      <c r="E8086" s="56">
        <f ca="1">IF(PV[[#This Row],[Business Date]]=Control!$C$6, PV[[#This Row],[Notional Value Local Cur]], -PV[[#This Row],[Notional Value Local Cur]])</f>
        <v>0</v>
      </c>
    </row>
    <row r="8087" spans="1:5" x14ac:dyDescent="0.25">
      <c r="A8087" s="36" t="b">
        <v>0</v>
      </c>
      <c r="B8087" s="56" t="b">
        <v>0</v>
      </c>
      <c r="C8087" s="56" t="b">
        <v>0</v>
      </c>
      <c r="D8087" s="56" t="b">
        <v>0</v>
      </c>
      <c r="E8087" s="56">
        <f ca="1">IF(PV[[#This Row],[Business Date]]=Control!$C$6, PV[[#This Row],[Notional Value Local Cur]], -PV[[#This Row],[Notional Value Local Cur]])</f>
        <v>0</v>
      </c>
    </row>
    <row r="8088" spans="1:5" x14ac:dyDescent="0.25">
      <c r="A8088" s="36" t="b">
        <v>0</v>
      </c>
      <c r="B8088" s="56" t="b">
        <v>0</v>
      </c>
      <c r="C8088" s="56" t="b">
        <v>0</v>
      </c>
      <c r="D8088" s="56" t="b">
        <v>0</v>
      </c>
      <c r="E8088" s="56">
        <f ca="1">IF(PV[[#This Row],[Business Date]]=Control!$C$6, PV[[#This Row],[Notional Value Local Cur]], -PV[[#This Row],[Notional Value Local Cur]])</f>
        <v>0</v>
      </c>
    </row>
    <row r="8089" spans="1:5" x14ac:dyDescent="0.25">
      <c r="A8089" s="36" t="b">
        <v>0</v>
      </c>
      <c r="B8089" s="56" t="b">
        <v>0</v>
      </c>
      <c r="C8089" s="56" t="b">
        <v>0</v>
      </c>
      <c r="D8089" s="56" t="b">
        <v>0</v>
      </c>
      <c r="E8089" s="56">
        <f ca="1">IF(PV[[#This Row],[Business Date]]=Control!$C$6, PV[[#This Row],[Notional Value Local Cur]], -PV[[#This Row],[Notional Value Local Cur]])</f>
        <v>0</v>
      </c>
    </row>
    <row r="8090" spans="1:5" x14ac:dyDescent="0.25">
      <c r="A8090" s="36" t="b">
        <v>0</v>
      </c>
      <c r="B8090" s="56" t="b">
        <v>0</v>
      </c>
      <c r="C8090" s="56" t="b">
        <v>0</v>
      </c>
      <c r="D8090" s="56" t="b">
        <v>0</v>
      </c>
      <c r="E8090" s="56">
        <f ca="1">IF(PV[[#This Row],[Business Date]]=Control!$C$6, PV[[#This Row],[Notional Value Local Cur]], -PV[[#This Row],[Notional Value Local Cur]])</f>
        <v>0</v>
      </c>
    </row>
    <row r="8091" spans="1:5" x14ac:dyDescent="0.25">
      <c r="A8091" s="36" t="b">
        <v>0</v>
      </c>
      <c r="B8091" s="56" t="b">
        <v>0</v>
      </c>
      <c r="C8091" s="56" t="b">
        <v>0</v>
      </c>
      <c r="D8091" s="56" t="b">
        <v>0</v>
      </c>
      <c r="E8091" s="56">
        <f ca="1">IF(PV[[#This Row],[Business Date]]=Control!$C$6, PV[[#This Row],[Notional Value Local Cur]], -PV[[#This Row],[Notional Value Local Cur]])</f>
        <v>0</v>
      </c>
    </row>
    <row r="8092" spans="1:5" x14ac:dyDescent="0.25">
      <c r="A8092" s="36" t="b">
        <v>0</v>
      </c>
      <c r="B8092" s="56" t="b">
        <v>0</v>
      </c>
      <c r="C8092" s="56" t="b">
        <v>0</v>
      </c>
      <c r="D8092" s="56" t="b">
        <v>0</v>
      </c>
      <c r="E8092" s="56">
        <f ca="1">IF(PV[[#This Row],[Business Date]]=Control!$C$6, PV[[#This Row],[Notional Value Local Cur]], -PV[[#This Row],[Notional Value Local Cur]])</f>
        <v>0</v>
      </c>
    </row>
    <row r="8093" spans="1:5" x14ac:dyDescent="0.25">
      <c r="A8093" s="36" t="b">
        <v>0</v>
      </c>
      <c r="B8093" s="56" t="b">
        <v>0</v>
      </c>
      <c r="C8093" s="56" t="b">
        <v>0</v>
      </c>
      <c r="D8093" s="56" t="b">
        <v>0</v>
      </c>
      <c r="E8093" s="56">
        <f ca="1">IF(PV[[#This Row],[Business Date]]=Control!$C$6, PV[[#This Row],[Notional Value Local Cur]], -PV[[#This Row],[Notional Value Local Cur]])</f>
        <v>0</v>
      </c>
    </row>
    <row r="8094" spans="1:5" x14ac:dyDescent="0.25">
      <c r="A8094" s="36" t="b">
        <v>0</v>
      </c>
      <c r="B8094" s="56" t="b">
        <v>0</v>
      </c>
      <c r="C8094" s="56" t="b">
        <v>0</v>
      </c>
      <c r="D8094" s="56" t="b">
        <v>0</v>
      </c>
      <c r="E8094" s="56">
        <f ca="1">IF(PV[[#This Row],[Business Date]]=Control!$C$6, PV[[#This Row],[Notional Value Local Cur]], -PV[[#This Row],[Notional Value Local Cur]])</f>
        <v>0</v>
      </c>
    </row>
    <row r="8095" spans="1:5" x14ac:dyDescent="0.25">
      <c r="A8095" s="36" t="b">
        <v>0</v>
      </c>
      <c r="B8095" s="56" t="b">
        <v>0</v>
      </c>
      <c r="C8095" s="56" t="b">
        <v>0</v>
      </c>
      <c r="D8095" s="56" t="b">
        <v>0</v>
      </c>
      <c r="E8095" s="56">
        <f ca="1">IF(PV[[#This Row],[Business Date]]=Control!$C$6, PV[[#This Row],[Notional Value Local Cur]], -PV[[#This Row],[Notional Value Local Cur]])</f>
        <v>0</v>
      </c>
    </row>
    <row r="8096" spans="1:5" x14ac:dyDescent="0.25">
      <c r="A8096" s="36" t="b">
        <v>0</v>
      </c>
      <c r="B8096" s="56" t="b">
        <v>0</v>
      </c>
      <c r="C8096" s="56" t="b">
        <v>0</v>
      </c>
      <c r="D8096" s="56" t="b">
        <v>0</v>
      </c>
      <c r="E8096" s="56">
        <f ca="1">IF(PV[[#This Row],[Business Date]]=Control!$C$6, PV[[#This Row],[Notional Value Local Cur]], -PV[[#This Row],[Notional Value Local Cur]])</f>
        <v>0</v>
      </c>
    </row>
    <row r="8097" spans="1:5" x14ac:dyDescent="0.25">
      <c r="A8097" s="36" t="b">
        <v>0</v>
      </c>
      <c r="B8097" s="56" t="b">
        <v>0</v>
      </c>
      <c r="C8097" s="56" t="b">
        <v>0</v>
      </c>
      <c r="D8097" s="56" t="b">
        <v>0</v>
      </c>
      <c r="E8097" s="56">
        <f ca="1">IF(PV[[#This Row],[Business Date]]=Control!$C$6, PV[[#This Row],[Notional Value Local Cur]], -PV[[#This Row],[Notional Value Local Cur]])</f>
        <v>0</v>
      </c>
    </row>
    <row r="8098" spans="1:5" x14ac:dyDescent="0.25">
      <c r="A8098" s="36" t="b">
        <v>0</v>
      </c>
      <c r="B8098" s="56" t="b">
        <v>0</v>
      </c>
      <c r="C8098" s="56" t="b">
        <v>0</v>
      </c>
      <c r="D8098" s="56" t="b">
        <v>0</v>
      </c>
      <c r="E8098" s="56">
        <f ca="1">IF(PV[[#This Row],[Business Date]]=Control!$C$6, PV[[#This Row],[Notional Value Local Cur]], -PV[[#This Row],[Notional Value Local Cur]])</f>
        <v>0</v>
      </c>
    </row>
    <row r="8099" spans="1:5" x14ac:dyDescent="0.25">
      <c r="A8099" s="36" t="b">
        <v>0</v>
      </c>
      <c r="B8099" s="56" t="b">
        <v>0</v>
      </c>
      <c r="C8099" s="56" t="b">
        <v>0</v>
      </c>
      <c r="D8099" s="56" t="b">
        <v>0</v>
      </c>
      <c r="E8099" s="56">
        <f ca="1">IF(PV[[#This Row],[Business Date]]=Control!$C$6, PV[[#This Row],[Notional Value Local Cur]], -PV[[#This Row],[Notional Value Local Cur]])</f>
        <v>0</v>
      </c>
    </row>
    <row r="8100" spans="1:5" x14ac:dyDescent="0.25">
      <c r="A8100" s="36" t="b">
        <v>0</v>
      </c>
      <c r="B8100" s="56" t="b">
        <v>0</v>
      </c>
      <c r="C8100" s="56" t="b">
        <v>0</v>
      </c>
      <c r="D8100" s="56" t="b">
        <v>0</v>
      </c>
      <c r="E8100" s="56">
        <f ca="1">IF(PV[[#This Row],[Business Date]]=Control!$C$6, PV[[#This Row],[Notional Value Local Cur]], -PV[[#This Row],[Notional Value Local Cur]])</f>
        <v>0</v>
      </c>
    </row>
    <row r="8101" spans="1:5" x14ac:dyDescent="0.25">
      <c r="A8101" s="36" t="b">
        <v>0</v>
      </c>
      <c r="B8101" s="56" t="b">
        <v>0</v>
      </c>
      <c r="C8101" s="56" t="b">
        <v>0</v>
      </c>
      <c r="D8101" s="56" t="b">
        <v>0</v>
      </c>
      <c r="E8101" s="56">
        <f ca="1">IF(PV[[#This Row],[Business Date]]=Control!$C$6, PV[[#This Row],[Notional Value Local Cur]], -PV[[#This Row],[Notional Value Local Cur]])</f>
        <v>0</v>
      </c>
    </row>
    <row r="8102" spans="1:5" x14ac:dyDescent="0.25">
      <c r="A8102" s="36" t="b">
        <v>0</v>
      </c>
      <c r="B8102" s="56" t="b">
        <v>0</v>
      </c>
      <c r="C8102" s="56" t="b">
        <v>0</v>
      </c>
      <c r="D8102" s="56" t="b">
        <v>0</v>
      </c>
      <c r="E8102" s="56">
        <f ca="1">IF(PV[[#This Row],[Business Date]]=Control!$C$6, PV[[#This Row],[Notional Value Local Cur]], -PV[[#This Row],[Notional Value Local Cur]])</f>
        <v>0</v>
      </c>
    </row>
    <row r="8103" spans="1:5" x14ac:dyDescent="0.25">
      <c r="A8103" s="36" t="b">
        <v>0</v>
      </c>
      <c r="B8103" s="56" t="b">
        <v>0</v>
      </c>
      <c r="C8103" s="56" t="b">
        <v>0</v>
      </c>
      <c r="D8103" s="56" t="b">
        <v>0</v>
      </c>
      <c r="E8103" s="56">
        <f ca="1">IF(PV[[#This Row],[Business Date]]=Control!$C$6, PV[[#This Row],[Notional Value Local Cur]], -PV[[#This Row],[Notional Value Local Cur]])</f>
        <v>0</v>
      </c>
    </row>
    <row r="8104" spans="1:5" x14ac:dyDescent="0.25">
      <c r="A8104" s="36" t="b">
        <v>0</v>
      </c>
      <c r="B8104" s="56" t="b">
        <v>0</v>
      </c>
      <c r="C8104" s="56" t="b">
        <v>0</v>
      </c>
      <c r="D8104" s="56" t="b">
        <v>0</v>
      </c>
      <c r="E8104" s="56">
        <f ca="1">IF(PV[[#This Row],[Business Date]]=Control!$C$6, PV[[#This Row],[Notional Value Local Cur]], -PV[[#This Row],[Notional Value Local Cur]])</f>
        <v>0</v>
      </c>
    </row>
    <row r="8105" spans="1:5" x14ac:dyDescent="0.25">
      <c r="A8105" s="36" t="b">
        <v>0</v>
      </c>
      <c r="B8105" s="56" t="b">
        <v>0</v>
      </c>
      <c r="C8105" s="56" t="b">
        <v>0</v>
      </c>
      <c r="D8105" s="56" t="b">
        <v>0</v>
      </c>
      <c r="E8105" s="56">
        <f ca="1">IF(PV[[#This Row],[Business Date]]=Control!$C$6, PV[[#This Row],[Notional Value Local Cur]], -PV[[#This Row],[Notional Value Local Cur]])</f>
        <v>0</v>
      </c>
    </row>
    <row r="8106" spans="1:5" x14ac:dyDescent="0.25">
      <c r="A8106" s="36" t="b">
        <v>0</v>
      </c>
      <c r="B8106" s="56" t="b">
        <v>0</v>
      </c>
      <c r="C8106" s="56" t="b">
        <v>0</v>
      </c>
      <c r="D8106" s="56" t="b">
        <v>0</v>
      </c>
      <c r="E8106" s="56">
        <f ca="1">IF(PV[[#This Row],[Business Date]]=Control!$C$6, PV[[#This Row],[Notional Value Local Cur]], -PV[[#This Row],[Notional Value Local Cur]])</f>
        <v>0</v>
      </c>
    </row>
    <row r="8107" spans="1:5" x14ac:dyDescent="0.25">
      <c r="A8107" s="36" t="b">
        <v>0</v>
      </c>
      <c r="B8107" s="56" t="b">
        <v>0</v>
      </c>
      <c r="C8107" s="56" t="b">
        <v>0</v>
      </c>
      <c r="D8107" s="56" t="b">
        <v>0</v>
      </c>
      <c r="E8107" s="56">
        <f ca="1">IF(PV[[#This Row],[Business Date]]=Control!$C$6, PV[[#This Row],[Notional Value Local Cur]], -PV[[#This Row],[Notional Value Local Cur]])</f>
        <v>0</v>
      </c>
    </row>
    <row r="8108" spans="1:5" x14ac:dyDescent="0.25">
      <c r="A8108" s="36" t="b">
        <v>0</v>
      </c>
      <c r="B8108" s="56" t="b">
        <v>0</v>
      </c>
      <c r="C8108" s="56" t="b">
        <v>0</v>
      </c>
      <c r="D8108" s="56" t="b">
        <v>0</v>
      </c>
      <c r="E8108" s="56">
        <f ca="1">IF(PV[[#This Row],[Business Date]]=Control!$C$6, PV[[#This Row],[Notional Value Local Cur]], -PV[[#This Row],[Notional Value Local Cur]])</f>
        <v>0</v>
      </c>
    </row>
    <row r="8109" spans="1:5" x14ac:dyDescent="0.25">
      <c r="A8109" s="36" t="b">
        <v>0</v>
      </c>
      <c r="B8109" s="56" t="b">
        <v>0</v>
      </c>
      <c r="C8109" s="56" t="b">
        <v>0</v>
      </c>
      <c r="D8109" s="56" t="b">
        <v>0</v>
      </c>
      <c r="E8109" s="56">
        <f ca="1">IF(PV[[#This Row],[Business Date]]=Control!$C$6, PV[[#This Row],[Notional Value Local Cur]], -PV[[#This Row],[Notional Value Local Cur]])</f>
        <v>0</v>
      </c>
    </row>
    <row r="8110" spans="1:5" x14ac:dyDescent="0.25">
      <c r="A8110" s="36" t="b">
        <v>0</v>
      </c>
      <c r="B8110" s="56" t="b">
        <v>0</v>
      </c>
      <c r="C8110" s="56" t="b">
        <v>0</v>
      </c>
      <c r="D8110" s="56" t="b">
        <v>0</v>
      </c>
      <c r="E8110" s="56">
        <f ca="1">IF(PV[[#This Row],[Business Date]]=Control!$C$6, PV[[#This Row],[Notional Value Local Cur]], -PV[[#This Row],[Notional Value Local Cur]])</f>
        <v>0</v>
      </c>
    </row>
    <row r="8111" spans="1:5" x14ac:dyDescent="0.25">
      <c r="A8111" s="36" t="b">
        <v>0</v>
      </c>
      <c r="B8111" s="56" t="b">
        <v>0</v>
      </c>
      <c r="C8111" s="56" t="b">
        <v>0</v>
      </c>
      <c r="D8111" s="56" t="b">
        <v>0</v>
      </c>
      <c r="E8111" s="56">
        <f ca="1">IF(PV[[#This Row],[Business Date]]=Control!$C$6, PV[[#This Row],[Notional Value Local Cur]], -PV[[#This Row],[Notional Value Local Cur]])</f>
        <v>0</v>
      </c>
    </row>
    <row r="8112" spans="1:5" x14ac:dyDescent="0.25">
      <c r="A8112" s="36" t="b">
        <v>0</v>
      </c>
      <c r="B8112" s="56" t="b">
        <v>0</v>
      </c>
      <c r="C8112" s="56" t="b">
        <v>0</v>
      </c>
      <c r="D8112" s="56" t="b">
        <v>0</v>
      </c>
      <c r="E8112" s="56">
        <f ca="1">IF(PV[[#This Row],[Business Date]]=Control!$C$6, PV[[#This Row],[Notional Value Local Cur]], -PV[[#This Row],[Notional Value Local Cur]])</f>
        <v>0</v>
      </c>
    </row>
    <row r="8113" spans="1:5" x14ac:dyDescent="0.25">
      <c r="A8113" s="36" t="b">
        <v>0</v>
      </c>
      <c r="B8113" s="56" t="b">
        <v>0</v>
      </c>
      <c r="C8113" s="56" t="b">
        <v>0</v>
      </c>
      <c r="D8113" s="56" t="b">
        <v>0</v>
      </c>
      <c r="E8113" s="56">
        <f ca="1">IF(PV[[#This Row],[Business Date]]=Control!$C$6, PV[[#This Row],[Notional Value Local Cur]], -PV[[#This Row],[Notional Value Local Cur]])</f>
        <v>0</v>
      </c>
    </row>
    <row r="8114" spans="1:5" x14ac:dyDescent="0.25">
      <c r="A8114" s="36" t="b">
        <v>0</v>
      </c>
      <c r="B8114" s="56" t="b">
        <v>0</v>
      </c>
      <c r="C8114" s="56" t="b">
        <v>0</v>
      </c>
      <c r="D8114" s="56" t="b">
        <v>0</v>
      </c>
      <c r="E8114" s="56">
        <f ca="1">IF(PV[[#This Row],[Business Date]]=Control!$C$6, PV[[#This Row],[Notional Value Local Cur]], -PV[[#This Row],[Notional Value Local Cur]])</f>
        <v>0</v>
      </c>
    </row>
    <row r="8115" spans="1:5" x14ac:dyDescent="0.25">
      <c r="A8115" s="36" t="b">
        <v>0</v>
      </c>
      <c r="B8115" s="56" t="b">
        <v>0</v>
      </c>
      <c r="C8115" s="56" t="b">
        <v>0</v>
      </c>
      <c r="D8115" s="56" t="b">
        <v>0</v>
      </c>
      <c r="E8115" s="56">
        <f ca="1">IF(PV[[#This Row],[Business Date]]=Control!$C$6, PV[[#This Row],[Notional Value Local Cur]], -PV[[#This Row],[Notional Value Local Cur]])</f>
        <v>0</v>
      </c>
    </row>
    <row r="8116" spans="1:5" x14ac:dyDescent="0.25">
      <c r="A8116" s="36" t="b">
        <v>0</v>
      </c>
      <c r="B8116" s="56" t="b">
        <v>0</v>
      </c>
      <c r="C8116" s="56" t="b">
        <v>0</v>
      </c>
      <c r="D8116" s="56" t="b">
        <v>0</v>
      </c>
      <c r="E8116" s="56">
        <f ca="1">IF(PV[[#This Row],[Business Date]]=Control!$C$6, PV[[#This Row],[Notional Value Local Cur]], -PV[[#This Row],[Notional Value Local Cur]])</f>
        <v>0</v>
      </c>
    </row>
    <row r="8117" spans="1:5" x14ac:dyDescent="0.25">
      <c r="A8117" s="36" t="b">
        <v>0</v>
      </c>
      <c r="B8117" s="56" t="b">
        <v>0</v>
      </c>
      <c r="C8117" s="56" t="b">
        <v>0</v>
      </c>
      <c r="D8117" s="56" t="b">
        <v>0</v>
      </c>
      <c r="E8117" s="56">
        <f ca="1">IF(PV[[#This Row],[Business Date]]=Control!$C$6, PV[[#This Row],[Notional Value Local Cur]], -PV[[#This Row],[Notional Value Local Cur]])</f>
        <v>0</v>
      </c>
    </row>
    <row r="8118" spans="1:5" x14ac:dyDescent="0.25">
      <c r="A8118" s="36" t="b">
        <v>0</v>
      </c>
      <c r="B8118" s="56" t="b">
        <v>0</v>
      </c>
      <c r="C8118" s="56" t="b">
        <v>0</v>
      </c>
      <c r="D8118" s="56" t="b">
        <v>0</v>
      </c>
      <c r="E8118" s="56">
        <f ca="1">IF(PV[[#This Row],[Business Date]]=Control!$C$6, PV[[#This Row],[Notional Value Local Cur]], -PV[[#This Row],[Notional Value Local Cur]])</f>
        <v>0</v>
      </c>
    </row>
    <row r="8119" spans="1:5" x14ac:dyDescent="0.25">
      <c r="A8119" s="36" t="b">
        <v>0</v>
      </c>
      <c r="B8119" s="56" t="b">
        <v>0</v>
      </c>
      <c r="C8119" s="56" t="b">
        <v>0</v>
      </c>
      <c r="D8119" s="56" t="b">
        <v>0</v>
      </c>
      <c r="E8119" s="56">
        <f ca="1">IF(PV[[#This Row],[Business Date]]=Control!$C$6, PV[[#This Row],[Notional Value Local Cur]], -PV[[#This Row],[Notional Value Local Cur]])</f>
        <v>0</v>
      </c>
    </row>
    <row r="8120" spans="1:5" x14ac:dyDescent="0.25">
      <c r="A8120" s="36" t="b">
        <v>0</v>
      </c>
      <c r="B8120" s="56" t="b">
        <v>0</v>
      </c>
      <c r="C8120" s="56" t="b">
        <v>0</v>
      </c>
      <c r="D8120" s="56" t="b">
        <v>0</v>
      </c>
      <c r="E8120" s="56">
        <f ca="1">IF(PV[[#This Row],[Business Date]]=Control!$C$6, PV[[#This Row],[Notional Value Local Cur]], -PV[[#This Row],[Notional Value Local Cur]])</f>
        <v>0</v>
      </c>
    </row>
    <row r="8121" spans="1:5" x14ac:dyDescent="0.25">
      <c r="A8121" s="36" t="b">
        <v>0</v>
      </c>
      <c r="B8121" s="56" t="b">
        <v>0</v>
      </c>
      <c r="C8121" s="56" t="b">
        <v>0</v>
      </c>
      <c r="D8121" s="56" t="b">
        <v>0</v>
      </c>
      <c r="E8121" s="56">
        <f ca="1">IF(PV[[#This Row],[Business Date]]=Control!$C$6, PV[[#This Row],[Notional Value Local Cur]], -PV[[#This Row],[Notional Value Local Cur]])</f>
        <v>0</v>
      </c>
    </row>
    <row r="8122" spans="1:5" x14ac:dyDescent="0.25">
      <c r="A8122" s="36" t="b">
        <v>0</v>
      </c>
      <c r="B8122" s="56" t="b">
        <v>0</v>
      </c>
      <c r="C8122" s="56" t="b">
        <v>0</v>
      </c>
      <c r="D8122" s="56" t="b">
        <v>0</v>
      </c>
      <c r="E8122" s="56">
        <f ca="1">IF(PV[[#This Row],[Business Date]]=Control!$C$6, PV[[#This Row],[Notional Value Local Cur]], -PV[[#This Row],[Notional Value Local Cur]])</f>
        <v>0</v>
      </c>
    </row>
    <row r="8123" spans="1:5" x14ac:dyDescent="0.25">
      <c r="A8123" s="36" t="b">
        <v>0</v>
      </c>
      <c r="B8123" s="56" t="b">
        <v>0</v>
      </c>
      <c r="C8123" s="56" t="b">
        <v>0</v>
      </c>
      <c r="D8123" s="56" t="b">
        <v>0</v>
      </c>
      <c r="E8123" s="56">
        <f ca="1">IF(PV[[#This Row],[Business Date]]=Control!$C$6, PV[[#This Row],[Notional Value Local Cur]], -PV[[#This Row],[Notional Value Local Cur]])</f>
        <v>0</v>
      </c>
    </row>
    <row r="8124" spans="1:5" x14ac:dyDescent="0.25">
      <c r="A8124" s="36" t="b">
        <v>0</v>
      </c>
      <c r="B8124" s="56" t="b">
        <v>0</v>
      </c>
      <c r="C8124" s="56" t="b">
        <v>0</v>
      </c>
      <c r="D8124" s="56" t="b">
        <v>0</v>
      </c>
      <c r="E8124" s="56">
        <f ca="1">IF(PV[[#This Row],[Business Date]]=Control!$C$6, PV[[#This Row],[Notional Value Local Cur]], -PV[[#This Row],[Notional Value Local Cur]])</f>
        <v>0</v>
      </c>
    </row>
    <row r="8125" spans="1:5" x14ac:dyDescent="0.25">
      <c r="A8125" s="36" t="b">
        <v>0</v>
      </c>
      <c r="B8125" s="56" t="b">
        <v>0</v>
      </c>
      <c r="C8125" s="56" t="b">
        <v>0</v>
      </c>
      <c r="D8125" s="56" t="b">
        <v>0</v>
      </c>
      <c r="E8125" s="56">
        <f ca="1">IF(PV[[#This Row],[Business Date]]=Control!$C$6, PV[[#This Row],[Notional Value Local Cur]], -PV[[#This Row],[Notional Value Local Cur]])</f>
        <v>0</v>
      </c>
    </row>
    <row r="8126" spans="1:5" x14ac:dyDescent="0.25">
      <c r="A8126" s="36" t="b">
        <v>0</v>
      </c>
      <c r="B8126" s="56" t="b">
        <v>0</v>
      </c>
      <c r="C8126" s="56" t="b">
        <v>0</v>
      </c>
      <c r="D8126" s="56" t="b">
        <v>0</v>
      </c>
      <c r="E8126" s="56">
        <f ca="1">IF(PV[[#This Row],[Business Date]]=Control!$C$6, PV[[#This Row],[Notional Value Local Cur]], -PV[[#This Row],[Notional Value Local Cur]])</f>
        <v>0</v>
      </c>
    </row>
    <row r="8127" spans="1:5" x14ac:dyDescent="0.25">
      <c r="A8127" s="36" t="b">
        <v>0</v>
      </c>
      <c r="B8127" s="56" t="b">
        <v>0</v>
      </c>
      <c r="C8127" s="56" t="b">
        <v>0</v>
      </c>
      <c r="D8127" s="56" t="b">
        <v>0</v>
      </c>
      <c r="E8127" s="56">
        <f ca="1">IF(PV[[#This Row],[Business Date]]=Control!$C$6, PV[[#This Row],[Notional Value Local Cur]], -PV[[#This Row],[Notional Value Local Cur]])</f>
        <v>0</v>
      </c>
    </row>
    <row r="8128" spans="1:5" x14ac:dyDescent="0.25">
      <c r="A8128" s="36" t="b">
        <v>0</v>
      </c>
      <c r="B8128" s="56" t="b">
        <v>0</v>
      </c>
      <c r="C8128" s="56" t="b">
        <v>0</v>
      </c>
      <c r="D8128" s="56" t="b">
        <v>0</v>
      </c>
      <c r="E8128" s="56">
        <f ca="1">IF(PV[[#This Row],[Business Date]]=Control!$C$6, PV[[#This Row],[Notional Value Local Cur]], -PV[[#This Row],[Notional Value Local Cur]])</f>
        <v>0</v>
      </c>
    </row>
    <row r="8129" spans="1:5" x14ac:dyDescent="0.25">
      <c r="A8129" s="36" t="b">
        <v>0</v>
      </c>
      <c r="B8129" s="56" t="b">
        <v>0</v>
      </c>
      <c r="C8129" s="56" t="b">
        <v>0</v>
      </c>
      <c r="D8129" s="56" t="b">
        <v>0</v>
      </c>
      <c r="E8129" s="56">
        <f ca="1">IF(PV[[#This Row],[Business Date]]=Control!$C$6, PV[[#This Row],[Notional Value Local Cur]], -PV[[#This Row],[Notional Value Local Cur]])</f>
        <v>0</v>
      </c>
    </row>
    <row r="8130" spans="1:5" x14ac:dyDescent="0.25">
      <c r="A8130" s="36" t="b">
        <v>0</v>
      </c>
      <c r="B8130" s="56" t="b">
        <v>0</v>
      </c>
      <c r="C8130" s="56" t="b">
        <v>0</v>
      </c>
      <c r="D8130" s="56" t="b">
        <v>0</v>
      </c>
      <c r="E8130" s="56">
        <f ca="1">IF(PV[[#This Row],[Business Date]]=Control!$C$6, PV[[#This Row],[Notional Value Local Cur]], -PV[[#This Row],[Notional Value Local Cur]])</f>
        <v>0</v>
      </c>
    </row>
    <row r="8131" spans="1:5" x14ac:dyDescent="0.25">
      <c r="A8131" s="36" t="b">
        <v>0</v>
      </c>
      <c r="B8131" s="56" t="b">
        <v>0</v>
      </c>
      <c r="C8131" s="56" t="b">
        <v>0</v>
      </c>
      <c r="D8131" s="56" t="b">
        <v>0</v>
      </c>
      <c r="E8131" s="56">
        <f ca="1">IF(PV[[#This Row],[Business Date]]=Control!$C$6, PV[[#This Row],[Notional Value Local Cur]], -PV[[#This Row],[Notional Value Local Cur]])</f>
        <v>0</v>
      </c>
    </row>
    <row r="8132" spans="1:5" x14ac:dyDescent="0.25">
      <c r="A8132" s="36" t="b">
        <v>0</v>
      </c>
      <c r="B8132" s="56" t="b">
        <v>0</v>
      </c>
      <c r="C8132" s="56" t="b">
        <v>0</v>
      </c>
      <c r="D8132" s="56" t="b">
        <v>0</v>
      </c>
      <c r="E8132" s="56">
        <f ca="1">IF(PV[[#This Row],[Business Date]]=Control!$C$6, PV[[#This Row],[Notional Value Local Cur]], -PV[[#This Row],[Notional Value Local Cur]])</f>
        <v>0</v>
      </c>
    </row>
    <row r="8133" spans="1:5" x14ac:dyDescent="0.25">
      <c r="A8133" s="36" t="b">
        <v>0</v>
      </c>
      <c r="B8133" s="56" t="b">
        <v>0</v>
      </c>
      <c r="C8133" s="56" t="b">
        <v>0</v>
      </c>
      <c r="D8133" s="56" t="b">
        <v>0</v>
      </c>
      <c r="E8133" s="56">
        <f ca="1">IF(PV[[#This Row],[Business Date]]=Control!$C$6, PV[[#This Row],[Notional Value Local Cur]], -PV[[#This Row],[Notional Value Local Cur]])</f>
        <v>0</v>
      </c>
    </row>
    <row r="8134" spans="1:5" x14ac:dyDescent="0.25">
      <c r="A8134" s="36" t="b">
        <v>0</v>
      </c>
      <c r="B8134" s="56" t="b">
        <v>0</v>
      </c>
      <c r="C8134" s="56" t="b">
        <v>0</v>
      </c>
      <c r="D8134" s="56" t="b">
        <v>0</v>
      </c>
      <c r="E8134" s="56">
        <f ca="1">IF(PV[[#This Row],[Business Date]]=Control!$C$6, PV[[#This Row],[Notional Value Local Cur]], -PV[[#This Row],[Notional Value Local Cur]])</f>
        <v>0</v>
      </c>
    </row>
    <row r="8135" spans="1:5" x14ac:dyDescent="0.25">
      <c r="A8135" s="36" t="b">
        <v>0</v>
      </c>
      <c r="B8135" s="56" t="b">
        <v>0</v>
      </c>
      <c r="C8135" s="56" t="b">
        <v>0</v>
      </c>
      <c r="D8135" s="56" t="b">
        <v>0</v>
      </c>
      <c r="E8135" s="56">
        <f ca="1">IF(PV[[#This Row],[Business Date]]=Control!$C$6, PV[[#This Row],[Notional Value Local Cur]], -PV[[#This Row],[Notional Value Local Cur]])</f>
        <v>0</v>
      </c>
    </row>
    <row r="8136" spans="1:5" x14ac:dyDescent="0.25">
      <c r="A8136" s="36" t="b">
        <v>0</v>
      </c>
      <c r="B8136" s="56" t="b">
        <v>0</v>
      </c>
      <c r="C8136" s="56" t="b">
        <v>0</v>
      </c>
      <c r="D8136" s="56" t="b">
        <v>0</v>
      </c>
      <c r="E8136" s="56">
        <f ca="1">IF(PV[[#This Row],[Business Date]]=Control!$C$6, PV[[#This Row],[Notional Value Local Cur]], -PV[[#This Row],[Notional Value Local Cur]])</f>
        <v>0</v>
      </c>
    </row>
    <row r="8137" spans="1:5" x14ac:dyDescent="0.25">
      <c r="A8137" s="36" t="b">
        <v>0</v>
      </c>
      <c r="B8137" s="56" t="b">
        <v>0</v>
      </c>
      <c r="C8137" s="56" t="b">
        <v>0</v>
      </c>
      <c r="D8137" s="56" t="b">
        <v>0</v>
      </c>
      <c r="E8137" s="56">
        <f ca="1">IF(PV[[#This Row],[Business Date]]=Control!$C$6, PV[[#This Row],[Notional Value Local Cur]], -PV[[#This Row],[Notional Value Local Cur]])</f>
        <v>0</v>
      </c>
    </row>
    <row r="8138" spans="1:5" x14ac:dyDescent="0.25">
      <c r="A8138" s="36" t="b">
        <v>0</v>
      </c>
      <c r="B8138" s="56" t="b">
        <v>0</v>
      </c>
      <c r="C8138" s="56" t="b">
        <v>0</v>
      </c>
      <c r="D8138" s="56" t="b">
        <v>0</v>
      </c>
      <c r="E8138" s="56">
        <f ca="1">IF(PV[[#This Row],[Business Date]]=Control!$C$6, PV[[#This Row],[Notional Value Local Cur]], -PV[[#This Row],[Notional Value Local Cur]])</f>
        <v>0</v>
      </c>
    </row>
    <row r="8139" spans="1:5" x14ac:dyDescent="0.25">
      <c r="A8139" s="36" t="b">
        <v>0</v>
      </c>
      <c r="B8139" s="56" t="b">
        <v>0</v>
      </c>
      <c r="C8139" s="56" t="b">
        <v>0</v>
      </c>
      <c r="D8139" s="56" t="b">
        <v>0</v>
      </c>
      <c r="E8139" s="56">
        <f ca="1">IF(PV[[#This Row],[Business Date]]=Control!$C$6, PV[[#This Row],[Notional Value Local Cur]], -PV[[#This Row],[Notional Value Local Cur]])</f>
        <v>0</v>
      </c>
    </row>
    <row r="8140" spans="1:5" x14ac:dyDescent="0.25">
      <c r="A8140" s="36" t="b">
        <v>0</v>
      </c>
      <c r="B8140" s="56" t="b">
        <v>0</v>
      </c>
      <c r="C8140" s="56" t="b">
        <v>0</v>
      </c>
      <c r="D8140" s="56" t="b">
        <v>0</v>
      </c>
      <c r="E8140" s="56">
        <f ca="1">IF(PV[[#This Row],[Business Date]]=Control!$C$6, PV[[#This Row],[Notional Value Local Cur]], -PV[[#This Row],[Notional Value Local Cur]])</f>
        <v>0</v>
      </c>
    </row>
    <row r="8141" spans="1:5" x14ac:dyDescent="0.25">
      <c r="A8141" s="36" t="b">
        <v>0</v>
      </c>
      <c r="B8141" s="56" t="b">
        <v>0</v>
      </c>
      <c r="C8141" s="56" t="b">
        <v>0</v>
      </c>
      <c r="D8141" s="56" t="b">
        <v>0</v>
      </c>
      <c r="E8141" s="56">
        <f ca="1">IF(PV[[#This Row],[Business Date]]=Control!$C$6, PV[[#This Row],[Notional Value Local Cur]], -PV[[#This Row],[Notional Value Local Cur]])</f>
        <v>0</v>
      </c>
    </row>
    <row r="8142" spans="1:5" x14ac:dyDescent="0.25">
      <c r="A8142" s="36" t="b">
        <v>0</v>
      </c>
      <c r="B8142" s="56" t="b">
        <v>0</v>
      </c>
      <c r="C8142" s="56" t="b">
        <v>0</v>
      </c>
      <c r="D8142" s="56" t="b">
        <v>0</v>
      </c>
      <c r="E8142" s="56">
        <f ca="1">IF(PV[[#This Row],[Business Date]]=Control!$C$6, PV[[#This Row],[Notional Value Local Cur]], -PV[[#This Row],[Notional Value Local Cur]])</f>
        <v>0</v>
      </c>
    </row>
    <row r="8143" spans="1:5" x14ac:dyDescent="0.25">
      <c r="A8143" s="36" t="b">
        <v>0</v>
      </c>
      <c r="B8143" s="56" t="b">
        <v>0</v>
      </c>
      <c r="C8143" s="56" t="b">
        <v>0</v>
      </c>
      <c r="D8143" s="56" t="b">
        <v>0</v>
      </c>
      <c r="E8143" s="56">
        <f ca="1">IF(PV[[#This Row],[Business Date]]=Control!$C$6, PV[[#This Row],[Notional Value Local Cur]], -PV[[#This Row],[Notional Value Local Cur]])</f>
        <v>0</v>
      </c>
    </row>
    <row r="8144" spans="1:5" x14ac:dyDescent="0.25">
      <c r="A8144" s="36" t="b">
        <v>0</v>
      </c>
      <c r="B8144" s="56" t="b">
        <v>0</v>
      </c>
      <c r="C8144" s="56" t="b">
        <v>0</v>
      </c>
      <c r="D8144" s="56" t="b">
        <v>0</v>
      </c>
      <c r="E8144" s="56">
        <f ca="1">IF(PV[[#This Row],[Business Date]]=Control!$C$6, PV[[#This Row],[Notional Value Local Cur]], -PV[[#This Row],[Notional Value Local Cur]])</f>
        <v>0</v>
      </c>
    </row>
    <row r="8145" spans="1:5" x14ac:dyDescent="0.25">
      <c r="A8145" s="36" t="b">
        <v>0</v>
      </c>
      <c r="B8145" s="56" t="b">
        <v>0</v>
      </c>
      <c r="C8145" s="56" t="b">
        <v>0</v>
      </c>
      <c r="D8145" s="56" t="b">
        <v>0</v>
      </c>
      <c r="E8145" s="56">
        <f ca="1">IF(PV[[#This Row],[Business Date]]=Control!$C$6, PV[[#This Row],[Notional Value Local Cur]], -PV[[#This Row],[Notional Value Local Cur]])</f>
        <v>0</v>
      </c>
    </row>
    <row r="8146" spans="1:5" x14ac:dyDescent="0.25">
      <c r="A8146" s="36" t="b">
        <v>0</v>
      </c>
      <c r="B8146" s="56" t="b">
        <v>0</v>
      </c>
      <c r="C8146" s="56" t="b">
        <v>0</v>
      </c>
      <c r="D8146" s="56" t="b">
        <v>0</v>
      </c>
      <c r="E8146" s="56">
        <f ca="1">IF(PV[[#This Row],[Business Date]]=Control!$C$6, PV[[#This Row],[Notional Value Local Cur]], -PV[[#This Row],[Notional Value Local Cur]])</f>
        <v>0</v>
      </c>
    </row>
    <row r="8147" spans="1:5" x14ac:dyDescent="0.25">
      <c r="A8147" s="36" t="b">
        <v>0</v>
      </c>
      <c r="B8147" s="56" t="b">
        <v>0</v>
      </c>
      <c r="C8147" s="56" t="b">
        <v>0</v>
      </c>
      <c r="D8147" s="56" t="b">
        <v>0</v>
      </c>
      <c r="E8147" s="56">
        <f ca="1">IF(PV[[#This Row],[Business Date]]=Control!$C$6, PV[[#This Row],[Notional Value Local Cur]], -PV[[#This Row],[Notional Value Local Cur]])</f>
        <v>0</v>
      </c>
    </row>
    <row r="8148" spans="1:5" x14ac:dyDescent="0.25">
      <c r="A8148" s="36" t="b">
        <v>0</v>
      </c>
      <c r="B8148" s="56" t="b">
        <v>0</v>
      </c>
      <c r="C8148" s="56" t="b">
        <v>0</v>
      </c>
      <c r="D8148" s="56" t="b">
        <v>0</v>
      </c>
      <c r="E8148" s="56">
        <f ca="1">IF(PV[[#This Row],[Business Date]]=Control!$C$6, PV[[#This Row],[Notional Value Local Cur]], -PV[[#This Row],[Notional Value Local Cur]])</f>
        <v>0</v>
      </c>
    </row>
    <row r="8149" spans="1:5" x14ac:dyDescent="0.25">
      <c r="A8149" s="36" t="b">
        <v>0</v>
      </c>
      <c r="B8149" s="56" t="b">
        <v>0</v>
      </c>
      <c r="C8149" s="56" t="b">
        <v>0</v>
      </c>
      <c r="D8149" s="56" t="b">
        <v>0</v>
      </c>
      <c r="E8149" s="56">
        <f ca="1">IF(PV[[#This Row],[Business Date]]=Control!$C$6, PV[[#This Row],[Notional Value Local Cur]], -PV[[#This Row],[Notional Value Local Cur]])</f>
        <v>0</v>
      </c>
    </row>
    <row r="8150" spans="1:5" x14ac:dyDescent="0.25">
      <c r="A8150" s="36" t="b">
        <v>0</v>
      </c>
      <c r="B8150" s="56" t="b">
        <v>0</v>
      </c>
      <c r="C8150" s="56" t="b">
        <v>0</v>
      </c>
      <c r="D8150" s="56" t="b">
        <v>0</v>
      </c>
      <c r="E8150" s="56">
        <f ca="1">IF(PV[[#This Row],[Business Date]]=Control!$C$6, PV[[#This Row],[Notional Value Local Cur]], -PV[[#This Row],[Notional Value Local Cur]])</f>
        <v>0</v>
      </c>
    </row>
    <row r="8151" spans="1:5" x14ac:dyDescent="0.25">
      <c r="A8151" s="36" t="b">
        <v>0</v>
      </c>
      <c r="B8151" s="56" t="b">
        <v>0</v>
      </c>
      <c r="C8151" s="56" t="b">
        <v>0</v>
      </c>
      <c r="D8151" s="56" t="b">
        <v>0</v>
      </c>
      <c r="E8151" s="56">
        <f ca="1">IF(PV[[#This Row],[Business Date]]=Control!$C$6, PV[[#This Row],[Notional Value Local Cur]], -PV[[#This Row],[Notional Value Local Cur]])</f>
        <v>0</v>
      </c>
    </row>
    <row r="8152" spans="1:5" x14ac:dyDescent="0.25">
      <c r="A8152" s="36" t="b">
        <v>0</v>
      </c>
      <c r="B8152" s="56" t="b">
        <v>0</v>
      </c>
      <c r="C8152" s="56" t="b">
        <v>0</v>
      </c>
      <c r="D8152" s="56" t="b">
        <v>0</v>
      </c>
      <c r="E8152" s="56">
        <f ca="1">IF(PV[[#This Row],[Business Date]]=Control!$C$6, PV[[#This Row],[Notional Value Local Cur]], -PV[[#This Row],[Notional Value Local Cur]])</f>
        <v>0</v>
      </c>
    </row>
    <row r="8153" spans="1:5" x14ac:dyDescent="0.25">
      <c r="A8153" s="36" t="b">
        <v>0</v>
      </c>
      <c r="B8153" s="56" t="b">
        <v>0</v>
      </c>
      <c r="C8153" s="56" t="b">
        <v>0</v>
      </c>
      <c r="D8153" s="56" t="b">
        <v>0</v>
      </c>
      <c r="E8153" s="56">
        <f ca="1">IF(PV[[#This Row],[Business Date]]=Control!$C$6, PV[[#This Row],[Notional Value Local Cur]], -PV[[#This Row],[Notional Value Local Cur]])</f>
        <v>0</v>
      </c>
    </row>
    <row r="8154" spans="1:5" x14ac:dyDescent="0.25">
      <c r="A8154" s="36" t="b">
        <v>0</v>
      </c>
      <c r="B8154" s="56" t="b">
        <v>0</v>
      </c>
      <c r="C8154" s="56" t="b">
        <v>0</v>
      </c>
      <c r="D8154" s="56" t="b">
        <v>0</v>
      </c>
      <c r="E8154" s="56">
        <f ca="1">IF(PV[[#This Row],[Business Date]]=Control!$C$6, PV[[#This Row],[Notional Value Local Cur]], -PV[[#This Row],[Notional Value Local Cur]])</f>
        <v>0</v>
      </c>
    </row>
    <row r="8155" spans="1:5" x14ac:dyDescent="0.25">
      <c r="A8155" s="36" t="b">
        <v>0</v>
      </c>
      <c r="B8155" s="56" t="b">
        <v>0</v>
      </c>
      <c r="C8155" s="56" t="b">
        <v>0</v>
      </c>
      <c r="D8155" s="56" t="b">
        <v>0</v>
      </c>
      <c r="E8155" s="56">
        <f ca="1">IF(PV[[#This Row],[Business Date]]=Control!$C$6, PV[[#This Row],[Notional Value Local Cur]], -PV[[#This Row],[Notional Value Local Cur]])</f>
        <v>0</v>
      </c>
    </row>
    <row r="8156" spans="1:5" x14ac:dyDescent="0.25">
      <c r="A8156" s="36" t="b">
        <v>0</v>
      </c>
      <c r="B8156" s="56" t="b">
        <v>0</v>
      </c>
      <c r="C8156" s="56" t="b">
        <v>0</v>
      </c>
      <c r="D8156" s="56" t="b">
        <v>0</v>
      </c>
      <c r="E8156" s="56">
        <f ca="1">IF(PV[[#This Row],[Business Date]]=Control!$C$6, PV[[#This Row],[Notional Value Local Cur]], -PV[[#This Row],[Notional Value Local Cur]])</f>
        <v>0</v>
      </c>
    </row>
    <row r="8157" spans="1:5" x14ac:dyDescent="0.25">
      <c r="A8157" s="36" t="b">
        <v>0</v>
      </c>
      <c r="B8157" s="56" t="b">
        <v>0</v>
      </c>
      <c r="C8157" s="56" t="b">
        <v>0</v>
      </c>
      <c r="D8157" s="56" t="b">
        <v>0</v>
      </c>
      <c r="E8157" s="56">
        <f ca="1">IF(PV[[#This Row],[Business Date]]=Control!$C$6, PV[[#This Row],[Notional Value Local Cur]], -PV[[#This Row],[Notional Value Local Cur]])</f>
        <v>0</v>
      </c>
    </row>
    <row r="8158" spans="1:5" x14ac:dyDescent="0.25">
      <c r="A8158" s="36" t="b">
        <v>0</v>
      </c>
      <c r="B8158" s="56" t="b">
        <v>0</v>
      </c>
      <c r="C8158" s="56" t="b">
        <v>0</v>
      </c>
      <c r="D8158" s="56" t="b">
        <v>0</v>
      </c>
      <c r="E8158" s="56">
        <f ca="1">IF(PV[[#This Row],[Business Date]]=Control!$C$6, PV[[#This Row],[Notional Value Local Cur]], -PV[[#This Row],[Notional Value Local Cur]])</f>
        <v>0</v>
      </c>
    </row>
    <row r="8159" spans="1:5" x14ac:dyDescent="0.25">
      <c r="A8159" s="36" t="b">
        <v>0</v>
      </c>
      <c r="B8159" s="56" t="b">
        <v>0</v>
      </c>
      <c r="C8159" s="56" t="b">
        <v>0</v>
      </c>
      <c r="D8159" s="56" t="b">
        <v>0</v>
      </c>
      <c r="E8159" s="56">
        <f ca="1">IF(PV[[#This Row],[Business Date]]=Control!$C$6, PV[[#This Row],[Notional Value Local Cur]], -PV[[#This Row],[Notional Value Local Cur]])</f>
        <v>0</v>
      </c>
    </row>
    <row r="8160" spans="1:5" x14ac:dyDescent="0.25">
      <c r="A8160" s="36" t="b">
        <v>0</v>
      </c>
      <c r="B8160" s="56" t="b">
        <v>0</v>
      </c>
      <c r="C8160" s="56" t="b">
        <v>0</v>
      </c>
      <c r="D8160" s="56" t="b">
        <v>0</v>
      </c>
      <c r="E8160" s="56">
        <f ca="1">IF(PV[[#This Row],[Business Date]]=Control!$C$6, PV[[#This Row],[Notional Value Local Cur]], -PV[[#This Row],[Notional Value Local Cur]])</f>
        <v>0</v>
      </c>
    </row>
    <row r="8161" spans="1:5" x14ac:dyDescent="0.25">
      <c r="A8161" s="36" t="b">
        <v>0</v>
      </c>
      <c r="B8161" s="56" t="b">
        <v>0</v>
      </c>
      <c r="C8161" s="56" t="b">
        <v>0</v>
      </c>
      <c r="D8161" s="56" t="b">
        <v>0</v>
      </c>
      <c r="E8161" s="56">
        <f ca="1">IF(PV[[#This Row],[Business Date]]=Control!$C$6, PV[[#This Row],[Notional Value Local Cur]], -PV[[#This Row],[Notional Value Local Cur]])</f>
        <v>0</v>
      </c>
    </row>
    <row r="8162" spans="1:5" x14ac:dyDescent="0.25">
      <c r="A8162" s="36" t="b">
        <v>0</v>
      </c>
      <c r="B8162" s="56" t="b">
        <v>0</v>
      </c>
      <c r="C8162" s="56" t="b">
        <v>0</v>
      </c>
      <c r="D8162" s="56" t="b">
        <v>0</v>
      </c>
      <c r="E8162" s="56">
        <f ca="1">IF(PV[[#This Row],[Business Date]]=Control!$C$6, PV[[#This Row],[Notional Value Local Cur]], -PV[[#This Row],[Notional Value Local Cur]])</f>
        <v>0</v>
      </c>
    </row>
    <row r="8163" spans="1:5" x14ac:dyDescent="0.25">
      <c r="A8163" s="36" t="b">
        <v>0</v>
      </c>
      <c r="B8163" s="56" t="b">
        <v>0</v>
      </c>
      <c r="C8163" s="56" t="b">
        <v>0</v>
      </c>
      <c r="D8163" s="56" t="b">
        <v>0</v>
      </c>
      <c r="E8163" s="56">
        <f ca="1">IF(PV[[#This Row],[Business Date]]=Control!$C$6, PV[[#This Row],[Notional Value Local Cur]], -PV[[#This Row],[Notional Value Local Cur]])</f>
        <v>0</v>
      </c>
    </row>
    <row r="8164" spans="1:5" x14ac:dyDescent="0.25">
      <c r="A8164" s="36" t="b">
        <v>0</v>
      </c>
      <c r="B8164" s="56" t="b">
        <v>0</v>
      </c>
      <c r="C8164" s="56" t="b">
        <v>0</v>
      </c>
      <c r="D8164" s="56" t="b">
        <v>0</v>
      </c>
      <c r="E8164" s="56">
        <f ca="1">IF(PV[[#This Row],[Business Date]]=Control!$C$6, PV[[#This Row],[Notional Value Local Cur]], -PV[[#This Row],[Notional Value Local Cur]])</f>
        <v>0</v>
      </c>
    </row>
    <row r="8165" spans="1:5" x14ac:dyDescent="0.25">
      <c r="A8165" s="36" t="b">
        <v>0</v>
      </c>
      <c r="B8165" s="56" t="b">
        <v>0</v>
      </c>
      <c r="C8165" s="56" t="b">
        <v>0</v>
      </c>
      <c r="D8165" s="56" t="b">
        <v>0</v>
      </c>
      <c r="E8165" s="56">
        <f ca="1">IF(PV[[#This Row],[Business Date]]=Control!$C$6, PV[[#This Row],[Notional Value Local Cur]], -PV[[#This Row],[Notional Value Local Cur]])</f>
        <v>0</v>
      </c>
    </row>
    <row r="8166" spans="1:5" x14ac:dyDescent="0.25">
      <c r="A8166" s="36" t="b">
        <v>0</v>
      </c>
      <c r="B8166" s="56" t="b">
        <v>0</v>
      </c>
      <c r="C8166" s="56" t="b">
        <v>0</v>
      </c>
      <c r="D8166" s="56" t="b">
        <v>0</v>
      </c>
      <c r="E8166" s="56">
        <f ca="1">IF(PV[[#This Row],[Business Date]]=Control!$C$6, PV[[#This Row],[Notional Value Local Cur]], -PV[[#This Row],[Notional Value Local Cur]])</f>
        <v>0</v>
      </c>
    </row>
    <row r="8167" spans="1:5" x14ac:dyDescent="0.25">
      <c r="A8167" s="36" t="b">
        <v>0</v>
      </c>
      <c r="B8167" s="56" t="b">
        <v>0</v>
      </c>
      <c r="C8167" s="56" t="b">
        <v>0</v>
      </c>
      <c r="D8167" s="56" t="b">
        <v>0</v>
      </c>
      <c r="E8167" s="56">
        <f ca="1">IF(PV[[#This Row],[Business Date]]=Control!$C$6, PV[[#This Row],[Notional Value Local Cur]], -PV[[#This Row],[Notional Value Local Cur]])</f>
        <v>0</v>
      </c>
    </row>
    <row r="8168" spans="1:5" x14ac:dyDescent="0.25">
      <c r="A8168" s="36" t="b">
        <v>0</v>
      </c>
      <c r="B8168" s="56" t="b">
        <v>0</v>
      </c>
      <c r="C8168" s="56" t="b">
        <v>0</v>
      </c>
      <c r="D8168" s="56" t="b">
        <v>0</v>
      </c>
      <c r="E8168" s="56">
        <f ca="1">IF(PV[[#This Row],[Business Date]]=Control!$C$6, PV[[#This Row],[Notional Value Local Cur]], -PV[[#This Row],[Notional Value Local Cur]])</f>
        <v>0</v>
      </c>
    </row>
    <row r="8169" spans="1:5" x14ac:dyDescent="0.25">
      <c r="A8169" s="36" t="b">
        <v>0</v>
      </c>
      <c r="B8169" s="56" t="b">
        <v>0</v>
      </c>
      <c r="C8169" s="56" t="b">
        <v>0</v>
      </c>
      <c r="D8169" s="56" t="b">
        <v>0</v>
      </c>
      <c r="E8169" s="56">
        <f ca="1">IF(PV[[#This Row],[Business Date]]=Control!$C$6, PV[[#This Row],[Notional Value Local Cur]], -PV[[#This Row],[Notional Value Local Cur]])</f>
        <v>0</v>
      </c>
    </row>
    <row r="8170" spans="1:5" x14ac:dyDescent="0.25">
      <c r="A8170" s="36" t="b">
        <v>0</v>
      </c>
      <c r="B8170" s="56" t="b">
        <v>0</v>
      </c>
      <c r="C8170" s="56" t="b">
        <v>0</v>
      </c>
      <c r="D8170" s="56" t="b">
        <v>0</v>
      </c>
      <c r="E8170" s="56">
        <f ca="1">IF(PV[[#This Row],[Business Date]]=Control!$C$6, PV[[#This Row],[Notional Value Local Cur]], -PV[[#This Row],[Notional Value Local Cur]])</f>
        <v>0</v>
      </c>
    </row>
    <row r="8171" spans="1:5" x14ac:dyDescent="0.25">
      <c r="A8171" s="36" t="b">
        <v>0</v>
      </c>
      <c r="B8171" s="56" t="b">
        <v>0</v>
      </c>
      <c r="C8171" s="56" t="b">
        <v>0</v>
      </c>
      <c r="D8171" s="56" t="b">
        <v>0</v>
      </c>
      <c r="E8171" s="56">
        <f ca="1">IF(PV[[#This Row],[Business Date]]=Control!$C$6, PV[[#This Row],[Notional Value Local Cur]], -PV[[#This Row],[Notional Value Local Cur]])</f>
        <v>0</v>
      </c>
    </row>
    <row r="8172" spans="1:5" x14ac:dyDescent="0.25">
      <c r="A8172" s="36" t="b">
        <v>0</v>
      </c>
      <c r="B8172" s="56" t="b">
        <v>0</v>
      </c>
      <c r="C8172" s="56" t="b">
        <v>0</v>
      </c>
      <c r="D8172" s="56" t="b">
        <v>0</v>
      </c>
      <c r="E8172" s="56">
        <f ca="1">IF(PV[[#This Row],[Business Date]]=Control!$C$6, PV[[#This Row],[Notional Value Local Cur]], -PV[[#This Row],[Notional Value Local Cur]])</f>
        <v>0</v>
      </c>
    </row>
    <row r="8173" spans="1:5" x14ac:dyDescent="0.25">
      <c r="A8173" s="36" t="b">
        <v>0</v>
      </c>
      <c r="B8173" s="56" t="b">
        <v>0</v>
      </c>
      <c r="C8173" s="56" t="b">
        <v>0</v>
      </c>
      <c r="D8173" s="56" t="b">
        <v>0</v>
      </c>
      <c r="E8173" s="56">
        <f ca="1">IF(PV[[#This Row],[Business Date]]=Control!$C$6, PV[[#This Row],[Notional Value Local Cur]], -PV[[#This Row],[Notional Value Local Cur]])</f>
        <v>0</v>
      </c>
    </row>
    <row r="8174" spans="1:5" x14ac:dyDescent="0.25">
      <c r="A8174" s="36" t="b">
        <v>0</v>
      </c>
      <c r="B8174" s="56" t="b">
        <v>0</v>
      </c>
      <c r="C8174" s="56" t="b">
        <v>0</v>
      </c>
      <c r="D8174" s="56" t="b">
        <v>0</v>
      </c>
      <c r="E8174" s="56">
        <f ca="1">IF(PV[[#This Row],[Business Date]]=Control!$C$6, PV[[#This Row],[Notional Value Local Cur]], -PV[[#This Row],[Notional Value Local Cur]])</f>
        <v>0</v>
      </c>
    </row>
    <row r="8175" spans="1:5" x14ac:dyDescent="0.25">
      <c r="A8175" s="36" t="b">
        <v>0</v>
      </c>
      <c r="B8175" s="56" t="b">
        <v>0</v>
      </c>
      <c r="C8175" s="56" t="b">
        <v>0</v>
      </c>
      <c r="D8175" s="56" t="b">
        <v>0</v>
      </c>
      <c r="E8175" s="56">
        <f ca="1">IF(PV[[#This Row],[Business Date]]=Control!$C$6, PV[[#This Row],[Notional Value Local Cur]], -PV[[#This Row],[Notional Value Local Cur]])</f>
        <v>0</v>
      </c>
    </row>
    <row r="8176" spans="1:5" x14ac:dyDescent="0.25">
      <c r="A8176" s="36" t="b">
        <v>0</v>
      </c>
      <c r="B8176" s="56" t="b">
        <v>0</v>
      </c>
      <c r="C8176" s="56" t="b">
        <v>0</v>
      </c>
      <c r="D8176" s="56" t="b">
        <v>0</v>
      </c>
      <c r="E8176" s="56">
        <f ca="1">IF(PV[[#This Row],[Business Date]]=Control!$C$6, PV[[#This Row],[Notional Value Local Cur]], -PV[[#This Row],[Notional Value Local Cur]])</f>
        <v>0</v>
      </c>
    </row>
    <row r="8177" spans="1:5" x14ac:dyDescent="0.25">
      <c r="A8177" s="36" t="b">
        <v>0</v>
      </c>
      <c r="B8177" s="56" t="b">
        <v>0</v>
      </c>
      <c r="C8177" s="56" t="b">
        <v>0</v>
      </c>
      <c r="D8177" s="56" t="b">
        <v>0</v>
      </c>
      <c r="E8177" s="56">
        <f ca="1">IF(PV[[#This Row],[Business Date]]=Control!$C$6, PV[[#This Row],[Notional Value Local Cur]], -PV[[#This Row],[Notional Value Local Cur]])</f>
        <v>0</v>
      </c>
    </row>
    <row r="8178" spans="1:5" x14ac:dyDescent="0.25">
      <c r="A8178" s="36" t="b">
        <v>0</v>
      </c>
      <c r="B8178" s="56" t="b">
        <v>0</v>
      </c>
      <c r="C8178" s="56" t="b">
        <v>0</v>
      </c>
      <c r="D8178" s="56" t="b">
        <v>0</v>
      </c>
      <c r="E8178" s="56">
        <f ca="1">IF(PV[[#This Row],[Business Date]]=Control!$C$6, PV[[#This Row],[Notional Value Local Cur]], -PV[[#This Row],[Notional Value Local Cur]])</f>
        <v>0</v>
      </c>
    </row>
    <row r="8179" spans="1:5" x14ac:dyDescent="0.25">
      <c r="A8179" s="36" t="b">
        <v>0</v>
      </c>
      <c r="B8179" s="56" t="b">
        <v>0</v>
      </c>
      <c r="C8179" s="56" t="b">
        <v>0</v>
      </c>
      <c r="D8179" s="56" t="b">
        <v>0</v>
      </c>
      <c r="E8179" s="56">
        <f ca="1">IF(PV[[#This Row],[Business Date]]=Control!$C$6, PV[[#This Row],[Notional Value Local Cur]], -PV[[#This Row],[Notional Value Local Cur]])</f>
        <v>0</v>
      </c>
    </row>
    <row r="8180" spans="1:5" x14ac:dyDescent="0.25">
      <c r="A8180" s="36" t="b">
        <v>0</v>
      </c>
      <c r="B8180" s="56" t="b">
        <v>0</v>
      </c>
      <c r="C8180" s="56" t="b">
        <v>0</v>
      </c>
      <c r="D8180" s="56" t="b">
        <v>0</v>
      </c>
      <c r="E8180" s="56">
        <f ca="1">IF(PV[[#This Row],[Business Date]]=Control!$C$6, PV[[#This Row],[Notional Value Local Cur]], -PV[[#This Row],[Notional Value Local Cur]])</f>
        <v>0</v>
      </c>
    </row>
    <row r="8181" spans="1:5" x14ac:dyDescent="0.25">
      <c r="A8181" s="36" t="b">
        <v>0</v>
      </c>
      <c r="B8181" s="56" t="b">
        <v>0</v>
      </c>
      <c r="C8181" s="56" t="b">
        <v>0</v>
      </c>
      <c r="D8181" s="56" t="b">
        <v>0</v>
      </c>
      <c r="E8181" s="56">
        <f ca="1">IF(PV[[#This Row],[Business Date]]=Control!$C$6, PV[[#This Row],[Notional Value Local Cur]], -PV[[#This Row],[Notional Value Local Cur]])</f>
        <v>0</v>
      </c>
    </row>
    <row r="8182" spans="1:5" x14ac:dyDescent="0.25">
      <c r="A8182" s="36" t="b">
        <v>0</v>
      </c>
      <c r="B8182" s="56" t="b">
        <v>0</v>
      </c>
      <c r="C8182" s="56" t="b">
        <v>0</v>
      </c>
      <c r="D8182" s="56" t="b">
        <v>0</v>
      </c>
      <c r="E8182" s="56">
        <f ca="1">IF(PV[[#This Row],[Business Date]]=Control!$C$6, PV[[#This Row],[Notional Value Local Cur]], -PV[[#This Row],[Notional Value Local Cur]])</f>
        <v>0</v>
      </c>
    </row>
    <row r="8183" spans="1:5" x14ac:dyDescent="0.25">
      <c r="A8183" s="36" t="b">
        <v>0</v>
      </c>
      <c r="B8183" s="56" t="b">
        <v>0</v>
      </c>
      <c r="C8183" s="56" t="b">
        <v>0</v>
      </c>
      <c r="D8183" s="56" t="b">
        <v>0</v>
      </c>
      <c r="E8183" s="56">
        <f ca="1">IF(PV[[#This Row],[Business Date]]=Control!$C$6, PV[[#This Row],[Notional Value Local Cur]], -PV[[#This Row],[Notional Value Local Cur]])</f>
        <v>0</v>
      </c>
    </row>
    <row r="8184" spans="1:5" x14ac:dyDescent="0.25">
      <c r="A8184" s="36" t="b">
        <v>0</v>
      </c>
      <c r="B8184" s="56" t="b">
        <v>0</v>
      </c>
      <c r="C8184" s="56" t="b">
        <v>0</v>
      </c>
      <c r="D8184" s="56" t="b">
        <v>0</v>
      </c>
      <c r="E8184" s="56">
        <f ca="1">IF(PV[[#This Row],[Business Date]]=Control!$C$6, PV[[#This Row],[Notional Value Local Cur]], -PV[[#This Row],[Notional Value Local Cur]])</f>
        <v>0</v>
      </c>
    </row>
    <row r="8185" spans="1:5" x14ac:dyDescent="0.25">
      <c r="A8185" s="36" t="b">
        <v>0</v>
      </c>
      <c r="B8185" s="56" t="b">
        <v>0</v>
      </c>
      <c r="C8185" s="56" t="b">
        <v>0</v>
      </c>
      <c r="D8185" s="56" t="b">
        <v>0</v>
      </c>
      <c r="E8185" s="56">
        <f ca="1">IF(PV[[#This Row],[Business Date]]=Control!$C$6, PV[[#This Row],[Notional Value Local Cur]], -PV[[#This Row],[Notional Value Local Cur]])</f>
        <v>0</v>
      </c>
    </row>
    <row r="8186" spans="1:5" x14ac:dyDescent="0.25">
      <c r="A8186" s="36" t="b">
        <v>0</v>
      </c>
      <c r="B8186" s="56" t="b">
        <v>0</v>
      </c>
      <c r="C8186" s="56" t="b">
        <v>0</v>
      </c>
      <c r="D8186" s="56" t="b">
        <v>0</v>
      </c>
      <c r="E8186" s="56">
        <f ca="1">IF(PV[[#This Row],[Business Date]]=Control!$C$6, PV[[#This Row],[Notional Value Local Cur]], -PV[[#This Row],[Notional Value Local Cur]])</f>
        <v>0</v>
      </c>
    </row>
    <row r="8187" spans="1:5" x14ac:dyDescent="0.25">
      <c r="A8187" s="36" t="b">
        <v>0</v>
      </c>
      <c r="B8187" s="56" t="b">
        <v>0</v>
      </c>
      <c r="C8187" s="56" t="b">
        <v>0</v>
      </c>
      <c r="D8187" s="56" t="b">
        <v>0</v>
      </c>
      <c r="E8187" s="56">
        <f ca="1">IF(PV[[#This Row],[Business Date]]=Control!$C$6, PV[[#This Row],[Notional Value Local Cur]], -PV[[#This Row],[Notional Value Local Cur]])</f>
        <v>0</v>
      </c>
    </row>
    <row r="8188" spans="1:5" x14ac:dyDescent="0.25">
      <c r="A8188" s="36" t="b">
        <v>0</v>
      </c>
      <c r="B8188" s="56" t="b">
        <v>0</v>
      </c>
      <c r="C8188" s="56" t="b">
        <v>0</v>
      </c>
      <c r="D8188" s="56" t="b">
        <v>0</v>
      </c>
      <c r="E8188" s="56">
        <f ca="1">IF(PV[[#This Row],[Business Date]]=Control!$C$6, PV[[#This Row],[Notional Value Local Cur]], -PV[[#This Row],[Notional Value Local Cur]])</f>
        <v>0</v>
      </c>
    </row>
    <row r="8189" spans="1:5" x14ac:dyDescent="0.25">
      <c r="A8189" s="36" t="b">
        <v>0</v>
      </c>
      <c r="B8189" s="56" t="b">
        <v>0</v>
      </c>
      <c r="C8189" s="56" t="b">
        <v>0</v>
      </c>
      <c r="D8189" s="56" t="b">
        <v>0</v>
      </c>
      <c r="E8189" s="56">
        <f ca="1">IF(PV[[#This Row],[Business Date]]=Control!$C$6, PV[[#This Row],[Notional Value Local Cur]], -PV[[#This Row],[Notional Value Local Cur]])</f>
        <v>0</v>
      </c>
    </row>
    <row r="8190" spans="1:5" x14ac:dyDescent="0.25">
      <c r="A8190" s="36" t="b">
        <v>0</v>
      </c>
      <c r="B8190" s="56" t="b">
        <v>0</v>
      </c>
      <c r="C8190" s="56" t="b">
        <v>0</v>
      </c>
      <c r="D8190" s="56" t="b">
        <v>0</v>
      </c>
      <c r="E8190" s="56">
        <f ca="1">IF(PV[[#This Row],[Business Date]]=Control!$C$6, PV[[#This Row],[Notional Value Local Cur]], -PV[[#This Row],[Notional Value Local Cur]])</f>
        <v>0</v>
      </c>
    </row>
    <row r="8191" spans="1:5" x14ac:dyDescent="0.25">
      <c r="A8191" s="36" t="b">
        <v>0</v>
      </c>
      <c r="B8191" s="56" t="b">
        <v>0</v>
      </c>
      <c r="C8191" s="56" t="b">
        <v>0</v>
      </c>
      <c r="D8191" s="56" t="b">
        <v>0</v>
      </c>
      <c r="E8191" s="56">
        <f ca="1">IF(PV[[#This Row],[Business Date]]=Control!$C$6, PV[[#This Row],[Notional Value Local Cur]], -PV[[#This Row],[Notional Value Local Cur]])</f>
        <v>0</v>
      </c>
    </row>
    <row r="8192" spans="1:5" x14ac:dyDescent="0.25">
      <c r="A8192" s="36" t="b">
        <v>0</v>
      </c>
      <c r="B8192" s="56" t="b">
        <v>0</v>
      </c>
      <c r="C8192" s="56" t="b">
        <v>0</v>
      </c>
      <c r="D8192" s="56" t="b">
        <v>0</v>
      </c>
      <c r="E8192" s="56">
        <f ca="1">IF(PV[[#This Row],[Business Date]]=Control!$C$6, PV[[#This Row],[Notional Value Local Cur]], -PV[[#This Row],[Notional Value Local Cur]])</f>
        <v>0</v>
      </c>
    </row>
    <row r="8193" spans="1:5" x14ac:dyDescent="0.25">
      <c r="A8193" s="36" t="b">
        <v>0</v>
      </c>
      <c r="B8193" s="56" t="b">
        <v>0</v>
      </c>
      <c r="C8193" s="56" t="b">
        <v>0</v>
      </c>
      <c r="D8193" s="56" t="b">
        <v>0</v>
      </c>
      <c r="E8193" s="56">
        <f ca="1">IF(PV[[#This Row],[Business Date]]=Control!$C$6, PV[[#This Row],[Notional Value Local Cur]], -PV[[#This Row],[Notional Value Local Cur]])</f>
        <v>0</v>
      </c>
    </row>
    <row r="8194" spans="1:5" x14ac:dyDescent="0.25">
      <c r="A8194" s="36" t="b">
        <v>0</v>
      </c>
      <c r="B8194" s="56" t="b">
        <v>0</v>
      </c>
      <c r="C8194" s="56" t="b">
        <v>0</v>
      </c>
      <c r="D8194" s="56" t="b">
        <v>0</v>
      </c>
      <c r="E8194" s="56">
        <f ca="1">IF(PV[[#This Row],[Business Date]]=Control!$C$6, PV[[#This Row],[Notional Value Local Cur]], -PV[[#This Row],[Notional Value Local Cur]])</f>
        <v>0</v>
      </c>
    </row>
    <row r="8195" spans="1:5" x14ac:dyDescent="0.25">
      <c r="A8195" s="36" t="b">
        <v>0</v>
      </c>
      <c r="B8195" s="56" t="b">
        <v>0</v>
      </c>
      <c r="C8195" s="56" t="b">
        <v>0</v>
      </c>
      <c r="D8195" s="56" t="b">
        <v>0</v>
      </c>
      <c r="E8195" s="56">
        <f ca="1">IF(PV[[#This Row],[Business Date]]=Control!$C$6, PV[[#This Row],[Notional Value Local Cur]], -PV[[#This Row],[Notional Value Local Cur]])</f>
        <v>0</v>
      </c>
    </row>
    <row r="8196" spans="1:5" x14ac:dyDescent="0.25">
      <c r="A8196" s="36" t="b">
        <v>0</v>
      </c>
      <c r="B8196" s="56" t="b">
        <v>0</v>
      </c>
      <c r="C8196" s="56" t="b">
        <v>0</v>
      </c>
      <c r="D8196" s="56" t="b">
        <v>0</v>
      </c>
      <c r="E8196" s="56">
        <f ca="1">IF(PV[[#This Row],[Business Date]]=Control!$C$6, PV[[#This Row],[Notional Value Local Cur]], -PV[[#This Row],[Notional Value Local Cur]])</f>
        <v>0</v>
      </c>
    </row>
    <row r="8197" spans="1:5" x14ac:dyDescent="0.25">
      <c r="A8197" s="36" t="b">
        <v>0</v>
      </c>
      <c r="B8197" s="56" t="b">
        <v>0</v>
      </c>
      <c r="C8197" s="56" t="b">
        <v>0</v>
      </c>
      <c r="D8197" s="56" t="b">
        <v>0</v>
      </c>
      <c r="E8197" s="56">
        <f ca="1">IF(PV[[#This Row],[Business Date]]=Control!$C$6, PV[[#This Row],[Notional Value Local Cur]], -PV[[#This Row],[Notional Value Local Cur]])</f>
        <v>0</v>
      </c>
    </row>
    <row r="8198" spans="1:5" x14ac:dyDescent="0.25">
      <c r="A8198" s="36" t="b">
        <v>0</v>
      </c>
      <c r="B8198" s="56" t="b">
        <v>0</v>
      </c>
      <c r="C8198" s="56" t="b">
        <v>0</v>
      </c>
      <c r="D8198" s="56" t="b">
        <v>0</v>
      </c>
      <c r="E8198" s="56">
        <f ca="1">IF(PV[[#This Row],[Business Date]]=Control!$C$6, PV[[#This Row],[Notional Value Local Cur]], -PV[[#This Row],[Notional Value Local Cur]])</f>
        <v>0</v>
      </c>
    </row>
    <row r="8199" spans="1:5" x14ac:dyDescent="0.25">
      <c r="A8199" s="36" t="b">
        <v>0</v>
      </c>
      <c r="B8199" s="56" t="b">
        <v>0</v>
      </c>
      <c r="C8199" s="56" t="b">
        <v>0</v>
      </c>
      <c r="D8199" s="56" t="b">
        <v>0</v>
      </c>
      <c r="E8199" s="56">
        <f ca="1">IF(PV[[#This Row],[Business Date]]=Control!$C$6, PV[[#This Row],[Notional Value Local Cur]], -PV[[#This Row],[Notional Value Local Cur]])</f>
        <v>0</v>
      </c>
    </row>
    <row r="8200" spans="1:5" x14ac:dyDescent="0.25">
      <c r="A8200" s="36" t="b">
        <v>0</v>
      </c>
      <c r="B8200" s="56" t="b">
        <v>0</v>
      </c>
      <c r="C8200" s="56" t="b">
        <v>0</v>
      </c>
      <c r="D8200" s="56" t="b">
        <v>0</v>
      </c>
      <c r="E8200" s="56">
        <f ca="1">IF(PV[[#This Row],[Business Date]]=Control!$C$6, PV[[#This Row],[Notional Value Local Cur]], -PV[[#This Row],[Notional Value Local Cur]])</f>
        <v>0</v>
      </c>
    </row>
    <row r="8201" spans="1:5" x14ac:dyDescent="0.25">
      <c r="A8201" s="36" t="b">
        <v>0</v>
      </c>
      <c r="B8201" s="56" t="b">
        <v>0</v>
      </c>
      <c r="C8201" s="56" t="b">
        <v>0</v>
      </c>
      <c r="D8201" s="56" t="b">
        <v>0</v>
      </c>
      <c r="E8201" s="56">
        <f ca="1">IF(PV[[#This Row],[Business Date]]=Control!$C$6, PV[[#This Row],[Notional Value Local Cur]], -PV[[#This Row],[Notional Value Local Cur]])</f>
        <v>0</v>
      </c>
    </row>
    <row r="8202" spans="1:5" x14ac:dyDescent="0.25">
      <c r="A8202" s="36" t="b">
        <v>0</v>
      </c>
      <c r="B8202" s="56" t="b">
        <v>0</v>
      </c>
      <c r="C8202" s="56" t="b">
        <v>0</v>
      </c>
      <c r="D8202" s="56" t="b">
        <v>0</v>
      </c>
      <c r="E8202" s="56">
        <f ca="1">IF(PV[[#This Row],[Business Date]]=Control!$C$6, PV[[#This Row],[Notional Value Local Cur]], -PV[[#This Row],[Notional Value Local Cur]])</f>
        <v>0</v>
      </c>
    </row>
    <row r="8203" spans="1:5" x14ac:dyDescent="0.25">
      <c r="A8203" s="36" t="b">
        <v>0</v>
      </c>
      <c r="B8203" s="56" t="b">
        <v>0</v>
      </c>
      <c r="C8203" s="56" t="b">
        <v>0</v>
      </c>
      <c r="D8203" s="56" t="b">
        <v>0</v>
      </c>
      <c r="E8203" s="56">
        <f ca="1">IF(PV[[#This Row],[Business Date]]=Control!$C$6, PV[[#This Row],[Notional Value Local Cur]], -PV[[#This Row],[Notional Value Local Cur]])</f>
        <v>0</v>
      </c>
    </row>
    <row r="8204" spans="1:5" x14ac:dyDescent="0.25">
      <c r="A8204" s="36" t="b">
        <v>0</v>
      </c>
      <c r="B8204" s="56" t="b">
        <v>0</v>
      </c>
      <c r="C8204" s="56" t="b">
        <v>0</v>
      </c>
      <c r="D8204" s="56" t="b">
        <v>0</v>
      </c>
      <c r="E8204" s="56">
        <f ca="1">IF(PV[[#This Row],[Business Date]]=Control!$C$6, PV[[#This Row],[Notional Value Local Cur]], -PV[[#This Row],[Notional Value Local Cur]])</f>
        <v>0</v>
      </c>
    </row>
    <row r="8205" spans="1:5" x14ac:dyDescent="0.25">
      <c r="A8205" s="36" t="b">
        <v>0</v>
      </c>
      <c r="B8205" s="56" t="b">
        <v>0</v>
      </c>
      <c r="C8205" s="56" t="b">
        <v>0</v>
      </c>
      <c r="D8205" s="56" t="b">
        <v>0</v>
      </c>
      <c r="E8205" s="56">
        <f ca="1">IF(PV[[#This Row],[Business Date]]=Control!$C$6, PV[[#This Row],[Notional Value Local Cur]], -PV[[#This Row],[Notional Value Local Cur]])</f>
        <v>0</v>
      </c>
    </row>
    <row r="8206" spans="1:5" x14ac:dyDescent="0.25">
      <c r="A8206" s="36" t="b">
        <v>0</v>
      </c>
      <c r="B8206" s="56" t="b">
        <v>0</v>
      </c>
      <c r="C8206" s="56" t="b">
        <v>0</v>
      </c>
      <c r="D8206" s="56" t="b">
        <v>0</v>
      </c>
      <c r="E8206" s="56">
        <f ca="1">IF(PV[[#This Row],[Business Date]]=Control!$C$6, PV[[#This Row],[Notional Value Local Cur]], -PV[[#This Row],[Notional Value Local Cur]])</f>
        <v>0</v>
      </c>
    </row>
    <row r="8207" spans="1:5" x14ac:dyDescent="0.25">
      <c r="A8207" s="36" t="b">
        <v>0</v>
      </c>
      <c r="B8207" s="56" t="b">
        <v>0</v>
      </c>
      <c r="C8207" s="56" t="b">
        <v>0</v>
      </c>
      <c r="D8207" s="56" t="b">
        <v>0</v>
      </c>
      <c r="E8207" s="56">
        <f ca="1">IF(PV[[#This Row],[Business Date]]=Control!$C$6, PV[[#This Row],[Notional Value Local Cur]], -PV[[#This Row],[Notional Value Local Cur]])</f>
        <v>0</v>
      </c>
    </row>
    <row r="8208" spans="1:5" x14ac:dyDescent="0.25">
      <c r="A8208" s="36" t="b">
        <v>0</v>
      </c>
      <c r="B8208" s="56" t="b">
        <v>0</v>
      </c>
      <c r="C8208" s="56" t="b">
        <v>0</v>
      </c>
      <c r="D8208" s="56" t="b">
        <v>0</v>
      </c>
      <c r="E8208" s="56">
        <f ca="1">IF(PV[[#This Row],[Business Date]]=Control!$C$6, PV[[#This Row],[Notional Value Local Cur]], -PV[[#This Row],[Notional Value Local Cur]])</f>
        <v>0</v>
      </c>
    </row>
    <row r="8209" spans="1:5" x14ac:dyDescent="0.25">
      <c r="A8209" s="36" t="b">
        <v>0</v>
      </c>
      <c r="B8209" s="56" t="b">
        <v>0</v>
      </c>
      <c r="C8209" s="56" t="b">
        <v>0</v>
      </c>
      <c r="D8209" s="56" t="b">
        <v>0</v>
      </c>
      <c r="E8209" s="56">
        <f ca="1">IF(PV[[#This Row],[Business Date]]=Control!$C$6, PV[[#This Row],[Notional Value Local Cur]], -PV[[#This Row],[Notional Value Local Cur]])</f>
        <v>0</v>
      </c>
    </row>
    <row r="8210" spans="1:5" x14ac:dyDescent="0.25">
      <c r="A8210" s="36" t="b">
        <v>0</v>
      </c>
      <c r="B8210" s="56" t="b">
        <v>0</v>
      </c>
      <c r="C8210" s="56" t="b">
        <v>0</v>
      </c>
      <c r="D8210" s="56" t="b">
        <v>0</v>
      </c>
      <c r="E8210" s="56">
        <f ca="1">IF(PV[[#This Row],[Business Date]]=Control!$C$6, PV[[#This Row],[Notional Value Local Cur]], -PV[[#This Row],[Notional Value Local Cur]])</f>
        <v>0</v>
      </c>
    </row>
    <row r="8211" spans="1:5" x14ac:dyDescent="0.25">
      <c r="A8211" s="36" t="b">
        <v>0</v>
      </c>
      <c r="B8211" s="56" t="b">
        <v>0</v>
      </c>
      <c r="C8211" s="56" t="b">
        <v>0</v>
      </c>
      <c r="D8211" s="56" t="b">
        <v>0</v>
      </c>
      <c r="E8211" s="56">
        <f ca="1">IF(PV[[#This Row],[Business Date]]=Control!$C$6, PV[[#This Row],[Notional Value Local Cur]], -PV[[#This Row],[Notional Value Local Cur]])</f>
        <v>0</v>
      </c>
    </row>
    <row r="8212" spans="1:5" x14ac:dyDescent="0.25">
      <c r="A8212" s="36" t="b">
        <v>0</v>
      </c>
      <c r="B8212" s="56" t="b">
        <v>0</v>
      </c>
      <c r="C8212" s="56" t="b">
        <v>0</v>
      </c>
      <c r="D8212" s="56" t="b">
        <v>0</v>
      </c>
      <c r="E8212" s="56">
        <f ca="1">IF(PV[[#This Row],[Business Date]]=Control!$C$6, PV[[#This Row],[Notional Value Local Cur]], -PV[[#This Row],[Notional Value Local Cur]])</f>
        <v>0</v>
      </c>
    </row>
    <row r="8213" spans="1:5" x14ac:dyDescent="0.25">
      <c r="A8213" s="36" t="b">
        <v>0</v>
      </c>
      <c r="B8213" s="56" t="b">
        <v>0</v>
      </c>
      <c r="C8213" s="56" t="b">
        <v>0</v>
      </c>
      <c r="D8213" s="56" t="b">
        <v>0</v>
      </c>
      <c r="E8213" s="56">
        <f ca="1">IF(PV[[#This Row],[Business Date]]=Control!$C$6, PV[[#This Row],[Notional Value Local Cur]], -PV[[#This Row],[Notional Value Local Cur]])</f>
        <v>0</v>
      </c>
    </row>
    <row r="8214" spans="1:5" x14ac:dyDescent="0.25">
      <c r="A8214" s="36" t="b">
        <v>0</v>
      </c>
      <c r="B8214" s="56" t="b">
        <v>0</v>
      </c>
      <c r="C8214" s="56" t="b">
        <v>0</v>
      </c>
      <c r="D8214" s="56" t="b">
        <v>0</v>
      </c>
      <c r="E8214" s="56">
        <f ca="1">IF(PV[[#This Row],[Business Date]]=Control!$C$6, PV[[#This Row],[Notional Value Local Cur]], -PV[[#This Row],[Notional Value Local Cur]])</f>
        <v>0</v>
      </c>
    </row>
    <row r="8215" spans="1:5" x14ac:dyDescent="0.25">
      <c r="A8215" s="36" t="b">
        <v>0</v>
      </c>
      <c r="B8215" s="56" t="b">
        <v>0</v>
      </c>
      <c r="C8215" s="56" t="b">
        <v>0</v>
      </c>
      <c r="D8215" s="56" t="b">
        <v>0</v>
      </c>
      <c r="E8215" s="56">
        <f ca="1">IF(PV[[#This Row],[Business Date]]=Control!$C$6, PV[[#This Row],[Notional Value Local Cur]], -PV[[#This Row],[Notional Value Local Cur]])</f>
        <v>0</v>
      </c>
    </row>
    <row r="8216" spans="1:5" x14ac:dyDescent="0.25">
      <c r="A8216" s="36" t="b">
        <v>0</v>
      </c>
      <c r="B8216" s="56" t="b">
        <v>0</v>
      </c>
      <c r="C8216" s="56" t="b">
        <v>0</v>
      </c>
      <c r="D8216" s="56" t="b">
        <v>0</v>
      </c>
      <c r="E8216" s="56">
        <f ca="1">IF(PV[[#This Row],[Business Date]]=Control!$C$6, PV[[#This Row],[Notional Value Local Cur]], -PV[[#This Row],[Notional Value Local Cur]])</f>
        <v>0</v>
      </c>
    </row>
    <row r="8217" spans="1:5" x14ac:dyDescent="0.25">
      <c r="A8217" s="36" t="b">
        <v>0</v>
      </c>
      <c r="B8217" s="56" t="b">
        <v>0</v>
      </c>
      <c r="C8217" s="56" t="b">
        <v>0</v>
      </c>
      <c r="D8217" s="56" t="b">
        <v>0</v>
      </c>
      <c r="E8217" s="56">
        <f ca="1">IF(PV[[#This Row],[Business Date]]=Control!$C$6, PV[[#This Row],[Notional Value Local Cur]], -PV[[#This Row],[Notional Value Local Cur]])</f>
        <v>0</v>
      </c>
    </row>
    <row r="8218" spans="1:5" x14ac:dyDescent="0.25">
      <c r="A8218" s="36" t="b">
        <v>0</v>
      </c>
      <c r="B8218" s="56" t="b">
        <v>0</v>
      </c>
      <c r="C8218" s="56" t="b">
        <v>0</v>
      </c>
      <c r="D8218" s="56" t="b">
        <v>0</v>
      </c>
      <c r="E8218" s="56">
        <f ca="1">IF(PV[[#This Row],[Business Date]]=Control!$C$6, PV[[#This Row],[Notional Value Local Cur]], -PV[[#This Row],[Notional Value Local Cur]])</f>
        <v>0</v>
      </c>
    </row>
    <row r="8219" spans="1:5" x14ac:dyDescent="0.25">
      <c r="A8219" s="36" t="b">
        <v>0</v>
      </c>
      <c r="B8219" s="56" t="b">
        <v>0</v>
      </c>
      <c r="C8219" s="56" t="b">
        <v>0</v>
      </c>
      <c r="D8219" s="56" t="b">
        <v>0</v>
      </c>
      <c r="E8219" s="56">
        <f ca="1">IF(PV[[#This Row],[Business Date]]=Control!$C$6, PV[[#This Row],[Notional Value Local Cur]], -PV[[#This Row],[Notional Value Local Cur]])</f>
        <v>0</v>
      </c>
    </row>
    <row r="8220" spans="1:5" x14ac:dyDescent="0.25">
      <c r="A8220" s="36" t="b">
        <v>0</v>
      </c>
      <c r="B8220" s="56" t="b">
        <v>0</v>
      </c>
      <c r="C8220" s="56" t="b">
        <v>0</v>
      </c>
      <c r="D8220" s="56" t="b">
        <v>0</v>
      </c>
      <c r="E8220" s="56">
        <f ca="1">IF(PV[[#This Row],[Business Date]]=Control!$C$6, PV[[#This Row],[Notional Value Local Cur]], -PV[[#This Row],[Notional Value Local Cur]])</f>
        <v>0</v>
      </c>
    </row>
    <row r="8221" spans="1:5" x14ac:dyDescent="0.25">
      <c r="A8221" s="36" t="b">
        <v>0</v>
      </c>
      <c r="B8221" s="56" t="b">
        <v>0</v>
      </c>
      <c r="C8221" s="56" t="b">
        <v>0</v>
      </c>
      <c r="D8221" s="56" t="b">
        <v>0</v>
      </c>
      <c r="E8221" s="56">
        <f ca="1">IF(PV[[#This Row],[Business Date]]=Control!$C$6, PV[[#This Row],[Notional Value Local Cur]], -PV[[#This Row],[Notional Value Local Cur]])</f>
        <v>0</v>
      </c>
    </row>
    <row r="8222" spans="1:5" x14ac:dyDescent="0.25">
      <c r="A8222" s="36" t="b">
        <v>0</v>
      </c>
      <c r="B8222" s="56" t="b">
        <v>0</v>
      </c>
      <c r="C8222" s="56" t="b">
        <v>0</v>
      </c>
      <c r="D8222" s="56" t="b">
        <v>0</v>
      </c>
      <c r="E8222" s="56">
        <f ca="1">IF(PV[[#This Row],[Business Date]]=Control!$C$6, PV[[#This Row],[Notional Value Local Cur]], -PV[[#This Row],[Notional Value Local Cur]])</f>
        <v>0</v>
      </c>
    </row>
    <row r="8223" spans="1:5" x14ac:dyDescent="0.25">
      <c r="A8223" s="36" t="b">
        <v>0</v>
      </c>
      <c r="B8223" s="56" t="b">
        <v>0</v>
      </c>
      <c r="C8223" s="56" t="b">
        <v>0</v>
      </c>
      <c r="D8223" s="56" t="b">
        <v>0</v>
      </c>
      <c r="E8223" s="56">
        <f ca="1">IF(PV[[#This Row],[Business Date]]=Control!$C$6, PV[[#This Row],[Notional Value Local Cur]], -PV[[#This Row],[Notional Value Local Cur]])</f>
        <v>0</v>
      </c>
    </row>
    <row r="8224" spans="1:5" x14ac:dyDescent="0.25">
      <c r="A8224" s="36" t="b">
        <v>0</v>
      </c>
      <c r="B8224" s="56" t="b">
        <v>0</v>
      </c>
      <c r="C8224" s="56" t="b">
        <v>0</v>
      </c>
      <c r="D8224" s="56" t="b">
        <v>0</v>
      </c>
      <c r="E8224" s="56">
        <f ca="1">IF(PV[[#This Row],[Business Date]]=Control!$C$6, PV[[#This Row],[Notional Value Local Cur]], -PV[[#This Row],[Notional Value Local Cur]])</f>
        <v>0</v>
      </c>
    </row>
    <row r="8225" spans="1:5" x14ac:dyDescent="0.25">
      <c r="A8225" s="36" t="b">
        <v>0</v>
      </c>
      <c r="B8225" s="56" t="b">
        <v>0</v>
      </c>
      <c r="C8225" s="56" t="b">
        <v>0</v>
      </c>
      <c r="D8225" s="56" t="b">
        <v>0</v>
      </c>
      <c r="E8225" s="56">
        <f ca="1">IF(PV[[#This Row],[Business Date]]=Control!$C$6, PV[[#This Row],[Notional Value Local Cur]], -PV[[#This Row],[Notional Value Local Cur]])</f>
        <v>0</v>
      </c>
    </row>
    <row r="8226" spans="1:5" x14ac:dyDescent="0.25">
      <c r="A8226" s="36" t="b">
        <v>0</v>
      </c>
      <c r="B8226" s="56" t="b">
        <v>0</v>
      </c>
      <c r="C8226" s="56" t="b">
        <v>0</v>
      </c>
      <c r="D8226" s="56" t="b">
        <v>0</v>
      </c>
      <c r="E8226" s="56">
        <f ca="1">IF(PV[[#This Row],[Business Date]]=Control!$C$6, PV[[#This Row],[Notional Value Local Cur]], -PV[[#This Row],[Notional Value Local Cur]])</f>
        <v>0</v>
      </c>
    </row>
    <row r="8227" spans="1:5" x14ac:dyDescent="0.25">
      <c r="A8227" s="36" t="b">
        <v>0</v>
      </c>
      <c r="B8227" s="56" t="b">
        <v>0</v>
      </c>
      <c r="C8227" s="56" t="b">
        <v>0</v>
      </c>
      <c r="D8227" s="56" t="b">
        <v>0</v>
      </c>
      <c r="E8227" s="56">
        <f ca="1">IF(PV[[#This Row],[Business Date]]=Control!$C$6, PV[[#This Row],[Notional Value Local Cur]], -PV[[#This Row],[Notional Value Local Cur]])</f>
        <v>0</v>
      </c>
    </row>
    <row r="8228" spans="1:5" x14ac:dyDescent="0.25">
      <c r="A8228" s="36" t="b">
        <v>0</v>
      </c>
      <c r="B8228" s="56" t="b">
        <v>0</v>
      </c>
      <c r="C8228" s="56" t="b">
        <v>0</v>
      </c>
      <c r="D8228" s="56" t="b">
        <v>0</v>
      </c>
      <c r="E8228" s="56">
        <f ca="1">IF(PV[[#This Row],[Business Date]]=Control!$C$6, PV[[#This Row],[Notional Value Local Cur]], -PV[[#This Row],[Notional Value Local Cur]])</f>
        <v>0</v>
      </c>
    </row>
    <row r="8229" spans="1:5" x14ac:dyDescent="0.25">
      <c r="A8229" s="36" t="b">
        <v>0</v>
      </c>
      <c r="B8229" s="56" t="b">
        <v>0</v>
      </c>
      <c r="C8229" s="56" t="b">
        <v>0</v>
      </c>
      <c r="D8229" s="56" t="b">
        <v>0</v>
      </c>
      <c r="E8229" s="56">
        <f ca="1">IF(PV[[#This Row],[Business Date]]=Control!$C$6, PV[[#This Row],[Notional Value Local Cur]], -PV[[#This Row],[Notional Value Local Cur]])</f>
        <v>0</v>
      </c>
    </row>
    <row r="8230" spans="1:5" x14ac:dyDescent="0.25">
      <c r="A8230" s="36" t="b">
        <v>0</v>
      </c>
      <c r="B8230" s="56" t="b">
        <v>0</v>
      </c>
      <c r="C8230" s="56" t="b">
        <v>0</v>
      </c>
      <c r="D8230" s="56" t="b">
        <v>0</v>
      </c>
      <c r="E8230" s="56">
        <f ca="1">IF(PV[[#This Row],[Business Date]]=Control!$C$6, PV[[#This Row],[Notional Value Local Cur]], -PV[[#This Row],[Notional Value Local Cur]])</f>
        <v>0</v>
      </c>
    </row>
    <row r="8231" spans="1:5" x14ac:dyDescent="0.25">
      <c r="A8231" s="36" t="b">
        <v>0</v>
      </c>
      <c r="B8231" s="56" t="b">
        <v>0</v>
      </c>
      <c r="C8231" s="56" t="b">
        <v>0</v>
      </c>
      <c r="D8231" s="56" t="b">
        <v>0</v>
      </c>
      <c r="E8231" s="56">
        <f ca="1">IF(PV[[#This Row],[Business Date]]=Control!$C$6, PV[[#This Row],[Notional Value Local Cur]], -PV[[#This Row],[Notional Value Local Cur]])</f>
        <v>0</v>
      </c>
    </row>
    <row r="8232" spans="1:5" x14ac:dyDescent="0.25">
      <c r="A8232" s="36" t="b">
        <v>0</v>
      </c>
      <c r="B8232" s="56" t="b">
        <v>0</v>
      </c>
      <c r="C8232" s="56" t="b">
        <v>0</v>
      </c>
      <c r="D8232" s="56" t="b">
        <v>0</v>
      </c>
      <c r="E8232" s="56">
        <f ca="1">IF(PV[[#This Row],[Business Date]]=Control!$C$6, PV[[#This Row],[Notional Value Local Cur]], -PV[[#This Row],[Notional Value Local Cur]])</f>
        <v>0</v>
      </c>
    </row>
    <row r="8233" spans="1:5" x14ac:dyDescent="0.25">
      <c r="A8233" s="36" t="b">
        <v>0</v>
      </c>
      <c r="B8233" s="56" t="b">
        <v>0</v>
      </c>
      <c r="C8233" s="56" t="b">
        <v>0</v>
      </c>
      <c r="D8233" s="56" t="b">
        <v>0</v>
      </c>
      <c r="E8233" s="56">
        <f ca="1">IF(PV[[#This Row],[Business Date]]=Control!$C$6, PV[[#This Row],[Notional Value Local Cur]], -PV[[#This Row],[Notional Value Local Cur]])</f>
        <v>0</v>
      </c>
    </row>
    <row r="8234" spans="1:5" x14ac:dyDescent="0.25">
      <c r="A8234" s="36" t="b">
        <v>0</v>
      </c>
      <c r="B8234" s="56" t="b">
        <v>0</v>
      </c>
      <c r="C8234" s="56" t="b">
        <v>0</v>
      </c>
      <c r="D8234" s="56" t="b">
        <v>0</v>
      </c>
      <c r="E8234" s="56">
        <f ca="1">IF(PV[[#This Row],[Business Date]]=Control!$C$6, PV[[#This Row],[Notional Value Local Cur]], -PV[[#This Row],[Notional Value Local Cur]])</f>
        <v>0</v>
      </c>
    </row>
    <row r="8235" spans="1:5" x14ac:dyDescent="0.25">
      <c r="A8235" s="36" t="b">
        <v>0</v>
      </c>
      <c r="B8235" s="56" t="b">
        <v>0</v>
      </c>
      <c r="C8235" s="56" t="b">
        <v>0</v>
      </c>
      <c r="D8235" s="56" t="b">
        <v>0</v>
      </c>
      <c r="E8235" s="56">
        <f ca="1">IF(PV[[#This Row],[Business Date]]=Control!$C$6, PV[[#This Row],[Notional Value Local Cur]], -PV[[#This Row],[Notional Value Local Cur]])</f>
        <v>0</v>
      </c>
    </row>
    <row r="8236" spans="1:5" x14ac:dyDescent="0.25">
      <c r="A8236" s="36" t="b">
        <v>0</v>
      </c>
      <c r="B8236" s="56" t="b">
        <v>0</v>
      </c>
      <c r="C8236" s="56" t="b">
        <v>0</v>
      </c>
      <c r="D8236" s="56" t="b">
        <v>0</v>
      </c>
      <c r="E8236" s="56">
        <f ca="1">IF(PV[[#This Row],[Business Date]]=Control!$C$6, PV[[#This Row],[Notional Value Local Cur]], -PV[[#This Row],[Notional Value Local Cur]])</f>
        <v>0</v>
      </c>
    </row>
    <row r="8237" spans="1:5" x14ac:dyDescent="0.25">
      <c r="A8237" s="36" t="b">
        <v>0</v>
      </c>
      <c r="B8237" s="56" t="b">
        <v>0</v>
      </c>
      <c r="C8237" s="56" t="b">
        <v>0</v>
      </c>
      <c r="D8237" s="56" t="b">
        <v>0</v>
      </c>
      <c r="E8237" s="56">
        <f ca="1">IF(PV[[#This Row],[Business Date]]=Control!$C$6, PV[[#This Row],[Notional Value Local Cur]], -PV[[#This Row],[Notional Value Local Cur]])</f>
        <v>0</v>
      </c>
    </row>
    <row r="8238" spans="1:5" x14ac:dyDescent="0.25">
      <c r="A8238" s="36" t="b">
        <v>0</v>
      </c>
      <c r="B8238" s="56" t="b">
        <v>0</v>
      </c>
      <c r="C8238" s="56" t="b">
        <v>0</v>
      </c>
      <c r="D8238" s="56" t="b">
        <v>0</v>
      </c>
      <c r="E8238" s="56">
        <f ca="1">IF(PV[[#This Row],[Business Date]]=Control!$C$6, PV[[#This Row],[Notional Value Local Cur]], -PV[[#This Row],[Notional Value Local Cur]])</f>
        <v>0</v>
      </c>
    </row>
    <row r="8239" spans="1:5" x14ac:dyDescent="0.25">
      <c r="A8239" s="36" t="b">
        <v>0</v>
      </c>
      <c r="B8239" s="56" t="b">
        <v>0</v>
      </c>
      <c r="C8239" s="56" t="b">
        <v>0</v>
      </c>
      <c r="D8239" s="56" t="b">
        <v>0</v>
      </c>
      <c r="E8239" s="56">
        <f ca="1">IF(PV[[#This Row],[Business Date]]=Control!$C$6, PV[[#This Row],[Notional Value Local Cur]], -PV[[#This Row],[Notional Value Local Cur]])</f>
        <v>0</v>
      </c>
    </row>
    <row r="8240" spans="1:5" x14ac:dyDescent="0.25">
      <c r="A8240" s="36" t="b">
        <v>0</v>
      </c>
      <c r="B8240" s="56" t="b">
        <v>0</v>
      </c>
      <c r="C8240" s="56" t="b">
        <v>0</v>
      </c>
      <c r="D8240" s="56" t="b">
        <v>0</v>
      </c>
      <c r="E8240" s="56">
        <f ca="1">IF(PV[[#This Row],[Business Date]]=Control!$C$6, PV[[#This Row],[Notional Value Local Cur]], -PV[[#This Row],[Notional Value Local Cur]])</f>
        <v>0</v>
      </c>
    </row>
    <row r="8241" spans="1:5" x14ac:dyDescent="0.25">
      <c r="A8241" s="36" t="b">
        <v>0</v>
      </c>
      <c r="B8241" s="56" t="b">
        <v>0</v>
      </c>
      <c r="C8241" s="56" t="b">
        <v>0</v>
      </c>
      <c r="D8241" s="56" t="b">
        <v>0</v>
      </c>
      <c r="E8241" s="56">
        <f ca="1">IF(PV[[#This Row],[Business Date]]=Control!$C$6, PV[[#This Row],[Notional Value Local Cur]], -PV[[#This Row],[Notional Value Local Cur]])</f>
        <v>0</v>
      </c>
    </row>
    <row r="8242" spans="1:5" x14ac:dyDescent="0.25">
      <c r="A8242" s="36" t="b">
        <v>0</v>
      </c>
      <c r="B8242" s="56" t="b">
        <v>0</v>
      </c>
      <c r="C8242" s="56" t="b">
        <v>0</v>
      </c>
      <c r="D8242" s="56" t="b">
        <v>0</v>
      </c>
      <c r="E8242" s="56">
        <f ca="1">IF(PV[[#This Row],[Business Date]]=Control!$C$6, PV[[#This Row],[Notional Value Local Cur]], -PV[[#This Row],[Notional Value Local Cur]])</f>
        <v>0</v>
      </c>
    </row>
    <row r="8243" spans="1:5" x14ac:dyDescent="0.25">
      <c r="A8243" s="36" t="b">
        <v>0</v>
      </c>
      <c r="B8243" s="56" t="b">
        <v>0</v>
      </c>
      <c r="C8243" s="56" t="b">
        <v>0</v>
      </c>
      <c r="D8243" s="56" t="b">
        <v>0</v>
      </c>
      <c r="E8243" s="56">
        <f ca="1">IF(PV[[#This Row],[Business Date]]=Control!$C$6, PV[[#This Row],[Notional Value Local Cur]], -PV[[#This Row],[Notional Value Local Cur]])</f>
        <v>0</v>
      </c>
    </row>
    <row r="8244" spans="1:5" x14ac:dyDescent="0.25">
      <c r="A8244" s="36" t="b">
        <v>0</v>
      </c>
      <c r="B8244" s="56" t="b">
        <v>0</v>
      </c>
      <c r="C8244" s="56" t="b">
        <v>0</v>
      </c>
      <c r="D8244" s="56" t="b">
        <v>0</v>
      </c>
      <c r="E8244" s="56">
        <f ca="1">IF(PV[[#This Row],[Business Date]]=Control!$C$6, PV[[#This Row],[Notional Value Local Cur]], -PV[[#This Row],[Notional Value Local Cur]])</f>
        <v>0</v>
      </c>
    </row>
    <row r="8245" spans="1:5" x14ac:dyDescent="0.25">
      <c r="A8245" s="36" t="b">
        <v>0</v>
      </c>
      <c r="B8245" s="56" t="b">
        <v>0</v>
      </c>
      <c r="C8245" s="56" t="b">
        <v>0</v>
      </c>
      <c r="D8245" s="56" t="b">
        <v>0</v>
      </c>
      <c r="E8245" s="56">
        <f ca="1">IF(PV[[#This Row],[Business Date]]=Control!$C$6, PV[[#This Row],[Notional Value Local Cur]], -PV[[#This Row],[Notional Value Local Cur]])</f>
        <v>0</v>
      </c>
    </row>
    <row r="8246" spans="1:5" x14ac:dyDescent="0.25">
      <c r="A8246" s="36" t="b">
        <v>0</v>
      </c>
      <c r="B8246" s="56" t="b">
        <v>0</v>
      </c>
      <c r="C8246" s="56" t="b">
        <v>0</v>
      </c>
      <c r="D8246" s="56" t="b">
        <v>0</v>
      </c>
      <c r="E8246" s="56">
        <f ca="1">IF(PV[[#This Row],[Business Date]]=Control!$C$6, PV[[#This Row],[Notional Value Local Cur]], -PV[[#This Row],[Notional Value Local Cur]])</f>
        <v>0</v>
      </c>
    </row>
    <row r="8247" spans="1:5" x14ac:dyDescent="0.25">
      <c r="A8247" s="36" t="b">
        <v>0</v>
      </c>
      <c r="B8247" s="56" t="b">
        <v>0</v>
      </c>
      <c r="C8247" s="56" t="b">
        <v>0</v>
      </c>
      <c r="D8247" s="56" t="b">
        <v>0</v>
      </c>
      <c r="E8247" s="56">
        <f ca="1">IF(PV[[#This Row],[Business Date]]=Control!$C$6, PV[[#This Row],[Notional Value Local Cur]], -PV[[#This Row],[Notional Value Local Cur]])</f>
        <v>0</v>
      </c>
    </row>
    <row r="8248" spans="1:5" x14ac:dyDescent="0.25">
      <c r="A8248" s="36" t="b">
        <v>0</v>
      </c>
      <c r="B8248" s="56" t="b">
        <v>0</v>
      </c>
      <c r="C8248" s="56" t="b">
        <v>0</v>
      </c>
      <c r="D8248" s="56" t="b">
        <v>0</v>
      </c>
      <c r="E8248" s="56">
        <f ca="1">IF(PV[[#This Row],[Business Date]]=Control!$C$6, PV[[#This Row],[Notional Value Local Cur]], -PV[[#This Row],[Notional Value Local Cur]])</f>
        <v>0</v>
      </c>
    </row>
    <row r="8249" spans="1:5" x14ac:dyDescent="0.25">
      <c r="A8249" s="36" t="b">
        <v>0</v>
      </c>
      <c r="B8249" s="56" t="b">
        <v>0</v>
      </c>
      <c r="C8249" s="56" t="b">
        <v>0</v>
      </c>
      <c r="D8249" s="56" t="b">
        <v>0</v>
      </c>
      <c r="E8249" s="56">
        <f ca="1">IF(PV[[#This Row],[Business Date]]=Control!$C$6, PV[[#This Row],[Notional Value Local Cur]], -PV[[#This Row],[Notional Value Local Cur]])</f>
        <v>0</v>
      </c>
    </row>
    <row r="8250" spans="1:5" x14ac:dyDescent="0.25">
      <c r="A8250" s="36" t="b">
        <v>0</v>
      </c>
      <c r="B8250" s="56" t="b">
        <v>0</v>
      </c>
      <c r="C8250" s="56" t="b">
        <v>0</v>
      </c>
      <c r="D8250" s="56" t="b">
        <v>0</v>
      </c>
      <c r="E8250" s="56">
        <f ca="1">IF(PV[[#This Row],[Business Date]]=Control!$C$6, PV[[#This Row],[Notional Value Local Cur]], -PV[[#This Row],[Notional Value Local Cur]])</f>
        <v>0</v>
      </c>
    </row>
    <row r="8251" spans="1:5" x14ac:dyDescent="0.25">
      <c r="A8251" s="36" t="b">
        <v>0</v>
      </c>
      <c r="B8251" s="56" t="b">
        <v>0</v>
      </c>
      <c r="C8251" s="56" t="b">
        <v>0</v>
      </c>
      <c r="D8251" s="56" t="b">
        <v>0</v>
      </c>
      <c r="E8251" s="56">
        <f ca="1">IF(PV[[#This Row],[Business Date]]=Control!$C$6, PV[[#This Row],[Notional Value Local Cur]], -PV[[#This Row],[Notional Value Local Cur]])</f>
        <v>0</v>
      </c>
    </row>
    <row r="8252" spans="1:5" x14ac:dyDescent="0.25">
      <c r="A8252" s="36" t="b">
        <v>0</v>
      </c>
      <c r="B8252" s="56" t="b">
        <v>0</v>
      </c>
      <c r="C8252" s="56" t="b">
        <v>0</v>
      </c>
      <c r="D8252" s="56" t="b">
        <v>0</v>
      </c>
      <c r="E8252" s="56">
        <f ca="1">IF(PV[[#This Row],[Business Date]]=Control!$C$6, PV[[#This Row],[Notional Value Local Cur]], -PV[[#This Row],[Notional Value Local Cur]])</f>
        <v>0</v>
      </c>
    </row>
    <row r="8253" spans="1:5" x14ac:dyDescent="0.25">
      <c r="A8253" s="36" t="b">
        <v>0</v>
      </c>
      <c r="B8253" s="56" t="b">
        <v>0</v>
      </c>
      <c r="C8253" s="56" t="b">
        <v>0</v>
      </c>
      <c r="D8253" s="56" t="b">
        <v>0</v>
      </c>
      <c r="E8253" s="56">
        <f ca="1">IF(PV[[#This Row],[Business Date]]=Control!$C$6, PV[[#This Row],[Notional Value Local Cur]], -PV[[#This Row],[Notional Value Local Cur]])</f>
        <v>0</v>
      </c>
    </row>
    <row r="8254" spans="1:5" x14ac:dyDescent="0.25">
      <c r="A8254" s="36" t="b">
        <v>0</v>
      </c>
      <c r="B8254" s="56" t="b">
        <v>0</v>
      </c>
      <c r="C8254" s="56" t="b">
        <v>0</v>
      </c>
      <c r="D8254" s="56" t="b">
        <v>0</v>
      </c>
      <c r="E8254" s="56">
        <f ca="1">IF(PV[[#This Row],[Business Date]]=Control!$C$6, PV[[#This Row],[Notional Value Local Cur]], -PV[[#This Row],[Notional Value Local Cur]])</f>
        <v>0</v>
      </c>
    </row>
    <row r="8255" spans="1:5" x14ac:dyDescent="0.25">
      <c r="A8255" s="36" t="b">
        <v>0</v>
      </c>
      <c r="B8255" s="56" t="b">
        <v>0</v>
      </c>
      <c r="C8255" s="56" t="b">
        <v>0</v>
      </c>
      <c r="D8255" s="56" t="b">
        <v>0</v>
      </c>
      <c r="E8255" s="56">
        <f ca="1">IF(PV[[#This Row],[Business Date]]=Control!$C$6, PV[[#This Row],[Notional Value Local Cur]], -PV[[#This Row],[Notional Value Local Cur]])</f>
        <v>0</v>
      </c>
    </row>
    <row r="8256" spans="1:5" x14ac:dyDescent="0.25">
      <c r="A8256" s="36" t="b">
        <v>0</v>
      </c>
      <c r="B8256" s="56" t="b">
        <v>0</v>
      </c>
      <c r="C8256" s="56" t="b">
        <v>0</v>
      </c>
      <c r="D8256" s="56" t="b">
        <v>0</v>
      </c>
      <c r="E8256" s="56">
        <f ca="1">IF(PV[[#This Row],[Business Date]]=Control!$C$6, PV[[#This Row],[Notional Value Local Cur]], -PV[[#This Row],[Notional Value Local Cur]])</f>
        <v>0</v>
      </c>
    </row>
    <row r="8257" spans="1:5" x14ac:dyDescent="0.25">
      <c r="A8257" s="36" t="b">
        <v>0</v>
      </c>
      <c r="B8257" s="56" t="b">
        <v>0</v>
      </c>
      <c r="C8257" s="56" t="b">
        <v>0</v>
      </c>
      <c r="D8257" s="56" t="b">
        <v>0</v>
      </c>
      <c r="E8257" s="56">
        <f ca="1">IF(PV[[#This Row],[Business Date]]=Control!$C$6, PV[[#This Row],[Notional Value Local Cur]], -PV[[#This Row],[Notional Value Local Cur]])</f>
        <v>0</v>
      </c>
    </row>
    <row r="8258" spans="1:5" x14ac:dyDescent="0.25">
      <c r="A8258" s="36" t="b">
        <v>0</v>
      </c>
      <c r="B8258" s="56" t="b">
        <v>0</v>
      </c>
      <c r="C8258" s="56" t="b">
        <v>0</v>
      </c>
      <c r="D8258" s="56" t="b">
        <v>0</v>
      </c>
      <c r="E8258" s="56">
        <f ca="1">IF(PV[[#This Row],[Business Date]]=Control!$C$6, PV[[#This Row],[Notional Value Local Cur]], -PV[[#This Row],[Notional Value Local Cur]])</f>
        <v>0</v>
      </c>
    </row>
    <row r="8259" spans="1:5" x14ac:dyDescent="0.25">
      <c r="A8259" s="36" t="b">
        <v>0</v>
      </c>
      <c r="B8259" s="56" t="b">
        <v>0</v>
      </c>
      <c r="C8259" s="56" t="b">
        <v>0</v>
      </c>
      <c r="D8259" s="56" t="b">
        <v>0</v>
      </c>
      <c r="E8259" s="56">
        <f ca="1">IF(PV[[#This Row],[Business Date]]=Control!$C$6, PV[[#This Row],[Notional Value Local Cur]], -PV[[#This Row],[Notional Value Local Cur]])</f>
        <v>0</v>
      </c>
    </row>
    <row r="8260" spans="1:5" x14ac:dyDescent="0.25">
      <c r="A8260" s="36" t="b">
        <v>0</v>
      </c>
      <c r="B8260" s="56" t="b">
        <v>0</v>
      </c>
      <c r="C8260" s="56" t="b">
        <v>0</v>
      </c>
      <c r="D8260" s="56" t="b">
        <v>0</v>
      </c>
      <c r="E8260" s="56">
        <f ca="1">IF(PV[[#This Row],[Business Date]]=Control!$C$6, PV[[#This Row],[Notional Value Local Cur]], -PV[[#This Row],[Notional Value Local Cur]])</f>
        <v>0</v>
      </c>
    </row>
    <row r="8261" spans="1:5" x14ac:dyDescent="0.25">
      <c r="A8261" s="36" t="b">
        <v>0</v>
      </c>
      <c r="B8261" s="56" t="b">
        <v>0</v>
      </c>
      <c r="C8261" s="56" t="b">
        <v>0</v>
      </c>
      <c r="D8261" s="56" t="b">
        <v>0</v>
      </c>
      <c r="E8261" s="56">
        <f ca="1">IF(PV[[#This Row],[Business Date]]=Control!$C$6, PV[[#This Row],[Notional Value Local Cur]], -PV[[#This Row],[Notional Value Local Cur]])</f>
        <v>0</v>
      </c>
    </row>
    <row r="8262" spans="1:5" x14ac:dyDescent="0.25">
      <c r="A8262" s="36" t="b">
        <v>0</v>
      </c>
      <c r="B8262" s="56" t="b">
        <v>0</v>
      </c>
      <c r="C8262" s="56" t="b">
        <v>0</v>
      </c>
      <c r="D8262" s="56" t="b">
        <v>0</v>
      </c>
      <c r="E8262" s="56">
        <f ca="1">IF(PV[[#This Row],[Business Date]]=Control!$C$6, PV[[#This Row],[Notional Value Local Cur]], -PV[[#This Row],[Notional Value Local Cur]])</f>
        <v>0</v>
      </c>
    </row>
    <row r="8263" spans="1:5" x14ac:dyDescent="0.25">
      <c r="A8263" s="36" t="b">
        <v>0</v>
      </c>
      <c r="B8263" s="56" t="b">
        <v>0</v>
      </c>
      <c r="C8263" s="56" t="b">
        <v>0</v>
      </c>
      <c r="D8263" s="56" t="b">
        <v>0</v>
      </c>
      <c r="E8263" s="56">
        <f ca="1">IF(PV[[#This Row],[Business Date]]=Control!$C$6, PV[[#This Row],[Notional Value Local Cur]], -PV[[#This Row],[Notional Value Local Cur]])</f>
        <v>0</v>
      </c>
    </row>
    <row r="8264" spans="1:5" x14ac:dyDescent="0.25">
      <c r="A8264" s="36" t="b">
        <v>0</v>
      </c>
      <c r="B8264" s="56" t="b">
        <v>0</v>
      </c>
      <c r="C8264" s="56" t="b">
        <v>0</v>
      </c>
      <c r="D8264" s="56" t="b">
        <v>0</v>
      </c>
      <c r="E8264" s="56">
        <f ca="1">IF(PV[[#This Row],[Business Date]]=Control!$C$6, PV[[#This Row],[Notional Value Local Cur]], -PV[[#This Row],[Notional Value Local Cur]])</f>
        <v>0</v>
      </c>
    </row>
    <row r="8265" spans="1:5" x14ac:dyDescent="0.25">
      <c r="A8265" s="36" t="b">
        <v>0</v>
      </c>
      <c r="B8265" s="56" t="b">
        <v>0</v>
      </c>
      <c r="C8265" s="56" t="b">
        <v>0</v>
      </c>
      <c r="D8265" s="56" t="b">
        <v>0</v>
      </c>
      <c r="E8265" s="56">
        <f ca="1">IF(PV[[#This Row],[Business Date]]=Control!$C$6, PV[[#This Row],[Notional Value Local Cur]], -PV[[#This Row],[Notional Value Local Cur]])</f>
        <v>0</v>
      </c>
    </row>
    <row r="8266" spans="1:5" x14ac:dyDescent="0.25">
      <c r="A8266" s="36" t="b">
        <v>0</v>
      </c>
      <c r="B8266" s="56" t="b">
        <v>0</v>
      </c>
      <c r="C8266" s="56" t="b">
        <v>0</v>
      </c>
      <c r="D8266" s="56" t="b">
        <v>0</v>
      </c>
      <c r="E8266" s="56">
        <f ca="1">IF(PV[[#This Row],[Business Date]]=Control!$C$6, PV[[#This Row],[Notional Value Local Cur]], -PV[[#This Row],[Notional Value Local Cur]])</f>
        <v>0</v>
      </c>
    </row>
    <row r="8267" spans="1:5" x14ac:dyDescent="0.25">
      <c r="A8267" s="36" t="b">
        <v>0</v>
      </c>
      <c r="B8267" s="56" t="b">
        <v>0</v>
      </c>
      <c r="C8267" s="56" t="b">
        <v>0</v>
      </c>
      <c r="D8267" s="56" t="b">
        <v>0</v>
      </c>
      <c r="E8267" s="56">
        <f ca="1">IF(PV[[#This Row],[Business Date]]=Control!$C$6, PV[[#This Row],[Notional Value Local Cur]], -PV[[#This Row],[Notional Value Local Cur]])</f>
        <v>0</v>
      </c>
    </row>
    <row r="8268" spans="1:5" x14ac:dyDescent="0.25">
      <c r="A8268" s="36" t="b">
        <v>0</v>
      </c>
      <c r="B8268" s="56" t="b">
        <v>0</v>
      </c>
      <c r="C8268" s="56" t="b">
        <v>0</v>
      </c>
      <c r="D8268" s="56" t="b">
        <v>0</v>
      </c>
      <c r="E8268" s="56">
        <f ca="1">IF(PV[[#This Row],[Business Date]]=Control!$C$6, PV[[#This Row],[Notional Value Local Cur]], -PV[[#This Row],[Notional Value Local Cur]])</f>
        <v>0</v>
      </c>
    </row>
    <row r="8269" spans="1:5" x14ac:dyDescent="0.25">
      <c r="A8269" s="36" t="b">
        <v>0</v>
      </c>
      <c r="B8269" s="56" t="b">
        <v>0</v>
      </c>
      <c r="C8269" s="56" t="b">
        <v>0</v>
      </c>
      <c r="D8269" s="56" t="b">
        <v>0</v>
      </c>
      <c r="E8269" s="56">
        <f ca="1">IF(PV[[#This Row],[Business Date]]=Control!$C$6, PV[[#This Row],[Notional Value Local Cur]], -PV[[#This Row],[Notional Value Local Cur]])</f>
        <v>0</v>
      </c>
    </row>
    <row r="8270" spans="1:5" x14ac:dyDescent="0.25">
      <c r="A8270" s="36" t="b">
        <v>0</v>
      </c>
      <c r="B8270" s="56" t="b">
        <v>0</v>
      </c>
      <c r="C8270" s="56" t="b">
        <v>0</v>
      </c>
      <c r="D8270" s="56" t="b">
        <v>0</v>
      </c>
      <c r="E8270" s="56">
        <f ca="1">IF(PV[[#This Row],[Business Date]]=Control!$C$6, PV[[#This Row],[Notional Value Local Cur]], -PV[[#This Row],[Notional Value Local Cur]])</f>
        <v>0</v>
      </c>
    </row>
    <row r="8271" spans="1:5" x14ac:dyDescent="0.25">
      <c r="A8271" s="36" t="b">
        <v>0</v>
      </c>
      <c r="B8271" s="56" t="b">
        <v>0</v>
      </c>
      <c r="C8271" s="56" t="b">
        <v>0</v>
      </c>
      <c r="D8271" s="56" t="b">
        <v>0</v>
      </c>
      <c r="E8271" s="56">
        <f ca="1">IF(PV[[#This Row],[Business Date]]=Control!$C$6, PV[[#This Row],[Notional Value Local Cur]], -PV[[#This Row],[Notional Value Local Cur]])</f>
        <v>0</v>
      </c>
    </row>
    <row r="8272" spans="1:5" x14ac:dyDescent="0.25">
      <c r="A8272" s="36" t="b">
        <v>0</v>
      </c>
      <c r="B8272" s="56" t="b">
        <v>0</v>
      </c>
      <c r="C8272" s="56" t="b">
        <v>0</v>
      </c>
      <c r="D8272" s="56" t="b">
        <v>0</v>
      </c>
      <c r="E8272" s="56">
        <f ca="1">IF(PV[[#This Row],[Business Date]]=Control!$C$6, PV[[#This Row],[Notional Value Local Cur]], -PV[[#This Row],[Notional Value Local Cur]])</f>
        <v>0</v>
      </c>
    </row>
    <row r="8273" spans="1:5" x14ac:dyDescent="0.25">
      <c r="A8273" s="36" t="b">
        <v>0</v>
      </c>
      <c r="B8273" s="56" t="b">
        <v>0</v>
      </c>
      <c r="C8273" s="56" t="b">
        <v>0</v>
      </c>
      <c r="D8273" s="56" t="b">
        <v>0</v>
      </c>
      <c r="E8273" s="56">
        <f ca="1">IF(PV[[#This Row],[Business Date]]=Control!$C$6, PV[[#This Row],[Notional Value Local Cur]], -PV[[#This Row],[Notional Value Local Cur]])</f>
        <v>0</v>
      </c>
    </row>
    <row r="8274" spans="1:5" x14ac:dyDescent="0.25">
      <c r="A8274" s="36" t="b">
        <v>0</v>
      </c>
      <c r="B8274" s="56" t="b">
        <v>0</v>
      </c>
      <c r="C8274" s="56" t="b">
        <v>0</v>
      </c>
      <c r="D8274" s="56" t="b">
        <v>0</v>
      </c>
      <c r="E8274" s="56">
        <f ca="1">IF(PV[[#This Row],[Business Date]]=Control!$C$6, PV[[#This Row],[Notional Value Local Cur]], -PV[[#This Row],[Notional Value Local Cur]])</f>
        <v>0</v>
      </c>
    </row>
    <row r="8275" spans="1:5" x14ac:dyDescent="0.25">
      <c r="A8275" s="36" t="b">
        <v>0</v>
      </c>
      <c r="B8275" s="56" t="b">
        <v>0</v>
      </c>
      <c r="C8275" s="56" t="b">
        <v>0</v>
      </c>
      <c r="D8275" s="56" t="b">
        <v>0</v>
      </c>
      <c r="E8275" s="56">
        <f ca="1">IF(PV[[#This Row],[Business Date]]=Control!$C$6, PV[[#This Row],[Notional Value Local Cur]], -PV[[#This Row],[Notional Value Local Cur]])</f>
        <v>0</v>
      </c>
    </row>
    <row r="8276" spans="1:5" x14ac:dyDescent="0.25">
      <c r="A8276" s="36" t="b">
        <v>0</v>
      </c>
      <c r="B8276" s="56" t="b">
        <v>0</v>
      </c>
      <c r="C8276" s="56" t="b">
        <v>0</v>
      </c>
      <c r="D8276" s="56" t="b">
        <v>0</v>
      </c>
      <c r="E8276" s="56">
        <f ca="1">IF(PV[[#This Row],[Business Date]]=Control!$C$6, PV[[#This Row],[Notional Value Local Cur]], -PV[[#This Row],[Notional Value Local Cur]])</f>
        <v>0</v>
      </c>
    </row>
    <row r="8277" spans="1:5" x14ac:dyDescent="0.25">
      <c r="A8277" s="36" t="b">
        <v>0</v>
      </c>
      <c r="B8277" s="56" t="b">
        <v>0</v>
      </c>
      <c r="C8277" s="56" t="b">
        <v>0</v>
      </c>
      <c r="D8277" s="56" t="b">
        <v>0</v>
      </c>
      <c r="E8277" s="56">
        <f ca="1">IF(PV[[#This Row],[Business Date]]=Control!$C$6, PV[[#This Row],[Notional Value Local Cur]], -PV[[#This Row],[Notional Value Local Cur]])</f>
        <v>0</v>
      </c>
    </row>
    <row r="8278" spans="1:5" x14ac:dyDescent="0.25">
      <c r="A8278" s="36" t="b">
        <v>0</v>
      </c>
      <c r="B8278" s="56" t="b">
        <v>0</v>
      </c>
      <c r="C8278" s="56" t="b">
        <v>0</v>
      </c>
      <c r="D8278" s="56" t="b">
        <v>0</v>
      </c>
      <c r="E8278" s="56">
        <f ca="1">IF(PV[[#This Row],[Business Date]]=Control!$C$6, PV[[#This Row],[Notional Value Local Cur]], -PV[[#This Row],[Notional Value Local Cur]])</f>
        <v>0</v>
      </c>
    </row>
    <row r="8279" spans="1:5" x14ac:dyDescent="0.25">
      <c r="A8279" s="36" t="b">
        <v>0</v>
      </c>
      <c r="B8279" s="56" t="b">
        <v>0</v>
      </c>
      <c r="C8279" s="56" t="b">
        <v>0</v>
      </c>
      <c r="D8279" s="56" t="b">
        <v>0</v>
      </c>
      <c r="E8279" s="56">
        <f ca="1">IF(PV[[#This Row],[Business Date]]=Control!$C$6, PV[[#This Row],[Notional Value Local Cur]], -PV[[#This Row],[Notional Value Local Cur]])</f>
        <v>0</v>
      </c>
    </row>
    <row r="8280" spans="1:5" x14ac:dyDescent="0.25">
      <c r="A8280" s="36" t="b">
        <v>0</v>
      </c>
      <c r="B8280" s="56" t="b">
        <v>0</v>
      </c>
      <c r="C8280" s="56" t="b">
        <v>0</v>
      </c>
      <c r="D8280" s="56" t="b">
        <v>0</v>
      </c>
      <c r="E8280" s="56">
        <f ca="1">IF(PV[[#This Row],[Business Date]]=Control!$C$6, PV[[#This Row],[Notional Value Local Cur]], -PV[[#This Row],[Notional Value Local Cur]])</f>
        <v>0</v>
      </c>
    </row>
    <row r="8281" spans="1:5" x14ac:dyDescent="0.25">
      <c r="A8281" s="36" t="b">
        <v>0</v>
      </c>
      <c r="B8281" s="56" t="b">
        <v>0</v>
      </c>
      <c r="C8281" s="56" t="b">
        <v>0</v>
      </c>
      <c r="D8281" s="56" t="b">
        <v>0</v>
      </c>
      <c r="E8281" s="56">
        <f ca="1">IF(PV[[#This Row],[Business Date]]=Control!$C$6, PV[[#This Row],[Notional Value Local Cur]], -PV[[#This Row],[Notional Value Local Cur]])</f>
        <v>0</v>
      </c>
    </row>
    <row r="8282" spans="1:5" x14ac:dyDescent="0.25">
      <c r="A8282" s="36" t="b">
        <v>0</v>
      </c>
      <c r="B8282" s="56" t="b">
        <v>0</v>
      </c>
      <c r="C8282" s="56" t="b">
        <v>0</v>
      </c>
      <c r="D8282" s="56" t="b">
        <v>0</v>
      </c>
      <c r="E8282" s="56">
        <f ca="1">IF(PV[[#This Row],[Business Date]]=Control!$C$6, PV[[#This Row],[Notional Value Local Cur]], -PV[[#This Row],[Notional Value Local Cur]])</f>
        <v>0</v>
      </c>
    </row>
    <row r="8283" spans="1:5" x14ac:dyDescent="0.25">
      <c r="A8283" s="36" t="b">
        <v>0</v>
      </c>
      <c r="B8283" s="56" t="b">
        <v>0</v>
      </c>
      <c r="C8283" s="56" t="b">
        <v>0</v>
      </c>
      <c r="D8283" s="56" t="b">
        <v>0</v>
      </c>
      <c r="E8283" s="56">
        <f ca="1">IF(PV[[#This Row],[Business Date]]=Control!$C$6, PV[[#This Row],[Notional Value Local Cur]], -PV[[#This Row],[Notional Value Local Cur]])</f>
        <v>0</v>
      </c>
    </row>
    <row r="8284" spans="1:5" x14ac:dyDescent="0.25">
      <c r="A8284" s="36" t="b">
        <v>0</v>
      </c>
      <c r="B8284" s="56" t="b">
        <v>0</v>
      </c>
      <c r="C8284" s="56" t="b">
        <v>0</v>
      </c>
      <c r="D8284" s="56" t="b">
        <v>0</v>
      </c>
      <c r="E8284" s="56">
        <f ca="1">IF(PV[[#This Row],[Business Date]]=Control!$C$6, PV[[#This Row],[Notional Value Local Cur]], -PV[[#This Row],[Notional Value Local Cur]])</f>
        <v>0</v>
      </c>
    </row>
    <row r="8285" spans="1:5" x14ac:dyDescent="0.25">
      <c r="A8285" s="36" t="b">
        <v>0</v>
      </c>
      <c r="B8285" s="56" t="b">
        <v>0</v>
      </c>
      <c r="C8285" s="56" t="b">
        <v>0</v>
      </c>
      <c r="D8285" s="56" t="b">
        <v>0</v>
      </c>
      <c r="E8285" s="56">
        <f ca="1">IF(PV[[#This Row],[Business Date]]=Control!$C$6, PV[[#This Row],[Notional Value Local Cur]], -PV[[#This Row],[Notional Value Local Cur]])</f>
        <v>0</v>
      </c>
    </row>
    <row r="8286" spans="1:5" x14ac:dyDescent="0.25">
      <c r="A8286" s="36" t="b">
        <v>0</v>
      </c>
      <c r="B8286" s="56" t="b">
        <v>0</v>
      </c>
      <c r="C8286" s="56" t="b">
        <v>0</v>
      </c>
      <c r="D8286" s="56" t="b">
        <v>0</v>
      </c>
      <c r="E8286" s="56">
        <f ca="1">IF(PV[[#This Row],[Business Date]]=Control!$C$6, PV[[#This Row],[Notional Value Local Cur]], -PV[[#This Row],[Notional Value Local Cur]])</f>
        <v>0</v>
      </c>
    </row>
    <row r="8287" spans="1:5" x14ac:dyDescent="0.25">
      <c r="A8287" s="36" t="b">
        <v>0</v>
      </c>
      <c r="B8287" s="56" t="b">
        <v>0</v>
      </c>
      <c r="C8287" s="56" t="b">
        <v>0</v>
      </c>
      <c r="D8287" s="56" t="b">
        <v>0</v>
      </c>
      <c r="E8287" s="56">
        <f ca="1">IF(PV[[#This Row],[Business Date]]=Control!$C$6, PV[[#This Row],[Notional Value Local Cur]], -PV[[#This Row],[Notional Value Local Cur]])</f>
        <v>0</v>
      </c>
    </row>
    <row r="8288" spans="1:5" x14ac:dyDescent="0.25">
      <c r="A8288" s="36" t="b">
        <v>0</v>
      </c>
      <c r="B8288" s="56" t="b">
        <v>0</v>
      </c>
      <c r="C8288" s="56" t="b">
        <v>0</v>
      </c>
      <c r="D8288" s="56" t="b">
        <v>0</v>
      </c>
      <c r="E8288" s="56">
        <f ca="1">IF(PV[[#This Row],[Business Date]]=Control!$C$6, PV[[#This Row],[Notional Value Local Cur]], -PV[[#This Row],[Notional Value Local Cur]])</f>
        <v>0</v>
      </c>
    </row>
    <row r="8289" spans="1:5" x14ac:dyDescent="0.25">
      <c r="A8289" s="36" t="b">
        <v>0</v>
      </c>
      <c r="B8289" s="56" t="b">
        <v>0</v>
      </c>
      <c r="C8289" s="56" t="b">
        <v>0</v>
      </c>
      <c r="D8289" s="56" t="b">
        <v>0</v>
      </c>
      <c r="E8289" s="56">
        <f ca="1">IF(PV[[#This Row],[Business Date]]=Control!$C$6, PV[[#This Row],[Notional Value Local Cur]], -PV[[#This Row],[Notional Value Local Cur]])</f>
        <v>0</v>
      </c>
    </row>
    <row r="8290" spans="1:5" x14ac:dyDescent="0.25">
      <c r="A8290" s="36" t="b">
        <v>0</v>
      </c>
      <c r="B8290" s="56" t="b">
        <v>0</v>
      </c>
      <c r="C8290" s="56" t="b">
        <v>0</v>
      </c>
      <c r="D8290" s="56" t="b">
        <v>0</v>
      </c>
      <c r="E8290" s="56">
        <f ca="1">IF(PV[[#This Row],[Business Date]]=Control!$C$6, PV[[#This Row],[Notional Value Local Cur]], -PV[[#This Row],[Notional Value Local Cur]])</f>
        <v>0</v>
      </c>
    </row>
    <row r="8291" spans="1:5" x14ac:dyDescent="0.25">
      <c r="A8291" s="36" t="b">
        <v>0</v>
      </c>
      <c r="B8291" s="56" t="b">
        <v>0</v>
      </c>
      <c r="C8291" s="56" t="b">
        <v>0</v>
      </c>
      <c r="D8291" s="56" t="b">
        <v>0</v>
      </c>
      <c r="E8291" s="56">
        <f ca="1">IF(PV[[#This Row],[Business Date]]=Control!$C$6, PV[[#This Row],[Notional Value Local Cur]], -PV[[#This Row],[Notional Value Local Cur]])</f>
        <v>0</v>
      </c>
    </row>
    <row r="8292" spans="1:5" x14ac:dyDescent="0.25">
      <c r="A8292" s="36" t="b">
        <v>0</v>
      </c>
      <c r="B8292" s="56" t="b">
        <v>0</v>
      </c>
      <c r="C8292" s="56" t="b">
        <v>0</v>
      </c>
      <c r="D8292" s="56" t="b">
        <v>0</v>
      </c>
      <c r="E8292" s="56">
        <f ca="1">IF(PV[[#This Row],[Business Date]]=Control!$C$6, PV[[#This Row],[Notional Value Local Cur]], -PV[[#This Row],[Notional Value Local Cur]])</f>
        <v>0</v>
      </c>
    </row>
    <row r="8293" spans="1:5" x14ac:dyDescent="0.25">
      <c r="A8293" s="36" t="b">
        <v>0</v>
      </c>
      <c r="B8293" s="56" t="b">
        <v>0</v>
      </c>
      <c r="C8293" s="56" t="b">
        <v>0</v>
      </c>
      <c r="D8293" s="56" t="b">
        <v>0</v>
      </c>
      <c r="E8293" s="56">
        <f ca="1">IF(PV[[#This Row],[Business Date]]=Control!$C$6, PV[[#This Row],[Notional Value Local Cur]], -PV[[#This Row],[Notional Value Local Cur]])</f>
        <v>0</v>
      </c>
    </row>
    <row r="8294" spans="1:5" x14ac:dyDescent="0.25">
      <c r="A8294" s="36" t="b">
        <v>0</v>
      </c>
      <c r="B8294" s="56" t="b">
        <v>0</v>
      </c>
      <c r="C8294" s="56" t="b">
        <v>0</v>
      </c>
      <c r="D8294" s="56" t="b">
        <v>0</v>
      </c>
      <c r="E8294" s="56">
        <f ca="1">IF(PV[[#This Row],[Business Date]]=Control!$C$6, PV[[#This Row],[Notional Value Local Cur]], -PV[[#This Row],[Notional Value Local Cur]])</f>
        <v>0</v>
      </c>
    </row>
    <row r="8295" spans="1:5" x14ac:dyDescent="0.25">
      <c r="A8295" s="36" t="b">
        <v>0</v>
      </c>
      <c r="B8295" s="56" t="b">
        <v>0</v>
      </c>
      <c r="C8295" s="56" t="b">
        <v>0</v>
      </c>
      <c r="D8295" s="56" t="b">
        <v>0</v>
      </c>
      <c r="E8295" s="56">
        <f ca="1">IF(PV[[#This Row],[Business Date]]=Control!$C$6, PV[[#This Row],[Notional Value Local Cur]], -PV[[#This Row],[Notional Value Local Cur]])</f>
        <v>0</v>
      </c>
    </row>
    <row r="8296" spans="1:5" x14ac:dyDescent="0.25">
      <c r="A8296" s="36" t="b">
        <v>0</v>
      </c>
      <c r="B8296" s="56" t="b">
        <v>0</v>
      </c>
      <c r="C8296" s="56" t="b">
        <v>0</v>
      </c>
      <c r="D8296" s="56" t="b">
        <v>0</v>
      </c>
      <c r="E8296" s="56">
        <f ca="1">IF(PV[[#This Row],[Business Date]]=Control!$C$6, PV[[#This Row],[Notional Value Local Cur]], -PV[[#This Row],[Notional Value Local Cur]])</f>
        <v>0</v>
      </c>
    </row>
    <row r="8297" spans="1:5" x14ac:dyDescent="0.25">
      <c r="A8297" s="36" t="b">
        <v>0</v>
      </c>
      <c r="B8297" s="56" t="b">
        <v>0</v>
      </c>
      <c r="C8297" s="56" t="b">
        <v>0</v>
      </c>
      <c r="D8297" s="56" t="b">
        <v>0</v>
      </c>
      <c r="E8297" s="56">
        <f ca="1">IF(PV[[#This Row],[Business Date]]=Control!$C$6, PV[[#This Row],[Notional Value Local Cur]], -PV[[#This Row],[Notional Value Local Cur]])</f>
        <v>0</v>
      </c>
    </row>
    <row r="8298" spans="1:5" x14ac:dyDescent="0.25">
      <c r="A8298" s="36" t="b">
        <v>0</v>
      </c>
      <c r="B8298" s="56" t="b">
        <v>0</v>
      </c>
      <c r="C8298" s="56" t="b">
        <v>0</v>
      </c>
      <c r="D8298" s="56" t="b">
        <v>0</v>
      </c>
      <c r="E8298" s="56">
        <f ca="1">IF(PV[[#This Row],[Business Date]]=Control!$C$6, PV[[#This Row],[Notional Value Local Cur]], -PV[[#This Row],[Notional Value Local Cur]])</f>
        <v>0</v>
      </c>
    </row>
    <row r="8299" spans="1:5" x14ac:dyDescent="0.25">
      <c r="A8299" s="36" t="b">
        <v>0</v>
      </c>
      <c r="B8299" s="56" t="b">
        <v>0</v>
      </c>
      <c r="C8299" s="56" t="b">
        <v>0</v>
      </c>
      <c r="D8299" s="56" t="b">
        <v>0</v>
      </c>
      <c r="E8299" s="56">
        <f ca="1">IF(PV[[#This Row],[Business Date]]=Control!$C$6, PV[[#This Row],[Notional Value Local Cur]], -PV[[#This Row],[Notional Value Local Cur]])</f>
        <v>0</v>
      </c>
    </row>
    <row r="8300" spans="1:5" x14ac:dyDescent="0.25">
      <c r="A8300" s="36" t="b">
        <v>0</v>
      </c>
      <c r="B8300" s="56" t="b">
        <v>0</v>
      </c>
      <c r="C8300" s="56" t="b">
        <v>0</v>
      </c>
      <c r="D8300" s="56" t="b">
        <v>0</v>
      </c>
      <c r="E8300" s="56">
        <f ca="1">IF(PV[[#This Row],[Business Date]]=Control!$C$6, PV[[#This Row],[Notional Value Local Cur]], -PV[[#This Row],[Notional Value Local Cur]])</f>
        <v>0</v>
      </c>
    </row>
    <row r="8301" spans="1:5" x14ac:dyDescent="0.25">
      <c r="A8301" s="36" t="b">
        <v>0</v>
      </c>
      <c r="B8301" s="56" t="b">
        <v>0</v>
      </c>
      <c r="C8301" s="56" t="b">
        <v>0</v>
      </c>
      <c r="D8301" s="56" t="b">
        <v>0</v>
      </c>
      <c r="E8301" s="56">
        <f ca="1">IF(PV[[#This Row],[Business Date]]=Control!$C$6, PV[[#This Row],[Notional Value Local Cur]], -PV[[#This Row],[Notional Value Local Cur]])</f>
        <v>0</v>
      </c>
    </row>
    <row r="8302" spans="1:5" x14ac:dyDescent="0.25">
      <c r="A8302" s="36" t="b">
        <v>0</v>
      </c>
      <c r="B8302" s="56" t="b">
        <v>0</v>
      </c>
      <c r="C8302" s="56" t="b">
        <v>0</v>
      </c>
      <c r="D8302" s="56" t="b">
        <v>0</v>
      </c>
      <c r="E8302" s="56">
        <f ca="1">IF(PV[[#This Row],[Business Date]]=Control!$C$6, PV[[#This Row],[Notional Value Local Cur]], -PV[[#This Row],[Notional Value Local Cur]])</f>
        <v>0</v>
      </c>
    </row>
    <row r="8303" spans="1:5" x14ac:dyDescent="0.25">
      <c r="A8303" s="36" t="b">
        <v>0</v>
      </c>
      <c r="B8303" s="56" t="b">
        <v>0</v>
      </c>
      <c r="C8303" s="56" t="b">
        <v>0</v>
      </c>
      <c r="D8303" s="56" t="b">
        <v>0</v>
      </c>
      <c r="E8303" s="56">
        <f ca="1">IF(PV[[#This Row],[Business Date]]=Control!$C$6, PV[[#This Row],[Notional Value Local Cur]], -PV[[#This Row],[Notional Value Local Cur]])</f>
        <v>0</v>
      </c>
    </row>
    <row r="8304" spans="1:5" x14ac:dyDescent="0.25">
      <c r="A8304" s="36" t="b">
        <v>0</v>
      </c>
      <c r="B8304" s="56" t="b">
        <v>0</v>
      </c>
      <c r="C8304" s="56" t="b">
        <v>0</v>
      </c>
      <c r="D8304" s="56" t="b">
        <v>0</v>
      </c>
      <c r="E8304" s="56">
        <f ca="1">IF(PV[[#This Row],[Business Date]]=Control!$C$6, PV[[#This Row],[Notional Value Local Cur]], -PV[[#This Row],[Notional Value Local Cur]])</f>
        <v>0</v>
      </c>
    </row>
    <row r="8305" spans="1:5" x14ac:dyDescent="0.25">
      <c r="A8305" s="36" t="b">
        <v>0</v>
      </c>
      <c r="B8305" s="56" t="b">
        <v>0</v>
      </c>
      <c r="C8305" s="56" t="b">
        <v>0</v>
      </c>
      <c r="D8305" s="56" t="b">
        <v>0</v>
      </c>
      <c r="E8305" s="56">
        <f ca="1">IF(PV[[#This Row],[Business Date]]=Control!$C$6, PV[[#This Row],[Notional Value Local Cur]], -PV[[#This Row],[Notional Value Local Cur]])</f>
        <v>0</v>
      </c>
    </row>
    <row r="8306" spans="1:5" x14ac:dyDescent="0.25">
      <c r="A8306" s="36" t="b">
        <v>0</v>
      </c>
      <c r="B8306" s="56" t="b">
        <v>0</v>
      </c>
      <c r="C8306" s="56" t="b">
        <v>0</v>
      </c>
      <c r="D8306" s="56" t="b">
        <v>0</v>
      </c>
      <c r="E8306" s="56">
        <f ca="1">IF(PV[[#This Row],[Business Date]]=Control!$C$6, PV[[#This Row],[Notional Value Local Cur]], -PV[[#This Row],[Notional Value Local Cur]])</f>
        <v>0</v>
      </c>
    </row>
    <row r="8307" spans="1:5" x14ac:dyDescent="0.25">
      <c r="A8307" s="36" t="b">
        <v>0</v>
      </c>
      <c r="B8307" s="56" t="b">
        <v>0</v>
      </c>
      <c r="C8307" s="56" t="b">
        <v>0</v>
      </c>
      <c r="D8307" s="56" t="b">
        <v>0</v>
      </c>
      <c r="E8307" s="56">
        <f ca="1">IF(PV[[#This Row],[Business Date]]=Control!$C$6, PV[[#This Row],[Notional Value Local Cur]], -PV[[#This Row],[Notional Value Local Cur]])</f>
        <v>0</v>
      </c>
    </row>
    <row r="8308" spans="1:5" x14ac:dyDescent="0.25">
      <c r="A8308" s="36" t="b">
        <v>0</v>
      </c>
      <c r="B8308" s="56" t="b">
        <v>0</v>
      </c>
      <c r="C8308" s="56" t="b">
        <v>0</v>
      </c>
      <c r="D8308" s="56" t="b">
        <v>0</v>
      </c>
      <c r="E8308" s="56">
        <f ca="1">IF(PV[[#This Row],[Business Date]]=Control!$C$6, PV[[#This Row],[Notional Value Local Cur]], -PV[[#This Row],[Notional Value Local Cur]])</f>
        <v>0</v>
      </c>
    </row>
    <row r="8309" spans="1:5" x14ac:dyDescent="0.25">
      <c r="A8309" s="36" t="b">
        <v>0</v>
      </c>
      <c r="B8309" s="56" t="b">
        <v>0</v>
      </c>
      <c r="C8309" s="56" t="b">
        <v>0</v>
      </c>
      <c r="D8309" s="56" t="b">
        <v>0</v>
      </c>
      <c r="E8309" s="56">
        <f ca="1">IF(PV[[#This Row],[Business Date]]=Control!$C$6, PV[[#This Row],[Notional Value Local Cur]], -PV[[#This Row],[Notional Value Local Cur]])</f>
        <v>0</v>
      </c>
    </row>
    <row r="8310" spans="1:5" x14ac:dyDescent="0.25">
      <c r="A8310" s="36" t="b">
        <v>0</v>
      </c>
      <c r="B8310" s="56" t="b">
        <v>0</v>
      </c>
      <c r="C8310" s="56" t="b">
        <v>0</v>
      </c>
      <c r="D8310" s="56" t="b">
        <v>0</v>
      </c>
      <c r="E8310" s="56">
        <f ca="1">IF(PV[[#This Row],[Business Date]]=Control!$C$6, PV[[#This Row],[Notional Value Local Cur]], -PV[[#This Row],[Notional Value Local Cur]])</f>
        <v>0</v>
      </c>
    </row>
    <row r="8311" spans="1:5" x14ac:dyDescent="0.25">
      <c r="A8311" s="36" t="b">
        <v>0</v>
      </c>
      <c r="B8311" s="56" t="b">
        <v>0</v>
      </c>
      <c r="C8311" s="56" t="b">
        <v>0</v>
      </c>
      <c r="D8311" s="56" t="b">
        <v>0</v>
      </c>
      <c r="E8311" s="56">
        <f ca="1">IF(PV[[#This Row],[Business Date]]=Control!$C$6, PV[[#This Row],[Notional Value Local Cur]], -PV[[#This Row],[Notional Value Local Cur]])</f>
        <v>0</v>
      </c>
    </row>
    <row r="8312" spans="1:5" x14ac:dyDescent="0.25">
      <c r="A8312" s="36" t="b">
        <v>0</v>
      </c>
      <c r="B8312" s="56" t="b">
        <v>0</v>
      </c>
      <c r="C8312" s="56" t="b">
        <v>0</v>
      </c>
      <c r="D8312" s="56" t="b">
        <v>0</v>
      </c>
      <c r="E8312" s="56">
        <f ca="1">IF(PV[[#This Row],[Business Date]]=Control!$C$6, PV[[#This Row],[Notional Value Local Cur]], -PV[[#This Row],[Notional Value Local Cur]])</f>
        <v>0</v>
      </c>
    </row>
    <row r="8313" spans="1:5" x14ac:dyDescent="0.25">
      <c r="A8313" s="36" t="b">
        <v>0</v>
      </c>
      <c r="B8313" s="56" t="b">
        <v>0</v>
      </c>
      <c r="C8313" s="56" t="b">
        <v>0</v>
      </c>
      <c r="D8313" s="56" t="b">
        <v>0</v>
      </c>
      <c r="E8313" s="56">
        <f ca="1">IF(PV[[#This Row],[Business Date]]=Control!$C$6, PV[[#This Row],[Notional Value Local Cur]], -PV[[#This Row],[Notional Value Local Cur]])</f>
        <v>0</v>
      </c>
    </row>
    <row r="8314" spans="1:5" x14ac:dyDescent="0.25">
      <c r="A8314" s="36" t="b">
        <v>0</v>
      </c>
      <c r="B8314" s="56" t="b">
        <v>0</v>
      </c>
      <c r="C8314" s="56" t="b">
        <v>0</v>
      </c>
      <c r="D8314" s="56" t="b">
        <v>0</v>
      </c>
      <c r="E8314" s="56">
        <f ca="1">IF(PV[[#This Row],[Business Date]]=Control!$C$6, PV[[#This Row],[Notional Value Local Cur]], -PV[[#This Row],[Notional Value Local Cur]])</f>
        <v>0</v>
      </c>
    </row>
    <row r="8315" spans="1:5" x14ac:dyDescent="0.25">
      <c r="A8315" s="36" t="b">
        <v>0</v>
      </c>
      <c r="B8315" s="56" t="b">
        <v>0</v>
      </c>
      <c r="C8315" s="56" t="b">
        <v>0</v>
      </c>
      <c r="D8315" s="56" t="b">
        <v>0</v>
      </c>
      <c r="E8315" s="56">
        <f ca="1">IF(PV[[#This Row],[Business Date]]=Control!$C$6, PV[[#This Row],[Notional Value Local Cur]], -PV[[#This Row],[Notional Value Local Cur]])</f>
        <v>0</v>
      </c>
    </row>
    <row r="8316" spans="1:5" x14ac:dyDescent="0.25">
      <c r="A8316" s="36" t="b">
        <v>0</v>
      </c>
      <c r="B8316" s="56" t="b">
        <v>0</v>
      </c>
      <c r="C8316" s="56" t="b">
        <v>0</v>
      </c>
      <c r="D8316" s="56" t="b">
        <v>0</v>
      </c>
      <c r="E8316" s="56">
        <f ca="1">IF(PV[[#This Row],[Business Date]]=Control!$C$6, PV[[#This Row],[Notional Value Local Cur]], -PV[[#This Row],[Notional Value Local Cur]])</f>
        <v>0</v>
      </c>
    </row>
    <row r="8317" spans="1:5" x14ac:dyDescent="0.25">
      <c r="A8317" s="36" t="b">
        <v>0</v>
      </c>
      <c r="B8317" s="56" t="b">
        <v>0</v>
      </c>
      <c r="C8317" s="56" t="b">
        <v>0</v>
      </c>
      <c r="D8317" s="56" t="b">
        <v>0</v>
      </c>
      <c r="E8317" s="56">
        <f ca="1">IF(PV[[#This Row],[Business Date]]=Control!$C$6, PV[[#This Row],[Notional Value Local Cur]], -PV[[#This Row],[Notional Value Local Cur]])</f>
        <v>0</v>
      </c>
    </row>
    <row r="8318" spans="1:5" x14ac:dyDescent="0.25">
      <c r="A8318" s="36" t="b">
        <v>0</v>
      </c>
      <c r="B8318" s="56" t="b">
        <v>0</v>
      </c>
      <c r="C8318" s="56" t="b">
        <v>0</v>
      </c>
      <c r="D8318" s="56" t="b">
        <v>0</v>
      </c>
      <c r="E8318" s="56">
        <f ca="1">IF(PV[[#This Row],[Business Date]]=Control!$C$6, PV[[#This Row],[Notional Value Local Cur]], -PV[[#This Row],[Notional Value Local Cur]])</f>
        <v>0</v>
      </c>
    </row>
    <row r="8319" spans="1:5" x14ac:dyDescent="0.25">
      <c r="A8319" s="36" t="b">
        <v>0</v>
      </c>
      <c r="B8319" s="56" t="b">
        <v>0</v>
      </c>
      <c r="C8319" s="56" t="b">
        <v>0</v>
      </c>
      <c r="D8319" s="56" t="b">
        <v>0</v>
      </c>
      <c r="E8319" s="56">
        <f ca="1">IF(PV[[#This Row],[Business Date]]=Control!$C$6, PV[[#This Row],[Notional Value Local Cur]], -PV[[#This Row],[Notional Value Local Cur]])</f>
        <v>0</v>
      </c>
    </row>
    <row r="8320" spans="1:5" x14ac:dyDescent="0.25">
      <c r="A8320" s="36" t="b">
        <v>0</v>
      </c>
      <c r="B8320" s="56" t="b">
        <v>0</v>
      </c>
      <c r="C8320" s="56" t="b">
        <v>0</v>
      </c>
      <c r="D8320" s="56" t="b">
        <v>0</v>
      </c>
      <c r="E8320" s="56">
        <f ca="1">IF(PV[[#This Row],[Business Date]]=Control!$C$6, PV[[#This Row],[Notional Value Local Cur]], -PV[[#This Row],[Notional Value Local Cur]])</f>
        <v>0</v>
      </c>
    </row>
    <row r="8321" spans="1:5" x14ac:dyDescent="0.25">
      <c r="A8321" s="36" t="b">
        <v>0</v>
      </c>
      <c r="B8321" s="56" t="b">
        <v>0</v>
      </c>
      <c r="C8321" s="56" t="b">
        <v>0</v>
      </c>
      <c r="D8321" s="56" t="b">
        <v>0</v>
      </c>
      <c r="E8321" s="56">
        <f ca="1">IF(PV[[#This Row],[Business Date]]=Control!$C$6, PV[[#This Row],[Notional Value Local Cur]], -PV[[#This Row],[Notional Value Local Cur]])</f>
        <v>0</v>
      </c>
    </row>
    <row r="8322" spans="1:5" x14ac:dyDescent="0.25">
      <c r="A8322" s="36" t="b">
        <v>0</v>
      </c>
      <c r="B8322" s="56" t="b">
        <v>0</v>
      </c>
      <c r="C8322" s="56" t="b">
        <v>0</v>
      </c>
      <c r="D8322" s="56" t="b">
        <v>0</v>
      </c>
      <c r="E8322" s="56">
        <f ca="1">IF(PV[[#This Row],[Business Date]]=Control!$C$6, PV[[#This Row],[Notional Value Local Cur]], -PV[[#This Row],[Notional Value Local Cur]])</f>
        <v>0</v>
      </c>
    </row>
    <row r="8323" spans="1:5" x14ac:dyDescent="0.25">
      <c r="A8323" s="36" t="b">
        <v>0</v>
      </c>
      <c r="B8323" s="56" t="b">
        <v>0</v>
      </c>
      <c r="C8323" s="56" t="b">
        <v>0</v>
      </c>
      <c r="D8323" s="56" t="b">
        <v>0</v>
      </c>
      <c r="E8323" s="56">
        <f ca="1">IF(PV[[#This Row],[Business Date]]=Control!$C$6, PV[[#This Row],[Notional Value Local Cur]], -PV[[#This Row],[Notional Value Local Cur]])</f>
        <v>0</v>
      </c>
    </row>
    <row r="8324" spans="1:5" x14ac:dyDescent="0.25">
      <c r="A8324" s="36" t="b">
        <v>0</v>
      </c>
      <c r="B8324" s="56" t="b">
        <v>0</v>
      </c>
      <c r="C8324" s="56" t="b">
        <v>0</v>
      </c>
      <c r="D8324" s="56" t="b">
        <v>0</v>
      </c>
      <c r="E8324" s="56">
        <f ca="1">IF(PV[[#This Row],[Business Date]]=Control!$C$6, PV[[#This Row],[Notional Value Local Cur]], -PV[[#This Row],[Notional Value Local Cur]])</f>
        <v>0</v>
      </c>
    </row>
    <row r="8325" spans="1:5" x14ac:dyDescent="0.25">
      <c r="A8325" s="36" t="b">
        <v>0</v>
      </c>
      <c r="B8325" s="56" t="b">
        <v>0</v>
      </c>
      <c r="C8325" s="56" t="b">
        <v>0</v>
      </c>
      <c r="D8325" s="56" t="b">
        <v>0</v>
      </c>
      <c r="E8325" s="56">
        <f ca="1">IF(PV[[#This Row],[Business Date]]=Control!$C$6, PV[[#This Row],[Notional Value Local Cur]], -PV[[#This Row],[Notional Value Local Cur]])</f>
        <v>0</v>
      </c>
    </row>
    <row r="8326" spans="1:5" x14ac:dyDescent="0.25">
      <c r="A8326" s="36" t="b">
        <v>0</v>
      </c>
      <c r="B8326" s="56" t="b">
        <v>0</v>
      </c>
      <c r="C8326" s="56" t="b">
        <v>0</v>
      </c>
      <c r="D8326" s="56" t="b">
        <v>0</v>
      </c>
      <c r="E8326" s="56">
        <f ca="1">IF(PV[[#This Row],[Business Date]]=Control!$C$6, PV[[#This Row],[Notional Value Local Cur]], -PV[[#This Row],[Notional Value Local Cur]])</f>
        <v>0</v>
      </c>
    </row>
    <row r="8327" spans="1:5" x14ac:dyDescent="0.25">
      <c r="A8327" s="36" t="b">
        <v>0</v>
      </c>
      <c r="B8327" s="56" t="b">
        <v>0</v>
      </c>
      <c r="C8327" s="56" t="b">
        <v>0</v>
      </c>
      <c r="D8327" s="56" t="b">
        <v>0</v>
      </c>
      <c r="E8327" s="56">
        <f ca="1">IF(PV[[#This Row],[Business Date]]=Control!$C$6, PV[[#This Row],[Notional Value Local Cur]], -PV[[#This Row],[Notional Value Local Cur]])</f>
        <v>0</v>
      </c>
    </row>
    <row r="8328" spans="1:5" x14ac:dyDescent="0.25">
      <c r="A8328" s="36" t="b">
        <v>0</v>
      </c>
      <c r="B8328" s="56" t="b">
        <v>0</v>
      </c>
      <c r="C8328" s="56" t="b">
        <v>0</v>
      </c>
      <c r="D8328" s="56" t="b">
        <v>0</v>
      </c>
      <c r="E8328" s="56">
        <f ca="1">IF(PV[[#This Row],[Business Date]]=Control!$C$6, PV[[#This Row],[Notional Value Local Cur]], -PV[[#This Row],[Notional Value Local Cur]])</f>
        <v>0</v>
      </c>
    </row>
    <row r="8329" spans="1:5" x14ac:dyDescent="0.25">
      <c r="A8329" s="36" t="b">
        <v>0</v>
      </c>
      <c r="B8329" s="56" t="b">
        <v>0</v>
      </c>
      <c r="C8329" s="56" t="b">
        <v>0</v>
      </c>
      <c r="D8329" s="56" t="b">
        <v>0</v>
      </c>
      <c r="E8329" s="56">
        <f ca="1">IF(PV[[#This Row],[Business Date]]=Control!$C$6, PV[[#This Row],[Notional Value Local Cur]], -PV[[#This Row],[Notional Value Local Cur]])</f>
        <v>0</v>
      </c>
    </row>
    <row r="8330" spans="1:5" x14ac:dyDescent="0.25">
      <c r="A8330" s="36" t="b">
        <v>0</v>
      </c>
      <c r="B8330" s="56" t="b">
        <v>0</v>
      </c>
      <c r="C8330" s="56" t="b">
        <v>0</v>
      </c>
      <c r="D8330" s="56" t="b">
        <v>0</v>
      </c>
      <c r="E8330" s="56">
        <f ca="1">IF(PV[[#This Row],[Business Date]]=Control!$C$6, PV[[#This Row],[Notional Value Local Cur]], -PV[[#This Row],[Notional Value Local Cur]])</f>
        <v>0</v>
      </c>
    </row>
    <row r="8331" spans="1:5" x14ac:dyDescent="0.25">
      <c r="A8331" s="36" t="b">
        <v>0</v>
      </c>
      <c r="B8331" s="56" t="b">
        <v>0</v>
      </c>
      <c r="C8331" s="56" t="b">
        <v>0</v>
      </c>
      <c r="D8331" s="56" t="b">
        <v>0</v>
      </c>
      <c r="E8331" s="56">
        <f ca="1">IF(PV[[#This Row],[Business Date]]=Control!$C$6, PV[[#This Row],[Notional Value Local Cur]], -PV[[#This Row],[Notional Value Local Cur]])</f>
        <v>0</v>
      </c>
    </row>
    <row r="8332" spans="1:5" x14ac:dyDescent="0.25">
      <c r="A8332" s="36" t="b">
        <v>0</v>
      </c>
      <c r="B8332" s="56" t="b">
        <v>0</v>
      </c>
      <c r="C8332" s="56" t="b">
        <v>0</v>
      </c>
      <c r="D8332" s="56" t="b">
        <v>0</v>
      </c>
      <c r="E8332" s="56">
        <f ca="1">IF(PV[[#This Row],[Business Date]]=Control!$C$6, PV[[#This Row],[Notional Value Local Cur]], -PV[[#This Row],[Notional Value Local Cur]])</f>
        <v>0</v>
      </c>
    </row>
    <row r="8333" spans="1:5" x14ac:dyDescent="0.25">
      <c r="A8333" s="36" t="b">
        <v>0</v>
      </c>
      <c r="B8333" s="56" t="b">
        <v>0</v>
      </c>
      <c r="C8333" s="56" t="b">
        <v>0</v>
      </c>
      <c r="D8333" s="56" t="b">
        <v>0</v>
      </c>
      <c r="E8333" s="56">
        <f ca="1">IF(PV[[#This Row],[Business Date]]=Control!$C$6, PV[[#This Row],[Notional Value Local Cur]], -PV[[#This Row],[Notional Value Local Cur]])</f>
        <v>0</v>
      </c>
    </row>
    <row r="8334" spans="1:5" x14ac:dyDescent="0.25">
      <c r="A8334" s="36" t="b">
        <v>0</v>
      </c>
      <c r="B8334" s="56" t="b">
        <v>0</v>
      </c>
      <c r="C8334" s="56" t="b">
        <v>0</v>
      </c>
      <c r="D8334" s="56" t="b">
        <v>0</v>
      </c>
      <c r="E8334" s="56">
        <f ca="1">IF(PV[[#This Row],[Business Date]]=Control!$C$6, PV[[#This Row],[Notional Value Local Cur]], -PV[[#This Row],[Notional Value Local Cur]])</f>
        <v>0</v>
      </c>
    </row>
    <row r="8335" spans="1:5" x14ac:dyDescent="0.25">
      <c r="A8335" s="36" t="b">
        <v>0</v>
      </c>
      <c r="B8335" s="56" t="b">
        <v>0</v>
      </c>
      <c r="C8335" s="56" t="b">
        <v>0</v>
      </c>
      <c r="D8335" s="56" t="b">
        <v>0</v>
      </c>
      <c r="E8335" s="56">
        <f ca="1">IF(PV[[#This Row],[Business Date]]=Control!$C$6, PV[[#This Row],[Notional Value Local Cur]], -PV[[#This Row],[Notional Value Local Cur]])</f>
        <v>0</v>
      </c>
    </row>
    <row r="8336" spans="1:5" x14ac:dyDescent="0.25">
      <c r="A8336" s="36" t="b">
        <v>0</v>
      </c>
      <c r="B8336" s="56" t="b">
        <v>0</v>
      </c>
      <c r="C8336" s="56" t="b">
        <v>0</v>
      </c>
      <c r="D8336" s="56" t="b">
        <v>0</v>
      </c>
      <c r="E8336" s="56">
        <f ca="1">IF(PV[[#This Row],[Business Date]]=Control!$C$6, PV[[#This Row],[Notional Value Local Cur]], -PV[[#This Row],[Notional Value Local Cur]])</f>
        <v>0</v>
      </c>
    </row>
    <row r="8337" spans="1:5" x14ac:dyDescent="0.25">
      <c r="A8337" s="36" t="b">
        <v>0</v>
      </c>
      <c r="B8337" s="56" t="b">
        <v>0</v>
      </c>
      <c r="C8337" s="56" t="b">
        <v>0</v>
      </c>
      <c r="D8337" s="56" t="b">
        <v>0</v>
      </c>
      <c r="E8337" s="56">
        <f ca="1">IF(PV[[#This Row],[Business Date]]=Control!$C$6, PV[[#This Row],[Notional Value Local Cur]], -PV[[#This Row],[Notional Value Local Cur]])</f>
        <v>0</v>
      </c>
    </row>
    <row r="8338" spans="1:5" x14ac:dyDescent="0.25">
      <c r="A8338" s="36" t="b">
        <v>0</v>
      </c>
      <c r="B8338" s="56" t="b">
        <v>0</v>
      </c>
      <c r="C8338" s="56" t="b">
        <v>0</v>
      </c>
      <c r="D8338" s="56" t="b">
        <v>0</v>
      </c>
      <c r="E8338" s="56">
        <f ca="1">IF(PV[[#This Row],[Business Date]]=Control!$C$6, PV[[#This Row],[Notional Value Local Cur]], -PV[[#This Row],[Notional Value Local Cur]])</f>
        <v>0</v>
      </c>
    </row>
    <row r="8339" spans="1:5" x14ac:dyDescent="0.25">
      <c r="A8339" s="36" t="b">
        <v>0</v>
      </c>
      <c r="B8339" s="56" t="b">
        <v>0</v>
      </c>
      <c r="C8339" s="56" t="b">
        <v>0</v>
      </c>
      <c r="D8339" s="56" t="b">
        <v>0</v>
      </c>
      <c r="E8339" s="56">
        <f ca="1">IF(PV[[#This Row],[Business Date]]=Control!$C$6, PV[[#This Row],[Notional Value Local Cur]], -PV[[#This Row],[Notional Value Local Cur]])</f>
        <v>0</v>
      </c>
    </row>
    <row r="8340" spans="1:5" x14ac:dyDescent="0.25">
      <c r="A8340" s="36" t="b">
        <v>0</v>
      </c>
      <c r="B8340" s="56" t="b">
        <v>0</v>
      </c>
      <c r="C8340" s="56" t="b">
        <v>0</v>
      </c>
      <c r="D8340" s="56" t="b">
        <v>0</v>
      </c>
      <c r="E8340" s="56">
        <f ca="1">IF(PV[[#This Row],[Business Date]]=Control!$C$6, PV[[#This Row],[Notional Value Local Cur]], -PV[[#This Row],[Notional Value Local Cur]])</f>
        <v>0</v>
      </c>
    </row>
    <row r="8341" spans="1:5" x14ac:dyDescent="0.25">
      <c r="A8341" s="36" t="b">
        <v>0</v>
      </c>
      <c r="B8341" s="56" t="b">
        <v>0</v>
      </c>
      <c r="C8341" s="56" t="b">
        <v>0</v>
      </c>
      <c r="D8341" s="56" t="b">
        <v>0</v>
      </c>
      <c r="E8341" s="56">
        <f ca="1">IF(PV[[#This Row],[Business Date]]=Control!$C$6, PV[[#This Row],[Notional Value Local Cur]], -PV[[#This Row],[Notional Value Local Cur]])</f>
        <v>0</v>
      </c>
    </row>
    <row r="8342" spans="1:5" x14ac:dyDescent="0.25">
      <c r="A8342" s="36" t="b">
        <v>0</v>
      </c>
      <c r="B8342" s="56" t="b">
        <v>0</v>
      </c>
      <c r="C8342" s="56" t="b">
        <v>0</v>
      </c>
      <c r="D8342" s="56" t="b">
        <v>0</v>
      </c>
      <c r="E8342" s="56">
        <f ca="1">IF(PV[[#This Row],[Business Date]]=Control!$C$6, PV[[#This Row],[Notional Value Local Cur]], -PV[[#This Row],[Notional Value Local Cur]])</f>
        <v>0</v>
      </c>
    </row>
    <row r="8343" spans="1:5" x14ac:dyDescent="0.25">
      <c r="A8343" s="36" t="b">
        <v>0</v>
      </c>
      <c r="B8343" s="56" t="b">
        <v>0</v>
      </c>
      <c r="C8343" s="56" t="b">
        <v>0</v>
      </c>
      <c r="D8343" s="56" t="b">
        <v>0</v>
      </c>
      <c r="E8343" s="56">
        <f ca="1">IF(PV[[#This Row],[Business Date]]=Control!$C$6, PV[[#This Row],[Notional Value Local Cur]], -PV[[#This Row],[Notional Value Local Cur]])</f>
        <v>0</v>
      </c>
    </row>
    <row r="8344" spans="1:5" x14ac:dyDescent="0.25">
      <c r="A8344" s="36" t="b">
        <v>0</v>
      </c>
      <c r="B8344" s="56" t="b">
        <v>0</v>
      </c>
      <c r="C8344" s="56" t="b">
        <v>0</v>
      </c>
      <c r="D8344" s="56" t="b">
        <v>0</v>
      </c>
      <c r="E8344" s="56">
        <f ca="1">IF(PV[[#This Row],[Business Date]]=Control!$C$6, PV[[#This Row],[Notional Value Local Cur]], -PV[[#This Row],[Notional Value Local Cur]])</f>
        <v>0</v>
      </c>
    </row>
    <row r="8345" spans="1:5" x14ac:dyDescent="0.25">
      <c r="A8345" s="36" t="b">
        <v>0</v>
      </c>
      <c r="B8345" s="56" t="b">
        <v>0</v>
      </c>
      <c r="C8345" s="56" t="b">
        <v>0</v>
      </c>
      <c r="D8345" s="56" t="b">
        <v>0</v>
      </c>
      <c r="E8345" s="56">
        <f ca="1">IF(PV[[#This Row],[Business Date]]=Control!$C$6, PV[[#This Row],[Notional Value Local Cur]], -PV[[#This Row],[Notional Value Local Cur]])</f>
        <v>0</v>
      </c>
    </row>
    <row r="8346" spans="1:5" x14ac:dyDescent="0.25">
      <c r="A8346" s="36" t="b">
        <v>0</v>
      </c>
      <c r="B8346" s="56" t="b">
        <v>0</v>
      </c>
      <c r="C8346" s="56" t="b">
        <v>0</v>
      </c>
      <c r="D8346" s="56" t="b">
        <v>0</v>
      </c>
      <c r="E8346" s="56">
        <f ca="1">IF(PV[[#This Row],[Business Date]]=Control!$C$6, PV[[#This Row],[Notional Value Local Cur]], -PV[[#This Row],[Notional Value Local Cur]])</f>
        <v>0</v>
      </c>
    </row>
    <row r="8347" spans="1:5" x14ac:dyDescent="0.25">
      <c r="A8347" s="36" t="b">
        <v>0</v>
      </c>
      <c r="B8347" s="56" t="b">
        <v>0</v>
      </c>
      <c r="C8347" s="56" t="b">
        <v>0</v>
      </c>
      <c r="D8347" s="56" t="b">
        <v>0</v>
      </c>
      <c r="E8347" s="56">
        <f ca="1">IF(PV[[#This Row],[Business Date]]=Control!$C$6, PV[[#This Row],[Notional Value Local Cur]], -PV[[#This Row],[Notional Value Local Cur]])</f>
        <v>0</v>
      </c>
    </row>
    <row r="8348" spans="1:5" x14ac:dyDescent="0.25">
      <c r="A8348" s="36" t="b">
        <v>0</v>
      </c>
      <c r="B8348" s="56" t="b">
        <v>0</v>
      </c>
      <c r="C8348" s="56" t="b">
        <v>0</v>
      </c>
      <c r="D8348" s="56" t="b">
        <v>0</v>
      </c>
      <c r="E8348" s="56">
        <f ca="1">IF(PV[[#This Row],[Business Date]]=Control!$C$6, PV[[#This Row],[Notional Value Local Cur]], -PV[[#This Row],[Notional Value Local Cur]])</f>
        <v>0</v>
      </c>
    </row>
    <row r="8349" spans="1:5" x14ac:dyDescent="0.25">
      <c r="A8349" s="36" t="b">
        <v>0</v>
      </c>
      <c r="B8349" s="56" t="b">
        <v>0</v>
      </c>
      <c r="C8349" s="56" t="b">
        <v>0</v>
      </c>
      <c r="D8349" s="56" t="b">
        <v>0</v>
      </c>
      <c r="E8349" s="56">
        <f ca="1">IF(PV[[#This Row],[Business Date]]=Control!$C$6, PV[[#This Row],[Notional Value Local Cur]], -PV[[#This Row],[Notional Value Local Cur]])</f>
        <v>0</v>
      </c>
    </row>
    <row r="8350" spans="1:5" x14ac:dyDescent="0.25">
      <c r="A8350" s="36" t="b">
        <v>0</v>
      </c>
      <c r="B8350" s="56" t="b">
        <v>0</v>
      </c>
      <c r="C8350" s="56" t="b">
        <v>0</v>
      </c>
      <c r="D8350" s="56" t="b">
        <v>0</v>
      </c>
      <c r="E8350" s="56">
        <f ca="1">IF(PV[[#This Row],[Business Date]]=Control!$C$6, PV[[#This Row],[Notional Value Local Cur]], -PV[[#This Row],[Notional Value Local Cur]])</f>
        <v>0</v>
      </c>
    </row>
    <row r="8351" spans="1:5" x14ac:dyDescent="0.25">
      <c r="A8351" s="36" t="b">
        <v>0</v>
      </c>
      <c r="B8351" s="56" t="b">
        <v>0</v>
      </c>
      <c r="C8351" s="56" t="b">
        <v>0</v>
      </c>
      <c r="D8351" s="56" t="b">
        <v>0</v>
      </c>
      <c r="E8351" s="56">
        <f ca="1">IF(PV[[#This Row],[Business Date]]=Control!$C$6, PV[[#This Row],[Notional Value Local Cur]], -PV[[#This Row],[Notional Value Local Cur]])</f>
        <v>0</v>
      </c>
    </row>
    <row r="8352" spans="1:5" x14ac:dyDescent="0.25">
      <c r="A8352" s="36" t="b">
        <v>0</v>
      </c>
      <c r="B8352" s="56" t="b">
        <v>0</v>
      </c>
      <c r="C8352" s="56" t="b">
        <v>0</v>
      </c>
      <c r="D8352" s="56" t="b">
        <v>0</v>
      </c>
      <c r="E8352" s="56">
        <f ca="1">IF(PV[[#This Row],[Business Date]]=Control!$C$6, PV[[#This Row],[Notional Value Local Cur]], -PV[[#This Row],[Notional Value Local Cur]])</f>
        <v>0</v>
      </c>
    </row>
    <row r="8353" spans="1:5" x14ac:dyDescent="0.25">
      <c r="A8353" s="36" t="b">
        <v>0</v>
      </c>
      <c r="B8353" s="56" t="b">
        <v>0</v>
      </c>
      <c r="C8353" s="56" t="b">
        <v>0</v>
      </c>
      <c r="D8353" s="56" t="b">
        <v>0</v>
      </c>
      <c r="E8353" s="56">
        <f ca="1">IF(PV[[#This Row],[Business Date]]=Control!$C$6, PV[[#This Row],[Notional Value Local Cur]], -PV[[#This Row],[Notional Value Local Cur]])</f>
        <v>0</v>
      </c>
    </row>
    <row r="8354" spans="1:5" x14ac:dyDescent="0.25">
      <c r="A8354" s="36" t="b">
        <v>0</v>
      </c>
      <c r="B8354" s="56" t="b">
        <v>0</v>
      </c>
      <c r="C8354" s="56" t="b">
        <v>0</v>
      </c>
      <c r="D8354" s="56" t="b">
        <v>0</v>
      </c>
      <c r="E8354" s="56">
        <f ca="1">IF(PV[[#This Row],[Business Date]]=Control!$C$6, PV[[#This Row],[Notional Value Local Cur]], -PV[[#This Row],[Notional Value Local Cur]])</f>
        <v>0</v>
      </c>
    </row>
    <row r="8355" spans="1:5" x14ac:dyDescent="0.25">
      <c r="A8355" s="36" t="b">
        <v>0</v>
      </c>
      <c r="B8355" s="56" t="b">
        <v>0</v>
      </c>
      <c r="C8355" s="56" t="b">
        <v>0</v>
      </c>
      <c r="D8355" s="56" t="b">
        <v>0</v>
      </c>
      <c r="E8355" s="56">
        <f ca="1">IF(PV[[#This Row],[Business Date]]=Control!$C$6, PV[[#This Row],[Notional Value Local Cur]], -PV[[#This Row],[Notional Value Local Cur]])</f>
        <v>0</v>
      </c>
    </row>
    <row r="8356" spans="1:5" x14ac:dyDescent="0.25">
      <c r="A8356" s="36" t="b">
        <v>0</v>
      </c>
      <c r="B8356" s="56" t="b">
        <v>0</v>
      </c>
      <c r="C8356" s="56" t="b">
        <v>0</v>
      </c>
      <c r="D8356" s="56" t="b">
        <v>0</v>
      </c>
      <c r="E8356" s="56">
        <f ca="1">IF(PV[[#This Row],[Business Date]]=Control!$C$6, PV[[#This Row],[Notional Value Local Cur]], -PV[[#This Row],[Notional Value Local Cur]])</f>
        <v>0</v>
      </c>
    </row>
    <row r="8357" spans="1:5" x14ac:dyDescent="0.25">
      <c r="A8357" s="36" t="b">
        <v>0</v>
      </c>
      <c r="B8357" s="56" t="b">
        <v>0</v>
      </c>
      <c r="C8357" s="56" t="b">
        <v>0</v>
      </c>
      <c r="D8357" s="56" t="b">
        <v>0</v>
      </c>
      <c r="E8357" s="56">
        <f ca="1">IF(PV[[#This Row],[Business Date]]=Control!$C$6, PV[[#This Row],[Notional Value Local Cur]], -PV[[#This Row],[Notional Value Local Cur]])</f>
        <v>0</v>
      </c>
    </row>
    <row r="8358" spans="1:5" x14ac:dyDescent="0.25">
      <c r="A8358" s="36" t="b">
        <v>0</v>
      </c>
      <c r="B8358" s="56" t="b">
        <v>0</v>
      </c>
      <c r="C8358" s="56" t="b">
        <v>0</v>
      </c>
      <c r="D8358" s="56" t="b">
        <v>0</v>
      </c>
      <c r="E8358" s="56">
        <f ca="1">IF(PV[[#This Row],[Business Date]]=Control!$C$6, PV[[#This Row],[Notional Value Local Cur]], -PV[[#This Row],[Notional Value Local Cur]])</f>
        <v>0</v>
      </c>
    </row>
    <row r="8359" spans="1:5" x14ac:dyDescent="0.25">
      <c r="A8359" s="36" t="b">
        <v>0</v>
      </c>
      <c r="B8359" s="56" t="b">
        <v>0</v>
      </c>
      <c r="C8359" s="56" t="b">
        <v>0</v>
      </c>
      <c r="D8359" s="56" t="b">
        <v>0</v>
      </c>
      <c r="E8359" s="56">
        <f ca="1">IF(PV[[#This Row],[Business Date]]=Control!$C$6, PV[[#This Row],[Notional Value Local Cur]], -PV[[#This Row],[Notional Value Local Cur]])</f>
        <v>0</v>
      </c>
    </row>
    <row r="8360" spans="1:5" x14ac:dyDescent="0.25">
      <c r="A8360" s="36" t="b">
        <v>0</v>
      </c>
      <c r="B8360" s="56" t="b">
        <v>0</v>
      </c>
      <c r="C8360" s="56" t="b">
        <v>0</v>
      </c>
      <c r="D8360" s="56" t="b">
        <v>0</v>
      </c>
      <c r="E8360" s="56">
        <f ca="1">IF(PV[[#This Row],[Business Date]]=Control!$C$6, PV[[#This Row],[Notional Value Local Cur]], -PV[[#This Row],[Notional Value Local Cur]])</f>
        <v>0</v>
      </c>
    </row>
    <row r="8361" spans="1:5" x14ac:dyDescent="0.25">
      <c r="A8361" s="36" t="b">
        <v>0</v>
      </c>
      <c r="B8361" s="56" t="b">
        <v>0</v>
      </c>
      <c r="C8361" s="56" t="b">
        <v>0</v>
      </c>
      <c r="D8361" s="56" t="b">
        <v>0</v>
      </c>
      <c r="E8361" s="56">
        <f ca="1">IF(PV[[#This Row],[Business Date]]=Control!$C$6, PV[[#This Row],[Notional Value Local Cur]], -PV[[#This Row],[Notional Value Local Cur]])</f>
        <v>0</v>
      </c>
    </row>
    <row r="8362" spans="1:5" x14ac:dyDescent="0.25">
      <c r="A8362" s="36" t="b">
        <v>0</v>
      </c>
      <c r="B8362" s="56" t="b">
        <v>0</v>
      </c>
      <c r="C8362" s="56" t="b">
        <v>0</v>
      </c>
      <c r="D8362" s="56" t="b">
        <v>0</v>
      </c>
      <c r="E8362" s="56">
        <f ca="1">IF(PV[[#This Row],[Business Date]]=Control!$C$6, PV[[#This Row],[Notional Value Local Cur]], -PV[[#This Row],[Notional Value Local Cur]])</f>
        <v>0</v>
      </c>
    </row>
    <row r="8363" spans="1:5" x14ac:dyDescent="0.25">
      <c r="A8363" s="36" t="b">
        <v>0</v>
      </c>
      <c r="B8363" s="56" t="b">
        <v>0</v>
      </c>
      <c r="C8363" s="56" t="b">
        <v>0</v>
      </c>
      <c r="D8363" s="56" t="b">
        <v>0</v>
      </c>
      <c r="E8363" s="56">
        <f ca="1">IF(PV[[#This Row],[Business Date]]=Control!$C$6, PV[[#This Row],[Notional Value Local Cur]], -PV[[#This Row],[Notional Value Local Cur]])</f>
        <v>0</v>
      </c>
    </row>
    <row r="8364" spans="1:5" x14ac:dyDescent="0.25">
      <c r="A8364" s="36" t="b">
        <v>0</v>
      </c>
      <c r="B8364" s="56" t="b">
        <v>0</v>
      </c>
      <c r="C8364" s="56" t="b">
        <v>0</v>
      </c>
      <c r="D8364" s="56" t="b">
        <v>0</v>
      </c>
      <c r="E8364" s="56">
        <f ca="1">IF(PV[[#This Row],[Business Date]]=Control!$C$6, PV[[#This Row],[Notional Value Local Cur]], -PV[[#This Row],[Notional Value Local Cur]])</f>
        <v>0</v>
      </c>
    </row>
    <row r="8365" spans="1:5" x14ac:dyDescent="0.25">
      <c r="A8365" s="36" t="b">
        <v>0</v>
      </c>
      <c r="B8365" s="56" t="b">
        <v>0</v>
      </c>
      <c r="C8365" s="56" t="b">
        <v>0</v>
      </c>
      <c r="D8365" s="56" t="b">
        <v>0</v>
      </c>
      <c r="E8365" s="56">
        <f ca="1">IF(PV[[#This Row],[Business Date]]=Control!$C$6, PV[[#This Row],[Notional Value Local Cur]], -PV[[#This Row],[Notional Value Local Cur]])</f>
        <v>0</v>
      </c>
    </row>
    <row r="8366" spans="1:5" x14ac:dyDescent="0.25">
      <c r="A8366" s="36" t="b">
        <v>0</v>
      </c>
      <c r="B8366" s="56" t="b">
        <v>0</v>
      </c>
      <c r="C8366" s="56" t="b">
        <v>0</v>
      </c>
      <c r="D8366" s="56" t="b">
        <v>0</v>
      </c>
      <c r="E8366" s="56">
        <f ca="1">IF(PV[[#This Row],[Business Date]]=Control!$C$6, PV[[#This Row],[Notional Value Local Cur]], -PV[[#This Row],[Notional Value Local Cur]])</f>
        <v>0</v>
      </c>
    </row>
    <row r="8367" spans="1:5" x14ac:dyDescent="0.25">
      <c r="A8367" s="36" t="b">
        <v>0</v>
      </c>
      <c r="B8367" s="56" t="b">
        <v>0</v>
      </c>
      <c r="C8367" s="56" t="b">
        <v>0</v>
      </c>
      <c r="D8367" s="56" t="b">
        <v>0</v>
      </c>
      <c r="E8367" s="56">
        <f ca="1">IF(PV[[#This Row],[Business Date]]=Control!$C$6, PV[[#This Row],[Notional Value Local Cur]], -PV[[#This Row],[Notional Value Local Cur]])</f>
        <v>0</v>
      </c>
    </row>
    <row r="8368" spans="1:5" x14ac:dyDescent="0.25">
      <c r="A8368" s="36" t="b">
        <v>0</v>
      </c>
      <c r="B8368" s="56" t="b">
        <v>0</v>
      </c>
      <c r="C8368" s="56" t="b">
        <v>0</v>
      </c>
      <c r="D8368" s="56" t="b">
        <v>0</v>
      </c>
      <c r="E8368" s="56">
        <f ca="1">IF(PV[[#This Row],[Business Date]]=Control!$C$6, PV[[#This Row],[Notional Value Local Cur]], -PV[[#This Row],[Notional Value Local Cur]])</f>
        <v>0</v>
      </c>
    </row>
    <row r="8369" spans="1:5" x14ac:dyDescent="0.25">
      <c r="A8369" s="36" t="b">
        <v>0</v>
      </c>
      <c r="B8369" s="56" t="b">
        <v>0</v>
      </c>
      <c r="C8369" s="56" t="b">
        <v>0</v>
      </c>
      <c r="D8369" s="56" t="b">
        <v>0</v>
      </c>
      <c r="E8369" s="56">
        <f ca="1">IF(PV[[#This Row],[Business Date]]=Control!$C$6, PV[[#This Row],[Notional Value Local Cur]], -PV[[#This Row],[Notional Value Local Cur]])</f>
        <v>0</v>
      </c>
    </row>
    <row r="8370" spans="1:5" x14ac:dyDescent="0.25">
      <c r="A8370" s="36" t="b">
        <v>0</v>
      </c>
      <c r="B8370" s="56" t="b">
        <v>0</v>
      </c>
      <c r="C8370" s="56" t="b">
        <v>0</v>
      </c>
      <c r="D8370" s="56" t="b">
        <v>0</v>
      </c>
      <c r="E8370" s="56">
        <f ca="1">IF(PV[[#This Row],[Business Date]]=Control!$C$6, PV[[#This Row],[Notional Value Local Cur]], -PV[[#This Row],[Notional Value Local Cur]])</f>
        <v>0</v>
      </c>
    </row>
    <row r="8371" spans="1:5" x14ac:dyDescent="0.25">
      <c r="A8371" s="36" t="b">
        <v>0</v>
      </c>
      <c r="B8371" s="56" t="b">
        <v>0</v>
      </c>
      <c r="C8371" s="56" t="b">
        <v>0</v>
      </c>
      <c r="D8371" s="56" t="b">
        <v>0</v>
      </c>
      <c r="E8371" s="56">
        <f ca="1">IF(PV[[#This Row],[Business Date]]=Control!$C$6, PV[[#This Row],[Notional Value Local Cur]], -PV[[#This Row],[Notional Value Local Cur]])</f>
        <v>0</v>
      </c>
    </row>
    <row r="8372" spans="1:5" x14ac:dyDescent="0.25">
      <c r="A8372" s="36" t="b">
        <v>0</v>
      </c>
      <c r="B8372" s="56" t="b">
        <v>0</v>
      </c>
      <c r="C8372" s="56" t="b">
        <v>0</v>
      </c>
      <c r="D8372" s="56" t="b">
        <v>0</v>
      </c>
      <c r="E8372" s="56">
        <f ca="1">IF(PV[[#This Row],[Business Date]]=Control!$C$6, PV[[#This Row],[Notional Value Local Cur]], -PV[[#This Row],[Notional Value Local Cur]])</f>
        <v>0</v>
      </c>
    </row>
    <row r="8373" spans="1:5" x14ac:dyDescent="0.25">
      <c r="A8373" s="36" t="b">
        <v>0</v>
      </c>
      <c r="B8373" s="56" t="b">
        <v>0</v>
      </c>
      <c r="C8373" s="56" t="b">
        <v>0</v>
      </c>
      <c r="D8373" s="56" t="b">
        <v>0</v>
      </c>
      <c r="E8373" s="56">
        <f ca="1">IF(PV[[#This Row],[Business Date]]=Control!$C$6, PV[[#This Row],[Notional Value Local Cur]], -PV[[#This Row],[Notional Value Local Cur]])</f>
        <v>0</v>
      </c>
    </row>
    <row r="8374" spans="1:5" x14ac:dyDescent="0.25">
      <c r="A8374" s="36" t="b">
        <v>0</v>
      </c>
      <c r="B8374" s="56" t="b">
        <v>0</v>
      </c>
      <c r="C8374" s="56" t="b">
        <v>0</v>
      </c>
      <c r="D8374" s="56" t="b">
        <v>0</v>
      </c>
      <c r="E8374" s="56">
        <f ca="1">IF(PV[[#This Row],[Business Date]]=Control!$C$6, PV[[#This Row],[Notional Value Local Cur]], -PV[[#This Row],[Notional Value Local Cur]])</f>
        <v>0</v>
      </c>
    </row>
    <row r="8375" spans="1:5" x14ac:dyDescent="0.25">
      <c r="A8375" s="36" t="b">
        <v>0</v>
      </c>
      <c r="B8375" s="56" t="b">
        <v>0</v>
      </c>
      <c r="C8375" s="56" t="b">
        <v>0</v>
      </c>
      <c r="D8375" s="56" t="b">
        <v>0</v>
      </c>
      <c r="E8375" s="56">
        <f ca="1">IF(PV[[#This Row],[Business Date]]=Control!$C$6, PV[[#This Row],[Notional Value Local Cur]], -PV[[#This Row],[Notional Value Local Cur]])</f>
        <v>0</v>
      </c>
    </row>
    <row r="8376" spans="1:5" x14ac:dyDescent="0.25">
      <c r="A8376" s="36" t="b">
        <v>0</v>
      </c>
      <c r="B8376" s="56" t="b">
        <v>0</v>
      </c>
      <c r="C8376" s="56" t="b">
        <v>0</v>
      </c>
      <c r="D8376" s="56" t="b">
        <v>0</v>
      </c>
      <c r="E8376" s="56">
        <f ca="1">IF(PV[[#This Row],[Business Date]]=Control!$C$6, PV[[#This Row],[Notional Value Local Cur]], -PV[[#This Row],[Notional Value Local Cur]])</f>
        <v>0</v>
      </c>
    </row>
    <row r="8377" spans="1:5" x14ac:dyDescent="0.25">
      <c r="A8377" s="36" t="b">
        <v>0</v>
      </c>
      <c r="B8377" s="56" t="b">
        <v>0</v>
      </c>
      <c r="C8377" s="56" t="b">
        <v>0</v>
      </c>
      <c r="D8377" s="56" t="b">
        <v>0</v>
      </c>
      <c r="E8377" s="56">
        <f ca="1">IF(PV[[#This Row],[Business Date]]=Control!$C$6, PV[[#This Row],[Notional Value Local Cur]], -PV[[#This Row],[Notional Value Local Cur]])</f>
        <v>0</v>
      </c>
    </row>
    <row r="8378" spans="1:5" x14ac:dyDescent="0.25">
      <c r="A8378" s="36" t="b">
        <v>0</v>
      </c>
      <c r="B8378" s="56" t="b">
        <v>0</v>
      </c>
      <c r="C8378" s="56" t="b">
        <v>0</v>
      </c>
      <c r="D8378" s="56" t="b">
        <v>0</v>
      </c>
      <c r="E8378" s="56">
        <f ca="1">IF(PV[[#This Row],[Business Date]]=Control!$C$6, PV[[#This Row],[Notional Value Local Cur]], -PV[[#This Row],[Notional Value Local Cur]])</f>
        <v>0</v>
      </c>
    </row>
    <row r="8379" spans="1:5" x14ac:dyDescent="0.25">
      <c r="A8379" s="36" t="b">
        <v>0</v>
      </c>
      <c r="B8379" s="56" t="b">
        <v>0</v>
      </c>
      <c r="C8379" s="56" t="b">
        <v>0</v>
      </c>
      <c r="D8379" s="56" t="b">
        <v>0</v>
      </c>
      <c r="E8379" s="56">
        <f ca="1">IF(PV[[#This Row],[Business Date]]=Control!$C$6, PV[[#This Row],[Notional Value Local Cur]], -PV[[#This Row],[Notional Value Local Cur]])</f>
        <v>0</v>
      </c>
    </row>
    <row r="8380" spans="1:5" x14ac:dyDescent="0.25">
      <c r="A8380" s="36" t="b">
        <v>0</v>
      </c>
      <c r="B8380" s="56" t="b">
        <v>0</v>
      </c>
      <c r="C8380" s="56" t="b">
        <v>0</v>
      </c>
      <c r="D8380" s="56" t="b">
        <v>0</v>
      </c>
      <c r="E8380" s="56">
        <f ca="1">IF(PV[[#This Row],[Business Date]]=Control!$C$6, PV[[#This Row],[Notional Value Local Cur]], -PV[[#This Row],[Notional Value Local Cur]])</f>
        <v>0</v>
      </c>
    </row>
    <row r="8381" spans="1:5" x14ac:dyDescent="0.25">
      <c r="A8381" s="36" t="b">
        <v>0</v>
      </c>
      <c r="B8381" s="56" t="b">
        <v>0</v>
      </c>
      <c r="C8381" s="56" t="b">
        <v>0</v>
      </c>
      <c r="D8381" s="56" t="b">
        <v>0</v>
      </c>
      <c r="E8381" s="56">
        <f ca="1">IF(PV[[#This Row],[Business Date]]=Control!$C$6, PV[[#This Row],[Notional Value Local Cur]], -PV[[#This Row],[Notional Value Local Cur]])</f>
        <v>0</v>
      </c>
    </row>
    <row r="8382" spans="1:5" x14ac:dyDescent="0.25">
      <c r="A8382" s="36" t="b">
        <v>0</v>
      </c>
      <c r="B8382" s="56" t="b">
        <v>0</v>
      </c>
      <c r="C8382" s="56" t="b">
        <v>0</v>
      </c>
      <c r="D8382" s="56" t="b">
        <v>0</v>
      </c>
      <c r="E8382" s="56">
        <f ca="1">IF(PV[[#This Row],[Business Date]]=Control!$C$6, PV[[#This Row],[Notional Value Local Cur]], -PV[[#This Row],[Notional Value Local Cur]])</f>
        <v>0</v>
      </c>
    </row>
    <row r="8383" spans="1:5" x14ac:dyDescent="0.25">
      <c r="A8383" s="36" t="b">
        <v>0</v>
      </c>
      <c r="B8383" s="56" t="b">
        <v>0</v>
      </c>
      <c r="C8383" s="56" t="b">
        <v>0</v>
      </c>
      <c r="D8383" s="56" t="b">
        <v>0</v>
      </c>
      <c r="E8383" s="56">
        <f ca="1">IF(PV[[#This Row],[Business Date]]=Control!$C$6, PV[[#This Row],[Notional Value Local Cur]], -PV[[#This Row],[Notional Value Local Cur]])</f>
        <v>0</v>
      </c>
    </row>
    <row r="8384" spans="1:5" x14ac:dyDescent="0.25">
      <c r="A8384" s="36" t="b">
        <v>0</v>
      </c>
      <c r="B8384" s="56" t="b">
        <v>0</v>
      </c>
      <c r="C8384" s="56" t="b">
        <v>0</v>
      </c>
      <c r="D8384" s="56" t="b">
        <v>0</v>
      </c>
      <c r="E8384" s="56">
        <f ca="1">IF(PV[[#This Row],[Business Date]]=Control!$C$6, PV[[#This Row],[Notional Value Local Cur]], -PV[[#This Row],[Notional Value Local Cur]])</f>
        <v>0</v>
      </c>
    </row>
    <row r="8385" spans="1:5" x14ac:dyDescent="0.25">
      <c r="A8385" s="36" t="b">
        <v>0</v>
      </c>
      <c r="B8385" s="56" t="b">
        <v>0</v>
      </c>
      <c r="C8385" s="56" t="b">
        <v>0</v>
      </c>
      <c r="D8385" s="56" t="b">
        <v>0</v>
      </c>
      <c r="E8385" s="56">
        <f ca="1">IF(PV[[#This Row],[Business Date]]=Control!$C$6, PV[[#This Row],[Notional Value Local Cur]], -PV[[#This Row],[Notional Value Local Cur]])</f>
        <v>0</v>
      </c>
    </row>
    <row r="8386" spans="1:5" x14ac:dyDescent="0.25">
      <c r="A8386" s="36" t="b">
        <v>0</v>
      </c>
      <c r="B8386" s="56" t="b">
        <v>0</v>
      </c>
      <c r="C8386" s="56" t="b">
        <v>0</v>
      </c>
      <c r="D8386" s="56" t="b">
        <v>0</v>
      </c>
      <c r="E8386" s="56">
        <f ca="1">IF(PV[[#This Row],[Business Date]]=Control!$C$6, PV[[#This Row],[Notional Value Local Cur]], -PV[[#This Row],[Notional Value Local Cur]])</f>
        <v>0</v>
      </c>
    </row>
    <row r="8387" spans="1:5" x14ac:dyDescent="0.25">
      <c r="A8387" s="36" t="b">
        <v>0</v>
      </c>
      <c r="B8387" s="56" t="b">
        <v>0</v>
      </c>
      <c r="C8387" s="56" t="b">
        <v>0</v>
      </c>
      <c r="D8387" s="56" t="b">
        <v>0</v>
      </c>
      <c r="E8387" s="56">
        <f ca="1">IF(PV[[#This Row],[Business Date]]=Control!$C$6, PV[[#This Row],[Notional Value Local Cur]], -PV[[#This Row],[Notional Value Local Cur]])</f>
        <v>0</v>
      </c>
    </row>
    <row r="8388" spans="1:5" x14ac:dyDescent="0.25">
      <c r="A8388" s="36" t="b">
        <v>0</v>
      </c>
      <c r="B8388" s="56" t="b">
        <v>0</v>
      </c>
      <c r="C8388" s="56" t="b">
        <v>0</v>
      </c>
      <c r="D8388" s="56" t="b">
        <v>0</v>
      </c>
      <c r="E8388" s="56">
        <f ca="1">IF(PV[[#This Row],[Business Date]]=Control!$C$6, PV[[#This Row],[Notional Value Local Cur]], -PV[[#This Row],[Notional Value Local Cur]])</f>
        <v>0</v>
      </c>
    </row>
    <row r="8389" spans="1:5" x14ac:dyDescent="0.25">
      <c r="A8389" s="36" t="b">
        <v>0</v>
      </c>
      <c r="B8389" s="56" t="b">
        <v>0</v>
      </c>
      <c r="C8389" s="56" t="b">
        <v>0</v>
      </c>
      <c r="D8389" s="56" t="b">
        <v>0</v>
      </c>
      <c r="E8389" s="56">
        <f ca="1">IF(PV[[#This Row],[Business Date]]=Control!$C$6, PV[[#This Row],[Notional Value Local Cur]], -PV[[#This Row],[Notional Value Local Cur]])</f>
        <v>0</v>
      </c>
    </row>
    <row r="8390" spans="1:5" x14ac:dyDescent="0.25">
      <c r="A8390" s="36" t="b">
        <v>0</v>
      </c>
      <c r="B8390" s="56" t="b">
        <v>0</v>
      </c>
      <c r="C8390" s="56" t="b">
        <v>0</v>
      </c>
      <c r="D8390" s="56" t="b">
        <v>0</v>
      </c>
      <c r="E8390" s="56">
        <f ca="1">IF(PV[[#This Row],[Business Date]]=Control!$C$6, PV[[#This Row],[Notional Value Local Cur]], -PV[[#This Row],[Notional Value Local Cur]])</f>
        <v>0</v>
      </c>
    </row>
    <row r="8391" spans="1:5" x14ac:dyDescent="0.25">
      <c r="A8391" s="36" t="b">
        <v>0</v>
      </c>
      <c r="B8391" s="56" t="b">
        <v>0</v>
      </c>
      <c r="C8391" s="56" t="b">
        <v>0</v>
      </c>
      <c r="D8391" s="56" t="b">
        <v>0</v>
      </c>
      <c r="E8391" s="56">
        <f ca="1">IF(PV[[#This Row],[Business Date]]=Control!$C$6, PV[[#This Row],[Notional Value Local Cur]], -PV[[#This Row],[Notional Value Local Cur]])</f>
        <v>0</v>
      </c>
    </row>
    <row r="8392" spans="1:5" x14ac:dyDescent="0.25">
      <c r="A8392" s="36" t="b">
        <v>0</v>
      </c>
      <c r="B8392" s="56" t="b">
        <v>0</v>
      </c>
      <c r="C8392" s="56" t="b">
        <v>0</v>
      </c>
      <c r="D8392" s="56" t="b">
        <v>0</v>
      </c>
      <c r="E8392" s="56">
        <f ca="1">IF(PV[[#This Row],[Business Date]]=Control!$C$6, PV[[#This Row],[Notional Value Local Cur]], -PV[[#This Row],[Notional Value Local Cur]])</f>
        <v>0</v>
      </c>
    </row>
    <row r="8393" spans="1:5" x14ac:dyDescent="0.25">
      <c r="A8393" s="36" t="b">
        <v>0</v>
      </c>
      <c r="B8393" s="56" t="b">
        <v>0</v>
      </c>
      <c r="C8393" s="56" t="b">
        <v>0</v>
      </c>
      <c r="D8393" s="56" t="b">
        <v>0</v>
      </c>
      <c r="E8393" s="56">
        <f ca="1">IF(PV[[#This Row],[Business Date]]=Control!$C$6, PV[[#This Row],[Notional Value Local Cur]], -PV[[#This Row],[Notional Value Local Cur]])</f>
        <v>0</v>
      </c>
    </row>
    <row r="8394" spans="1:5" x14ac:dyDescent="0.25">
      <c r="A8394" s="36" t="b">
        <v>0</v>
      </c>
      <c r="B8394" s="56" t="b">
        <v>0</v>
      </c>
      <c r="C8394" s="56" t="b">
        <v>0</v>
      </c>
      <c r="D8394" s="56" t="b">
        <v>0</v>
      </c>
      <c r="E8394" s="56">
        <f ca="1">IF(PV[[#This Row],[Business Date]]=Control!$C$6, PV[[#This Row],[Notional Value Local Cur]], -PV[[#This Row],[Notional Value Local Cur]])</f>
        <v>0</v>
      </c>
    </row>
    <row r="8395" spans="1:5" x14ac:dyDescent="0.25">
      <c r="A8395" s="36" t="b">
        <v>0</v>
      </c>
      <c r="B8395" s="56" t="b">
        <v>0</v>
      </c>
      <c r="C8395" s="56" t="b">
        <v>0</v>
      </c>
      <c r="D8395" s="56" t="b">
        <v>0</v>
      </c>
      <c r="E8395" s="56">
        <f ca="1">IF(PV[[#This Row],[Business Date]]=Control!$C$6, PV[[#This Row],[Notional Value Local Cur]], -PV[[#This Row],[Notional Value Local Cur]])</f>
        <v>0</v>
      </c>
    </row>
    <row r="8396" spans="1:5" x14ac:dyDescent="0.25">
      <c r="A8396" s="36" t="b">
        <v>0</v>
      </c>
      <c r="B8396" s="56" t="b">
        <v>0</v>
      </c>
      <c r="C8396" s="56" t="b">
        <v>0</v>
      </c>
      <c r="D8396" s="56" t="b">
        <v>0</v>
      </c>
      <c r="E8396" s="56">
        <f ca="1">IF(PV[[#This Row],[Business Date]]=Control!$C$6, PV[[#This Row],[Notional Value Local Cur]], -PV[[#This Row],[Notional Value Local Cur]])</f>
        <v>0</v>
      </c>
    </row>
    <row r="8397" spans="1:5" x14ac:dyDescent="0.25">
      <c r="A8397" s="36" t="b">
        <v>0</v>
      </c>
      <c r="B8397" s="56" t="b">
        <v>0</v>
      </c>
      <c r="C8397" s="56" t="b">
        <v>0</v>
      </c>
      <c r="D8397" s="56" t="b">
        <v>0</v>
      </c>
      <c r="E8397" s="56">
        <f ca="1">IF(PV[[#This Row],[Business Date]]=Control!$C$6, PV[[#This Row],[Notional Value Local Cur]], -PV[[#This Row],[Notional Value Local Cur]])</f>
        <v>0</v>
      </c>
    </row>
    <row r="8398" spans="1:5" x14ac:dyDescent="0.25">
      <c r="A8398" s="36" t="b">
        <v>0</v>
      </c>
      <c r="B8398" s="56" t="b">
        <v>0</v>
      </c>
      <c r="C8398" s="56" t="b">
        <v>0</v>
      </c>
      <c r="D8398" s="56" t="b">
        <v>0</v>
      </c>
      <c r="E8398" s="56">
        <f ca="1">IF(PV[[#This Row],[Business Date]]=Control!$C$6, PV[[#This Row],[Notional Value Local Cur]], -PV[[#This Row],[Notional Value Local Cur]])</f>
        <v>0</v>
      </c>
    </row>
    <row r="8399" spans="1:5" x14ac:dyDescent="0.25">
      <c r="A8399" s="36" t="b">
        <v>0</v>
      </c>
      <c r="B8399" s="56" t="b">
        <v>0</v>
      </c>
      <c r="C8399" s="56" t="b">
        <v>0</v>
      </c>
      <c r="D8399" s="56" t="b">
        <v>0</v>
      </c>
      <c r="E8399" s="56">
        <f ca="1">IF(PV[[#This Row],[Business Date]]=Control!$C$6, PV[[#This Row],[Notional Value Local Cur]], -PV[[#This Row],[Notional Value Local Cur]])</f>
        <v>0</v>
      </c>
    </row>
    <row r="8400" spans="1:5" x14ac:dyDescent="0.25">
      <c r="A8400" s="36" t="b">
        <v>0</v>
      </c>
      <c r="B8400" s="56" t="b">
        <v>0</v>
      </c>
      <c r="C8400" s="56" t="b">
        <v>0</v>
      </c>
      <c r="D8400" s="56" t="b">
        <v>0</v>
      </c>
      <c r="E8400" s="56">
        <f ca="1">IF(PV[[#This Row],[Business Date]]=Control!$C$6, PV[[#This Row],[Notional Value Local Cur]], -PV[[#This Row],[Notional Value Local Cur]])</f>
        <v>0</v>
      </c>
    </row>
    <row r="8401" spans="1:5" x14ac:dyDescent="0.25">
      <c r="A8401" s="36" t="b">
        <v>0</v>
      </c>
      <c r="B8401" s="56" t="b">
        <v>0</v>
      </c>
      <c r="C8401" s="56" t="b">
        <v>0</v>
      </c>
      <c r="D8401" s="56" t="b">
        <v>0</v>
      </c>
      <c r="E8401" s="56">
        <f ca="1">IF(PV[[#This Row],[Business Date]]=Control!$C$6, PV[[#This Row],[Notional Value Local Cur]], -PV[[#This Row],[Notional Value Local Cur]])</f>
        <v>0</v>
      </c>
    </row>
    <row r="8402" spans="1:5" x14ac:dyDescent="0.25">
      <c r="A8402" s="36" t="b">
        <v>0</v>
      </c>
      <c r="B8402" s="56" t="b">
        <v>0</v>
      </c>
      <c r="C8402" s="56" t="b">
        <v>0</v>
      </c>
      <c r="D8402" s="56" t="b">
        <v>0</v>
      </c>
      <c r="E8402" s="56">
        <f ca="1">IF(PV[[#This Row],[Business Date]]=Control!$C$6, PV[[#This Row],[Notional Value Local Cur]], -PV[[#This Row],[Notional Value Local Cur]])</f>
        <v>0</v>
      </c>
    </row>
    <row r="8403" spans="1:5" x14ac:dyDescent="0.25">
      <c r="A8403" s="36" t="b">
        <v>0</v>
      </c>
      <c r="B8403" s="56" t="b">
        <v>0</v>
      </c>
      <c r="C8403" s="56" t="b">
        <v>0</v>
      </c>
      <c r="D8403" s="56" t="b">
        <v>0</v>
      </c>
      <c r="E8403" s="56">
        <f ca="1">IF(PV[[#This Row],[Business Date]]=Control!$C$6, PV[[#This Row],[Notional Value Local Cur]], -PV[[#This Row],[Notional Value Local Cur]])</f>
        <v>0</v>
      </c>
    </row>
    <row r="8404" spans="1:5" x14ac:dyDescent="0.25">
      <c r="A8404" s="36" t="b">
        <v>0</v>
      </c>
      <c r="B8404" s="56" t="b">
        <v>0</v>
      </c>
      <c r="C8404" s="56" t="b">
        <v>0</v>
      </c>
      <c r="D8404" s="56" t="b">
        <v>0</v>
      </c>
      <c r="E8404" s="56">
        <f ca="1">IF(PV[[#This Row],[Business Date]]=Control!$C$6, PV[[#This Row],[Notional Value Local Cur]], -PV[[#This Row],[Notional Value Local Cur]])</f>
        <v>0</v>
      </c>
    </row>
    <row r="8405" spans="1:5" x14ac:dyDescent="0.25">
      <c r="A8405" s="36" t="b">
        <v>0</v>
      </c>
      <c r="B8405" s="56" t="b">
        <v>0</v>
      </c>
      <c r="C8405" s="56" t="b">
        <v>0</v>
      </c>
      <c r="D8405" s="56" t="b">
        <v>0</v>
      </c>
      <c r="E8405" s="56">
        <f ca="1">IF(PV[[#This Row],[Business Date]]=Control!$C$6, PV[[#This Row],[Notional Value Local Cur]], -PV[[#This Row],[Notional Value Local Cur]])</f>
        <v>0</v>
      </c>
    </row>
    <row r="8406" spans="1:5" x14ac:dyDescent="0.25">
      <c r="A8406" s="36" t="b">
        <v>0</v>
      </c>
      <c r="B8406" s="56" t="b">
        <v>0</v>
      </c>
      <c r="C8406" s="56" t="b">
        <v>0</v>
      </c>
      <c r="D8406" s="56" t="b">
        <v>0</v>
      </c>
      <c r="E8406" s="56">
        <f ca="1">IF(PV[[#This Row],[Business Date]]=Control!$C$6, PV[[#This Row],[Notional Value Local Cur]], -PV[[#This Row],[Notional Value Local Cur]])</f>
        <v>0</v>
      </c>
    </row>
    <row r="8407" spans="1:5" x14ac:dyDescent="0.25">
      <c r="A8407" s="36" t="b">
        <v>0</v>
      </c>
      <c r="B8407" s="56" t="b">
        <v>0</v>
      </c>
      <c r="C8407" s="56" t="b">
        <v>0</v>
      </c>
      <c r="D8407" s="56" t="b">
        <v>0</v>
      </c>
      <c r="E8407" s="56">
        <f ca="1">IF(PV[[#This Row],[Business Date]]=Control!$C$6, PV[[#This Row],[Notional Value Local Cur]], -PV[[#This Row],[Notional Value Local Cur]])</f>
        <v>0</v>
      </c>
    </row>
    <row r="8408" spans="1:5" x14ac:dyDescent="0.25">
      <c r="A8408" s="36" t="b">
        <v>0</v>
      </c>
      <c r="B8408" s="56" t="b">
        <v>0</v>
      </c>
      <c r="C8408" s="56" t="b">
        <v>0</v>
      </c>
      <c r="D8408" s="56" t="b">
        <v>0</v>
      </c>
      <c r="E8408" s="56">
        <f ca="1">IF(PV[[#This Row],[Business Date]]=Control!$C$6, PV[[#This Row],[Notional Value Local Cur]], -PV[[#This Row],[Notional Value Local Cur]])</f>
        <v>0</v>
      </c>
    </row>
    <row r="8409" spans="1:5" x14ac:dyDescent="0.25">
      <c r="A8409" s="36" t="b">
        <v>0</v>
      </c>
      <c r="B8409" s="56" t="b">
        <v>0</v>
      </c>
      <c r="C8409" s="56" t="b">
        <v>0</v>
      </c>
      <c r="D8409" s="56" t="b">
        <v>0</v>
      </c>
      <c r="E8409" s="56">
        <f ca="1">IF(PV[[#This Row],[Business Date]]=Control!$C$6, PV[[#This Row],[Notional Value Local Cur]], -PV[[#This Row],[Notional Value Local Cur]])</f>
        <v>0</v>
      </c>
    </row>
    <row r="8410" spans="1:5" x14ac:dyDescent="0.25">
      <c r="A8410" s="36" t="b">
        <v>0</v>
      </c>
      <c r="B8410" s="56" t="b">
        <v>0</v>
      </c>
      <c r="C8410" s="56" t="b">
        <v>0</v>
      </c>
      <c r="D8410" s="56" t="b">
        <v>0</v>
      </c>
      <c r="E8410" s="56">
        <f ca="1">IF(PV[[#This Row],[Business Date]]=Control!$C$6, PV[[#This Row],[Notional Value Local Cur]], -PV[[#This Row],[Notional Value Local Cur]])</f>
        <v>0</v>
      </c>
    </row>
    <row r="8411" spans="1:5" x14ac:dyDescent="0.25">
      <c r="A8411" s="36" t="b">
        <v>0</v>
      </c>
      <c r="B8411" s="56" t="b">
        <v>0</v>
      </c>
      <c r="C8411" s="56" t="b">
        <v>0</v>
      </c>
      <c r="D8411" s="56" t="b">
        <v>0</v>
      </c>
      <c r="E8411" s="56">
        <f ca="1">IF(PV[[#This Row],[Business Date]]=Control!$C$6, PV[[#This Row],[Notional Value Local Cur]], -PV[[#This Row],[Notional Value Local Cur]])</f>
        <v>0</v>
      </c>
    </row>
    <row r="8412" spans="1:5" x14ac:dyDescent="0.25">
      <c r="A8412" s="36" t="b">
        <v>0</v>
      </c>
      <c r="B8412" s="56" t="b">
        <v>0</v>
      </c>
      <c r="C8412" s="56" t="b">
        <v>0</v>
      </c>
      <c r="D8412" s="56" t="b">
        <v>0</v>
      </c>
      <c r="E8412" s="56">
        <f ca="1">IF(PV[[#This Row],[Business Date]]=Control!$C$6, PV[[#This Row],[Notional Value Local Cur]], -PV[[#This Row],[Notional Value Local Cur]])</f>
        <v>0</v>
      </c>
    </row>
    <row r="8413" spans="1:5" x14ac:dyDescent="0.25">
      <c r="A8413" s="36" t="b">
        <v>0</v>
      </c>
      <c r="B8413" s="56" t="b">
        <v>0</v>
      </c>
      <c r="C8413" s="56" t="b">
        <v>0</v>
      </c>
      <c r="D8413" s="56" t="b">
        <v>0</v>
      </c>
      <c r="E8413" s="56">
        <f ca="1">IF(PV[[#This Row],[Business Date]]=Control!$C$6, PV[[#This Row],[Notional Value Local Cur]], -PV[[#This Row],[Notional Value Local Cur]])</f>
        <v>0</v>
      </c>
    </row>
    <row r="8414" spans="1:5" x14ac:dyDescent="0.25">
      <c r="A8414" s="36" t="b">
        <v>0</v>
      </c>
      <c r="B8414" s="56" t="b">
        <v>0</v>
      </c>
      <c r="C8414" s="56" t="b">
        <v>0</v>
      </c>
      <c r="D8414" s="56" t="b">
        <v>0</v>
      </c>
      <c r="E8414" s="56">
        <f ca="1">IF(PV[[#This Row],[Business Date]]=Control!$C$6, PV[[#This Row],[Notional Value Local Cur]], -PV[[#This Row],[Notional Value Local Cur]])</f>
        <v>0</v>
      </c>
    </row>
    <row r="8415" spans="1:5" x14ac:dyDescent="0.25">
      <c r="A8415" s="36" t="b">
        <v>0</v>
      </c>
      <c r="B8415" s="56" t="b">
        <v>0</v>
      </c>
      <c r="C8415" s="56" t="b">
        <v>0</v>
      </c>
      <c r="D8415" s="56" t="b">
        <v>0</v>
      </c>
      <c r="E8415" s="56">
        <f ca="1">IF(PV[[#This Row],[Business Date]]=Control!$C$6, PV[[#This Row],[Notional Value Local Cur]], -PV[[#This Row],[Notional Value Local Cur]])</f>
        <v>0</v>
      </c>
    </row>
    <row r="8416" spans="1:5" x14ac:dyDescent="0.25">
      <c r="A8416" s="36" t="b">
        <v>0</v>
      </c>
      <c r="B8416" s="56" t="b">
        <v>0</v>
      </c>
      <c r="C8416" s="56" t="b">
        <v>0</v>
      </c>
      <c r="D8416" s="56" t="b">
        <v>0</v>
      </c>
      <c r="E8416" s="56">
        <f ca="1">IF(PV[[#This Row],[Business Date]]=Control!$C$6, PV[[#This Row],[Notional Value Local Cur]], -PV[[#This Row],[Notional Value Local Cur]])</f>
        <v>0</v>
      </c>
    </row>
    <row r="8417" spans="1:5" x14ac:dyDescent="0.25">
      <c r="A8417" s="36" t="b">
        <v>0</v>
      </c>
      <c r="B8417" s="56" t="b">
        <v>0</v>
      </c>
      <c r="C8417" s="56" t="b">
        <v>0</v>
      </c>
      <c r="D8417" s="56" t="b">
        <v>0</v>
      </c>
      <c r="E8417" s="56">
        <f ca="1">IF(PV[[#This Row],[Business Date]]=Control!$C$6, PV[[#This Row],[Notional Value Local Cur]], -PV[[#This Row],[Notional Value Local Cur]])</f>
        <v>0</v>
      </c>
    </row>
    <row r="8418" spans="1:5" x14ac:dyDescent="0.25">
      <c r="A8418" s="36" t="b">
        <v>0</v>
      </c>
      <c r="B8418" s="56" t="b">
        <v>0</v>
      </c>
      <c r="C8418" s="56" t="b">
        <v>0</v>
      </c>
      <c r="D8418" s="56" t="b">
        <v>0</v>
      </c>
      <c r="E8418" s="56">
        <f ca="1">IF(PV[[#This Row],[Business Date]]=Control!$C$6, PV[[#This Row],[Notional Value Local Cur]], -PV[[#This Row],[Notional Value Local Cur]])</f>
        <v>0</v>
      </c>
    </row>
    <row r="8419" spans="1:5" x14ac:dyDescent="0.25">
      <c r="A8419" s="36" t="b">
        <v>0</v>
      </c>
      <c r="B8419" s="56" t="b">
        <v>0</v>
      </c>
      <c r="C8419" s="56" t="b">
        <v>0</v>
      </c>
      <c r="D8419" s="56" t="b">
        <v>0</v>
      </c>
      <c r="E8419" s="56">
        <f ca="1">IF(PV[[#This Row],[Business Date]]=Control!$C$6, PV[[#This Row],[Notional Value Local Cur]], -PV[[#This Row],[Notional Value Local Cur]])</f>
        <v>0</v>
      </c>
    </row>
    <row r="8420" spans="1:5" x14ac:dyDescent="0.25">
      <c r="A8420" s="36" t="b">
        <v>0</v>
      </c>
      <c r="B8420" s="56" t="b">
        <v>0</v>
      </c>
      <c r="C8420" s="56" t="b">
        <v>0</v>
      </c>
      <c r="D8420" s="56" t="b">
        <v>0</v>
      </c>
      <c r="E8420" s="56">
        <f ca="1">IF(PV[[#This Row],[Business Date]]=Control!$C$6, PV[[#This Row],[Notional Value Local Cur]], -PV[[#This Row],[Notional Value Local Cur]])</f>
        <v>0</v>
      </c>
    </row>
    <row r="8421" spans="1:5" x14ac:dyDescent="0.25">
      <c r="A8421" s="36" t="b">
        <v>0</v>
      </c>
      <c r="B8421" s="56" t="b">
        <v>0</v>
      </c>
      <c r="C8421" s="56" t="b">
        <v>0</v>
      </c>
      <c r="D8421" s="56" t="b">
        <v>0</v>
      </c>
      <c r="E8421" s="56">
        <f ca="1">IF(PV[[#This Row],[Business Date]]=Control!$C$6, PV[[#This Row],[Notional Value Local Cur]], -PV[[#This Row],[Notional Value Local Cur]])</f>
        <v>0</v>
      </c>
    </row>
    <row r="8422" spans="1:5" x14ac:dyDescent="0.25">
      <c r="A8422" s="36" t="b">
        <v>0</v>
      </c>
      <c r="B8422" s="56" t="b">
        <v>0</v>
      </c>
      <c r="C8422" s="56" t="b">
        <v>0</v>
      </c>
      <c r="D8422" s="56" t="b">
        <v>0</v>
      </c>
      <c r="E8422" s="56">
        <f ca="1">IF(PV[[#This Row],[Business Date]]=Control!$C$6, PV[[#This Row],[Notional Value Local Cur]], -PV[[#This Row],[Notional Value Local Cur]])</f>
        <v>0</v>
      </c>
    </row>
    <row r="8423" spans="1:5" x14ac:dyDescent="0.25">
      <c r="A8423" s="36" t="b">
        <v>0</v>
      </c>
      <c r="B8423" s="56" t="b">
        <v>0</v>
      </c>
      <c r="C8423" s="56" t="b">
        <v>0</v>
      </c>
      <c r="D8423" s="56" t="b">
        <v>0</v>
      </c>
      <c r="E8423" s="56">
        <f ca="1">IF(PV[[#This Row],[Business Date]]=Control!$C$6, PV[[#This Row],[Notional Value Local Cur]], -PV[[#This Row],[Notional Value Local Cur]])</f>
        <v>0</v>
      </c>
    </row>
    <row r="8424" spans="1:5" x14ac:dyDescent="0.25">
      <c r="A8424" s="36" t="b">
        <v>0</v>
      </c>
      <c r="B8424" s="56" t="b">
        <v>0</v>
      </c>
      <c r="C8424" s="56" t="b">
        <v>0</v>
      </c>
      <c r="D8424" s="56" t="b">
        <v>0</v>
      </c>
      <c r="E8424" s="56">
        <f ca="1">IF(PV[[#This Row],[Business Date]]=Control!$C$6, PV[[#This Row],[Notional Value Local Cur]], -PV[[#This Row],[Notional Value Local Cur]])</f>
        <v>0</v>
      </c>
    </row>
    <row r="8425" spans="1:5" x14ac:dyDescent="0.25">
      <c r="A8425" s="36" t="b">
        <v>0</v>
      </c>
      <c r="B8425" s="56" t="b">
        <v>0</v>
      </c>
      <c r="C8425" s="56" t="b">
        <v>0</v>
      </c>
      <c r="D8425" s="56" t="b">
        <v>0</v>
      </c>
      <c r="E8425" s="56">
        <f ca="1">IF(PV[[#This Row],[Business Date]]=Control!$C$6, PV[[#This Row],[Notional Value Local Cur]], -PV[[#This Row],[Notional Value Local Cur]])</f>
        <v>0</v>
      </c>
    </row>
    <row r="8426" spans="1:5" x14ac:dyDescent="0.25">
      <c r="A8426" s="36" t="b">
        <v>0</v>
      </c>
      <c r="B8426" s="56" t="b">
        <v>0</v>
      </c>
      <c r="C8426" s="56" t="b">
        <v>0</v>
      </c>
      <c r="D8426" s="56" t="b">
        <v>0</v>
      </c>
      <c r="E8426" s="56">
        <f ca="1">IF(PV[[#This Row],[Business Date]]=Control!$C$6, PV[[#This Row],[Notional Value Local Cur]], -PV[[#This Row],[Notional Value Local Cur]])</f>
        <v>0</v>
      </c>
    </row>
    <row r="8427" spans="1:5" x14ac:dyDescent="0.25">
      <c r="A8427" s="36" t="b">
        <v>0</v>
      </c>
      <c r="B8427" s="56" t="b">
        <v>0</v>
      </c>
      <c r="C8427" s="56" t="b">
        <v>0</v>
      </c>
      <c r="D8427" s="56" t="b">
        <v>0</v>
      </c>
      <c r="E8427" s="56">
        <f ca="1">IF(PV[[#This Row],[Business Date]]=Control!$C$6, PV[[#This Row],[Notional Value Local Cur]], -PV[[#This Row],[Notional Value Local Cur]])</f>
        <v>0</v>
      </c>
    </row>
    <row r="8428" spans="1:5" x14ac:dyDescent="0.25">
      <c r="A8428" s="36" t="b">
        <v>0</v>
      </c>
      <c r="B8428" s="56" t="b">
        <v>0</v>
      </c>
      <c r="C8428" s="56" t="b">
        <v>0</v>
      </c>
      <c r="D8428" s="56" t="b">
        <v>0</v>
      </c>
      <c r="E8428" s="56">
        <f ca="1">IF(PV[[#This Row],[Business Date]]=Control!$C$6, PV[[#This Row],[Notional Value Local Cur]], -PV[[#This Row],[Notional Value Local Cur]])</f>
        <v>0</v>
      </c>
    </row>
    <row r="8429" spans="1:5" x14ac:dyDescent="0.25">
      <c r="A8429" s="36" t="b">
        <v>0</v>
      </c>
      <c r="B8429" s="56" t="b">
        <v>0</v>
      </c>
      <c r="C8429" s="56" t="b">
        <v>0</v>
      </c>
      <c r="D8429" s="56" t="b">
        <v>0</v>
      </c>
      <c r="E8429" s="56">
        <f ca="1">IF(PV[[#This Row],[Business Date]]=Control!$C$6, PV[[#This Row],[Notional Value Local Cur]], -PV[[#This Row],[Notional Value Local Cur]])</f>
        <v>0</v>
      </c>
    </row>
    <row r="8430" spans="1:5" x14ac:dyDescent="0.25">
      <c r="A8430" s="36" t="b">
        <v>0</v>
      </c>
      <c r="B8430" s="56" t="b">
        <v>0</v>
      </c>
      <c r="C8430" s="56" t="b">
        <v>0</v>
      </c>
      <c r="D8430" s="56" t="b">
        <v>0</v>
      </c>
      <c r="E8430" s="56">
        <f ca="1">IF(PV[[#This Row],[Business Date]]=Control!$C$6, PV[[#This Row],[Notional Value Local Cur]], -PV[[#This Row],[Notional Value Local Cur]])</f>
        <v>0</v>
      </c>
    </row>
    <row r="8431" spans="1:5" x14ac:dyDescent="0.25">
      <c r="A8431" s="36" t="b">
        <v>0</v>
      </c>
      <c r="B8431" s="56" t="b">
        <v>0</v>
      </c>
      <c r="C8431" s="56" t="b">
        <v>0</v>
      </c>
      <c r="D8431" s="56" t="b">
        <v>0</v>
      </c>
      <c r="E8431" s="56">
        <f ca="1">IF(PV[[#This Row],[Business Date]]=Control!$C$6, PV[[#This Row],[Notional Value Local Cur]], -PV[[#This Row],[Notional Value Local Cur]])</f>
        <v>0</v>
      </c>
    </row>
    <row r="8432" spans="1:5" x14ac:dyDescent="0.25">
      <c r="A8432" s="36" t="b">
        <v>0</v>
      </c>
      <c r="B8432" s="56" t="b">
        <v>0</v>
      </c>
      <c r="C8432" s="56" t="b">
        <v>0</v>
      </c>
      <c r="D8432" s="56" t="b">
        <v>0</v>
      </c>
      <c r="E8432" s="56">
        <f ca="1">IF(PV[[#This Row],[Business Date]]=Control!$C$6, PV[[#This Row],[Notional Value Local Cur]], -PV[[#This Row],[Notional Value Local Cur]])</f>
        <v>0</v>
      </c>
    </row>
    <row r="8433" spans="1:5" x14ac:dyDescent="0.25">
      <c r="A8433" s="36" t="b">
        <v>0</v>
      </c>
      <c r="B8433" s="56" t="b">
        <v>0</v>
      </c>
      <c r="C8433" s="56" t="b">
        <v>0</v>
      </c>
      <c r="D8433" s="56" t="b">
        <v>0</v>
      </c>
      <c r="E8433" s="56">
        <f ca="1">IF(PV[[#This Row],[Business Date]]=Control!$C$6, PV[[#This Row],[Notional Value Local Cur]], -PV[[#This Row],[Notional Value Local Cur]])</f>
        <v>0</v>
      </c>
    </row>
    <row r="8434" spans="1:5" x14ac:dyDescent="0.25">
      <c r="A8434" s="36" t="b">
        <v>0</v>
      </c>
      <c r="B8434" s="56" t="b">
        <v>0</v>
      </c>
      <c r="C8434" s="56" t="b">
        <v>0</v>
      </c>
      <c r="D8434" s="56" t="b">
        <v>0</v>
      </c>
      <c r="E8434" s="56">
        <f ca="1">IF(PV[[#This Row],[Business Date]]=Control!$C$6, PV[[#This Row],[Notional Value Local Cur]], -PV[[#This Row],[Notional Value Local Cur]])</f>
        <v>0</v>
      </c>
    </row>
    <row r="8435" spans="1:5" x14ac:dyDescent="0.25">
      <c r="A8435" s="36" t="b">
        <v>0</v>
      </c>
      <c r="B8435" s="56" t="b">
        <v>0</v>
      </c>
      <c r="C8435" s="56" t="b">
        <v>0</v>
      </c>
      <c r="D8435" s="56" t="b">
        <v>0</v>
      </c>
      <c r="E8435" s="56">
        <f ca="1">IF(PV[[#This Row],[Business Date]]=Control!$C$6, PV[[#This Row],[Notional Value Local Cur]], -PV[[#This Row],[Notional Value Local Cur]])</f>
        <v>0</v>
      </c>
    </row>
    <row r="8436" spans="1:5" x14ac:dyDescent="0.25">
      <c r="A8436" s="36" t="b">
        <v>0</v>
      </c>
      <c r="B8436" s="56" t="b">
        <v>0</v>
      </c>
      <c r="C8436" s="56" t="b">
        <v>0</v>
      </c>
      <c r="D8436" s="56" t="b">
        <v>0</v>
      </c>
      <c r="E8436" s="56">
        <f ca="1">IF(PV[[#This Row],[Business Date]]=Control!$C$6, PV[[#This Row],[Notional Value Local Cur]], -PV[[#This Row],[Notional Value Local Cur]])</f>
        <v>0</v>
      </c>
    </row>
    <row r="8437" spans="1:5" x14ac:dyDescent="0.25">
      <c r="A8437" s="36" t="b">
        <v>0</v>
      </c>
      <c r="B8437" s="56" t="b">
        <v>0</v>
      </c>
      <c r="C8437" s="56" t="b">
        <v>0</v>
      </c>
      <c r="D8437" s="56" t="b">
        <v>0</v>
      </c>
      <c r="E8437" s="56">
        <f ca="1">IF(PV[[#This Row],[Business Date]]=Control!$C$6, PV[[#This Row],[Notional Value Local Cur]], -PV[[#This Row],[Notional Value Local Cur]])</f>
        <v>0</v>
      </c>
    </row>
    <row r="8438" spans="1:5" x14ac:dyDescent="0.25">
      <c r="A8438" s="36" t="b">
        <v>0</v>
      </c>
      <c r="B8438" s="56" t="b">
        <v>0</v>
      </c>
      <c r="C8438" s="56" t="b">
        <v>0</v>
      </c>
      <c r="D8438" s="56" t="b">
        <v>0</v>
      </c>
      <c r="E8438" s="56">
        <f ca="1">IF(PV[[#This Row],[Business Date]]=Control!$C$6, PV[[#This Row],[Notional Value Local Cur]], -PV[[#This Row],[Notional Value Local Cur]])</f>
        <v>0</v>
      </c>
    </row>
    <row r="8439" spans="1:5" x14ac:dyDescent="0.25">
      <c r="A8439" s="36" t="b">
        <v>0</v>
      </c>
      <c r="B8439" s="56" t="b">
        <v>0</v>
      </c>
      <c r="C8439" s="56" t="b">
        <v>0</v>
      </c>
      <c r="D8439" s="56" t="b">
        <v>0</v>
      </c>
      <c r="E8439" s="56">
        <f ca="1">IF(PV[[#This Row],[Business Date]]=Control!$C$6, PV[[#This Row],[Notional Value Local Cur]], -PV[[#This Row],[Notional Value Local Cur]])</f>
        <v>0</v>
      </c>
    </row>
    <row r="8440" spans="1:5" x14ac:dyDescent="0.25">
      <c r="A8440" s="36" t="b">
        <v>0</v>
      </c>
      <c r="B8440" s="56" t="b">
        <v>0</v>
      </c>
      <c r="C8440" s="56" t="b">
        <v>0</v>
      </c>
      <c r="D8440" s="56" t="b">
        <v>0</v>
      </c>
      <c r="E8440" s="56">
        <f ca="1">IF(PV[[#This Row],[Business Date]]=Control!$C$6, PV[[#This Row],[Notional Value Local Cur]], -PV[[#This Row],[Notional Value Local Cur]])</f>
        <v>0</v>
      </c>
    </row>
    <row r="8441" spans="1:5" x14ac:dyDescent="0.25">
      <c r="A8441" s="36" t="b">
        <v>0</v>
      </c>
      <c r="B8441" s="56" t="b">
        <v>0</v>
      </c>
      <c r="C8441" s="56" t="b">
        <v>0</v>
      </c>
      <c r="D8441" s="56" t="b">
        <v>0</v>
      </c>
      <c r="E8441" s="56">
        <f ca="1">IF(PV[[#This Row],[Business Date]]=Control!$C$6, PV[[#This Row],[Notional Value Local Cur]], -PV[[#This Row],[Notional Value Local Cur]])</f>
        <v>0</v>
      </c>
    </row>
    <row r="8442" spans="1:5" x14ac:dyDescent="0.25">
      <c r="A8442" s="36" t="b">
        <v>0</v>
      </c>
      <c r="B8442" s="56" t="b">
        <v>0</v>
      </c>
      <c r="C8442" s="56" t="b">
        <v>0</v>
      </c>
      <c r="D8442" s="56" t="b">
        <v>0</v>
      </c>
      <c r="E8442" s="56">
        <f ca="1">IF(PV[[#This Row],[Business Date]]=Control!$C$6, PV[[#This Row],[Notional Value Local Cur]], -PV[[#This Row],[Notional Value Local Cur]])</f>
        <v>0</v>
      </c>
    </row>
    <row r="8443" spans="1:5" x14ac:dyDescent="0.25">
      <c r="A8443" s="36" t="b">
        <v>0</v>
      </c>
      <c r="B8443" s="56" t="b">
        <v>0</v>
      </c>
      <c r="C8443" s="56" t="b">
        <v>0</v>
      </c>
      <c r="D8443" s="56" t="b">
        <v>0</v>
      </c>
      <c r="E8443" s="56">
        <f ca="1">IF(PV[[#This Row],[Business Date]]=Control!$C$6, PV[[#This Row],[Notional Value Local Cur]], -PV[[#This Row],[Notional Value Local Cur]])</f>
        <v>0</v>
      </c>
    </row>
    <row r="8444" spans="1:5" x14ac:dyDescent="0.25">
      <c r="A8444" s="36" t="b">
        <v>0</v>
      </c>
      <c r="B8444" s="56" t="b">
        <v>0</v>
      </c>
      <c r="C8444" s="56" t="b">
        <v>0</v>
      </c>
      <c r="D8444" s="56" t="b">
        <v>0</v>
      </c>
      <c r="E8444" s="56">
        <f ca="1">IF(PV[[#This Row],[Business Date]]=Control!$C$6, PV[[#This Row],[Notional Value Local Cur]], -PV[[#This Row],[Notional Value Local Cur]])</f>
        <v>0</v>
      </c>
    </row>
    <row r="8445" spans="1:5" x14ac:dyDescent="0.25">
      <c r="A8445" s="36" t="b">
        <v>0</v>
      </c>
      <c r="B8445" s="56" t="b">
        <v>0</v>
      </c>
      <c r="C8445" s="56" t="b">
        <v>0</v>
      </c>
      <c r="D8445" s="56" t="b">
        <v>0</v>
      </c>
      <c r="E8445" s="56">
        <f ca="1">IF(PV[[#This Row],[Business Date]]=Control!$C$6, PV[[#This Row],[Notional Value Local Cur]], -PV[[#This Row],[Notional Value Local Cur]])</f>
        <v>0</v>
      </c>
    </row>
    <row r="8446" spans="1:5" x14ac:dyDescent="0.25">
      <c r="A8446" s="36" t="b">
        <v>0</v>
      </c>
      <c r="B8446" s="56" t="b">
        <v>0</v>
      </c>
      <c r="C8446" s="56" t="b">
        <v>0</v>
      </c>
      <c r="D8446" s="56" t="b">
        <v>0</v>
      </c>
      <c r="E8446" s="56">
        <f ca="1">IF(PV[[#This Row],[Business Date]]=Control!$C$6, PV[[#This Row],[Notional Value Local Cur]], -PV[[#This Row],[Notional Value Local Cur]])</f>
        <v>0</v>
      </c>
    </row>
    <row r="8447" spans="1:5" x14ac:dyDescent="0.25">
      <c r="A8447" s="36" t="b">
        <v>0</v>
      </c>
      <c r="B8447" s="56" t="b">
        <v>0</v>
      </c>
      <c r="C8447" s="56" t="b">
        <v>0</v>
      </c>
      <c r="D8447" s="56" t="b">
        <v>0</v>
      </c>
      <c r="E8447" s="56">
        <f ca="1">IF(PV[[#This Row],[Business Date]]=Control!$C$6, PV[[#This Row],[Notional Value Local Cur]], -PV[[#This Row],[Notional Value Local Cur]])</f>
        <v>0</v>
      </c>
    </row>
    <row r="8448" spans="1:5" x14ac:dyDescent="0.25">
      <c r="A8448" s="36" t="b">
        <v>0</v>
      </c>
      <c r="B8448" s="56" t="b">
        <v>0</v>
      </c>
      <c r="C8448" s="56" t="b">
        <v>0</v>
      </c>
      <c r="D8448" s="56" t="b">
        <v>0</v>
      </c>
      <c r="E8448" s="56">
        <f ca="1">IF(PV[[#This Row],[Business Date]]=Control!$C$6, PV[[#This Row],[Notional Value Local Cur]], -PV[[#This Row],[Notional Value Local Cur]])</f>
        <v>0</v>
      </c>
    </row>
    <row r="8449" spans="1:5" x14ac:dyDescent="0.25">
      <c r="A8449" s="36" t="b">
        <v>0</v>
      </c>
      <c r="B8449" s="56" t="b">
        <v>0</v>
      </c>
      <c r="C8449" s="56" t="b">
        <v>0</v>
      </c>
      <c r="D8449" s="56" t="b">
        <v>0</v>
      </c>
      <c r="E8449" s="56">
        <f ca="1">IF(PV[[#This Row],[Business Date]]=Control!$C$6, PV[[#This Row],[Notional Value Local Cur]], -PV[[#This Row],[Notional Value Local Cur]])</f>
        <v>0</v>
      </c>
    </row>
    <row r="8450" spans="1:5" x14ac:dyDescent="0.25">
      <c r="A8450" s="36" t="b">
        <v>0</v>
      </c>
      <c r="B8450" s="56" t="b">
        <v>0</v>
      </c>
      <c r="C8450" s="56" t="b">
        <v>0</v>
      </c>
      <c r="D8450" s="56" t="b">
        <v>0</v>
      </c>
      <c r="E8450" s="56">
        <f ca="1">IF(PV[[#This Row],[Business Date]]=Control!$C$6, PV[[#This Row],[Notional Value Local Cur]], -PV[[#This Row],[Notional Value Local Cur]])</f>
        <v>0</v>
      </c>
    </row>
    <row r="8451" spans="1:5" x14ac:dyDescent="0.25">
      <c r="A8451" s="36" t="b">
        <v>0</v>
      </c>
      <c r="B8451" s="56" t="b">
        <v>0</v>
      </c>
      <c r="C8451" s="56" t="b">
        <v>0</v>
      </c>
      <c r="D8451" s="56" t="b">
        <v>0</v>
      </c>
      <c r="E8451" s="56">
        <f ca="1">IF(PV[[#This Row],[Business Date]]=Control!$C$6, PV[[#This Row],[Notional Value Local Cur]], -PV[[#This Row],[Notional Value Local Cur]])</f>
        <v>0</v>
      </c>
    </row>
    <row r="8452" spans="1:5" x14ac:dyDescent="0.25">
      <c r="A8452" s="36" t="b">
        <v>0</v>
      </c>
      <c r="B8452" s="56" t="b">
        <v>0</v>
      </c>
      <c r="C8452" s="56" t="b">
        <v>0</v>
      </c>
      <c r="D8452" s="56" t="b">
        <v>0</v>
      </c>
      <c r="E8452" s="56">
        <f ca="1">IF(PV[[#This Row],[Business Date]]=Control!$C$6, PV[[#This Row],[Notional Value Local Cur]], -PV[[#This Row],[Notional Value Local Cur]])</f>
        <v>0</v>
      </c>
    </row>
    <row r="8453" spans="1:5" x14ac:dyDescent="0.25">
      <c r="A8453" s="36" t="b">
        <v>0</v>
      </c>
      <c r="B8453" s="56" t="b">
        <v>0</v>
      </c>
      <c r="C8453" s="56" t="b">
        <v>0</v>
      </c>
      <c r="D8453" s="56" t="b">
        <v>0</v>
      </c>
      <c r="E8453" s="56">
        <f ca="1">IF(PV[[#This Row],[Business Date]]=Control!$C$6, PV[[#This Row],[Notional Value Local Cur]], -PV[[#This Row],[Notional Value Local Cur]])</f>
        <v>0</v>
      </c>
    </row>
    <row r="8454" spans="1:5" x14ac:dyDescent="0.25">
      <c r="A8454" s="36" t="b">
        <v>0</v>
      </c>
      <c r="B8454" s="56" t="b">
        <v>0</v>
      </c>
      <c r="C8454" s="56" t="b">
        <v>0</v>
      </c>
      <c r="D8454" s="56" t="b">
        <v>0</v>
      </c>
      <c r="E8454" s="56">
        <f ca="1">IF(PV[[#This Row],[Business Date]]=Control!$C$6, PV[[#This Row],[Notional Value Local Cur]], -PV[[#This Row],[Notional Value Local Cur]])</f>
        <v>0</v>
      </c>
    </row>
    <row r="8455" spans="1:5" x14ac:dyDescent="0.25">
      <c r="A8455" s="36" t="b">
        <v>0</v>
      </c>
      <c r="B8455" s="56" t="b">
        <v>0</v>
      </c>
      <c r="C8455" s="56" t="b">
        <v>0</v>
      </c>
      <c r="D8455" s="56" t="b">
        <v>0</v>
      </c>
      <c r="E8455" s="56">
        <f ca="1">IF(PV[[#This Row],[Business Date]]=Control!$C$6, PV[[#This Row],[Notional Value Local Cur]], -PV[[#This Row],[Notional Value Local Cur]])</f>
        <v>0</v>
      </c>
    </row>
    <row r="8456" spans="1:5" x14ac:dyDescent="0.25">
      <c r="A8456" s="36" t="b">
        <v>0</v>
      </c>
      <c r="B8456" s="56" t="b">
        <v>0</v>
      </c>
      <c r="C8456" s="56" t="b">
        <v>0</v>
      </c>
      <c r="D8456" s="56" t="b">
        <v>0</v>
      </c>
      <c r="E8456" s="56">
        <f ca="1">IF(PV[[#This Row],[Business Date]]=Control!$C$6, PV[[#This Row],[Notional Value Local Cur]], -PV[[#This Row],[Notional Value Local Cur]])</f>
        <v>0</v>
      </c>
    </row>
    <row r="8457" spans="1:5" x14ac:dyDescent="0.25">
      <c r="A8457" s="36" t="b">
        <v>0</v>
      </c>
      <c r="B8457" s="56" t="b">
        <v>0</v>
      </c>
      <c r="C8457" s="56" t="b">
        <v>0</v>
      </c>
      <c r="D8457" s="56" t="b">
        <v>0</v>
      </c>
      <c r="E8457" s="56">
        <f ca="1">IF(PV[[#This Row],[Business Date]]=Control!$C$6, PV[[#This Row],[Notional Value Local Cur]], -PV[[#This Row],[Notional Value Local Cur]])</f>
        <v>0</v>
      </c>
    </row>
    <row r="8458" spans="1:5" x14ac:dyDescent="0.25">
      <c r="A8458" s="36" t="b">
        <v>0</v>
      </c>
      <c r="B8458" s="56" t="b">
        <v>0</v>
      </c>
      <c r="C8458" s="56" t="b">
        <v>0</v>
      </c>
      <c r="D8458" s="56" t="b">
        <v>0</v>
      </c>
      <c r="E8458" s="56">
        <f ca="1">IF(PV[[#This Row],[Business Date]]=Control!$C$6, PV[[#This Row],[Notional Value Local Cur]], -PV[[#This Row],[Notional Value Local Cur]])</f>
        <v>0</v>
      </c>
    </row>
    <row r="8459" spans="1:5" x14ac:dyDescent="0.25">
      <c r="A8459" s="36" t="b">
        <v>0</v>
      </c>
      <c r="B8459" s="56" t="b">
        <v>0</v>
      </c>
      <c r="C8459" s="56" t="b">
        <v>0</v>
      </c>
      <c r="D8459" s="56" t="b">
        <v>0</v>
      </c>
      <c r="E8459" s="56">
        <f ca="1">IF(PV[[#This Row],[Business Date]]=Control!$C$6, PV[[#This Row],[Notional Value Local Cur]], -PV[[#This Row],[Notional Value Local Cur]])</f>
        <v>0</v>
      </c>
    </row>
    <row r="8460" spans="1:5" x14ac:dyDescent="0.25">
      <c r="A8460" s="36" t="b">
        <v>0</v>
      </c>
      <c r="B8460" s="56" t="b">
        <v>0</v>
      </c>
      <c r="C8460" s="56" t="b">
        <v>0</v>
      </c>
      <c r="D8460" s="56" t="b">
        <v>0</v>
      </c>
      <c r="E8460" s="56">
        <f ca="1">IF(PV[[#This Row],[Business Date]]=Control!$C$6, PV[[#This Row],[Notional Value Local Cur]], -PV[[#This Row],[Notional Value Local Cur]])</f>
        <v>0</v>
      </c>
    </row>
    <row r="8461" spans="1:5" x14ac:dyDescent="0.25">
      <c r="A8461" s="36" t="b">
        <v>0</v>
      </c>
      <c r="B8461" s="56" t="b">
        <v>0</v>
      </c>
      <c r="C8461" s="56" t="b">
        <v>0</v>
      </c>
      <c r="D8461" s="56" t="b">
        <v>0</v>
      </c>
      <c r="E8461" s="56">
        <f ca="1">IF(PV[[#This Row],[Business Date]]=Control!$C$6, PV[[#This Row],[Notional Value Local Cur]], -PV[[#This Row],[Notional Value Local Cur]])</f>
        <v>0</v>
      </c>
    </row>
    <row r="8462" spans="1:5" x14ac:dyDescent="0.25">
      <c r="A8462" s="36" t="b">
        <v>0</v>
      </c>
      <c r="B8462" s="56" t="b">
        <v>0</v>
      </c>
      <c r="C8462" s="56" t="b">
        <v>0</v>
      </c>
      <c r="D8462" s="56" t="b">
        <v>0</v>
      </c>
      <c r="E8462" s="56">
        <f ca="1">IF(PV[[#This Row],[Business Date]]=Control!$C$6, PV[[#This Row],[Notional Value Local Cur]], -PV[[#This Row],[Notional Value Local Cur]])</f>
        <v>0</v>
      </c>
    </row>
    <row r="8463" spans="1:5" x14ac:dyDescent="0.25">
      <c r="A8463" s="36" t="b">
        <v>0</v>
      </c>
      <c r="B8463" s="56" t="b">
        <v>0</v>
      </c>
      <c r="C8463" s="56" t="b">
        <v>0</v>
      </c>
      <c r="D8463" s="56" t="b">
        <v>0</v>
      </c>
      <c r="E8463" s="56">
        <f ca="1">IF(PV[[#This Row],[Business Date]]=Control!$C$6, PV[[#This Row],[Notional Value Local Cur]], -PV[[#This Row],[Notional Value Local Cur]])</f>
        <v>0</v>
      </c>
    </row>
    <row r="8464" spans="1:5" x14ac:dyDescent="0.25">
      <c r="A8464" s="36" t="b">
        <v>0</v>
      </c>
      <c r="B8464" s="56" t="b">
        <v>0</v>
      </c>
      <c r="C8464" s="56" t="b">
        <v>0</v>
      </c>
      <c r="D8464" s="56" t="b">
        <v>0</v>
      </c>
      <c r="E8464" s="56">
        <f ca="1">IF(PV[[#This Row],[Business Date]]=Control!$C$6, PV[[#This Row],[Notional Value Local Cur]], -PV[[#This Row],[Notional Value Local Cur]])</f>
        <v>0</v>
      </c>
    </row>
    <row r="8465" spans="1:5" x14ac:dyDescent="0.25">
      <c r="A8465" s="36" t="b">
        <v>0</v>
      </c>
      <c r="B8465" s="56" t="b">
        <v>0</v>
      </c>
      <c r="C8465" s="56" t="b">
        <v>0</v>
      </c>
      <c r="D8465" s="56" t="b">
        <v>0</v>
      </c>
      <c r="E8465" s="56">
        <f ca="1">IF(PV[[#This Row],[Business Date]]=Control!$C$6, PV[[#This Row],[Notional Value Local Cur]], -PV[[#This Row],[Notional Value Local Cur]])</f>
        <v>0</v>
      </c>
    </row>
    <row r="8466" spans="1:5" x14ac:dyDescent="0.25">
      <c r="A8466" s="36" t="b">
        <v>0</v>
      </c>
      <c r="B8466" s="56" t="b">
        <v>0</v>
      </c>
      <c r="C8466" s="56" t="b">
        <v>0</v>
      </c>
      <c r="D8466" s="56" t="b">
        <v>0</v>
      </c>
      <c r="E8466" s="56">
        <f ca="1">IF(PV[[#This Row],[Business Date]]=Control!$C$6, PV[[#This Row],[Notional Value Local Cur]], -PV[[#This Row],[Notional Value Local Cur]])</f>
        <v>0</v>
      </c>
    </row>
    <row r="8467" spans="1:5" x14ac:dyDescent="0.25">
      <c r="A8467" s="36" t="b">
        <v>0</v>
      </c>
      <c r="B8467" s="56" t="b">
        <v>0</v>
      </c>
      <c r="C8467" s="56" t="b">
        <v>0</v>
      </c>
      <c r="D8467" s="56" t="b">
        <v>0</v>
      </c>
      <c r="E8467" s="56">
        <f ca="1">IF(PV[[#This Row],[Business Date]]=Control!$C$6, PV[[#This Row],[Notional Value Local Cur]], -PV[[#This Row],[Notional Value Local Cur]])</f>
        <v>0</v>
      </c>
    </row>
    <row r="8468" spans="1:5" x14ac:dyDescent="0.25">
      <c r="A8468" s="36" t="b">
        <v>0</v>
      </c>
      <c r="B8468" s="56" t="b">
        <v>0</v>
      </c>
      <c r="C8468" s="56" t="b">
        <v>0</v>
      </c>
      <c r="D8468" s="56" t="b">
        <v>0</v>
      </c>
      <c r="E8468" s="56">
        <f ca="1">IF(PV[[#This Row],[Business Date]]=Control!$C$6, PV[[#This Row],[Notional Value Local Cur]], -PV[[#This Row],[Notional Value Local Cur]])</f>
        <v>0</v>
      </c>
    </row>
    <row r="8469" spans="1:5" x14ac:dyDescent="0.25">
      <c r="A8469" s="36" t="b">
        <v>0</v>
      </c>
      <c r="B8469" s="56" t="b">
        <v>0</v>
      </c>
      <c r="C8469" s="56" t="b">
        <v>0</v>
      </c>
      <c r="D8469" s="56" t="b">
        <v>0</v>
      </c>
      <c r="E8469" s="56">
        <f ca="1">IF(PV[[#This Row],[Business Date]]=Control!$C$6, PV[[#This Row],[Notional Value Local Cur]], -PV[[#This Row],[Notional Value Local Cur]])</f>
        <v>0</v>
      </c>
    </row>
    <row r="8470" spans="1:5" x14ac:dyDescent="0.25">
      <c r="A8470" s="36" t="b">
        <v>0</v>
      </c>
      <c r="B8470" s="56" t="b">
        <v>0</v>
      </c>
      <c r="C8470" s="56" t="b">
        <v>0</v>
      </c>
      <c r="D8470" s="56" t="b">
        <v>0</v>
      </c>
      <c r="E8470" s="56">
        <f ca="1">IF(PV[[#This Row],[Business Date]]=Control!$C$6, PV[[#This Row],[Notional Value Local Cur]], -PV[[#This Row],[Notional Value Local Cur]])</f>
        <v>0</v>
      </c>
    </row>
    <row r="8471" spans="1:5" x14ac:dyDescent="0.25">
      <c r="A8471" s="36" t="b">
        <v>0</v>
      </c>
      <c r="B8471" s="56" t="b">
        <v>0</v>
      </c>
      <c r="C8471" s="56" t="b">
        <v>0</v>
      </c>
      <c r="D8471" s="56" t="b">
        <v>0</v>
      </c>
      <c r="E8471" s="56">
        <f ca="1">IF(PV[[#This Row],[Business Date]]=Control!$C$6, PV[[#This Row],[Notional Value Local Cur]], -PV[[#This Row],[Notional Value Local Cur]])</f>
        <v>0</v>
      </c>
    </row>
    <row r="8472" spans="1:5" x14ac:dyDescent="0.25">
      <c r="A8472" s="36" t="b">
        <v>0</v>
      </c>
      <c r="B8472" s="56" t="b">
        <v>0</v>
      </c>
      <c r="C8472" s="56" t="b">
        <v>0</v>
      </c>
      <c r="D8472" s="56" t="b">
        <v>0</v>
      </c>
      <c r="E8472" s="56">
        <f ca="1">IF(PV[[#This Row],[Business Date]]=Control!$C$6, PV[[#This Row],[Notional Value Local Cur]], -PV[[#This Row],[Notional Value Local Cur]])</f>
        <v>0</v>
      </c>
    </row>
    <row r="8473" spans="1:5" x14ac:dyDescent="0.25">
      <c r="A8473" s="36" t="b">
        <v>0</v>
      </c>
      <c r="B8473" s="56" t="b">
        <v>0</v>
      </c>
      <c r="C8473" s="56" t="b">
        <v>0</v>
      </c>
      <c r="D8473" s="56" t="b">
        <v>0</v>
      </c>
      <c r="E8473" s="56">
        <f ca="1">IF(PV[[#This Row],[Business Date]]=Control!$C$6, PV[[#This Row],[Notional Value Local Cur]], -PV[[#This Row],[Notional Value Local Cur]])</f>
        <v>0</v>
      </c>
    </row>
    <row r="8474" spans="1:5" x14ac:dyDescent="0.25">
      <c r="A8474" s="36" t="b">
        <v>0</v>
      </c>
      <c r="B8474" s="56" t="b">
        <v>0</v>
      </c>
      <c r="C8474" s="56" t="b">
        <v>0</v>
      </c>
      <c r="D8474" s="56" t="b">
        <v>0</v>
      </c>
      <c r="E8474" s="56">
        <f ca="1">IF(PV[[#This Row],[Business Date]]=Control!$C$6, PV[[#This Row],[Notional Value Local Cur]], -PV[[#This Row],[Notional Value Local Cur]])</f>
        <v>0</v>
      </c>
    </row>
    <row r="8475" spans="1:5" x14ac:dyDescent="0.25">
      <c r="A8475" s="36" t="b">
        <v>0</v>
      </c>
      <c r="B8475" s="56" t="b">
        <v>0</v>
      </c>
      <c r="C8475" s="56" t="b">
        <v>0</v>
      </c>
      <c r="D8475" s="56" t="b">
        <v>0</v>
      </c>
      <c r="E8475" s="56">
        <f ca="1">IF(PV[[#This Row],[Business Date]]=Control!$C$6, PV[[#This Row],[Notional Value Local Cur]], -PV[[#This Row],[Notional Value Local Cur]])</f>
        <v>0</v>
      </c>
    </row>
    <row r="8476" spans="1:5" x14ac:dyDescent="0.25">
      <c r="A8476" s="36" t="b">
        <v>0</v>
      </c>
      <c r="B8476" s="56" t="b">
        <v>0</v>
      </c>
      <c r="C8476" s="56" t="b">
        <v>0</v>
      </c>
      <c r="D8476" s="56" t="b">
        <v>0</v>
      </c>
      <c r="E8476" s="56">
        <f ca="1">IF(PV[[#This Row],[Business Date]]=Control!$C$6, PV[[#This Row],[Notional Value Local Cur]], -PV[[#This Row],[Notional Value Local Cur]])</f>
        <v>0</v>
      </c>
    </row>
    <row r="8477" spans="1:5" x14ac:dyDescent="0.25">
      <c r="A8477" s="36" t="b">
        <v>0</v>
      </c>
      <c r="B8477" s="56" t="b">
        <v>0</v>
      </c>
      <c r="C8477" s="56" t="b">
        <v>0</v>
      </c>
      <c r="D8477" s="56" t="b">
        <v>0</v>
      </c>
      <c r="E8477" s="56">
        <f ca="1">IF(PV[[#This Row],[Business Date]]=Control!$C$6, PV[[#This Row],[Notional Value Local Cur]], -PV[[#This Row],[Notional Value Local Cur]])</f>
        <v>0</v>
      </c>
    </row>
    <row r="8478" spans="1:5" x14ac:dyDescent="0.25">
      <c r="A8478" s="36" t="b">
        <v>0</v>
      </c>
      <c r="B8478" s="56" t="b">
        <v>0</v>
      </c>
      <c r="C8478" s="56" t="b">
        <v>0</v>
      </c>
      <c r="D8478" s="56" t="b">
        <v>0</v>
      </c>
      <c r="E8478" s="56">
        <f ca="1">IF(PV[[#This Row],[Business Date]]=Control!$C$6, PV[[#This Row],[Notional Value Local Cur]], -PV[[#This Row],[Notional Value Local Cur]])</f>
        <v>0</v>
      </c>
    </row>
    <row r="8479" spans="1:5" x14ac:dyDescent="0.25">
      <c r="A8479" s="36" t="b">
        <v>0</v>
      </c>
      <c r="B8479" s="56" t="b">
        <v>0</v>
      </c>
      <c r="C8479" s="56" t="b">
        <v>0</v>
      </c>
      <c r="D8479" s="56" t="b">
        <v>0</v>
      </c>
      <c r="E8479" s="56">
        <f ca="1">IF(PV[[#This Row],[Business Date]]=Control!$C$6, PV[[#This Row],[Notional Value Local Cur]], -PV[[#This Row],[Notional Value Local Cur]])</f>
        <v>0</v>
      </c>
    </row>
    <row r="8480" spans="1:5" x14ac:dyDescent="0.25">
      <c r="A8480" s="36" t="b">
        <v>0</v>
      </c>
      <c r="B8480" s="56" t="b">
        <v>0</v>
      </c>
      <c r="C8480" s="56" t="b">
        <v>0</v>
      </c>
      <c r="D8480" s="56" t="b">
        <v>0</v>
      </c>
      <c r="E8480" s="56">
        <f ca="1">IF(PV[[#This Row],[Business Date]]=Control!$C$6, PV[[#This Row],[Notional Value Local Cur]], -PV[[#This Row],[Notional Value Local Cur]])</f>
        <v>0</v>
      </c>
    </row>
    <row r="8481" spans="1:5" x14ac:dyDescent="0.25">
      <c r="A8481" s="36" t="b">
        <v>0</v>
      </c>
      <c r="B8481" s="56" t="b">
        <v>0</v>
      </c>
      <c r="C8481" s="56" t="b">
        <v>0</v>
      </c>
      <c r="D8481" s="56" t="b">
        <v>0</v>
      </c>
      <c r="E8481" s="56">
        <f ca="1">IF(PV[[#This Row],[Business Date]]=Control!$C$6, PV[[#This Row],[Notional Value Local Cur]], -PV[[#This Row],[Notional Value Local Cur]])</f>
        <v>0</v>
      </c>
    </row>
    <row r="8482" spans="1:5" x14ac:dyDescent="0.25">
      <c r="A8482" s="36" t="b">
        <v>0</v>
      </c>
      <c r="B8482" s="56" t="b">
        <v>0</v>
      </c>
      <c r="C8482" s="56" t="b">
        <v>0</v>
      </c>
      <c r="D8482" s="56" t="b">
        <v>0</v>
      </c>
      <c r="E8482" s="56">
        <f ca="1">IF(PV[[#This Row],[Business Date]]=Control!$C$6, PV[[#This Row],[Notional Value Local Cur]], -PV[[#This Row],[Notional Value Local Cur]])</f>
        <v>0</v>
      </c>
    </row>
    <row r="8483" spans="1:5" x14ac:dyDescent="0.25">
      <c r="A8483" s="36" t="b">
        <v>0</v>
      </c>
      <c r="B8483" s="56" t="b">
        <v>0</v>
      </c>
      <c r="C8483" s="56" t="b">
        <v>0</v>
      </c>
      <c r="D8483" s="56" t="b">
        <v>0</v>
      </c>
      <c r="E8483" s="56">
        <f ca="1">IF(PV[[#This Row],[Business Date]]=Control!$C$6, PV[[#This Row],[Notional Value Local Cur]], -PV[[#This Row],[Notional Value Local Cur]])</f>
        <v>0</v>
      </c>
    </row>
    <row r="8484" spans="1:5" x14ac:dyDescent="0.25">
      <c r="A8484" s="36" t="b">
        <v>0</v>
      </c>
      <c r="B8484" s="56" t="b">
        <v>0</v>
      </c>
      <c r="C8484" s="56" t="b">
        <v>0</v>
      </c>
      <c r="D8484" s="56" t="b">
        <v>0</v>
      </c>
      <c r="E8484" s="56">
        <f ca="1">IF(PV[[#This Row],[Business Date]]=Control!$C$6, PV[[#This Row],[Notional Value Local Cur]], -PV[[#This Row],[Notional Value Local Cur]])</f>
        <v>0</v>
      </c>
    </row>
    <row r="8485" spans="1:5" x14ac:dyDescent="0.25">
      <c r="A8485" s="36" t="b">
        <v>0</v>
      </c>
      <c r="B8485" s="56" t="b">
        <v>0</v>
      </c>
      <c r="C8485" s="56" t="b">
        <v>0</v>
      </c>
      <c r="D8485" s="56" t="b">
        <v>0</v>
      </c>
      <c r="E8485" s="56">
        <f ca="1">IF(PV[[#This Row],[Business Date]]=Control!$C$6, PV[[#This Row],[Notional Value Local Cur]], -PV[[#This Row],[Notional Value Local Cur]])</f>
        <v>0</v>
      </c>
    </row>
    <row r="8486" spans="1:5" x14ac:dyDescent="0.25">
      <c r="A8486" s="36" t="b">
        <v>0</v>
      </c>
      <c r="B8486" s="56" t="b">
        <v>0</v>
      </c>
      <c r="C8486" s="56" t="b">
        <v>0</v>
      </c>
      <c r="D8486" s="56" t="b">
        <v>0</v>
      </c>
      <c r="E8486" s="56">
        <f ca="1">IF(PV[[#This Row],[Business Date]]=Control!$C$6, PV[[#This Row],[Notional Value Local Cur]], -PV[[#This Row],[Notional Value Local Cur]])</f>
        <v>0</v>
      </c>
    </row>
    <row r="8487" spans="1:5" x14ac:dyDescent="0.25">
      <c r="A8487" s="36" t="b">
        <v>0</v>
      </c>
      <c r="B8487" s="56" t="b">
        <v>0</v>
      </c>
      <c r="C8487" s="56" t="b">
        <v>0</v>
      </c>
      <c r="D8487" s="56" t="b">
        <v>0</v>
      </c>
      <c r="E8487" s="56">
        <f ca="1">IF(PV[[#This Row],[Business Date]]=Control!$C$6, PV[[#This Row],[Notional Value Local Cur]], -PV[[#This Row],[Notional Value Local Cur]])</f>
        <v>0</v>
      </c>
    </row>
    <row r="8488" spans="1:5" x14ac:dyDescent="0.25">
      <c r="A8488" s="36" t="b">
        <v>0</v>
      </c>
      <c r="B8488" s="56" t="b">
        <v>0</v>
      </c>
      <c r="C8488" s="56" t="b">
        <v>0</v>
      </c>
      <c r="D8488" s="56" t="b">
        <v>0</v>
      </c>
      <c r="E8488" s="56">
        <f ca="1">IF(PV[[#This Row],[Business Date]]=Control!$C$6, PV[[#This Row],[Notional Value Local Cur]], -PV[[#This Row],[Notional Value Local Cur]])</f>
        <v>0</v>
      </c>
    </row>
    <row r="8489" spans="1:5" x14ac:dyDescent="0.25">
      <c r="A8489" s="36" t="b">
        <v>0</v>
      </c>
      <c r="B8489" s="56" t="b">
        <v>0</v>
      </c>
      <c r="C8489" s="56" t="b">
        <v>0</v>
      </c>
      <c r="D8489" s="56" t="b">
        <v>0</v>
      </c>
      <c r="E8489" s="56">
        <f ca="1">IF(PV[[#This Row],[Business Date]]=Control!$C$6, PV[[#This Row],[Notional Value Local Cur]], -PV[[#This Row],[Notional Value Local Cur]])</f>
        <v>0</v>
      </c>
    </row>
    <row r="8490" spans="1:5" x14ac:dyDescent="0.25">
      <c r="A8490" s="36" t="b">
        <v>0</v>
      </c>
      <c r="B8490" s="56" t="b">
        <v>0</v>
      </c>
      <c r="C8490" s="56" t="b">
        <v>0</v>
      </c>
      <c r="D8490" s="56" t="b">
        <v>0</v>
      </c>
      <c r="E8490" s="56">
        <f ca="1">IF(PV[[#This Row],[Business Date]]=Control!$C$6, PV[[#This Row],[Notional Value Local Cur]], -PV[[#This Row],[Notional Value Local Cur]])</f>
        <v>0</v>
      </c>
    </row>
    <row r="8491" spans="1:5" x14ac:dyDescent="0.25">
      <c r="A8491" s="36" t="b">
        <v>0</v>
      </c>
      <c r="B8491" s="56" t="b">
        <v>0</v>
      </c>
      <c r="C8491" s="56" t="b">
        <v>0</v>
      </c>
      <c r="D8491" s="56" t="b">
        <v>0</v>
      </c>
      <c r="E8491" s="56">
        <f ca="1">IF(PV[[#This Row],[Business Date]]=Control!$C$6, PV[[#This Row],[Notional Value Local Cur]], -PV[[#This Row],[Notional Value Local Cur]])</f>
        <v>0</v>
      </c>
    </row>
    <row r="8492" spans="1:5" x14ac:dyDescent="0.25">
      <c r="A8492" s="36" t="b">
        <v>0</v>
      </c>
      <c r="B8492" s="56" t="b">
        <v>0</v>
      </c>
      <c r="C8492" s="56" t="b">
        <v>0</v>
      </c>
      <c r="D8492" s="56" t="b">
        <v>0</v>
      </c>
      <c r="E8492" s="56">
        <f ca="1">IF(PV[[#This Row],[Business Date]]=Control!$C$6, PV[[#This Row],[Notional Value Local Cur]], -PV[[#This Row],[Notional Value Local Cur]])</f>
        <v>0</v>
      </c>
    </row>
    <row r="8493" spans="1:5" x14ac:dyDescent="0.25">
      <c r="A8493" s="36" t="b">
        <v>0</v>
      </c>
      <c r="B8493" s="56" t="b">
        <v>0</v>
      </c>
      <c r="C8493" s="56" t="b">
        <v>0</v>
      </c>
      <c r="D8493" s="56" t="b">
        <v>0</v>
      </c>
      <c r="E8493" s="56">
        <f ca="1">IF(PV[[#This Row],[Business Date]]=Control!$C$6, PV[[#This Row],[Notional Value Local Cur]], -PV[[#This Row],[Notional Value Local Cur]])</f>
        <v>0</v>
      </c>
    </row>
    <row r="8494" spans="1:5" x14ac:dyDescent="0.25">
      <c r="A8494" s="36" t="b">
        <v>0</v>
      </c>
      <c r="B8494" s="56" t="b">
        <v>0</v>
      </c>
      <c r="C8494" s="56" t="b">
        <v>0</v>
      </c>
      <c r="D8494" s="56" t="b">
        <v>0</v>
      </c>
      <c r="E8494" s="56">
        <f ca="1">IF(PV[[#This Row],[Business Date]]=Control!$C$6, PV[[#This Row],[Notional Value Local Cur]], -PV[[#This Row],[Notional Value Local Cur]])</f>
        <v>0</v>
      </c>
    </row>
    <row r="8495" spans="1:5" x14ac:dyDescent="0.25">
      <c r="A8495" s="36" t="b">
        <v>0</v>
      </c>
      <c r="B8495" s="56" t="b">
        <v>0</v>
      </c>
      <c r="C8495" s="56" t="b">
        <v>0</v>
      </c>
      <c r="D8495" s="56" t="b">
        <v>0</v>
      </c>
      <c r="E8495" s="56">
        <f ca="1">IF(PV[[#This Row],[Business Date]]=Control!$C$6, PV[[#This Row],[Notional Value Local Cur]], -PV[[#This Row],[Notional Value Local Cur]])</f>
        <v>0</v>
      </c>
    </row>
    <row r="8496" spans="1:5" x14ac:dyDescent="0.25">
      <c r="A8496" s="36" t="b">
        <v>0</v>
      </c>
      <c r="B8496" s="56" t="b">
        <v>0</v>
      </c>
      <c r="C8496" s="56" t="b">
        <v>0</v>
      </c>
      <c r="D8496" s="56" t="b">
        <v>0</v>
      </c>
      <c r="E8496" s="56">
        <f ca="1">IF(PV[[#This Row],[Business Date]]=Control!$C$6, PV[[#This Row],[Notional Value Local Cur]], -PV[[#This Row],[Notional Value Local Cur]])</f>
        <v>0</v>
      </c>
    </row>
    <row r="8497" spans="1:5" x14ac:dyDescent="0.25">
      <c r="A8497" s="36" t="b">
        <v>0</v>
      </c>
      <c r="B8497" s="56" t="b">
        <v>0</v>
      </c>
      <c r="C8497" s="56" t="b">
        <v>0</v>
      </c>
      <c r="D8497" s="56" t="b">
        <v>0</v>
      </c>
      <c r="E8497" s="56">
        <f ca="1">IF(PV[[#This Row],[Business Date]]=Control!$C$6, PV[[#This Row],[Notional Value Local Cur]], -PV[[#This Row],[Notional Value Local Cur]])</f>
        <v>0</v>
      </c>
    </row>
    <row r="8498" spans="1:5" x14ac:dyDescent="0.25">
      <c r="A8498" s="36" t="b">
        <v>0</v>
      </c>
      <c r="B8498" s="56" t="b">
        <v>0</v>
      </c>
      <c r="C8498" s="56" t="b">
        <v>0</v>
      </c>
      <c r="D8498" s="56" t="b">
        <v>0</v>
      </c>
      <c r="E8498" s="56">
        <f ca="1">IF(PV[[#This Row],[Business Date]]=Control!$C$6, PV[[#This Row],[Notional Value Local Cur]], -PV[[#This Row],[Notional Value Local Cur]])</f>
        <v>0</v>
      </c>
    </row>
    <row r="8499" spans="1:5" x14ac:dyDescent="0.25">
      <c r="A8499" s="36" t="b">
        <v>0</v>
      </c>
      <c r="B8499" s="56" t="b">
        <v>0</v>
      </c>
      <c r="C8499" s="56" t="b">
        <v>0</v>
      </c>
      <c r="D8499" s="56" t="b">
        <v>0</v>
      </c>
      <c r="E8499" s="56">
        <f ca="1">IF(PV[[#This Row],[Business Date]]=Control!$C$6, PV[[#This Row],[Notional Value Local Cur]], -PV[[#This Row],[Notional Value Local Cur]])</f>
        <v>0</v>
      </c>
    </row>
    <row r="8500" spans="1:5" x14ac:dyDescent="0.25">
      <c r="A8500" s="36" t="b">
        <v>0</v>
      </c>
      <c r="B8500" s="56" t="b">
        <v>0</v>
      </c>
      <c r="C8500" s="56" t="b">
        <v>0</v>
      </c>
      <c r="D8500" s="56" t="b">
        <v>0</v>
      </c>
      <c r="E8500" s="56">
        <f ca="1">IF(PV[[#This Row],[Business Date]]=Control!$C$6, PV[[#This Row],[Notional Value Local Cur]], -PV[[#This Row],[Notional Value Local Cur]])</f>
        <v>0</v>
      </c>
    </row>
    <row r="8501" spans="1:5" x14ac:dyDescent="0.25">
      <c r="A8501" s="36" t="b">
        <v>0</v>
      </c>
      <c r="B8501" s="56" t="b">
        <v>0</v>
      </c>
      <c r="C8501" s="56" t="b">
        <v>0</v>
      </c>
      <c r="D8501" s="56" t="b">
        <v>0</v>
      </c>
      <c r="E8501" s="56">
        <f ca="1">IF(PV[[#This Row],[Business Date]]=Control!$C$6, PV[[#This Row],[Notional Value Local Cur]], -PV[[#This Row],[Notional Value Local Cur]])</f>
        <v>0</v>
      </c>
    </row>
    <row r="8502" spans="1:5" x14ac:dyDescent="0.25">
      <c r="A8502" s="36" t="b">
        <v>0</v>
      </c>
      <c r="B8502" s="56" t="b">
        <v>0</v>
      </c>
      <c r="C8502" s="56" t="b">
        <v>0</v>
      </c>
      <c r="D8502" s="56" t="b">
        <v>0</v>
      </c>
      <c r="E8502" s="56">
        <f ca="1">IF(PV[[#This Row],[Business Date]]=Control!$C$6, PV[[#This Row],[Notional Value Local Cur]], -PV[[#This Row],[Notional Value Local Cur]])</f>
        <v>0</v>
      </c>
    </row>
    <row r="8503" spans="1:5" x14ac:dyDescent="0.25">
      <c r="A8503" s="36" t="b">
        <v>0</v>
      </c>
      <c r="B8503" s="56" t="b">
        <v>0</v>
      </c>
      <c r="C8503" s="56" t="b">
        <v>0</v>
      </c>
      <c r="D8503" s="56" t="b">
        <v>0</v>
      </c>
      <c r="E8503" s="56">
        <f ca="1">IF(PV[[#This Row],[Business Date]]=Control!$C$6, PV[[#This Row],[Notional Value Local Cur]], -PV[[#This Row],[Notional Value Local Cur]])</f>
        <v>0</v>
      </c>
    </row>
    <row r="8504" spans="1:5" x14ac:dyDescent="0.25">
      <c r="A8504" s="36" t="b">
        <v>0</v>
      </c>
      <c r="B8504" s="56" t="b">
        <v>0</v>
      </c>
      <c r="C8504" s="56" t="b">
        <v>0</v>
      </c>
      <c r="D8504" s="56" t="b">
        <v>0</v>
      </c>
      <c r="E8504" s="56">
        <f ca="1">IF(PV[[#This Row],[Business Date]]=Control!$C$6, PV[[#This Row],[Notional Value Local Cur]], -PV[[#This Row],[Notional Value Local Cur]])</f>
        <v>0</v>
      </c>
    </row>
    <row r="8505" spans="1:5" x14ac:dyDescent="0.25">
      <c r="A8505" s="36" t="b">
        <v>0</v>
      </c>
      <c r="B8505" s="56" t="b">
        <v>0</v>
      </c>
      <c r="C8505" s="56" t="b">
        <v>0</v>
      </c>
      <c r="D8505" s="56" t="b">
        <v>0</v>
      </c>
      <c r="E8505" s="56">
        <f ca="1">IF(PV[[#This Row],[Business Date]]=Control!$C$6, PV[[#This Row],[Notional Value Local Cur]], -PV[[#This Row],[Notional Value Local Cur]])</f>
        <v>0</v>
      </c>
    </row>
    <row r="8506" spans="1:5" x14ac:dyDescent="0.25">
      <c r="A8506" s="36" t="b">
        <v>0</v>
      </c>
      <c r="B8506" s="56" t="b">
        <v>0</v>
      </c>
      <c r="C8506" s="56" t="b">
        <v>0</v>
      </c>
      <c r="D8506" s="56" t="b">
        <v>0</v>
      </c>
      <c r="E8506" s="56">
        <f ca="1">IF(PV[[#This Row],[Business Date]]=Control!$C$6, PV[[#This Row],[Notional Value Local Cur]], -PV[[#This Row],[Notional Value Local Cur]])</f>
        <v>0</v>
      </c>
    </row>
    <row r="8507" spans="1:5" x14ac:dyDescent="0.25">
      <c r="A8507" s="36" t="b">
        <v>0</v>
      </c>
      <c r="B8507" s="56" t="b">
        <v>0</v>
      </c>
      <c r="C8507" s="56" t="b">
        <v>0</v>
      </c>
      <c r="D8507" s="56" t="b">
        <v>0</v>
      </c>
      <c r="E8507" s="56">
        <f ca="1">IF(PV[[#This Row],[Business Date]]=Control!$C$6, PV[[#This Row],[Notional Value Local Cur]], -PV[[#This Row],[Notional Value Local Cur]])</f>
        <v>0</v>
      </c>
    </row>
    <row r="8508" spans="1:5" x14ac:dyDescent="0.25">
      <c r="A8508" s="36" t="b">
        <v>0</v>
      </c>
      <c r="B8508" s="56" t="b">
        <v>0</v>
      </c>
      <c r="C8508" s="56" t="b">
        <v>0</v>
      </c>
      <c r="D8508" s="56" t="b">
        <v>0</v>
      </c>
      <c r="E8508" s="56">
        <f ca="1">IF(PV[[#This Row],[Business Date]]=Control!$C$6, PV[[#This Row],[Notional Value Local Cur]], -PV[[#This Row],[Notional Value Local Cur]])</f>
        <v>0</v>
      </c>
    </row>
    <row r="8509" spans="1:5" x14ac:dyDescent="0.25">
      <c r="A8509" s="36" t="b">
        <v>0</v>
      </c>
      <c r="B8509" s="56" t="b">
        <v>0</v>
      </c>
      <c r="C8509" s="56" t="b">
        <v>0</v>
      </c>
      <c r="D8509" s="56" t="b">
        <v>0</v>
      </c>
      <c r="E8509" s="56">
        <f ca="1">IF(PV[[#This Row],[Business Date]]=Control!$C$6, PV[[#This Row],[Notional Value Local Cur]], -PV[[#This Row],[Notional Value Local Cur]])</f>
        <v>0</v>
      </c>
    </row>
    <row r="8510" spans="1:5" x14ac:dyDescent="0.25">
      <c r="A8510" s="36" t="b">
        <v>0</v>
      </c>
      <c r="B8510" s="56" t="b">
        <v>0</v>
      </c>
      <c r="C8510" s="56" t="b">
        <v>0</v>
      </c>
      <c r="D8510" s="56" t="b">
        <v>0</v>
      </c>
      <c r="E8510" s="56">
        <f ca="1">IF(PV[[#This Row],[Business Date]]=Control!$C$6, PV[[#This Row],[Notional Value Local Cur]], -PV[[#This Row],[Notional Value Local Cur]])</f>
        <v>0</v>
      </c>
    </row>
    <row r="8511" spans="1:5" x14ac:dyDescent="0.25">
      <c r="A8511" s="36" t="b">
        <v>0</v>
      </c>
      <c r="B8511" s="56" t="b">
        <v>0</v>
      </c>
      <c r="C8511" s="56" t="b">
        <v>0</v>
      </c>
      <c r="D8511" s="56" t="b">
        <v>0</v>
      </c>
      <c r="E8511" s="56">
        <f ca="1">IF(PV[[#This Row],[Business Date]]=Control!$C$6, PV[[#This Row],[Notional Value Local Cur]], -PV[[#This Row],[Notional Value Local Cur]])</f>
        <v>0</v>
      </c>
    </row>
    <row r="8512" spans="1:5" x14ac:dyDescent="0.25">
      <c r="A8512" s="36" t="b">
        <v>0</v>
      </c>
      <c r="B8512" s="56" t="b">
        <v>0</v>
      </c>
      <c r="C8512" s="56" t="b">
        <v>0</v>
      </c>
      <c r="D8512" s="56" t="b">
        <v>0</v>
      </c>
      <c r="E8512" s="56">
        <f ca="1">IF(PV[[#This Row],[Business Date]]=Control!$C$6, PV[[#This Row],[Notional Value Local Cur]], -PV[[#This Row],[Notional Value Local Cur]])</f>
        <v>0</v>
      </c>
    </row>
    <row r="8513" spans="1:5" x14ac:dyDescent="0.25">
      <c r="A8513" s="36" t="b">
        <v>0</v>
      </c>
      <c r="B8513" s="56" t="b">
        <v>0</v>
      </c>
      <c r="C8513" s="56" t="b">
        <v>0</v>
      </c>
      <c r="D8513" s="56" t="b">
        <v>0</v>
      </c>
      <c r="E8513" s="56">
        <f ca="1">IF(PV[[#This Row],[Business Date]]=Control!$C$6, PV[[#This Row],[Notional Value Local Cur]], -PV[[#This Row],[Notional Value Local Cur]])</f>
        <v>0</v>
      </c>
    </row>
    <row r="8514" spans="1:5" x14ac:dyDescent="0.25">
      <c r="A8514" s="36" t="b">
        <v>0</v>
      </c>
      <c r="B8514" s="56" t="b">
        <v>0</v>
      </c>
      <c r="C8514" s="56" t="b">
        <v>0</v>
      </c>
      <c r="D8514" s="56" t="b">
        <v>0</v>
      </c>
      <c r="E8514" s="56">
        <f ca="1">IF(PV[[#This Row],[Business Date]]=Control!$C$6, PV[[#This Row],[Notional Value Local Cur]], -PV[[#This Row],[Notional Value Local Cur]])</f>
        <v>0</v>
      </c>
    </row>
    <row r="8515" spans="1:5" x14ac:dyDescent="0.25">
      <c r="A8515" s="36" t="b">
        <v>0</v>
      </c>
      <c r="B8515" s="56" t="b">
        <v>0</v>
      </c>
      <c r="C8515" s="56" t="b">
        <v>0</v>
      </c>
      <c r="D8515" s="56" t="b">
        <v>0</v>
      </c>
      <c r="E8515" s="56">
        <f ca="1">IF(PV[[#This Row],[Business Date]]=Control!$C$6, PV[[#This Row],[Notional Value Local Cur]], -PV[[#This Row],[Notional Value Local Cur]])</f>
        <v>0</v>
      </c>
    </row>
    <row r="8516" spans="1:5" x14ac:dyDescent="0.25">
      <c r="A8516" s="36" t="b">
        <v>0</v>
      </c>
      <c r="B8516" s="56" t="b">
        <v>0</v>
      </c>
      <c r="C8516" s="56" t="b">
        <v>0</v>
      </c>
      <c r="D8516" s="56" t="b">
        <v>0</v>
      </c>
      <c r="E8516" s="56">
        <f ca="1">IF(PV[[#This Row],[Business Date]]=Control!$C$6, PV[[#This Row],[Notional Value Local Cur]], -PV[[#This Row],[Notional Value Local Cur]])</f>
        <v>0</v>
      </c>
    </row>
    <row r="8517" spans="1:5" x14ac:dyDescent="0.25">
      <c r="A8517" s="36" t="b">
        <v>0</v>
      </c>
      <c r="B8517" s="56" t="b">
        <v>0</v>
      </c>
      <c r="C8517" s="56" t="b">
        <v>0</v>
      </c>
      <c r="D8517" s="56" t="b">
        <v>0</v>
      </c>
      <c r="E8517" s="56">
        <f ca="1">IF(PV[[#This Row],[Business Date]]=Control!$C$6, PV[[#This Row],[Notional Value Local Cur]], -PV[[#This Row],[Notional Value Local Cur]])</f>
        <v>0</v>
      </c>
    </row>
    <row r="8518" spans="1:5" x14ac:dyDescent="0.25">
      <c r="A8518" s="36" t="b">
        <v>0</v>
      </c>
      <c r="B8518" s="56" t="b">
        <v>0</v>
      </c>
      <c r="C8518" s="56" t="b">
        <v>0</v>
      </c>
      <c r="D8518" s="56" t="b">
        <v>0</v>
      </c>
      <c r="E8518" s="56">
        <f ca="1">IF(PV[[#This Row],[Business Date]]=Control!$C$6, PV[[#This Row],[Notional Value Local Cur]], -PV[[#This Row],[Notional Value Local Cur]])</f>
        <v>0</v>
      </c>
    </row>
    <row r="8519" spans="1:5" x14ac:dyDescent="0.25">
      <c r="A8519" s="36" t="b">
        <v>0</v>
      </c>
      <c r="B8519" s="56" t="b">
        <v>0</v>
      </c>
      <c r="C8519" s="56" t="b">
        <v>0</v>
      </c>
      <c r="D8519" s="56" t="b">
        <v>0</v>
      </c>
      <c r="E8519" s="56">
        <f ca="1">IF(PV[[#This Row],[Business Date]]=Control!$C$6, PV[[#This Row],[Notional Value Local Cur]], -PV[[#This Row],[Notional Value Local Cur]])</f>
        <v>0</v>
      </c>
    </row>
    <row r="8520" spans="1:5" x14ac:dyDescent="0.25">
      <c r="A8520" s="36" t="b">
        <v>0</v>
      </c>
      <c r="B8520" s="56" t="b">
        <v>0</v>
      </c>
      <c r="C8520" s="56" t="b">
        <v>0</v>
      </c>
      <c r="D8520" s="56" t="b">
        <v>0</v>
      </c>
      <c r="E8520" s="56">
        <f ca="1">IF(PV[[#This Row],[Business Date]]=Control!$C$6, PV[[#This Row],[Notional Value Local Cur]], -PV[[#This Row],[Notional Value Local Cur]])</f>
        <v>0</v>
      </c>
    </row>
    <row r="8521" spans="1:5" x14ac:dyDescent="0.25">
      <c r="A8521" s="36" t="b">
        <v>0</v>
      </c>
      <c r="B8521" s="56" t="b">
        <v>0</v>
      </c>
      <c r="C8521" s="56" t="b">
        <v>0</v>
      </c>
      <c r="D8521" s="56" t="b">
        <v>0</v>
      </c>
      <c r="E8521" s="56">
        <f ca="1">IF(PV[[#This Row],[Business Date]]=Control!$C$6, PV[[#This Row],[Notional Value Local Cur]], -PV[[#This Row],[Notional Value Local Cur]])</f>
        <v>0</v>
      </c>
    </row>
    <row r="8522" spans="1:5" x14ac:dyDescent="0.25">
      <c r="A8522" s="36" t="b">
        <v>0</v>
      </c>
      <c r="B8522" s="56" t="b">
        <v>0</v>
      </c>
      <c r="C8522" s="56" t="b">
        <v>0</v>
      </c>
      <c r="D8522" s="56" t="b">
        <v>0</v>
      </c>
      <c r="E8522" s="56">
        <f ca="1">IF(PV[[#This Row],[Business Date]]=Control!$C$6, PV[[#This Row],[Notional Value Local Cur]], -PV[[#This Row],[Notional Value Local Cur]])</f>
        <v>0</v>
      </c>
    </row>
    <row r="8523" spans="1:5" x14ac:dyDescent="0.25">
      <c r="A8523" s="36" t="b">
        <v>0</v>
      </c>
      <c r="B8523" s="56" t="b">
        <v>0</v>
      </c>
      <c r="C8523" s="56" t="b">
        <v>0</v>
      </c>
      <c r="D8523" s="56" t="b">
        <v>0</v>
      </c>
      <c r="E8523" s="56">
        <f ca="1">IF(PV[[#This Row],[Business Date]]=Control!$C$6, PV[[#This Row],[Notional Value Local Cur]], -PV[[#This Row],[Notional Value Local Cur]])</f>
        <v>0</v>
      </c>
    </row>
    <row r="8524" spans="1:5" x14ac:dyDescent="0.25">
      <c r="A8524" s="36" t="b">
        <v>0</v>
      </c>
      <c r="B8524" s="56" t="b">
        <v>0</v>
      </c>
      <c r="C8524" s="56" t="b">
        <v>0</v>
      </c>
      <c r="D8524" s="56" t="b">
        <v>0</v>
      </c>
      <c r="E8524" s="56">
        <f ca="1">IF(PV[[#This Row],[Business Date]]=Control!$C$6, PV[[#This Row],[Notional Value Local Cur]], -PV[[#This Row],[Notional Value Local Cur]])</f>
        <v>0</v>
      </c>
    </row>
    <row r="8525" spans="1:5" x14ac:dyDescent="0.25">
      <c r="A8525" s="36" t="b">
        <v>0</v>
      </c>
      <c r="B8525" s="56" t="b">
        <v>0</v>
      </c>
      <c r="C8525" s="56" t="b">
        <v>0</v>
      </c>
      <c r="D8525" s="56" t="b">
        <v>0</v>
      </c>
      <c r="E8525" s="56">
        <f ca="1">IF(PV[[#This Row],[Business Date]]=Control!$C$6, PV[[#This Row],[Notional Value Local Cur]], -PV[[#This Row],[Notional Value Local Cur]])</f>
        <v>0</v>
      </c>
    </row>
    <row r="8526" spans="1:5" x14ac:dyDescent="0.25">
      <c r="A8526" s="36" t="b">
        <v>0</v>
      </c>
      <c r="B8526" s="56" t="b">
        <v>0</v>
      </c>
      <c r="C8526" s="56" t="b">
        <v>0</v>
      </c>
      <c r="D8526" s="56" t="b">
        <v>0</v>
      </c>
      <c r="E8526" s="56">
        <f ca="1">IF(PV[[#This Row],[Business Date]]=Control!$C$6, PV[[#This Row],[Notional Value Local Cur]], -PV[[#This Row],[Notional Value Local Cur]])</f>
        <v>0</v>
      </c>
    </row>
    <row r="8527" spans="1:5" x14ac:dyDescent="0.25">
      <c r="A8527" s="36" t="b">
        <v>0</v>
      </c>
      <c r="B8527" s="56" t="b">
        <v>0</v>
      </c>
      <c r="C8527" s="56" t="b">
        <v>0</v>
      </c>
      <c r="D8527" s="56" t="b">
        <v>0</v>
      </c>
      <c r="E8527" s="56">
        <f ca="1">IF(PV[[#This Row],[Business Date]]=Control!$C$6, PV[[#This Row],[Notional Value Local Cur]], -PV[[#This Row],[Notional Value Local Cur]])</f>
        <v>0</v>
      </c>
    </row>
    <row r="8528" spans="1:5" x14ac:dyDescent="0.25">
      <c r="A8528" s="36" t="b">
        <v>0</v>
      </c>
      <c r="B8528" s="56" t="b">
        <v>0</v>
      </c>
      <c r="C8528" s="56" t="b">
        <v>0</v>
      </c>
      <c r="D8528" s="56" t="b">
        <v>0</v>
      </c>
      <c r="E8528" s="56">
        <f ca="1">IF(PV[[#This Row],[Business Date]]=Control!$C$6, PV[[#This Row],[Notional Value Local Cur]], -PV[[#This Row],[Notional Value Local Cur]])</f>
        <v>0</v>
      </c>
    </row>
    <row r="8529" spans="1:5" x14ac:dyDescent="0.25">
      <c r="A8529" s="36" t="b">
        <v>0</v>
      </c>
      <c r="B8529" s="56" t="b">
        <v>0</v>
      </c>
      <c r="C8529" s="56" t="b">
        <v>0</v>
      </c>
      <c r="D8529" s="56" t="b">
        <v>0</v>
      </c>
      <c r="E8529" s="56">
        <f ca="1">IF(PV[[#This Row],[Business Date]]=Control!$C$6, PV[[#This Row],[Notional Value Local Cur]], -PV[[#This Row],[Notional Value Local Cur]])</f>
        <v>0</v>
      </c>
    </row>
    <row r="8530" spans="1:5" x14ac:dyDescent="0.25">
      <c r="A8530" s="36" t="b">
        <v>0</v>
      </c>
      <c r="B8530" s="56" t="b">
        <v>0</v>
      </c>
      <c r="C8530" s="56" t="b">
        <v>0</v>
      </c>
      <c r="D8530" s="56" t="b">
        <v>0</v>
      </c>
      <c r="E8530" s="56">
        <f ca="1">IF(PV[[#This Row],[Business Date]]=Control!$C$6, PV[[#This Row],[Notional Value Local Cur]], -PV[[#This Row],[Notional Value Local Cur]])</f>
        <v>0</v>
      </c>
    </row>
    <row r="8531" spans="1:5" x14ac:dyDescent="0.25">
      <c r="A8531" s="36" t="b">
        <v>0</v>
      </c>
      <c r="B8531" s="56" t="b">
        <v>0</v>
      </c>
      <c r="C8531" s="56" t="b">
        <v>0</v>
      </c>
      <c r="D8531" s="56" t="b">
        <v>0</v>
      </c>
      <c r="E8531" s="56">
        <f ca="1">IF(PV[[#This Row],[Business Date]]=Control!$C$6, PV[[#This Row],[Notional Value Local Cur]], -PV[[#This Row],[Notional Value Local Cur]])</f>
        <v>0</v>
      </c>
    </row>
    <row r="8532" spans="1:5" x14ac:dyDescent="0.25">
      <c r="A8532" s="36" t="b">
        <v>0</v>
      </c>
      <c r="B8532" s="56" t="b">
        <v>0</v>
      </c>
      <c r="C8532" s="56" t="b">
        <v>0</v>
      </c>
      <c r="D8532" s="56" t="b">
        <v>0</v>
      </c>
      <c r="E8532" s="56">
        <f ca="1">IF(PV[[#This Row],[Business Date]]=Control!$C$6, PV[[#This Row],[Notional Value Local Cur]], -PV[[#This Row],[Notional Value Local Cur]])</f>
        <v>0</v>
      </c>
    </row>
    <row r="8533" spans="1:5" x14ac:dyDescent="0.25">
      <c r="A8533" s="36" t="b">
        <v>0</v>
      </c>
      <c r="B8533" s="56" t="b">
        <v>0</v>
      </c>
      <c r="C8533" s="56" t="b">
        <v>0</v>
      </c>
      <c r="D8533" s="56" t="b">
        <v>0</v>
      </c>
      <c r="E8533" s="56">
        <f ca="1">IF(PV[[#This Row],[Business Date]]=Control!$C$6, PV[[#This Row],[Notional Value Local Cur]], -PV[[#This Row],[Notional Value Local Cur]])</f>
        <v>0</v>
      </c>
    </row>
    <row r="8534" spans="1:5" x14ac:dyDescent="0.25">
      <c r="A8534" s="36" t="b">
        <v>0</v>
      </c>
      <c r="B8534" s="56" t="b">
        <v>0</v>
      </c>
      <c r="C8534" s="56" t="b">
        <v>0</v>
      </c>
      <c r="D8534" s="56" t="b">
        <v>0</v>
      </c>
      <c r="E8534" s="56">
        <f ca="1">IF(PV[[#This Row],[Business Date]]=Control!$C$6, PV[[#This Row],[Notional Value Local Cur]], -PV[[#This Row],[Notional Value Local Cur]])</f>
        <v>0</v>
      </c>
    </row>
    <row r="8535" spans="1:5" x14ac:dyDescent="0.25">
      <c r="A8535" s="36" t="b">
        <v>0</v>
      </c>
      <c r="B8535" s="56" t="b">
        <v>0</v>
      </c>
      <c r="C8535" s="56" t="b">
        <v>0</v>
      </c>
      <c r="D8535" s="56" t="b">
        <v>0</v>
      </c>
      <c r="E8535" s="56">
        <f ca="1">IF(PV[[#This Row],[Business Date]]=Control!$C$6, PV[[#This Row],[Notional Value Local Cur]], -PV[[#This Row],[Notional Value Local Cur]])</f>
        <v>0</v>
      </c>
    </row>
    <row r="8536" spans="1:5" x14ac:dyDescent="0.25">
      <c r="A8536" s="36" t="b">
        <v>0</v>
      </c>
      <c r="B8536" s="56" t="b">
        <v>0</v>
      </c>
      <c r="C8536" s="56" t="b">
        <v>0</v>
      </c>
      <c r="D8536" s="56" t="b">
        <v>0</v>
      </c>
      <c r="E8536" s="56">
        <f ca="1">IF(PV[[#This Row],[Business Date]]=Control!$C$6, PV[[#This Row],[Notional Value Local Cur]], -PV[[#This Row],[Notional Value Local Cur]])</f>
        <v>0</v>
      </c>
    </row>
    <row r="8537" spans="1:5" x14ac:dyDescent="0.25">
      <c r="A8537" s="36" t="b">
        <v>0</v>
      </c>
      <c r="B8537" s="56" t="b">
        <v>0</v>
      </c>
      <c r="C8537" s="56" t="b">
        <v>0</v>
      </c>
      <c r="D8537" s="56" t="b">
        <v>0</v>
      </c>
      <c r="E8537" s="56">
        <f ca="1">IF(PV[[#This Row],[Business Date]]=Control!$C$6, PV[[#This Row],[Notional Value Local Cur]], -PV[[#This Row],[Notional Value Local Cur]])</f>
        <v>0</v>
      </c>
    </row>
    <row r="8538" spans="1:5" x14ac:dyDescent="0.25">
      <c r="A8538" s="36" t="b">
        <v>0</v>
      </c>
      <c r="B8538" s="56" t="b">
        <v>0</v>
      </c>
      <c r="C8538" s="56" t="b">
        <v>0</v>
      </c>
      <c r="D8538" s="56" t="b">
        <v>0</v>
      </c>
      <c r="E8538" s="56">
        <f ca="1">IF(PV[[#This Row],[Business Date]]=Control!$C$6, PV[[#This Row],[Notional Value Local Cur]], -PV[[#This Row],[Notional Value Local Cur]])</f>
        <v>0</v>
      </c>
    </row>
    <row r="8539" spans="1:5" x14ac:dyDescent="0.25">
      <c r="A8539" s="36" t="b">
        <v>0</v>
      </c>
      <c r="B8539" s="56" t="b">
        <v>0</v>
      </c>
      <c r="C8539" s="56" t="b">
        <v>0</v>
      </c>
      <c r="D8539" s="56" t="b">
        <v>0</v>
      </c>
      <c r="E8539" s="56">
        <f ca="1">IF(PV[[#This Row],[Business Date]]=Control!$C$6, PV[[#This Row],[Notional Value Local Cur]], -PV[[#This Row],[Notional Value Local Cur]])</f>
        <v>0</v>
      </c>
    </row>
    <row r="8540" spans="1:5" x14ac:dyDescent="0.25">
      <c r="A8540" s="36" t="b">
        <v>0</v>
      </c>
      <c r="B8540" s="56" t="b">
        <v>0</v>
      </c>
      <c r="C8540" s="56" t="b">
        <v>0</v>
      </c>
      <c r="D8540" s="56" t="b">
        <v>0</v>
      </c>
      <c r="E8540" s="56">
        <f ca="1">IF(PV[[#This Row],[Business Date]]=Control!$C$6, PV[[#This Row],[Notional Value Local Cur]], -PV[[#This Row],[Notional Value Local Cur]])</f>
        <v>0</v>
      </c>
    </row>
    <row r="8541" spans="1:5" x14ac:dyDescent="0.25">
      <c r="A8541" s="36" t="b">
        <v>0</v>
      </c>
      <c r="B8541" s="56" t="b">
        <v>0</v>
      </c>
      <c r="C8541" s="56" t="b">
        <v>0</v>
      </c>
      <c r="D8541" s="56" t="b">
        <v>0</v>
      </c>
      <c r="E8541" s="56">
        <f ca="1">IF(PV[[#This Row],[Business Date]]=Control!$C$6, PV[[#This Row],[Notional Value Local Cur]], -PV[[#This Row],[Notional Value Local Cur]])</f>
        <v>0</v>
      </c>
    </row>
    <row r="8542" spans="1:5" x14ac:dyDescent="0.25">
      <c r="A8542" s="36" t="b">
        <v>0</v>
      </c>
      <c r="B8542" s="56" t="b">
        <v>0</v>
      </c>
      <c r="C8542" s="56" t="b">
        <v>0</v>
      </c>
      <c r="D8542" s="56" t="b">
        <v>0</v>
      </c>
      <c r="E8542" s="56">
        <f ca="1">IF(PV[[#This Row],[Business Date]]=Control!$C$6, PV[[#This Row],[Notional Value Local Cur]], -PV[[#This Row],[Notional Value Local Cur]])</f>
        <v>0</v>
      </c>
    </row>
    <row r="8543" spans="1:5" x14ac:dyDescent="0.25">
      <c r="A8543" s="36" t="b">
        <v>0</v>
      </c>
      <c r="B8543" s="56" t="b">
        <v>0</v>
      </c>
      <c r="C8543" s="56" t="b">
        <v>0</v>
      </c>
      <c r="D8543" s="56" t="b">
        <v>0</v>
      </c>
      <c r="E8543" s="56">
        <f ca="1">IF(PV[[#This Row],[Business Date]]=Control!$C$6, PV[[#This Row],[Notional Value Local Cur]], -PV[[#This Row],[Notional Value Local Cur]])</f>
        <v>0</v>
      </c>
    </row>
    <row r="8544" spans="1:5" x14ac:dyDescent="0.25">
      <c r="A8544" s="36" t="b">
        <v>0</v>
      </c>
      <c r="B8544" s="56" t="b">
        <v>0</v>
      </c>
      <c r="C8544" s="56" t="b">
        <v>0</v>
      </c>
      <c r="D8544" s="56" t="b">
        <v>0</v>
      </c>
      <c r="E8544" s="56">
        <f ca="1">IF(PV[[#This Row],[Business Date]]=Control!$C$6, PV[[#This Row],[Notional Value Local Cur]], -PV[[#This Row],[Notional Value Local Cur]])</f>
        <v>0</v>
      </c>
    </row>
    <row r="8545" spans="1:5" x14ac:dyDescent="0.25">
      <c r="A8545" s="36" t="b">
        <v>0</v>
      </c>
      <c r="B8545" s="56" t="b">
        <v>0</v>
      </c>
      <c r="C8545" s="56" t="b">
        <v>0</v>
      </c>
      <c r="D8545" s="56" t="b">
        <v>0</v>
      </c>
      <c r="E8545" s="56">
        <f ca="1">IF(PV[[#This Row],[Business Date]]=Control!$C$6, PV[[#This Row],[Notional Value Local Cur]], -PV[[#This Row],[Notional Value Local Cur]])</f>
        <v>0</v>
      </c>
    </row>
    <row r="8546" spans="1:5" x14ac:dyDescent="0.25">
      <c r="A8546" s="36" t="b">
        <v>0</v>
      </c>
      <c r="B8546" s="56" t="b">
        <v>0</v>
      </c>
      <c r="C8546" s="56" t="b">
        <v>0</v>
      </c>
      <c r="D8546" s="56" t="b">
        <v>0</v>
      </c>
      <c r="E8546" s="56">
        <f ca="1">IF(PV[[#This Row],[Business Date]]=Control!$C$6, PV[[#This Row],[Notional Value Local Cur]], -PV[[#This Row],[Notional Value Local Cur]])</f>
        <v>0</v>
      </c>
    </row>
    <row r="8547" spans="1:5" x14ac:dyDescent="0.25">
      <c r="A8547" s="36" t="b">
        <v>0</v>
      </c>
      <c r="B8547" s="56" t="b">
        <v>0</v>
      </c>
      <c r="C8547" s="56" t="b">
        <v>0</v>
      </c>
      <c r="D8547" s="56" t="b">
        <v>0</v>
      </c>
      <c r="E8547" s="56">
        <f ca="1">IF(PV[[#This Row],[Business Date]]=Control!$C$6, PV[[#This Row],[Notional Value Local Cur]], -PV[[#This Row],[Notional Value Local Cur]])</f>
        <v>0</v>
      </c>
    </row>
    <row r="8548" spans="1:5" x14ac:dyDescent="0.25">
      <c r="A8548" s="36" t="b">
        <v>0</v>
      </c>
      <c r="B8548" s="56" t="b">
        <v>0</v>
      </c>
      <c r="C8548" s="56" t="b">
        <v>0</v>
      </c>
      <c r="D8548" s="56" t="b">
        <v>0</v>
      </c>
      <c r="E8548" s="56">
        <f ca="1">IF(PV[[#This Row],[Business Date]]=Control!$C$6, PV[[#This Row],[Notional Value Local Cur]], -PV[[#This Row],[Notional Value Local Cur]])</f>
        <v>0</v>
      </c>
    </row>
    <row r="8549" spans="1:5" x14ac:dyDescent="0.25">
      <c r="A8549" s="36" t="b">
        <v>0</v>
      </c>
      <c r="B8549" s="56" t="b">
        <v>0</v>
      </c>
      <c r="C8549" s="56" t="b">
        <v>0</v>
      </c>
      <c r="D8549" s="56" t="b">
        <v>0</v>
      </c>
      <c r="E8549" s="56">
        <f ca="1">IF(PV[[#This Row],[Business Date]]=Control!$C$6, PV[[#This Row],[Notional Value Local Cur]], -PV[[#This Row],[Notional Value Local Cur]])</f>
        <v>0</v>
      </c>
    </row>
    <row r="8550" spans="1:5" x14ac:dyDescent="0.25">
      <c r="A8550" s="36" t="b">
        <v>0</v>
      </c>
      <c r="B8550" s="56" t="b">
        <v>0</v>
      </c>
      <c r="C8550" s="56" t="b">
        <v>0</v>
      </c>
      <c r="D8550" s="56" t="b">
        <v>0</v>
      </c>
      <c r="E8550" s="56">
        <f ca="1">IF(PV[[#This Row],[Business Date]]=Control!$C$6, PV[[#This Row],[Notional Value Local Cur]], -PV[[#This Row],[Notional Value Local Cur]])</f>
        <v>0</v>
      </c>
    </row>
    <row r="8551" spans="1:5" x14ac:dyDescent="0.25">
      <c r="A8551" s="36" t="b">
        <v>0</v>
      </c>
      <c r="B8551" s="56" t="b">
        <v>0</v>
      </c>
      <c r="C8551" s="56" t="b">
        <v>0</v>
      </c>
      <c r="D8551" s="56" t="b">
        <v>0</v>
      </c>
      <c r="E8551" s="56">
        <f ca="1">IF(PV[[#This Row],[Business Date]]=Control!$C$6, PV[[#This Row],[Notional Value Local Cur]], -PV[[#This Row],[Notional Value Local Cur]])</f>
        <v>0</v>
      </c>
    </row>
    <row r="8552" spans="1:5" x14ac:dyDescent="0.25">
      <c r="A8552" s="36" t="b">
        <v>0</v>
      </c>
      <c r="B8552" s="56" t="b">
        <v>0</v>
      </c>
      <c r="C8552" s="56" t="b">
        <v>0</v>
      </c>
      <c r="D8552" s="56" t="b">
        <v>0</v>
      </c>
      <c r="E8552" s="56">
        <f ca="1">IF(PV[[#This Row],[Business Date]]=Control!$C$6, PV[[#This Row],[Notional Value Local Cur]], -PV[[#This Row],[Notional Value Local Cur]])</f>
        <v>0</v>
      </c>
    </row>
    <row r="8553" spans="1:5" x14ac:dyDescent="0.25">
      <c r="A8553" s="36" t="b">
        <v>0</v>
      </c>
      <c r="B8553" s="56" t="b">
        <v>0</v>
      </c>
      <c r="C8553" s="56" t="b">
        <v>0</v>
      </c>
      <c r="D8553" s="56" t="b">
        <v>0</v>
      </c>
      <c r="E8553" s="56">
        <f ca="1">IF(PV[[#This Row],[Business Date]]=Control!$C$6, PV[[#This Row],[Notional Value Local Cur]], -PV[[#This Row],[Notional Value Local Cur]])</f>
        <v>0</v>
      </c>
    </row>
    <row r="8554" spans="1:5" x14ac:dyDescent="0.25">
      <c r="A8554" s="36" t="b">
        <v>0</v>
      </c>
      <c r="B8554" s="56" t="b">
        <v>0</v>
      </c>
      <c r="C8554" s="56" t="b">
        <v>0</v>
      </c>
      <c r="D8554" s="56" t="b">
        <v>0</v>
      </c>
      <c r="E8554" s="56">
        <f ca="1">IF(PV[[#This Row],[Business Date]]=Control!$C$6, PV[[#This Row],[Notional Value Local Cur]], -PV[[#This Row],[Notional Value Local Cur]])</f>
        <v>0</v>
      </c>
    </row>
    <row r="8555" spans="1:5" x14ac:dyDescent="0.25">
      <c r="A8555" s="36" t="b">
        <v>0</v>
      </c>
      <c r="B8555" s="56" t="b">
        <v>0</v>
      </c>
      <c r="C8555" s="56" t="b">
        <v>0</v>
      </c>
      <c r="D8555" s="56" t="b">
        <v>0</v>
      </c>
      <c r="E8555" s="56">
        <f ca="1">IF(PV[[#This Row],[Business Date]]=Control!$C$6, PV[[#This Row],[Notional Value Local Cur]], -PV[[#This Row],[Notional Value Local Cur]])</f>
        <v>0</v>
      </c>
    </row>
    <row r="8556" spans="1:5" x14ac:dyDescent="0.25">
      <c r="A8556" s="36" t="b">
        <v>0</v>
      </c>
      <c r="B8556" s="56" t="b">
        <v>0</v>
      </c>
      <c r="C8556" s="56" t="b">
        <v>0</v>
      </c>
      <c r="D8556" s="56" t="b">
        <v>0</v>
      </c>
      <c r="E8556" s="56">
        <f ca="1">IF(PV[[#This Row],[Business Date]]=Control!$C$6, PV[[#This Row],[Notional Value Local Cur]], -PV[[#This Row],[Notional Value Local Cur]])</f>
        <v>0</v>
      </c>
    </row>
    <row r="8557" spans="1:5" x14ac:dyDescent="0.25">
      <c r="A8557" s="36" t="b">
        <v>0</v>
      </c>
      <c r="B8557" s="56" t="b">
        <v>0</v>
      </c>
      <c r="C8557" s="56" t="b">
        <v>0</v>
      </c>
      <c r="D8557" s="56" t="b">
        <v>0</v>
      </c>
      <c r="E8557" s="56">
        <f ca="1">IF(PV[[#This Row],[Business Date]]=Control!$C$6, PV[[#This Row],[Notional Value Local Cur]], -PV[[#This Row],[Notional Value Local Cur]])</f>
        <v>0</v>
      </c>
    </row>
    <row r="8558" spans="1:5" x14ac:dyDescent="0.25">
      <c r="A8558" s="36" t="b">
        <v>0</v>
      </c>
      <c r="B8558" s="56" t="b">
        <v>0</v>
      </c>
      <c r="C8558" s="56" t="b">
        <v>0</v>
      </c>
      <c r="D8558" s="56" t="b">
        <v>0</v>
      </c>
      <c r="E8558" s="56">
        <f ca="1">IF(PV[[#This Row],[Business Date]]=Control!$C$6, PV[[#This Row],[Notional Value Local Cur]], -PV[[#This Row],[Notional Value Local Cur]])</f>
        <v>0</v>
      </c>
    </row>
    <row r="8559" spans="1:5" x14ac:dyDescent="0.25">
      <c r="A8559" s="36" t="b">
        <v>0</v>
      </c>
      <c r="B8559" s="56" t="b">
        <v>0</v>
      </c>
      <c r="C8559" s="56" t="b">
        <v>0</v>
      </c>
      <c r="D8559" s="56" t="b">
        <v>0</v>
      </c>
      <c r="E8559" s="56">
        <f ca="1">IF(PV[[#This Row],[Business Date]]=Control!$C$6, PV[[#This Row],[Notional Value Local Cur]], -PV[[#This Row],[Notional Value Local Cur]])</f>
        <v>0</v>
      </c>
    </row>
    <row r="8560" spans="1:5" x14ac:dyDescent="0.25">
      <c r="A8560" s="36" t="b">
        <v>0</v>
      </c>
      <c r="B8560" s="56" t="b">
        <v>0</v>
      </c>
      <c r="C8560" s="56" t="b">
        <v>0</v>
      </c>
      <c r="D8560" s="56" t="b">
        <v>0</v>
      </c>
      <c r="E8560" s="56">
        <f ca="1">IF(PV[[#This Row],[Business Date]]=Control!$C$6, PV[[#This Row],[Notional Value Local Cur]], -PV[[#This Row],[Notional Value Local Cur]])</f>
        <v>0</v>
      </c>
    </row>
    <row r="8561" spans="1:5" x14ac:dyDescent="0.25">
      <c r="A8561" s="36" t="b">
        <v>0</v>
      </c>
      <c r="B8561" s="56" t="b">
        <v>0</v>
      </c>
      <c r="C8561" s="56" t="b">
        <v>0</v>
      </c>
      <c r="D8561" s="56" t="b">
        <v>0</v>
      </c>
      <c r="E8561" s="56">
        <f ca="1">IF(PV[[#This Row],[Business Date]]=Control!$C$6, PV[[#This Row],[Notional Value Local Cur]], -PV[[#This Row],[Notional Value Local Cur]])</f>
        <v>0</v>
      </c>
    </row>
    <row r="8562" spans="1:5" x14ac:dyDescent="0.25">
      <c r="A8562" s="36" t="b">
        <v>0</v>
      </c>
      <c r="B8562" s="56" t="b">
        <v>0</v>
      </c>
      <c r="C8562" s="56" t="b">
        <v>0</v>
      </c>
      <c r="D8562" s="56" t="b">
        <v>0</v>
      </c>
      <c r="E8562" s="56">
        <f ca="1">IF(PV[[#This Row],[Business Date]]=Control!$C$6, PV[[#This Row],[Notional Value Local Cur]], -PV[[#This Row],[Notional Value Local Cur]])</f>
        <v>0</v>
      </c>
    </row>
    <row r="8563" spans="1:5" x14ac:dyDescent="0.25">
      <c r="A8563" s="36" t="b">
        <v>0</v>
      </c>
      <c r="B8563" s="56" t="b">
        <v>0</v>
      </c>
      <c r="C8563" s="56" t="b">
        <v>0</v>
      </c>
      <c r="D8563" s="56" t="b">
        <v>0</v>
      </c>
      <c r="E8563" s="56">
        <f ca="1">IF(PV[[#This Row],[Business Date]]=Control!$C$6, PV[[#This Row],[Notional Value Local Cur]], -PV[[#This Row],[Notional Value Local Cur]])</f>
        <v>0</v>
      </c>
    </row>
    <row r="8564" spans="1:5" x14ac:dyDescent="0.25">
      <c r="A8564" s="36" t="b">
        <v>0</v>
      </c>
      <c r="B8564" s="56" t="b">
        <v>0</v>
      </c>
      <c r="C8564" s="56" t="b">
        <v>0</v>
      </c>
      <c r="D8564" s="56" t="b">
        <v>0</v>
      </c>
      <c r="E8564" s="56">
        <f ca="1">IF(PV[[#This Row],[Business Date]]=Control!$C$6, PV[[#This Row],[Notional Value Local Cur]], -PV[[#This Row],[Notional Value Local Cur]])</f>
        <v>0</v>
      </c>
    </row>
    <row r="8565" spans="1:5" x14ac:dyDescent="0.25">
      <c r="A8565" s="36" t="b">
        <v>0</v>
      </c>
      <c r="B8565" s="56" t="b">
        <v>0</v>
      </c>
      <c r="C8565" s="56" t="b">
        <v>0</v>
      </c>
      <c r="D8565" s="56" t="b">
        <v>0</v>
      </c>
      <c r="E8565" s="56">
        <f ca="1">IF(PV[[#This Row],[Business Date]]=Control!$C$6, PV[[#This Row],[Notional Value Local Cur]], -PV[[#This Row],[Notional Value Local Cur]])</f>
        <v>0</v>
      </c>
    </row>
    <row r="8566" spans="1:5" x14ac:dyDescent="0.25">
      <c r="A8566" s="36" t="b">
        <v>0</v>
      </c>
      <c r="B8566" s="56" t="b">
        <v>0</v>
      </c>
      <c r="C8566" s="56" t="b">
        <v>0</v>
      </c>
      <c r="D8566" s="56" t="b">
        <v>0</v>
      </c>
      <c r="E8566" s="56">
        <f ca="1">IF(PV[[#This Row],[Business Date]]=Control!$C$6, PV[[#This Row],[Notional Value Local Cur]], -PV[[#This Row],[Notional Value Local Cur]])</f>
        <v>0</v>
      </c>
    </row>
    <row r="8567" spans="1:5" x14ac:dyDescent="0.25">
      <c r="A8567" s="36" t="b">
        <v>0</v>
      </c>
      <c r="B8567" s="56" t="b">
        <v>0</v>
      </c>
      <c r="C8567" s="56" t="b">
        <v>0</v>
      </c>
      <c r="D8567" s="56" t="b">
        <v>0</v>
      </c>
      <c r="E8567" s="56">
        <f ca="1">IF(PV[[#This Row],[Business Date]]=Control!$C$6, PV[[#This Row],[Notional Value Local Cur]], -PV[[#This Row],[Notional Value Local Cur]])</f>
        <v>0</v>
      </c>
    </row>
    <row r="8568" spans="1:5" x14ac:dyDescent="0.25">
      <c r="A8568" s="36" t="b">
        <v>0</v>
      </c>
      <c r="B8568" s="56" t="b">
        <v>0</v>
      </c>
      <c r="C8568" s="56" t="b">
        <v>0</v>
      </c>
      <c r="D8568" s="56" t="b">
        <v>0</v>
      </c>
      <c r="E8568" s="56">
        <f ca="1">IF(PV[[#This Row],[Business Date]]=Control!$C$6, PV[[#This Row],[Notional Value Local Cur]], -PV[[#This Row],[Notional Value Local Cur]])</f>
        <v>0</v>
      </c>
    </row>
    <row r="8569" spans="1:5" x14ac:dyDescent="0.25">
      <c r="A8569" s="36" t="b">
        <v>0</v>
      </c>
      <c r="B8569" s="56" t="b">
        <v>0</v>
      </c>
      <c r="C8569" s="56" t="b">
        <v>0</v>
      </c>
      <c r="D8569" s="56" t="b">
        <v>0</v>
      </c>
      <c r="E8569" s="56">
        <f ca="1">IF(PV[[#This Row],[Business Date]]=Control!$C$6, PV[[#This Row],[Notional Value Local Cur]], -PV[[#This Row],[Notional Value Local Cur]])</f>
        <v>0</v>
      </c>
    </row>
    <row r="8570" spans="1:5" x14ac:dyDescent="0.25">
      <c r="A8570" s="36" t="b">
        <v>0</v>
      </c>
      <c r="B8570" s="56" t="b">
        <v>0</v>
      </c>
      <c r="C8570" s="56" t="b">
        <v>0</v>
      </c>
      <c r="D8570" s="56" t="b">
        <v>0</v>
      </c>
      <c r="E8570" s="56">
        <f ca="1">IF(PV[[#This Row],[Business Date]]=Control!$C$6, PV[[#This Row],[Notional Value Local Cur]], -PV[[#This Row],[Notional Value Local Cur]])</f>
        <v>0</v>
      </c>
    </row>
    <row r="8571" spans="1:5" x14ac:dyDescent="0.25">
      <c r="A8571" s="36" t="b">
        <v>0</v>
      </c>
      <c r="B8571" s="56" t="b">
        <v>0</v>
      </c>
      <c r="C8571" s="56" t="b">
        <v>0</v>
      </c>
      <c r="D8571" s="56" t="b">
        <v>0</v>
      </c>
      <c r="E8571" s="56">
        <f ca="1">IF(PV[[#This Row],[Business Date]]=Control!$C$6, PV[[#This Row],[Notional Value Local Cur]], -PV[[#This Row],[Notional Value Local Cur]])</f>
        <v>0</v>
      </c>
    </row>
    <row r="8572" spans="1:5" x14ac:dyDescent="0.25">
      <c r="A8572" s="36" t="b">
        <v>0</v>
      </c>
      <c r="B8572" s="56" t="b">
        <v>0</v>
      </c>
      <c r="C8572" s="56" t="b">
        <v>0</v>
      </c>
      <c r="D8572" s="56" t="b">
        <v>0</v>
      </c>
      <c r="E8572" s="56">
        <f ca="1">IF(PV[[#This Row],[Business Date]]=Control!$C$6, PV[[#This Row],[Notional Value Local Cur]], -PV[[#This Row],[Notional Value Local Cur]])</f>
        <v>0</v>
      </c>
    </row>
    <row r="8573" spans="1:5" x14ac:dyDescent="0.25">
      <c r="A8573" s="36" t="b">
        <v>0</v>
      </c>
      <c r="B8573" s="56" t="b">
        <v>0</v>
      </c>
      <c r="C8573" s="56" t="b">
        <v>0</v>
      </c>
      <c r="D8573" s="56" t="b">
        <v>0</v>
      </c>
      <c r="E8573" s="56">
        <f ca="1">IF(PV[[#This Row],[Business Date]]=Control!$C$6, PV[[#This Row],[Notional Value Local Cur]], -PV[[#This Row],[Notional Value Local Cur]])</f>
        <v>0</v>
      </c>
    </row>
    <row r="8574" spans="1:5" x14ac:dyDescent="0.25">
      <c r="A8574" s="36" t="b">
        <v>0</v>
      </c>
      <c r="B8574" s="56" t="b">
        <v>0</v>
      </c>
      <c r="C8574" s="56" t="b">
        <v>0</v>
      </c>
      <c r="D8574" s="56" t="b">
        <v>0</v>
      </c>
      <c r="E8574" s="56">
        <f ca="1">IF(PV[[#This Row],[Business Date]]=Control!$C$6, PV[[#This Row],[Notional Value Local Cur]], -PV[[#This Row],[Notional Value Local Cur]])</f>
        <v>0</v>
      </c>
    </row>
    <row r="8575" spans="1:5" x14ac:dyDescent="0.25">
      <c r="A8575" s="36" t="b">
        <v>0</v>
      </c>
      <c r="B8575" s="56" t="b">
        <v>0</v>
      </c>
      <c r="C8575" s="56" t="b">
        <v>0</v>
      </c>
      <c r="D8575" s="56" t="b">
        <v>0</v>
      </c>
      <c r="E8575" s="56">
        <f ca="1">IF(PV[[#This Row],[Business Date]]=Control!$C$6, PV[[#This Row],[Notional Value Local Cur]], -PV[[#This Row],[Notional Value Local Cur]])</f>
        <v>0</v>
      </c>
    </row>
    <row r="8576" spans="1:5" x14ac:dyDescent="0.25">
      <c r="A8576" s="36" t="b">
        <v>0</v>
      </c>
      <c r="B8576" s="56" t="b">
        <v>0</v>
      </c>
      <c r="C8576" s="56" t="b">
        <v>0</v>
      </c>
      <c r="D8576" s="56" t="b">
        <v>0</v>
      </c>
      <c r="E8576" s="56">
        <f ca="1">IF(PV[[#This Row],[Business Date]]=Control!$C$6, PV[[#This Row],[Notional Value Local Cur]], -PV[[#This Row],[Notional Value Local Cur]])</f>
        <v>0</v>
      </c>
    </row>
    <row r="8577" spans="1:5" x14ac:dyDescent="0.25">
      <c r="A8577" s="36" t="b">
        <v>0</v>
      </c>
      <c r="B8577" s="56" t="b">
        <v>0</v>
      </c>
      <c r="C8577" s="56" t="b">
        <v>0</v>
      </c>
      <c r="D8577" s="56" t="b">
        <v>0</v>
      </c>
      <c r="E8577" s="56">
        <f ca="1">IF(PV[[#This Row],[Business Date]]=Control!$C$6, PV[[#This Row],[Notional Value Local Cur]], -PV[[#This Row],[Notional Value Local Cur]])</f>
        <v>0</v>
      </c>
    </row>
    <row r="8578" spans="1:5" x14ac:dyDescent="0.25">
      <c r="A8578" s="36" t="b">
        <v>0</v>
      </c>
      <c r="B8578" s="56" t="b">
        <v>0</v>
      </c>
      <c r="C8578" s="56" t="b">
        <v>0</v>
      </c>
      <c r="D8578" s="56" t="b">
        <v>0</v>
      </c>
      <c r="E8578" s="56">
        <f ca="1">IF(PV[[#This Row],[Business Date]]=Control!$C$6, PV[[#This Row],[Notional Value Local Cur]], -PV[[#This Row],[Notional Value Local Cur]])</f>
        <v>0</v>
      </c>
    </row>
    <row r="8579" spans="1:5" x14ac:dyDescent="0.25">
      <c r="A8579" s="36" t="b">
        <v>0</v>
      </c>
      <c r="B8579" s="56" t="b">
        <v>0</v>
      </c>
      <c r="C8579" s="56" t="b">
        <v>0</v>
      </c>
      <c r="D8579" s="56" t="b">
        <v>0</v>
      </c>
      <c r="E8579" s="56">
        <f ca="1">IF(PV[[#This Row],[Business Date]]=Control!$C$6, PV[[#This Row],[Notional Value Local Cur]], -PV[[#This Row],[Notional Value Local Cur]])</f>
        <v>0</v>
      </c>
    </row>
    <row r="8580" spans="1:5" x14ac:dyDescent="0.25">
      <c r="A8580" s="36" t="b">
        <v>0</v>
      </c>
      <c r="B8580" s="56" t="b">
        <v>0</v>
      </c>
      <c r="C8580" s="56" t="b">
        <v>0</v>
      </c>
      <c r="D8580" s="56" t="b">
        <v>0</v>
      </c>
      <c r="E8580" s="56">
        <f ca="1">IF(PV[[#This Row],[Business Date]]=Control!$C$6, PV[[#This Row],[Notional Value Local Cur]], -PV[[#This Row],[Notional Value Local Cur]])</f>
        <v>0</v>
      </c>
    </row>
    <row r="8581" spans="1:5" x14ac:dyDescent="0.25">
      <c r="A8581" s="36" t="b">
        <v>0</v>
      </c>
      <c r="B8581" s="56" t="b">
        <v>0</v>
      </c>
      <c r="C8581" s="56" t="b">
        <v>0</v>
      </c>
      <c r="D8581" s="56" t="b">
        <v>0</v>
      </c>
      <c r="E8581" s="56">
        <f ca="1">IF(PV[[#This Row],[Business Date]]=Control!$C$6, PV[[#This Row],[Notional Value Local Cur]], -PV[[#This Row],[Notional Value Local Cur]])</f>
        <v>0</v>
      </c>
    </row>
    <row r="8582" spans="1:5" x14ac:dyDescent="0.25">
      <c r="A8582" s="36" t="b">
        <v>0</v>
      </c>
      <c r="B8582" s="56" t="b">
        <v>0</v>
      </c>
      <c r="C8582" s="56" t="b">
        <v>0</v>
      </c>
      <c r="D8582" s="56" t="b">
        <v>0</v>
      </c>
      <c r="E8582" s="56">
        <f ca="1">IF(PV[[#This Row],[Business Date]]=Control!$C$6, PV[[#This Row],[Notional Value Local Cur]], -PV[[#This Row],[Notional Value Local Cur]])</f>
        <v>0</v>
      </c>
    </row>
    <row r="8583" spans="1:5" x14ac:dyDescent="0.25">
      <c r="A8583" s="36" t="b">
        <v>0</v>
      </c>
      <c r="B8583" s="56" t="b">
        <v>0</v>
      </c>
      <c r="C8583" s="56" t="b">
        <v>0</v>
      </c>
      <c r="D8583" s="56" t="b">
        <v>0</v>
      </c>
      <c r="E8583" s="56">
        <f ca="1">IF(PV[[#This Row],[Business Date]]=Control!$C$6, PV[[#This Row],[Notional Value Local Cur]], -PV[[#This Row],[Notional Value Local Cur]])</f>
        <v>0</v>
      </c>
    </row>
    <row r="8584" spans="1:5" x14ac:dyDescent="0.25">
      <c r="A8584" s="36" t="b">
        <v>0</v>
      </c>
      <c r="B8584" s="56" t="b">
        <v>0</v>
      </c>
      <c r="C8584" s="56" t="b">
        <v>0</v>
      </c>
      <c r="D8584" s="56" t="b">
        <v>0</v>
      </c>
      <c r="E8584" s="56">
        <f ca="1">IF(PV[[#This Row],[Business Date]]=Control!$C$6, PV[[#This Row],[Notional Value Local Cur]], -PV[[#This Row],[Notional Value Local Cur]])</f>
        <v>0</v>
      </c>
    </row>
    <row r="8585" spans="1:5" x14ac:dyDescent="0.25">
      <c r="A8585" s="36" t="b">
        <v>0</v>
      </c>
      <c r="B8585" s="56" t="b">
        <v>0</v>
      </c>
      <c r="C8585" s="56" t="b">
        <v>0</v>
      </c>
      <c r="D8585" s="56" t="b">
        <v>0</v>
      </c>
      <c r="E8585" s="56">
        <f ca="1">IF(PV[[#This Row],[Business Date]]=Control!$C$6, PV[[#This Row],[Notional Value Local Cur]], -PV[[#This Row],[Notional Value Local Cur]])</f>
        <v>0</v>
      </c>
    </row>
    <row r="8586" spans="1:5" x14ac:dyDescent="0.25">
      <c r="A8586" s="36" t="b">
        <v>0</v>
      </c>
      <c r="B8586" s="56" t="b">
        <v>0</v>
      </c>
      <c r="C8586" s="56" t="b">
        <v>0</v>
      </c>
      <c r="D8586" s="56" t="b">
        <v>0</v>
      </c>
      <c r="E8586" s="56">
        <f ca="1">IF(PV[[#This Row],[Business Date]]=Control!$C$6, PV[[#This Row],[Notional Value Local Cur]], -PV[[#This Row],[Notional Value Local Cur]])</f>
        <v>0</v>
      </c>
    </row>
    <row r="8587" spans="1:5" x14ac:dyDescent="0.25">
      <c r="A8587" s="36" t="b">
        <v>0</v>
      </c>
      <c r="B8587" s="56" t="b">
        <v>0</v>
      </c>
      <c r="C8587" s="56" t="b">
        <v>0</v>
      </c>
      <c r="D8587" s="56" t="b">
        <v>0</v>
      </c>
      <c r="E8587" s="56">
        <f ca="1">IF(PV[[#This Row],[Business Date]]=Control!$C$6, PV[[#This Row],[Notional Value Local Cur]], -PV[[#This Row],[Notional Value Local Cur]])</f>
        <v>0</v>
      </c>
    </row>
    <row r="8588" spans="1:5" x14ac:dyDescent="0.25">
      <c r="A8588" s="36" t="b">
        <v>0</v>
      </c>
      <c r="B8588" s="56" t="b">
        <v>0</v>
      </c>
      <c r="C8588" s="56" t="b">
        <v>0</v>
      </c>
      <c r="D8588" s="56" t="b">
        <v>0</v>
      </c>
      <c r="E8588" s="56">
        <f ca="1">IF(PV[[#This Row],[Business Date]]=Control!$C$6, PV[[#This Row],[Notional Value Local Cur]], -PV[[#This Row],[Notional Value Local Cur]])</f>
        <v>0</v>
      </c>
    </row>
    <row r="8589" spans="1:5" x14ac:dyDescent="0.25">
      <c r="A8589" s="36" t="b">
        <v>0</v>
      </c>
      <c r="B8589" s="56" t="b">
        <v>0</v>
      </c>
      <c r="C8589" s="56" t="b">
        <v>0</v>
      </c>
      <c r="D8589" s="56" t="b">
        <v>0</v>
      </c>
      <c r="E8589" s="56">
        <f ca="1">IF(PV[[#This Row],[Business Date]]=Control!$C$6, PV[[#This Row],[Notional Value Local Cur]], -PV[[#This Row],[Notional Value Local Cur]])</f>
        <v>0</v>
      </c>
    </row>
    <row r="8590" spans="1:5" x14ac:dyDescent="0.25">
      <c r="A8590" s="36" t="b">
        <v>0</v>
      </c>
      <c r="B8590" s="56" t="b">
        <v>0</v>
      </c>
      <c r="C8590" s="56" t="b">
        <v>0</v>
      </c>
      <c r="D8590" s="56" t="b">
        <v>0</v>
      </c>
      <c r="E8590" s="56">
        <f ca="1">IF(PV[[#This Row],[Business Date]]=Control!$C$6, PV[[#This Row],[Notional Value Local Cur]], -PV[[#This Row],[Notional Value Local Cur]])</f>
        <v>0</v>
      </c>
    </row>
    <row r="8591" spans="1:5" x14ac:dyDescent="0.25">
      <c r="A8591" s="36" t="b">
        <v>0</v>
      </c>
      <c r="B8591" s="56" t="b">
        <v>0</v>
      </c>
      <c r="C8591" s="56" t="b">
        <v>0</v>
      </c>
      <c r="D8591" s="56" t="b">
        <v>0</v>
      </c>
      <c r="E8591" s="56">
        <f ca="1">IF(PV[[#This Row],[Business Date]]=Control!$C$6, PV[[#This Row],[Notional Value Local Cur]], -PV[[#This Row],[Notional Value Local Cur]])</f>
        <v>0</v>
      </c>
    </row>
    <row r="8592" spans="1:5" x14ac:dyDescent="0.25">
      <c r="A8592" s="36" t="b">
        <v>0</v>
      </c>
      <c r="B8592" s="56" t="b">
        <v>0</v>
      </c>
      <c r="C8592" s="56" t="b">
        <v>0</v>
      </c>
      <c r="D8592" s="56" t="b">
        <v>0</v>
      </c>
      <c r="E8592" s="56">
        <f ca="1">IF(PV[[#This Row],[Business Date]]=Control!$C$6, PV[[#This Row],[Notional Value Local Cur]], -PV[[#This Row],[Notional Value Local Cur]])</f>
        <v>0</v>
      </c>
    </row>
    <row r="8593" spans="1:5" x14ac:dyDescent="0.25">
      <c r="A8593" s="36" t="b">
        <v>0</v>
      </c>
      <c r="B8593" s="56" t="b">
        <v>0</v>
      </c>
      <c r="C8593" s="56" t="b">
        <v>0</v>
      </c>
      <c r="D8593" s="56" t="b">
        <v>0</v>
      </c>
      <c r="E8593" s="56">
        <f ca="1">IF(PV[[#This Row],[Business Date]]=Control!$C$6, PV[[#This Row],[Notional Value Local Cur]], -PV[[#This Row],[Notional Value Local Cur]])</f>
        <v>0</v>
      </c>
    </row>
    <row r="8594" spans="1:5" x14ac:dyDescent="0.25">
      <c r="A8594" s="36" t="b">
        <v>0</v>
      </c>
      <c r="B8594" s="56" t="b">
        <v>0</v>
      </c>
      <c r="C8594" s="56" t="b">
        <v>0</v>
      </c>
      <c r="D8594" s="56" t="b">
        <v>0</v>
      </c>
      <c r="E8594" s="56">
        <f ca="1">IF(PV[[#This Row],[Business Date]]=Control!$C$6, PV[[#This Row],[Notional Value Local Cur]], -PV[[#This Row],[Notional Value Local Cur]])</f>
        <v>0</v>
      </c>
    </row>
    <row r="8595" spans="1:5" x14ac:dyDescent="0.25">
      <c r="A8595" s="36" t="b">
        <v>0</v>
      </c>
      <c r="B8595" s="56" t="b">
        <v>0</v>
      </c>
      <c r="C8595" s="56" t="b">
        <v>0</v>
      </c>
      <c r="D8595" s="56" t="b">
        <v>0</v>
      </c>
      <c r="E8595" s="56">
        <f ca="1">IF(PV[[#This Row],[Business Date]]=Control!$C$6, PV[[#This Row],[Notional Value Local Cur]], -PV[[#This Row],[Notional Value Local Cur]])</f>
        <v>0</v>
      </c>
    </row>
    <row r="8596" spans="1:5" x14ac:dyDescent="0.25">
      <c r="A8596" s="36" t="b">
        <v>0</v>
      </c>
      <c r="B8596" s="56" t="b">
        <v>0</v>
      </c>
      <c r="C8596" s="56" t="b">
        <v>0</v>
      </c>
      <c r="D8596" s="56" t="b">
        <v>0</v>
      </c>
      <c r="E8596" s="56">
        <f ca="1">IF(PV[[#This Row],[Business Date]]=Control!$C$6, PV[[#This Row],[Notional Value Local Cur]], -PV[[#This Row],[Notional Value Local Cur]])</f>
        <v>0</v>
      </c>
    </row>
    <row r="8597" spans="1:5" x14ac:dyDescent="0.25">
      <c r="A8597" s="36" t="b">
        <v>0</v>
      </c>
      <c r="B8597" s="56" t="b">
        <v>0</v>
      </c>
      <c r="C8597" s="56" t="b">
        <v>0</v>
      </c>
      <c r="D8597" s="56" t="b">
        <v>0</v>
      </c>
      <c r="E8597" s="56">
        <f ca="1">IF(PV[[#This Row],[Business Date]]=Control!$C$6, PV[[#This Row],[Notional Value Local Cur]], -PV[[#This Row],[Notional Value Local Cur]])</f>
        <v>0</v>
      </c>
    </row>
    <row r="8598" spans="1:5" x14ac:dyDescent="0.25">
      <c r="A8598" s="36" t="b">
        <v>0</v>
      </c>
      <c r="B8598" s="56" t="b">
        <v>0</v>
      </c>
      <c r="C8598" s="56" t="b">
        <v>0</v>
      </c>
      <c r="D8598" s="56" t="b">
        <v>0</v>
      </c>
      <c r="E8598" s="56">
        <f ca="1">IF(PV[[#This Row],[Business Date]]=Control!$C$6, PV[[#This Row],[Notional Value Local Cur]], -PV[[#This Row],[Notional Value Local Cur]])</f>
        <v>0</v>
      </c>
    </row>
    <row r="8599" spans="1:5" x14ac:dyDescent="0.25">
      <c r="A8599" s="36" t="b">
        <v>0</v>
      </c>
      <c r="B8599" s="56" t="b">
        <v>0</v>
      </c>
      <c r="C8599" s="56" t="b">
        <v>0</v>
      </c>
      <c r="D8599" s="56" t="b">
        <v>0</v>
      </c>
      <c r="E8599" s="56">
        <f ca="1">IF(PV[[#This Row],[Business Date]]=Control!$C$6, PV[[#This Row],[Notional Value Local Cur]], -PV[[#This Row],[Notional Value Local Cur]])</f>
        <v>0</v>
      </c>
    </row>
    <row r="8600" spans="1:5" x14ac:dyDescent="0.25">
      <c r="A8600" s="36" t="b">
        <v>0</v>
      </c>
      <c r="B8600" s="56" t="b">
        <v>0</v>
      </c>
      <c r="C8600" s="56" t="b">
        <v>0</v>
      </c>
      <c r="D8600" s="56" t="b">
        <v>0</v>
      </c>
      <c r="E8600" s="56">
        <f ca="1">IF(PV[[#This Row],[Business Date]]=Control!$C$6, PV[[#This Row],[Notional Value Local Cur]], -PV[[#This Row],[Notional Value Local Cur]])</f>
        <v>0</v>
      </c>
    </row>
    <row r="8601" spans="1:5" x14ac:dyDescent="0.25">
      <c r="A8601" s="36" t="b">
        <v>0</v>
      </c>
      <c r="B8601" s="56" t="b">
        <v>0</v>
      </c>
      <c r="C8601" s="56" t="b">
        <v>0</v>
      </c>
      <c r="D8601" s="56" t="b">
        <v>0</v>
      </c>
      <c r="E8601" s="56">
        <f ca="1">IF(PV[[#This Row],[Business Date]]=Control!$C$6, PV[[#This Row],[Notional Value Local Cur]], -PV[[#This Row],[Notional Value Local Cur]])</f>
        <v>0</v>
      </c>
    </row>
    <row r="8602" spans="1:5" x14ac:dyDescent="0.25">
      <c r="A8602" s="36" t="b">
        <v>0</v>
      </c>
      <c r="B8602" s="56" t="b">
        <v>0</v>
      </c>
      <c r="C8602" s="56" t="b">
        <v>0</v>
      </c>
      <c r="D8602" s="56" t="b">
        <v>0</v>
      </c>
      <c r="E8602" s="56">
        <f ca="1">IF(PV[[#This Row],[Business Date]]=Control!$C$6, PV[[#This Row],[Notional Value Local Cur]], -PV[[#This Row],[Notional Value Local Cur]])</f>
        <v>0</v>
      </c>
    </row>
    <row r="8603" spans="1:5" x14ac:dyDescent="0.25">
      <c r="A8603" s="36" t="b">
        <v>0</v>
      </c>
      <c r="B8603" s="56" t="b">
        <v>0</v>
      </c>
      <c r="C8603" s="56" t="b">
        <v>0</v>
      </c>
      <c r="D8603" s="56" t="b">
        <v>0</v>
      </c>
      <c r="E8603" s="56">
        <f ca="1">IF(PV[[#This Row],[Business Date]]=Control!$C$6, PV[[#This Row],[Notional Value Local Cur]], -PV[[#This Row],[Notional Value Local Cur]])</f>
        <v>0</v>
      </c>
    </row>
    <row r="8604" spans="1:5" x14ac:dyDescent="0.25">
      <c r="A8604" s="36" t="b">
        <v>0</v>
      </c>
      <c r="B8604" s="56" t="b">
        <v>0</v>
      </c>
      <c r="C8604" s="56" t="b">
        <v>0</v>
      </c>
      <c r="D8604" s="56" t="b">
        <v>0</v>
      </c>
      <c r="E8604" s="56">
        <f ca="1">IF(PV[[#This Row],[Business Date]]=Control!$C$6, PV[[#This Row],[Notional Value Local Cur]], -PV[[#This Row],[Notional Value Local Cur]])</f>
        <v>0</v>
      </c>
    </row>
    <row r="8605" spans="1:5" x14ac:dyDescent="0.25">
      <c r="A8605" s="36" t="b">
        <v>0</v>
      </c>
      <c r="B8605" s="56" t="b">
        <v>0</v>
      </c>
      <c r="C8605" s="56" t="b">
        <v>0</v>
      </c>
      <c r="D8605" s="56" t="b">
        <v>0</v>
      </c>
      <c r="E8605" s="56">
        <f ca="1">IF(PV[[#This Row],[Business Date]]=Control!$C$6, PV[[#This Row],[Notional Value Local Cur]], -PV[[#This Row],[Notional Value Local Cur]])</f>
        <v>0</v>
      </c>
    </row>
    <row r="8606" spans="1:5" x14ac:dyDescent="0.25">
      <c r="A8606" s="36" t="b">
        <v>0</v>
      </c>
      <c r="B8606" s="56" t="b">
        <v>0</v>
      </c>
      <c r="C8606" s="56" t="b">
        <v>0</v>
      </c>
      <c r="D8606" s="56" t="b">
        <v>0</v>
      </c>
      <c r="E8606" s="56">
        <f ca="1">IF(PV[[#This Row],[Business Date]]=Control!$C$6, PV[[#This Row],[Notional Value Local Cur]], -PV[[#This Row],[Notional Value Local Cur]])</f>
        <v>0</v>
      </c>
    </row>
    <row r="8607" spans="1:5" x14ac:dyDescent="0.25">
      <c r="A8607" s="36" t="b">
        <v>0</v>
      </c>
      <c r="B8607" s="56" t="b">
        <v>0</v>
      </c>
      <c r="C8607" s="56" t="b">
        <v>0</v>
      </c>
      <c r="D8607" s="56" t="b">
        <v>0</v>
      </c>
      <c r="E8607" s="56">
        <f ca="1">IF(PV[[#This Row],[Business Date]]=Control!$C$6, PV[[#This Row],[Notional Value Local Cur]], -PV[[#This Row],[Notional Value Local Cur]])</f>
        <v>0</v>
      </c>
    </row>
    <row r="8608" spans="1:5" x14ac:dyDescent="0.25">
      <c r="A8608" s="36" t="b">
        <v>0</v>
      </c>
      <c r="B8608" s="56" t="b">
        <v>0</v>
      </c>
      <c r="C8608" s="56" t="b">
        <v>0</v>
      </c>
      <c r="D8608" s="56" t="b">
        <v>0</v>
      </c>
      <c r="E8608" s="56">
        <f ca="1">IF(PV[[#This Row],[Business Date]]=Control!$C$6, PV[[#This Row],[Notional Value Local Cur]], -PV[[#This Row],[Notional Value Local Cur]])</f>
        <v>0</v>
      </c>
    </row>
    <row r="8609" spans="1:5" x14ac:dyDescent="0.25">
      <c r="A8609" s="36" t="b">
        <v>0</v>
      </c>
      <c r="B8609" s="56" t="b">
        <v>0</v>
      </c>
      <c r="C8609" s="56" t="b">
        <v>0</v>
      </c>
      <c r="D8609" s="56" t="b">
        <v>0</v>
      </c>
      <c r="E8609" s="56">
        <f ca="1">IF(PV[[#This Row],[Business Date]]=Control!$C$6, PV[[#This Row],[Notional Value Local Cur]], -PV[[#This Row],[Notional Value Local Cur]])</f>
        <v>0</v>
      </c>
    </row>
    <row r="8610" spans="1:5" x14ac:dyDescent="0.25">
      <c r="A8610" s="36" t="b">
        <v>0</v>
      </c>
      <c r="B8610" s="56" t="b">
        <v>0</v>
      </c>
      <c r="C8610" s="56" t="b">
        <v>0</v>
      </c>
      <c r="D8610" s="56" t="b">
        <v>0</v>
      </c>
      <c r="E8610" s="56">
        <f ca="1">IF(PV[[#This Row],[Business Date]]=Control!$C$6, PV[[#This Row],[Notional Value Local Cur]], -PV[[#This Row],[Notional Value Local Cur]])</f>
        <v>0</v>
      </c>
    </row>
    <row r="8611" spans="1:5" x14ac:dyDescent="0.25">
      <c r="A8611" s="36" t="b">
        <v>0</v>
      </c>
      <c r="B8611" s="56" t="b">
        <v>0</v>
      </c>
      <c r="C8611" s="56" t="b">
        <v>0</v>
      </c>
      <c r="D8611" s="56" t="b">
        <v>0</v>
      </c>
      <c r="E8611" s="56">
        <f ca="1">IF(PV[[#This Row],[Business Date]]=Control!$C$6, PV[[#This Row],[Notional Value Local Cur]], -PV[[#This Row],[Notional Value Local Cur]])</f>
        <v>0</v>
      </c>
    </row>
    <row r="8612" spans="1:5" x14ac:dyDescent="0.25">
      <c r="A8612" s="36" t="b">
        <v>0</v>
      </c>
      <c r="B8612" s="56" t="b">
        <v>0</v>
      </c>
      <c r="C8612" s="56" t="b">
        <v>0</v>
      </c>
      <c r="D8612" s="56" t="b">
        <v>0</v>
      </c>
      <c r="E8612" s="56">
        <f ca="1">IF(PV[[#This Row],[Business Date]]=Control!$C$6, PV[[#This Row],[Notional Value Local Cur]], -PV[[#This Row],[Notional Value Local Cur]])</f>
        <v>0</v>
      </c>
    </row>
    <row r="8613" spans="1:5" x14ac:dyDescent="0.25">
      <c r="A8613" s="36" t="b">
        <v>0</v>
      </c>
      <c r="B8613" s="56" t="b">
        <v>0</v>
      </c>
      <c r="C8613" s="56" t="b">
        <v>0</v>
      </c>
      <c r="D8613" s="56" t="b">
        <v>0</v>
      </c>
      <c r="E8613" s="56">
        <f ca="1">IF(PV[[#This Row],[Business Date]]=Control!$C$6, PV[[#This Row],[Notional Value Local Cur]], -PV[[#This Row],[Notional Value Local Cur]])</f>
        <v>0</v>
      </c>
    </row>
    <row r="8614" spans="1:5" x14ac:dyDescent="0.25">
      <c r="A8614" s="36" t="b">
        <v>0</v>
      </c>
      <c r="B8614" s="56" t="b">
        <v>0</v>
      </c>
      <c r="C8614" s="56" t="b">
        <v>0</v>
      </c>
      <c r="D8614" s="56" t="b">
        <v>0</v>
      </c>
      <c r="E8614" s="56">
        <f ca="1">IF(PV[[#This Row],[Business Date]]=Control!$C$6, PV[[#This Row],[Notional Value Local Cur]], -PV[[#This Row],[Notional Value Local Cur]])</f>
        <v>0</v>
      </c>
    </row>
    <row r="8615" spans="1:5" x14ac:dyDescent="0.25">
      <c r="A8615" s="36" t="b">
        <v>0</v>
      </c>
      <c r="B8615" s="56" t="b">
        <v>0</v>
      </c>
      <c r="C8615" s="56" t="b">
        <v>0</v>
      </c>
      <c r="D8615" s="56" t="b">
        <v>0</v>
      </c>
      <c r="E8615" s="56">
        <f ca="1">IF(PV[[#This Row],[Business Date]]=Control!$C$6, PV[[#This Row],[Notional Value Local Cur]], -PV[[#This Row],[Notional Value Local Cur]])</f>
        <v>0</v>
      </c>
    </row>
    <row r="8616" spans="1:5" x14ac:dyDescent="0.25">
      <c r="A8616" s="36" t="b">
        <v>0</v>
      </c>
      <c r="B8616" s="56" t="b">
        <v>0</v>
      </c>
      <c r="C8616" s="56" t="b">
        <v>0</v>
      </c>
      <c r="D8616" s="56" t="b">
        <v>0</v>
      </c>
      <c r="E8616" s="56">
        <f ca="1">IF(PV[[#This Row],[Business Date]]=Control!$C$6, PV[[#This Row],[Notional Value Local Cur]], -PV[[#This Row],[Notional Value Local Cur]])</f>
        <v>0</v>
      </c>
    </row>
    <row r="8617" spans="1:5" x14ac:dyDescent="0.25">
      <c r="A8617" s="36" t="b">
        <v>0</v>
      </c>
      <c r="B8617" s="56" t="b">
        <v>0</v>
      </c>
      <c r="C8617" s="56" t="b">
        <v>0</v>
      </c>
      <c r="D8617" s="56" t="b">
        <v>0</v>
      </c>
      <c r="E8617" s="56">
        <f ca="1">IF(PV[[#This Row],[Business Date]]=Control!$C$6, PV[[#This Row],[Notional Value Local Cur]], -PV[[#This Row],[Notional Value Local Cur]])</f>
        <v>0</v>
      </c>
    </row>
    <row r="8618" spans="1:5" x14ac:dyDescent="0.25">
      <c r="A8618" s="36" t="b">
        <v>0</v>
      </c>
      <c r="B8618" s="56" t="b">
        <v>0</v>
      </c>
      <c r="C8618" s="56" t="b">
        <v>0</v>
      </c>
      <c r="D8618" s="56" t="b">
        <v>0</v>
      </c>
      <c r="E8618" s="56">
        <f ca="1">IF(PV[[#This Row],[Business Date]]=Control!$C$6, PV[[#This Row],[Notional Value Local Cur]], -PV[[#This Row],[Notional Value Local Cur]])</f>
        <v>0</v>
      </c>
    </row>
    <row r="8619" spans="1:5" x14ac:dyDescent="0.25">
      <c r="A8619" s="36" t="b">
        <v>0</v>
      </c>
      <c r="B8619" s="56" t="b">
        <v>0</v>
      </c>
      <c r="C8619" s="56" t="b">
        <v>0</v>
      </c>
      <c r="D8619" s="56" t="b">
        <v>0</v>
      </c>
      <c r="E8619" s="56">
        <f ca="1">IF(PV[[#This Row],[Business Date]]=Control!$C$6, PV[[#This Row],[Notional Value Local Cur]], -PV[[#This Row],[Notional Value Local Cur]])</f>
        <v>0</v>
      </c>
    </row>
    <row r="8620" spans="1:5" x14ac:dyDescent="0.25">
      <c r="A8620" s="36" t="b">
        <v>0</v>
      </c>
      <c r="B8620" s="56" t="b">
        <v>0</v>
      </c>
      <c r="C8620" s="56" t="b">
        <v>0</v>
      </c>
      <c r="D8620" s="56" t="b">
        <v>0</v>
      </c>
      <c r="E8620" s="56">
        <f ca="1">IF(PV[[#This Row],[Business Date]]=Control!$C$6, PV[[#This Row],[Notional Value Local Cur]], -PV[[#This Row],[Notional Value Local Cur]])</f>
        <v>0</v>
      </c>
    </row>
    <row r="8621" spans="1:5" x14ac:dyDescent="0.25">
      <c r="A8621" s="36" t="b">
        <v>0</v>
      </c>
      <c r="B8621" s="56" t="b">
        <v>0</v>
      </c>
      <c r="C8621" s="56" t="b">
        <v>0</v>
      </c>
      <c r="D8621" s="56" t="b">
        <v>0</v>
      </c>
      <c r="E8621" s="56">
        <f ca="1">IF(PV[[#This Row],[Business Date]]=Control!$C$6, PV[[#This Row],[Notional Value Local Cur]], -PV[[#This Row],[Notional Value Local Cur]])</f>
        <v>0</v>
      </c>
    </row>
    <row r="8622" spans="1:5" x14ac:dyDescent="0.25">
      <c r="A8622" s="36" t="b">
        <v>0</v>
      </c>
      <c r="B8622" s="56" t="b">
        <v>0</v>
      </c>
      <c r="C8622" s="56" t="b">
        <v>0</v>
      </c>
      <c r="D8622" s="56" t="b">
        <v>0</v>
      </c>
      <c r="E8622" s="56">
        <f ca="1">IF(PV[[#This Row],[Business Date]]=Control!$C$6, PV[[#This Row],[Notional Value Local Cur]], -PV[[#This Row],[Notional Value Local Cur]])</f>
        <v>0</v>
      </c>
    </row>
    <row r="8623" spans="1:5" x14ac:dyDescent="0.25">
      <c r="A8623" s="36" t="b">
        <v>0</v>
      </c>
      <c r="B8623" s="56" t="b">
        <v>0</v>
      </c>
      <c r="C8623" s="56" t="b">
        <v>0</v>
      </c>
      <c r="D8623" s="56" t="b">
        <v>0</v>
      </c>
      <c r="E8623" s="56">
        <f ca="1">IF(PV[[#This Row],[Business Date]]=Control!$C$6, PV[[#This Row],[Notional Value Local Cur]], -PV[[#This Row],[Notional Value Local Cur]])</f>
        <v>0</v>
      </c>
    </row>
    <row r="8624" spans="1:5" x14ac:dyDescent="0.25">
      <c r="A8624" s="36" t="b">
        <v>0</v>
      </c>
      <c r="B8624" s="56" t="b">
        <v>0</v>
      </c>
      <c r="C8624" s="56" t="b">
        <v>0</v>
      </c>
      <c r="D8624" s="56" t="b">
        <v>0</v>
      </c>
      <c r="E8624" s="56">
        <f ca="1">IF(PV[[#This Row],[Business Date]]=Control!$C$6, PV[[#This Row],[Notional Value Local Cur]], -PV[[#This Row],[Notional Value Local Cur]])</f>
        <v>0</v>
      </c>
    </row>
    <row r="8625" spans="1:5" x14ac:dyDescent="0.25">
      <c r="A8625" s="36" t="b">
        <v>0</v>
      </c>
      <c r="B8625" s="56" t="b">
        <v>0</v>
      </c>
      <c r="C8625" s="56" t="b">
        <v>0</v>
      </c>
      <c r="D8625" s="56" t="b">
        <v>0</v>
      </c>
      <c r="E8625" s="56">
        <f ca="1">IF(PV[[#This Row],[Business Date]]=Control!$C$6, PV[[#This Row],[Notional Value Local Cur]], -PV[[#This Row],[Notional Value Local Cur]])</f>
        <v>0</v>
      </c>
    </row>
    <row r="8626" spans="1:5" x14ac:dyDescent="0.25">
      <c r="A8626" s="36" t="b">
        <v>0</v>
      </c>
      <c r="B8626" s="56" t="b">
        <v>0</v>
      </c>
      <c r="C8626" s="56" t="b">
        <v>0</v>
      </c>
      <c r="D8626" s="56" t="b">
        <v>0</v>
      </c>
      <c r="E8626" s="56">
        <f ca="1">IF(PV[[#This Row],[Business Date]]=Control!$C$6, PV[[#This Row],[Notional Value Local Cur]], -PV[[#This Row],[Notional Value Local Cur]])</f>
        <v>0</v>
      </c>
    </row>
    <row r="8627" spans="1:5" x14ac:dyDescent="0.25">
      <c r="A8627" s="36" t="b">
        <v>0</v>
      </c>
      <c r="B8627" s="56" t="b">
        <v>0</v>
      </c>
      <c r="C8627" s="56" t="b">
        <v>0</v>
      </c>
      <c r="D8627" s="56" t="b">
        <v>0</v>
      </c>
      <c r="E8627" s="56">
        <f ca="1">IF(PV[[#This Row],[Business Date]]=Control!$C$6, PV[[#This Row],[Notional Value Local Cur]], -PV[[#This Row],[Notional Value Local Cur]])</f>
        <v>0</v>
      </c>
    </row>
    <row r="8628" spans="1:5" x14ac:dyDescent="0.25">
      <c r="A8628" s="36" t="b">
        <v>0</v>
      </c>
      <c r="B8628" s="56" t="b">
        <v>0</v>
      </c>
      <c r="C8628" s="56" t="b">
        <v>0</v>
      </c>
      <c r="D8628" s="56" t="b">
        <v>0</v>
      </c>
      <c r="E8628" s="56">
        <f ca="1">IF(PV[[#This Row],[Business Date]]=Control!$C$6, PV[[#This Row],[Notional Value Local Cur]], -PV[[#This Row],[Notional Value Local Cur]])</f>
        <v>0</v>
      </c>
    </row>
    <row r="8629" spans="1:5" x14ac:dyDescent="0.25">
      <c r="A8629" s="36" t="b">
        <v>0</v>
      </c>
      <c r="B8629" s="56" t="b">
        <v>0</v>
      </c>
      <c r="C8629" s="56" t="b">
        <v>0</v>
      </c>
      <c r="D8629" s="56" t="b">
        <v>0</v>
      </c>
      <c r="E8629" s="56">
        <f ca="1">IF(PV[[#This Row],[Business Date]]=Control!$C$6, PV[[#This Row],[Notional Value Local Cur]], -PV[[#This Row],[Notional Value Local Cur]])</f>
        <v>0</v>
      </c>
    </row>
    <row r="8630" spans="1:5" x14ac:dyDescent="0.25">
      <c r="A8630" s="36" t="b">
        <v>0</v>
      </c>
      <c r="B8630" s="56" t="b">
        <v>0</v>
      </c>
      <c r="C8630" s="56" t="b">
        <v>0</v>
      </c>
      <c r="D8630" s="56" t="b">
        <v>0</v>
      </c>
      <c r="E8630" s="56">
        <f ca="1">IF(PV[[#This Row],[Business Date]]=Control!$C$6, PV[[#This Row],[Notional Value Local Cur]], -PV[[#This Row],[Notional Value Local Cur]])</f>
        <v>0</v>
      </c>
    </row>
    <row r="8631" spans="1:5" x14ac:dyDescent="0.25">
      <c r="A8631" s="36" t="b">
        <v>0</v>
      </c>
      <c r="B8631" s="56" t="b">
        <v>0</v>
      </c>
      <c r="C8631" s="56" t="b">
        <v>0</v>
      </c>
      <c r="D8631" s="56" t="b">
        <v>0</v>
      </c>
      <c r="E8631" s="56">
        <f ca="1">IF(PV[[#This Row],[Business Date]]=Control!$C$6, PV[[#This Row],[Notional Value Local Cur]], -PV[[#This Row],[Notional Value Local Cur]])</f>
        <v>0</v>
      </c>
    </row>
    <row r="8632" spans="1:5" x14ac:dyDescent="0.25">
      <c r="A8632" s="36" t="b">
        <v>0</v>
      </c>
      <c r="B8632" s="56" t="b">
        <v>0</v>
      </c>
      <c r="C8632" s="56" t="b">
        <v>0</v>
      </c>
      <c r="D8632" s="56" t="b">
        <v>0</v>
      </c>
      <c r="E8632" s="56">
        <f ca="1">IF(PV[[#This Row],[Business Date]]=Control!$C$6, PV[[#This Row],[Notional Value Local Cur]], -PV[[#This Row],[Notional Value Local Cur]])</f>
        <v>0</v>
      </c>
    </row>
    <row r="8633" spans="1:5" x14ac:dyDescent="0.25">
      <c r="A8633" s="36" t="b">
        <v>0</v>
      </c>
      <c r="B8633" s="56" t="b">
        <v>0</v>
      </c>
      <c r="C8633" s="56" t="b">
        <v>0</v>
      </c>
      <c r="D8633" s="56" t="b">
        <v>0</v>
      </c>
      <c r="E8633" s="56">
        <f ca="1">IF(PV[[#This Row],[Business Date]]=Control!$C$6, PV[[#This Row],[Notional Value Local Cur]], -PV[[#This Row],[Notional Value Local Cur]])</f>
        <v>0</v>
      </c>
    </row>
    <row r="8634" spans="1:5" x14ac:dyDescent="0.25">
      <c r="A8634" s="36" t="b">
        <v>0</v>
      </c>
      <c r="B8634" s="56" t="b">
        <v>0</v>
      </c>
      <c r="C8634" s="56" t="b">
        <v>0</v>
      </c>
      <c r="D8634" s="56" t="b">
        <v>0</v>
      </c>
      <c r="E8634" s="56">
        <f ca="1">IF(PV[[#This Row],[Business Date]]=Control!$C$6, PV[[#This Row],[Notional Value Local Cur]], -PV[[#This Row],[Notional Value Local Cur]])</f>
        <v>0</v>
      </c>
    </row>
    <row r="8635" spans="1:5" x14ac:dyDescent="0.25">
      <c r="A8635" s="36" t="b">
        <v>0</v>
      </c>
      <c r="B8635" s="56" t="b">
        <v>0</v>
      </c>
      <c r="C8635" s="56" t="b">
        <v>0</v>
      </c>
      <c r="D8635" s="56" t="b">
        <v>0</v>
      </c>
      <c r="E8635" s="56">
        <f ca="1">IF(PV[[#This Row],[Business Date]]=Control!$C$6, PV[[#This Row],[Notional Value Local Cur]], -PV[[#This Row],[Notional Value Local Cur]])</f>
        <v>0</v>
      </c>
    </row>
    <row r="8636" spans="1:5" x14ac:dyDescent="0.25">
      <c r="A8636" s="36" t="b">
        <v>0</v>
      </c>
      <c r="B8636" s="56" t="b">
        <v>0</v>
      </c>
      <c r="C8636" s="56" t="b">
        <v>0</v>
      </c>
      <c r="D8636" s="56" t="b">
        <v>0</v>
      </c>
      <c r="E8636" s="56">
        <f ca="1">IF(PV[[#This Row],[Business Date]]=Control!$C$6, PV[[#This Row],[Notional Value Local Cur]], -PV[[#This Row],[Notional Value Local Cur]])</f>
        <v>0</v>
      </c>
    </row>
    <row r="8637" spans="1:5" x14ac:dyDescent="0.25">
      <c r="A8637" s="36" t="b">
        <v>0</v>
      </c>
      <c r="B8637" s="56" t="b">
        <v>0</v>
      </c>
      <c r="C8637" s="56" t="b">
        <v>0</v>
      </c>
      <c r="D8637" s="56" t="b">
        <v>0</v>
      </c>
      <c r="E8637" s="56">
        <f ca="1">IF(PV[[#This Row],[Business Date]]=Control!$C$6, PV[[#This Row],[Notional Value Local Cur]], -PV[[#This Row],[Notional Value Local Cur]])</f>
        <v>0</v>
      </c>
    </row>
    <row r="8638" spans="1:5" x14ac:dyDescent="0.25">
      <c r="A8638" s="36" t="b">
        <v>0</v>
      </c>
      <c r="B8638" s="56" t="b">
        <v>0</v>
      </c>
      <c r="C8638" s="56" t="b">
        <v>0</v>
      </c>
      <c r="D8638" s="56" t="b">
        <v>0</v>
      </c>
      <c r="E8638" s="56">
        <f ca="1">IF(PV[[#This Row],[Business Date]]=Control!$C$6, PV[[#This Row],[Notional Value Local Cur]], -PV[[#This Row],[Notional Value Local Cur]])</f>
        <v>0</v>
      </c>
    </row>
    <row r="8639" spans="1:5" x14ac:dyDescent="0.25">
      <c r="A8639" s="36" t="b">
        <v>0</v>
      </c>
      <c r="B8639" s="56" t="b">
        <v>0</v>
      </c>
      <c r="C8639" s="56" t="b">
        <v>0</v>
      </c>
      <c r="D8639" s="56" t="b">
        <v>0</v>
      </c>
      <c r="E8639" s="56">
        <f ca="1">IF(PV[[#This Row],[Business Date]]=Control!$C$6, PV[[#This Row],[Notional Value Local Cur]], -PV[[#This Row],[Notional Value Local Cur]])</f>
        <v>0</v>
      </c>
    </row>
    <row r="8640" spans="1:5" x14ac:dyDescent="0.25">
      <c r="A8640" s="36" t="b">
        <v>0</v>
      </c>
      <c r="B8640" s="56" t="b">
        <v>0</v>
      </c>
      <c r="C8640" s="56" t="b">
        <v>0</v>
      </c>
      <c r="D8640" s="56" t="b">
        <v>0</v>
      </c>
      <c r="E8640" s="56">
        <f ca="1">IF(PV[[#This Row],[Business Date]]=Control!$C$6, PV[[#This Row],[Notional Value Local Cur]], -PV[[#This Row],[Notional Value Local Cur]])</f>
        <v>0</v>
      </c>
    </row>
    <row r="8641" spans="1:5" x14ac:dyDescent="0.25">
      <c r="A8641" s="36" t="b">
        <v>0</v>
      </c>
      <c r="B8641" s="56" t="b">
        <v>0</v>
      </c>
      <c r="C8641" s="56" t="b">
        <v>0</v>
      </c>
      <c r="D8641" s="56" t="b">
        <v>0</v>
      </c>
      <c r="E8641" s="56">
        <f ca="1">IF(PV[[#This Row],[Business Date]]=Control!$C$6, PV[[#This Row],[Notional Value Local Cur]], -PV[[#This Row],[Notional Value Local Cur]])</f>
        <v>0</v>
      </c>
    </row>
    <row r="8642" spans="1:5" x14ac:dyDescent="0.25">
      <c r="A8642" s="36" t="b">
        <v>0</v>
      </c>
      <c r="B8642" s="56" t="b">
        <v>0</v>
      </c>
      <c r="C8642" s="56" t="b">
        <v>0</v>
      </c>
      <c r="D8642" s="56" t="b">
        <v>0</v>
      </c>
      <c r="E8642" s="56">
        <f ca="1">IF(PV[[#This Row],[Business Date]]=Control!$C$6, PV[[#This Row],[Notional Value Local Cur]], -PV[[#This Row],[Notional Value Local Cur]])</f>
        <v>0</v>
      </c>
    </row>
    <row r="8643" spans="1:5" x14ac:dyDescent="0.25">
      <c r="A8643" s="36" t="b">
        <v>0</v>
      </c>
      <c r="B8643" s="56" t="b">
        <v>0</v>
      </c>
      <c r="C8643" s="56" t="b">
        <v>0</v>
      </c>
      <c r="D8643" s="56" t="b">
        <v>0</v>
      </c>
      <c r="E8643" s="56">
        <f ca="1">IF(PV[[#This Row],[Business Date]]=Control!$C$6, PV[[#This Row],[Notional Value Local Cur]], -PV[[#This Row],[Notional Value Local Cur]])</f>
        <v>0</v>
      </c>
    </row>
    <row r="8644" spans="1:5" x14ac:dyDescent="0.25">
      <c r="A8644" s="36" t="b">
        <v>0</v>
      </c>
      <c r="B8644" s="56" t="b">
        <v>0</v>
      </c>
      <c r="C8644" s="56" t="b">
        <v>0</v>
      </c>
      <c r="D8644" s="56" t="b">
        <v>0</v>
      </c>
      <c r="E8644" s="56">
        <f ca="1">IF(PV[[#This Row],[Business Date]]=Control!$C$6, PV[[#This Row],[Notional Value Local Cur]], -PV[[#This Row],[Notional Value Local Cur]])</f>
        <v>0</v>
      </c>
    </row>
    <row r="8645" spans="1:5" x14ac:dyDescent="0.25">
      <c r="A8645" s="36" t="b">
        <v>0</v>
      </c>
      <c r="B8645" s="56" t="b">
        <v>0</v>
      </c>
      <c r="C8645" s="56" t="b">
        <v>0</v>
      </c>
      <c r="D8645" s="56" t="b">
        <v>0</v>
      </c>
      <c r="E8645" s="56">
        <f ca="1">IF(PV[[#This Row],[Business Date]]=Control!$C$6, PV[[#This Row],[Notional Value Local Cur]], -PV[[#This Row],[Notional Value Local Cur]])</f>
        <v>0</v>
      </c>
    </row>
    <row r="8646" spans="1:5" x14ac:dyDescent="0.25">
      <c r="A8646" s="36" t="b">
        <v>0</v>
      </c>
      <c r="B8646" s="56" t="b">
        <v>0</v>
      </c>
      <c r="C8646" s="56" t="b">
        <v>0</v>
      </c>
      <c r="D8646" s="56" t="b">
        <v>0</v>
      </c>
      <c r="E8646" s="56">
        <f ca="1">IF(PV[[#This Row],[Business Date]]=Control!$C$6, PV[[#This Row],[Notional Value Local Cur]], -PV[[#This Row],[Notional Value Local Cur]])</f>
        <v>0</v>
      </c>
    </row>
    <row r="8647" spans="1:5" x14ac:dyDescent="0.25">
      <c r="A8647" s="36" t="b">
        <v>0</v>
      </c>
      <c r="B8647" s="56" t="b">
        <v>0</v>
      </c>
      <c r="C8647" s="56" t="b">
        <v>0</v>
      </c>
      <c r="D8647" s="56" t="b">
        <v>0</v>
      </c>
      <c r="E8647" s="56">
        <f ca="1">IF(PV[[#This Row],[Business Date]]=Control!$C$6, PV[[#This Row],[Notional Value Local Cur]], -PV[[#This Row],[Notional Value Local Cur]])</f>
        <v>0</v>
      </c>
    </row>
    <row r="8648" spans="1:5" x14ac:dyDescent="0.25">
      <c r="A8648" s="36" t="b">
        <v>0</v>
      </c>
      <c r="B8648" s="56" t="b">
        <v>0</v>
      </c>
      <c r="C8648" s="56" t="b">
        <v>0</v>
      </c>
      <c r="D8648" s="56" t="b">
        <v>0</v>
      </c>
      <c r="E8648" s="56">
        <f ca="1">IF(PV[[#This Row],[Business Date]]=Control!$C$6, PV[[#This Row],[Notional Value Local Cur]], -PV[[#This Row],[Notional Value Local Cur]])</f>
        <v>0</v>
      </c>
    </row>
    <row r="8649" spans="1:5" x14ac:dyDescent="0.25">
      <c r="A8649" s="36" t="b">
        <v>0</v>
      </c>
      <c r="B8649" s="56" t="b">
        <v>0</v>
      </c>
      <c r="C8649" s="56" t="b">
        <v>0</v>
      </c>
      <c r="D8649" s="56" t="b">
        <v>0</v>
      </c>
      <c r="E8649" s="56">
        <f ca="1">IF(PV[[#This Row],[Business Date]]=Control!$C$6, PV[[#This Row],[Notional Value Local Cur]], -PV[[#This Row],[Notional Value Local Cur]])</f>
        <v>0</v>
      </c>
    </row>
    <row r="8650" spans="1:5" x14ac:dyDescent="0.25">
      <c r="A8650" s="36" t="b">
        <v>0</v>
      </c>
      <c r="B8650" s="56" t="b">
        <v>0</v>
      </c>
      <c r="C8650" s="56" t="b">
        <v>0</v>
      </c>
      <c r="D8650" s="56" t="b">
        <v>0</v>
      </c>
      <c r="E8650" s="56">
        <f ca="1">IF(PV[[#This Row],[Business Date]]=Control!$C$6, PV[[#This Row],[Notional Value Local Cur]], -PV[[#This Row],[Notional Value Local Cur]])</f>
        <v>0</v>
      </c>
    </row>
    <row r="8651" spans="1:5" x14ac:dyDescent="0.25">
      <c r="A8651" s="36" t="b">
        <v>0</v>
      </c>
      <c r="B8651" s="56" t="b">
        <v>0</v>
      </c>
      <c r="C8651" s="56" t="b">
        <v>0</v>
      </c>
      <c r="D8651" s="56" t="b">
        <v>0</v>
      </c>
      <c r="E8651" s="56">
        <f ca="1">IF(PV[[#This Row],[Business Date]]=Control!$C$6, PV[[#This Row],[Notional Value Local Cur]], -PV[[#This Row],[Notional Value Local Cur]])</f>
        <v>0</v>
      </c>
    </row>
    <row r="8652" spans="1:5" x14ac:dyDescent="0.25">
      <c r="A8652" s="36" t="b">
        <v>0</v>
      </c>
      <c r="B8652" s="56" t="b">
        <v>0</v>
      </c>
      <c r="C8652" s="56" t="b">
        <v>0</v>
      </c>
      <c r="D8652" s="56" t="b">
        <v>0</v>
      </c>
      <c r="E8652" s="56">
        <f ca="1">IF(PV[[#This Row],[Business Date]]=Control!$C$6, PV[[#This Row],[Notional Value Local Cur]], -PV[[#This Row],[Notional Value Local Cur]])</f>
        <v>0</v>
      </c>
    </row>
    <row r="8653" spans="1:5" x14ac:dyDescent="0.25">
      <c r="A8653" s="36" t="b">
        <v>0</v>
      </c>
      <c r="B8653" s="56" t="b">
        <v>0</v>
      </c>
      <c r="C8653" s="56" t="b">
        <v>0</v>
      </c>
      <c r="D8653" s="56" t="b">
        <v>0</v>
      </c>
      <c r="E8653" s="56">
        <f ca="1">IF(PV[[#This Row],[Business Date]]=Control!$C$6, PV[[#This Row],[Notional Value Local Cur]], -PV[[#This Row],[Notional Value Local Cur]])</f>
        <v>0</v>
      </c>
    </row>
    <row r="8654" spans="1:5" x14ac:dyDescent="0.25">
      <c r="A8654" s="36" t="b">
        <v>0</v>
      </c>
      <c r="B8654" s="56" t="b">
        <v>0</v>
      </c>
      <c r="C8654" s="56" t="b">
        <v>0</v>
      </c>
      <c r="D8654" s="56" t="b">
        <v>0</v>
      </c>
      <c r="E8654" s="56">
        <f ca="1">IF(PV[[#This Row],[Business Date]]=Control!$C$6, PV[[#This Row],[Notional Value Local Cur]], -PV[[#This Row],[Notional Value Local Cur]])</f>
        <v>0</v>
      </c>
    </row>
    <row r="8655" spans="1:5" x14ac:dyDescent="0.25">
      <c r="A8655" s="36" t="b">
        <v>0</v>
      </c>
      <c r="B8655" s="56" t="b">
        <v>0</v>
      </c>
      <c r="C8655" s="56" t="b">
        <v>0</v>
      </c>
      <c r="D8655" s="56" t="b">
        <v>0</v>
      </c>
      <c r="E8655" s="56">
        <f ca="1">IF(PV[[#This Row],[Business Date]]=Control!$C$6, PV[[#This Row],[Notional Value Local Cur]], -PV[[#This Row],[Notional Value Local Cur]])</f>
        <v>0</v>
      </c>
    </row>
    <row r="8656" spans="1:5" x14ac:dyDescent="0.25">
      <c r="A8656" s="36" t="b">
        <v>0</v>
      </c>
      <c r="B8656" s="56" t="b">
        <v>0</v>
      </c>
      <c r="C8656" s="56" t="b">
        <v>0</v>
      </c>
      <c r="D8656" s="56" t="b">
        <v>0</v>
      </c>
      <c r="E8656" s="56">
        <f ca="1">IF(PV[[#This Row],[Business Date]]=Control!$C$6, PV[[#This Row],[Notional Value Local Cur]], -PV[[#This Row],[Notional Value Local Cur]])</f>
        <v>0</v>
      </c>
    </row>
    <row r="8657" spans="1:5" x14ac:dyDescent="0.25">
      <c r="A8657" s="36" t="b">
        <v>0</v>
      </c>
      <c r="B8657" s="56" t="b">
        <v>0</v>
      </c>
      <c r="C8657" s="56" t="b">
        <v>0</v>
      </c>
      <c r="D8657" s="56" t="b">
        <v>0</v>
      </c>
      <c r="E8657" s="56">
        <f ca="1">IF(PV[[#This Row],[Business Date]]=Control!$C$6, PV[[#This Row],[Notional Value Local Cur]], -PV[[#This Row],[Notional Value Local Cur]])</f>
        <v>0</v>
      </c>
    </row>
    <row r="8658" spans="1:5" x14ac:dyDescent="0.25">
      <c r="A8658" s="36" t="b">
        <v>0</v>
      </c>
      <c r="B8658" s="56" t="b">
        <v>0</v>
      </c>
      <c r="C8658" s="56" t="b">
        <v>0</v>
      </c>
      <c r="D8658" s="56" t="b">
        <v>0</v>
      </c>
      <c r="E8658" s="56">
        <f ca="1">IF(PV[[#This Row],[Business Date]]=Control!$C$6, PV[[#This Row],[Notional Value Local Cur]], -PV[[#This Row],[Notional Value Local Cur]])</f>
        <v>0</v>
      </c>
    </row>
    <row r="8659" spans="1:5" x14ac:dyDescent="0.25">
      <c r="A8659" s="36" t="b">
        <v>0</v>
      </c>
      <c r="B8659" s="56" t="b">
        <v>0</v>
      </c>
      <c r="C8659" s="56" t="b">
        <v>0</v>
      </c>
      <c r="D8659" s="56" t="b">
        <v>0</v>
      </c>
      <c r="E8659" s="56">
        <f ca="1">IF(PV[[#This Row],[Business Date]]=Control!$C$6, PV[[#This Row],[Notional Value Local Cur]], -PV[[#This Row],[Notional Value Local Cur]])</f>
        <v>0</v>
      </c>
    </row>
    <row r="8660" spans="1:5" x14ac:dyDescent="0.25">
      <c r="A8660" s="36" t="b">
        <v>0</v>
      </c>
      <c r="B8660" s="56" t="b">
        <v>0</v>
      </c>
      <c r="C8660" s="56" t="b">
        <v>0</v>
      </c>
      <c r="D8660" s="56" t="b">
        <v>0</v>
      </c>
      <c r="E8660" s="56">
        <f ca="1">IF(PV[[#This Row],[Business Date]]=Control!$C$6, PV[[#This Row],[Notional Value Local Cur]], -PV[[#This Row],[Notional Value Local Cur]])</f>
        <v>0</v>
      </c>
    </row>
    <row r="8661" spans="1:5" x14ac:dyDescent="0.25">
      <c r="A8661" s="36" t="b">
        <v>0</v>
      </c>
      <c r="B8661" s="56" t="b">
        <v>0</v>
      </c>
      <c r="C8661" s="56" t="b">
        <v>0</v>
      </c>
      <c r="D8661" s="56" t="b">
        <v>0</v>
      </c>
      <c r="E8661" s="56">
        <f ca="1">IF(PV[[#This Row],[Business Date]]=Control!$C$6, PV[[#This Row],[Notional Value Local Cur]], -PV[[#This Row],[Notional Value Local Cur]])</f>
        <v>0</v>
      </c>
    </row>
    <row r="8662" spans="1:5" x14ac:dyDescent="0.25">
      <c r="A8662" s="36" t="b">
        <v>0</v>
      </c>
      <c r="B8662" s="56" t="b">
        <v>0</v>
      </c>
      <c r="C8662" s="56" t="b">
        <v>0</v>
      </c>
      <c r="D8662" s="56" t="b">
        <v>0</v>
      </c>
      <c r="E8662" s="56">
        <f ca="1">IF(PV[[#This Row],[Business Date]]=Control!$C$6, PV[[#This Row],[Notional Value Local Cur]], -PV[[#This Row],[Notional Value Local Cur]])</f>
        <v>0</v>
      </c>
    </row>
    <row r="8663" spans="1:5" x14ac:dyDescent="0.25">
      <c r="A8663" s="36" t="b">
        <v>0</v>
      </c>
      <c r="B8663" s="56" t="b">
        <v>0</v>
      </c>
      <c r="C8663" s="56" t="b">
        <v>0</v>
      </c>
      <c r="D8663" s="56" t="b">
        <v>0</v>
      </c>
      <c r="E8663" s="56">
        <f ca="1">IF(PV[[#This Row],[Business Date]]=Control!$C$6, PV[[#This Row],[Notional Value Local Cur]], -PV[[#This Row],[Notional Value Local Cur]])</f>
        <v>0</v>
      </c>
    </row>
    <row r="8664" spans="1:5" x14ac:dyDescent="0.25">
      <c r="A8664" s="36" t="b">
        <v>0</v>
      </c>
      <c r="B8664" s="56" t="b">
        <v>0</v>
      </c>
      <c r="C8664" s="56" t="b">
        <v>0</v>
      </c>
      <c r="D8664" s="56" t="b">
        <v>0</v>
      </c>
      <c r="E8664" s="56">
        <f ca="1">IF(PV[[#This Row],[Business Date]]=Control!$C$6, PV[[#This Row],[Notional Value Local Cur]], -PV[[#This Row],[Notional Value Local Cur]])</f>
        <v>0</v>
      </c>
    </row>
    <row r="8665" spans="1:5" x14ac:dyDescent="0.25">
      <c r="A8665" s="36" t="b">
        <v>0</v>
      </c>
      <c r="B8665" s="56" t="b">
        <v>0</v>
      </c>
      <c r="C8665" s="56" t="b">
        <v>0</v>
      </c>
      <c r="D8665" s="56" t="b">
        <v>0</v>
      </c>
      <c r="E8665" s="56">
        <f ca="1">IF(PV[[#This Row],[Business Date]]=Control!$C$6, PV[[#This Row],[Notional Value Local Cur]], -PV[[#This Row],[Notional Value Local Cur]])</f>
        <v>0</v>
      </c>
    </row>
    <row r="8666" spans="1:5" x14ac:dyDescent="0.25">
      <c r="A8666" s="36" t="b">
        <v>0</v>
      </c>
      <c r="B8666" s="56" t="b">
        <v>0</v>
      </c>
      <c r="C8666" s="56" t="b">
        <v>0</v>
      </c>
      <c r="D8666" s="56" t="b">
        <v>0</v>
      </c>
      <c r="E8666" s="56">
        <f ca="1">IF(PV[[#This Row],[Business Date]]=Control!$C$6, PV[[#This Row],[Notional Value Local Cur]], -PV[[#This Row],[Notional Value Local Cur]])</f>
        <v>0</v>
      </c>
    </row>
    <row r="8667" spans="1:5" x14ac:dyDescent="0.25">
      <c r="A8667" s="36" t="b">
        <v>0</v>
      </c>
      <c r="B8667" s="56" t="b">
        <v>0</v>
      </c>
      <c r="C8667" s="56" t="b">
        <v>0</v>
      </c>
      <c r="D8667" s="56" t="b">
        <v>0</v>
      </c>
      <c r="E8667" s="56">
        <f ca="1">IF(PV[[#This Row],[Business Date]]=Control!$C$6, PV[[#This Row],[Notional Value Local Cur]], -PV[[#This Row],[Notional Value Local Cur]])</f>
        <v>0</v>
      </c>
    </row>
    <row r="8668" spans="1:5" x14ac:dyDescent="0.25">
      <c r="A8668" s="36" t="b">
        <v>0</v>
      </c>
      <c r="B8668" s="56" t="b">
        <v>0</v>
      </c>
      <c r="C8668" s="56" t="b">
        <v>0</v>
      </c>
      <c r="D8668" s="56" t="b">
        <v>0</v>
      </c>
      <c r="E8668" s="56">
        <f ca="1">IF(PV[[#This Row],[Business Date]]=Control!$C$6, PV[[#This Row],[Notional Value Local Cur]], -PV[[#This Row],[Notional Value Local Cur]])</f>
        <v>0</v>
      </c>
    </row>
    <row r="8669" spans="1:5" x14ac:dyDescent="0.25">
      <c r="A8669" s="36" t="b">
        <v>0</v>
      </c>
      <c r="B8669" s="56" t="b">
        <v>0</v>
      </c>
      <c r="C8669" s="56" t="b">
        <v>0</v>
      </c>
      <c r="D8669" s="56" t="b">
        <v>0</v>
      </c>
      <c r="E8669" s="56">
        <f ca="1">IF(PV[[#This Row],[Business Date]]=Control!$C$6, PV[[#This Row],[Notional Value Local Cur]], -PV[[#This Row],[Notional Value Local Cur]])</f>
        <v>0</v>
      </c>
    </row>
    <row r="8670" spans="1:5" x14ac:dyDescent="0.25">
      <c r="A8670" s="36" t="b">
        <v>0</v>
      </c>
      <c r="B8670" s="56" t="b">
        <v>0</v>
      </c>
      <c r="C8670" s="56" t="b">
        <v>0</v>
      </c>
      <c r="D8670" s="56" t="b">
        <v>0</v>
      </c>
      <c r="E8670" s="56">
        <f ca="1">IF(PV[[#This Row],[Business Date]]=Control!$C$6, PV[[#This Row],[Notional Value Local Cur]], -PV[[#This Row],[Notional Value Local Cur]])</f>
        <v>0</v>
      </c>
    </row>
    <row r="8671" spans="1:5" x14ac:dyDescent="0.25">
      <c r="A8671" s="36" t="b">
        <v>0</v>
      </c>
      <c r="B8671" s="56" t="b">
        <v>0</v>
      </c>
      <c r="C8671" s="56" t="b">
        <v>0</v>
      </c>
      <c r="D8671" s="56" t="b">
        <v>0</v>
      </c>
      <c r="E8671" s="56">
        <f ca="1">IF(PV[[#This Row],[Business Date]]=Control!$C$6, PV[[#This Row],[Notional Value Local Cur]], -PV[[#This Row],[Notional Value Local Cur]])</f>
        <v>0</v>
      </c>
    </row>
    <row r="8672" spans="1:5" x14ac:dyDescent="0.25">
      <c r="A8672" s="36" t="b">
        <v>0</v>
      </c>
      <c r="B8672" s="56" t="b">
        <v>0</v>
      </c>
      <c r="C8672" s="56" t="b">
        <v>0</v>
      </c>
      <c r="D8672" s="56" t="b">
        <v>0</v>
      </c>
      <c r="E8672" s="56">
        <f ca="1">IF(PV[[#This Row],[Business Date]]=Control!$C$6, PV[[#This Row],[Notional Value Local Cur]], -PV[[#This Row],[Notional Value Local Cur]])</f>
        <v>0</v>
      </c>
    </row>
    <row r="8673" spans="1:5" x14ac:dyDescent="0.25">
      <c r="A8673" s="36" t="b">
        <v>0</v>
      </c>
      <c r="B8673" s="56" t="b">
        <v>0</v>
      </c>
      <c r="C8673" s="56" t="b">
        <v>0</v>
      </c>
      <c r="D8673" s="56" t="b">
        <v>0</v>
      </c>
      <c r="E8673" s="56">
        <f ca="1">IF(PV[[#This Row],[Business Date]]=Control!$C$6, PV[[#This Row],[Notional Value Local Cur]], -PV[[#This Row],[Notional Value Local Cur]])</f>
        <v>0</v>
      </c>
    </row>
    <row r="8674" spans="1:5" x14ac:dyDescent="0.25">
      <c r="A8674" s="36" t="b">
        <v>0</v>
      </c>
      <c r="B8674" s="56" t="b">
        <v>0</v>
      </c>
      <c r="C8674" s="56" t="b">
        <v>0</v>
      </c>
      <c r="D8674" s="56" t="b">
        <v>0</v>
      </c>
      <c r="E8674" s="56">
        <f ca="1">IF(PV[[#This Row],[Business Date]]=Control!$C$6, PV[[#This Row],[Notional Value Local Cur]], -PV[[#This Row],[Notional Value Local Cur]])</f>
        <v>0</v>
      </c>
    </row>
    <row r="8675" spans="1:5" x14ac:dyDescent="0.25">
      <c r="A8675" s="36" t="b">
        <v>0</v>
      </c>
      <c r="B8675" s="56" t="b">
        <v>0</v>
      </c>
      <c r="C8675" s="56" t="b">
        <v>0</v>
      </c>
      <c r="D8675" s="56" t="b">
        <v>0</v>
      </c>
      <c r="E8675" s="56">
        <f ca="1">IF(PV[[#This Row],[Business Date]]=Control!$C$6, PV[[#This Row],[Notional Value Local Cur]], -PV[[#This Row],[Notional Value Local Cur]])</f>
        <v>0</v>
      </c>
    </row>
    <row r="8676" spans="1:5" x14ac:dyDescent="0.25">
      <c r="A8676" s="36" t="b">
        <v>0</v>
      </c>
      <c r="B8676" s="56" t="b">
        <v>0</v>
      </c>
      <c r="C8676" s="56" t="b">
        <v>0</v>
      </c>
      <c r="D8676" s="56" t="b">
        <v>0</v>
      </c>
      <c r="E8676" s="56">
        <f ca="1">IF(PV[[#This Row],[Business Date]]=Control!$C$6, PV[[#This Row],[Notional Value Local Cur]], -PV[[#This Row],[Notional Value Local Cur]])</f>
        <v>0</v>
      </c>
    </row>
    <row r="8677" spans="1:5" x14ac:dyDescent="0.25">
      <c r="A8677" s="36" t="b">
        <v>0</v>
      </c>
      <c r="B8677" s="56" t="b">
        <v>0</v>
      </c>
      <c r="C8677" s="56" t="b">
        <v>0</v>
      </c>
      <c r="D8677" s="56" t="b">
        <v>0</v>
      </c>
      <c r="E8677" s="56">
        <f ca="1">IF(PV[[#This Row],[Business Date]]=Control!$C$6, PV[[#This Row],[Notional Value Local Cur]], -PV[[#This Row],[Notional Value Local Cur]])</f>
        <v>0</v>
      </c>
    </row>
    <row r="8678" spans="1:5" x14ac:dyDescent="0.25">
      <c r="A8678" s="36" t="b">
        <v>0</v>
      </c>
      <c r="B8678" s="56" t="b">
        <v>0</v>
      </c>
      <c r="C8678" s="56" t="b">
        <v>0</v>
      </c>
      <c r="D8678" s="56" t="b">
        <v>0</v>
      </c>
      <c r="E8678" s="56">
        <f ca="1">IF(PV[[#This Row],[Business Date]]=Control!$C$6, PV[[#This Row],[Notional Value Local Cur]], -PV[[#This Row],[Notional Value Local Cur]])</f>
        <v>0</v>
      </c>
    </row>
    <row r="8679" spans="1:5" x14ac:dyDescent="0.25">
      <c r="A8679" s="36" t="b">
        <v>0</v>
      </c>
      <c r="B8679" s="56" t="b">
        <v>0</v>
      </c>
      <c r="C8679" s="56" t="b">
        <v>0</v>
      </c>
      <c r="D8679" s="56" t="b">
        <v>0</v>
      </c>
      <c r="E8679" s="56">
        <f ca="1">IF(PV[[#This Row],[Business Date]]=Control!$C$6, PV[[#This Row],[Notional Value Local Cur]], -PV[[#This Row],[Notional Value Local Cur]])</f>
        <v>0</v>
      </c>
    </row>
    <row r="8680" spans="1:5" x14ac:dyDescent="0.25">
      <c r="A8680" s="36" t="b">
        <v>0</v>
      </c>
      <c r="B8680" s="56" t="b">
        <v>0</v>
      </c>
      <c r="C8680" s="56" t="b">
        <v>0</v>
      </c>
      <c r="D8680" s="56" t="b">
        <v>0</v>
      </c>
      <c r="E8680" s="56">
        <f ca="1">IF(PV[[#This Row],[Business Date]]=Control!$C$6, PV[[#This Row],[Notional Value Local Cur]], -PV[[#This Row],[Notional Value Local Cur]])</f>
        <v>0</v>
      </c>
    </row>
    <row r="8681" spans="1:5" x14ac:dyDescent="0.25">
      <c r="A8681" s="36" t="b">
        <v>0</v>
      </c>
      <c r="B8681" s="56" t="b">
        <v>0</v>
      </c>
      <c r="C8681" s="56" t="b">
        <v>0</v>
      </c>
      <c r="D8681" s="56" t="b">
        <v>0</v>
      </c>
      <c r="E8681" s="56">
        <f ca="1">IF(PV[[#This Row],[Business Date]]=Control!$C$6, PV[[#This Row],[Notional Value Local Cur]], -PV[[#This Row],[Notional Value Local Cur]])</f>
        <v>0</v>
      </c>
    </row>
    <row r="8682" spans="1:5" x14ac:dyDescent="0.25">
      <c r="A8682" s="36" t="b">
        <v>0</v>
      </c>
      <c r="B8682" s="56" t="b">
        <v>0</v>
      </c>
      <c r="C8682" s="56" t="b">
        <v>0</v>
      </c>
      <c r="D8682" s="56" t="b">
        <v>0</v>
      </c>
      <c r="E8682" s="56">
        <f ca="1">IF(PV[[#This Row],[Business Date]]=Control!$C$6, PV[[#This Row],[Notional Value Local Cur]], -PV[[#This Row],[Notional Value Local Cur]])</f>
        <v>0</v>
      </c>
    </row>
    <row r="8683" spans="1:5" x14ac:dyDescent="0.25">
      <c r="A8683" s="36" t="b">
        <v>0</v>
      </c>
      <c r="B8683" s="56" t="b">
        <v>0</v>
      </c>
      <c r="C8683" s="56" t="b">
        <v>0</v>
      </c>
      <c r="D8683" s="56" t="b">
        <v>0</v>
      </c>
      <c r="E8683" s="56">
        <f ca="1">IF(PV[[#This Row],[Business Date]]=Control!$C$6, PV[[#This Row],[Notional Value Local Cur]], -PV[[#This Row],[Notional Value Local Cur]])</f>
        <v>0</v>
      </c>
    </row>
    <row r="8684" spans="1:5" x14ac:dyDescent="0.25">
      <c r="A8684" s="36" t="b">
        <v>0</v>
      </c>
      <c r="B8684" s="56" t="b">
        <v>0</v>
      </c>
      <c r="C8684" s="56" t="b">
        <v>0</v>
      </c>
      <c r="D8684" s="56" t="b">
        <v>0</v>
      </c>
      <c r="E8684" s="56">
        <f ca="1">IF(PV[[#This Row],[Business Date]]=Control!$C$6, PV[[#This Row],[Notional Value Local Cur]], -PV[[#This Row],[Notional Value Local Cur]])</f>
        <v>0</v>
      </c>
    </row>
    <row r="8685" spans="1:5" x14ac:dyDescent="0.25">
      <c r="A8685" s="36" t="b">
        <v>0</v>
      </c>
      <c r="B8685" s="56" t="b">
        <v>0</v>
      </c>
      <c r="C8685" s="56" t="b">
        <v>0</v>
      </c>
      <c r="D8685" s="56" t="b">
        <v>0</v>
      </c>
      <c r="E8685" s="56">
        <f ca="1">IF(PV[[#This Row],[Business Date]]=Control!$C$6, PV[[#This Row],[Notional Value Local Cur]], -PV[[#This Row],[Notional Value Local Cur]])</f>
        <v>0</v>
      </c>
    </row>
    <row r="8686" spans="1:5" x14ac:dyDescent="0.25">
      <c r="A8686" s="36" t="b">
        <v>0</v>
      </c>
      <c r="B8686" s="56" t="b">
        <v>0</v>
      </c>
      <c r="C8686" s="56" t="b">
        <v>0</v>
      </c>
      <c r="D8686" s="56" t="b">
        <v>0</v>
      </c>
      <c r="E8686" s="56">
        <f ca="1">IF(PV[[#This Row],[Business Date]]=Control!$C$6, PV[[#This Row],[Notional Value Local Cur]], -PV[[#This Row],[Notional Value Local Cur]])</f>
        <v>0</v>
      </c>
    </row>
    <row r="8687" spans="1:5" x14ac:dyDescent="0.25">
      <c r="A8687" s="36" t="b">
        <v>0</v>
      </c>
      <c r="B8687" s="56" t="b">
        <v>0</v>
      </c>
      <c r="C8687" s="56" t="b">
        <v>0</v>
      </c>
      <c r="D8687" s="56" t="b">
        <v>0</v>
      </c>
      <c r="E8687" s="56">
        <f ca="1">IF(PV[[#This Row],[Business Date]]=Control!$C$6, PV[[#This Row],[Notional Value Local Cur]], -PV[[#This Row],[Notional Value Local Cur]])</f>
        <v>0</v>
      </c>
    </row>
    <row r="8688" spans="1:5" x14ac:dyDescent="0.25">
      <c r="A8688" s="36" t="b">
        <v>0</v>
      </c>
      <c r="B8688" s="56" t="b">
        <v>0</v>
      </c>
      <c r="C8688" s="56" t="b">
        <v>0</v>
      </c>
      <c r="D8688" s="56" t="b">
        <v>0</v>
      </c>
      <c r="E8688" s="56">
        <f ca="1">IF(PV[[#This Row],[Business Date]]=Control!$C$6, PV[[#This Row],[Notional Value Local Cur]], -PV[[#This Row],[Notional Value Local Cur]])</f>
        <v>0</v>
      </c>
    </row>
    <row r="8689" spans="1:5" x14ac:dyDescent="0.25">
      <c r="A8689" s="36" t="b">
        <v>0</v>
      </c>
      <c r="B8689" s="56" t="b">
        <v>0</v>
      </c>
      <c r="C8689" s="56" t="b">
        <v>0</v>
      </c>
      <c r="D8689" s="56" t="b">
        <v>0</v>
      </c>
      <c r="E8689" s="56">
        <f ca="1">IF(PV[[#This Row],[Business Date]]=Control!$C$6, PV[[#This Row],[Notional Value Local Cur]], -PV[[#This Row],[Notional Value Local Cur]])</f>
        <v>0</v>
      </c>
    </row>
    <row r="8690" spans="1:5" x14ac:dyDescent="0.25">
      <c r="A8690" s="36" t="b">
        <v>0</v>
      </c>
      <c r="B8690" s="56" t="b">
        <v>0</v>
      </c>
      <c r="C8690" s="56" t="b">
        <v>0</v>
      </c>
      <c r="D8690" s="56" t="b">
        <v>0</v>
      </c>
      <c r="E8690" s="56">
        <f ca="1">IF(PV[[#This Row],[Business Date]]=Control!$C$6, PV[[#This Row],[Notional Value Local Cur]], -PV[[#This Row],[Notional Value Local Cur]])</f>
        <v>0</v>
      </c>
    </row>
    <row r="8691" spans="1:5" x14ac:dyDescent="0.25">
      <c r="A8691" s="36" t="b">
        <v>0</v>
      </c>
      <c r="B8691" s="56" t="b">
        <v>0</v>
      </c>
      <c r="C8691" s="56" t="b">
        <v>0</v>
      </c>
      <c r="D8691" s="56" t="b">
        <v>0</v>
      </c>
      <c r="E8691" s="56">
        <f ca="1">IF(PV[[#This Row],[Business Date]]=Control!$C$6, PV[[#This Row],[Notional Value Local Cur]], -PV[[#This Row],[Notional Value Local Cur]])</f>
        <v>0</v>
      </c>
    </row>
    <row r="8692" spans="1:5" x14ac:dyDescent="0.25">
      <c r="A8692" s="36" t="b">
        <v>0</v>
      </c>
      <c r="B8692" s="56" t="b">
        <v>0</v>
      </c>
      <c r="C8692" s="56" t="b">
        <v>0</v>
      </c>
      <c r="D8692" s="56" t="b">
        <v>0</v>
      </c>
      <c r="E8692" s="56">
        <f ca="1">IF(PV[[#This Row],[Business Date]]=Control!$C$6, PV[[#This Row],[Notional Value Local Cur]], -PV[[#This Row],[Notional Value Local Cur]])</f>
        <v>0</v>
      </c>
    </row>
    <row r="8693" spans="1:5" x14ac:dyDescent="0.25">
      <c r="A8693" s="36" t="b">
        <v>0</v>
      </c>
      <c r="B8693" s="56" t="b">
        <v>0</v>
      </c>
      <c r="C8693" s="56" t="b">
        <v>0</v>
      </c>
      <c r="D8693" s="56" t="b">
        <v>0</v>
      </c>
      <c r="E8693" s="56">
        <f ca="1">IF(PV[[#This Row],[Business Date]]=Control!$C$6, PV[[#This Row],[Notional Value Local Cur]], -PV[[#This Row],[Notional Value Local Cur]])</f>
        <v>0</v>
      </c>
    </row>
    <row r="8694" spans="1:5" x14ac:dyDescent="0.25">
      <c r="A8694" s="36" t="b">
        <v>0</v>
      </c>
      <c r="B8694" s="56" t="b">
        <v>0</v>
      </c>
      <c r="C8694" s="56" t="b">
        <v>0</v>
      </c>
      <c r="D8694" s="56" t="b">
        <v>0</v>
      </c>
      <c r="E8694" s="56">
        <f ca="1">IF(PV[[#This Row],[Business Date]]=Control!$C$6, PV[[#This Row],[Notional Value Local Cur]], -PV[[#This Row],[Notional Value Local Cur]])</f>
        <v>0</v>
      </c>
    </row>
    <row r="8695" spans="1:5" x14ac:dyDescent="0.25">
      <c r="A8695" s="36" t="b">
        <v>0</v>
      </c>
      <c r="B8695" s="56" t="b">
        <v>0</v>
      </c>
      <c r="C8695" s="56" t="b">
        <v>0</v>
      </c>
      <c r="D8695" s="56" t="b">
        <v>0</v>
      </c>
      <c r="E8695" s="56">
        <f ca="1">IF(PV[[#This Row],[Business Date]]=Control!$C$6, PV[[#This Row],[Notional Value Local Cur]], -PV[[#This Row],[Notional Value Local Cur]])</f>
        <v>0</v>
      </c>
    </row>
    <row r="8696" spans="1:5" x14ac:dyDescent="0.25">
      <c r="A8696" s="36" t="b">
        <v>0</v>
      </c>
      <c r="B8696" s="56" t="b">
        <v>0</v>
      </c>
      <c r="C8696" s="56" t="b">
        <v>0</v>
      </c>
      <c r="D8696" s="56" t="b">
        <v>0</v>
      </c>
      <c r="E8696" s="56">
        <f ca="1">IF(PV[[#This Row],[Business Date]]=Control!$C$6, PV[[#This Row],[Notional Value Local Cur]], -PV[[#This Row],[Notional Value Local Cur]])</f>
        <v>0</v>
      </c>
    </row>
    <row r="8697" spans="1:5" x14ac:dyDescent="0.25">
      <c r="A8697" s="36" t="b">
        <v>0</v>
      </c>
      <c r="B8697" s="56" t="b">
        <v>0</v>
      </c>
      <c r="C8697" s="56" t="b">
        <v>0</v>
      </c>
      <c r="D8697" s="56" t="b">
        <v>0</v>
      </c>
      <c r="E8697" s="56">
        <f ca="1">IF(PV[[#This Row],[Business Date]]=Control!$C$6, PV[[#This Row],[Notional Value Local Cur]], -PV[[#This Row],[Notional Value Local Cur]])</f>
        <v>0</v>
      </c>
    </row>
    <row r="8698" spans="1:5" x14ac:dyDescent="0.25">
      <c r="A8698" s="36" t="b">
        <v>0</v>
      </c>
      <c r="B8698" s="56" t="b">
        <v>0</v>
      </c>
      <c r="C8698" s="56" t="b">
        <v>0</v>
      </c>
      <c r="D8698" s="56" t="b">
        <v>0</v>
      </c>
      <c r="E8698" s="56">
        <f ca="1">IF(PV[[#This Row],[Business Date]]=Control!$C$6, PV[[#This Row],[Notional Value Local Cur]], -PV[[#This Row],[Notional Value Local Cur]])</f>
        <v>0</v>
      </c>
    </row>
    <row r="8699" spans="1:5" x14ac:dyDescent="0.25">
      <c r="A8699" s="36" t="b">
        <v>0</v>
      </c>
      <c r="B8699" s="56" t="b">
        <v>0</v>
      </c>
      <c r="C8699" s="56" t="b">
        <v>0</v>
      </c>
      <c r="D8699" s="56" t="b">
        <v>0</v>
      </c>
      <c r="E8699" s="56">
        <f ca="1">IF(PV[[#This Row],[Business Date]]=Control!$C$6, PV[[#This Row],[Notional Value Local Cur]], -PV[[#This Row],[Notional Value Local Cur]])</f>
        <v>0</v>
      </c>
    </row>
    <row r="8700" spans="1:5" x14ac:dyDescent="0.25">
      <c r="A8700" s="36" t="b">
        <v>0</v>
      </c>
      <c r="B8700" s="56" t="b">
        <v>0</v>
      </c>
      <c r="C8700" s="56" t="b">
        <v>0</v>
      </c>
      <c r="D8700" s="56" t="b">
        <v>0</v>
      </c>
      <c r="E8700" s="56">
        <f ca="1">IF(PV[[#This Row],[Business Date]]=Control!$C$6, PV[[#This Row],[Notional Value Local Cur]], -PV[[#This Row],[Notional Value Local Cur]])</f>
        <v>0</v>
      </c>
    </row>
    <row r="8701" spans="1:5" x14ac:dyDescent="0.25">
      <c r="A8701" s="36" t="b">
        <v>0</v>
      </c>
      <c r="B8701" s="56" t="b">
        <v>0</v>
      </c>
      <c r="C8701" s="56" t="b">
        <v>0</v>
      </c>
      <c r="D8701" s="56" t="b">
        <v>0</v>
      </c>
      <c r="E8701" s="56">
        <f ca="1">IF(PV[[#This Row],[Business Date]]=Control!$C$6, PV[[#This Row],[Notional Value Local Cur]], -PV[[#This Row],[Notional Value Local Cur]])</f>
        <v>0</v>
      </c>
    </row>
    <row r="8702" spans="1:5" x14ac:dyDescent="0.25">
      <c r="A8702" s="36" t="b">
        <v>0</v>
      </c>
      <c r="B8702" s="56" t="b">
        <v>0</v>
      </c>
      <c r="C8702" s="56" t="b">
        <v>0</v>
      </c>
      <c r="D8702" s="56" t="b">
        <v>0</v>
      </c>
      <c r="E8702" s="56">
        <f ca="1">IF(PV[[#This Row],[Business Date]]=Control!$C$6, PV[[#This Row],[Notional Value Local Cur]], -PV[[#This Row],[Notional Value Local Cur]])</f>
        <v>0</v>
      </c>
    </row>
    <row r="8703" spans="1:5" x14ac:dyDescent="0.25">
      <c r="A8703" s="36" t="b">
        <v>0</v>
      </c>
      <c r="B8703" s="56" t="b">
        <v>0</v>
      </c>
      <c r="C8703" s="56" t="b">
        <v>0</v>
      </c>
      <c r="D8703" s="56" t="b">
        <v>0</v>
      </c>
      <c r="E8703" s="56">
        <f ca="1">IF(PV[[#This Row],[Business Date]]=Control!$C$6, PV[[#This Row],[Notional Value Local Cur]], -PV[[#This Row],[Notional Value Local Cur]])</f>
        <v>0</v>
      </c>
    </row>
    <row r="8704" spans="1:5" x14ac:dyDescent="0.25">
      <c r="A8704" s="36" t="b">
        <v>0</v>
      </c>
      <c r="B8704" s="56" t="b">
        <v>0</v>
      </c>
      <c r="C8704" s="56" t="b">
        <v>0</v>
      </c>
      <c r="D8704" s="56" t="b">
        <v>0</v>
      </c>
      <c r="E8704" s="56">
        <f ca="1">IF(PV[[#This Row],[Business Date]]=Control!$C$6, PV[[#This Row],[Notional Value Local Cur]], -PV[[#This Row],[Notional Value Local Cur]])</f>
        <v>0</v>
      </c>
    </row>
    <row r="8705" spans="1:5" x14ac:dyDescent="0.25">
      <c r="A8705" s="36" t="b">
        <v>0</v>
      </c>
      <c r="B8705" s="56" t="b">
        <v>0</v>
      </c>
      <c r="C8705" s="56" t="b">
        <v>0</v>
      </c>
      <c r="D8705" s="56" t="b">
        <v>0</v>
      </c>
      <c r="E8705" s="56">
        <f ca="1">IF(PV[[#This Row],[Business Date]]=Control!$C$6, PV[[#This Row],[Notional Value Local Cur]], -PV[[#This Row],[Notional Value Local Cur]])</f>
        <v>0</v>
      </c>
    </row>
    <row r="8706" spans="1:5" x14ac:dyDescent="0.25">
      <c r="A8706" s="36" t="b">
        <v>0</v>
      </c>
      <c r="B8706" s="56" t="b">
        <v>0</v>
      </c>
      <c r="C8706" s="56" t="b">
        <v>0</v>
      </c>
      <c r="D8706" s="56" t="b">
        <v>0</v>
      </c>
      <c r="E8706" s="56">
        <f ca="1">IF(PV[[#This Row],[Business Date]]=Control!$C$6, PV[[#This Row],[Notional Value Local Cur]], -PV[[#This Row],[Notional Value Local Cur]])</f>
        <v>0</v>
      </c>
    </row>
    <row r="8707" spans="1:5" x14ac:dyDescent="0.25">
      <c r="A8707" s="36" t="b">
        <v>0</v>
      </c>
      <c r="B8707" s="56" t="b">
        <v>0</v>
      </c>
      <c r="C8707" s="56" t="b">
        <v>0</v>
      </c>
      <c r="D8707" s="56" t="b">
        <v>0</v>
      </c>
      <c r="E8707" s="56">
        <f ca="1">IF(PV[[#This Row],[Business Date]]=Control!$C$6, PV[[#This Row],[Notional Value Local Cur]], -PV[[#This Row],[Notional Value Local Cur]])</f>
        <v>0</v>
      </c>
    </row>
    <row r="8708" spans="1:5" x14ac:dyDescent="0.25">
      <c r="A8708" s="36" t="b">
        <v>0</v>
      </c>
      <c r="B8708" s="56" t="b">
        <v>0</v>
      </c>
      <c r="C8708" s="56" t="b">
        <v>0</v>
      </c>
      <c r="D8708" s="56" t="b">
        <v>0</v>
      </c>
      <c r="E8708" s="56">
        <f ca="1">IF(PV[[#This Row],[Business Date]]=Control!$C$6, PV[[#This Row],[Notional Value Local Cur]], -PV[[#This Row],[Notional Value Local Cur]])</f>
        <v>0</v>
      </c>
    </row>
    <row r="8709" spans="1:5" x14ac:dyDescent="0.25">
      <c r="A8709" s="36" t="b">
        <v>0</v>
      </c>
      <c r="B8709" s="56" t="b">
        <v>0</v>
      </c>
      <c r="C8709" s="56" t="b">
        <v>0</v>
      </c>
      <c r="D8709" s="56" t="b">
        <v>0</v>
      </c>
      <c r="E8709" s="56">
        <f ca="1">IF(PV[[#This Row],[Business Date]]=Control!$C$6, PV[[#This Row],[Notional Value Local Cur]], -PV[[#This Row],[Notional Value Local Cur]])</f>
        <v>0</v>
      </c>
    </row>
    <row r="8710" spans="1:5" x14ac:dyDescent="0.25">
      <c r="A8710" s="36" t="b">
        <v>0</v>
      </c>
      <c r="B8710" s="56" t="b">
        <v>0</v>
      </c>
      <c r="C8710" s="56" t="b">
        <v>0</v>
      </c>
      <c r="D8710" s="56" t="b">
        <v>0</v>
      </c>
      <c r="E8710" s="56">
        <f ca="1">IF(PV[[#This Row],[Business Date]]=Control!$C$6, PV[[#This Row],[Notional Value Local Cur]], -PV[[#This Row],[Notional Value Local Cur]])</f>
        <v>0</v>
      </c>
    </row>
    <row r="8711" spans="1:5" x14ac:dyDescent="0.25">
      <c r="A8711" s="36" t="b">
        <v>0</v>
      </c>
      <c r="B8711" s="56" t="b">
        <v>0</v>
      </c>
      <c r="C8711" s="56" t="b">
        <v>0</v>
      </c>
      <c r="D8711" s="56" t="b">
        <v>0</v>
      </c>
      <c r="E8711" s="56">
        <f ca="1">IF(PV[[#This Row],[Business Date]]=Control!$C$6, PV[[#This Row],[Notional Value Local Cur]], -PV[[#This Row],[Notional Value Local Cur]])</f>
        <v>0</v>
      </c>
    </row>
    <row r="8712" spans="1:5" x14ac:dyDescent="0.25">
      <c r="A8712" s="36" t="b">
        <v>0</v>
      </c>
      <c r="B8712" s="56" t="b">
        <v>0</v>
      </c>
      <c r="C8712" s="56" t="b">
        <v>0</v>
      </c>
      <c r="D8712" s="56" t="b">
        <v>0</v>
      </c>
      <c r="E8712" s="56">
        <f ca="1">IF(PV[[#This Row],[Business Date]]=Control!$C$6, PV[[#This Row],[Notional Value Local Cur]], -PV[[#This Row],[Notional Value Local Cur]])</f>
        <v>0</v>
      </c>
    </row>
    <row r="8713" spans="1:5" x14ac:dyDescent="0.25">
      <c r="A8713" s="36" t="b">
        <v>0</v>
      </c>
      <c r="B8713" s="56" t="b">
        <v>0</v>
      </c>
      <c r="C8713" s="56" t="b">
        <v>0</v>
      </c>
      <c r="D8713" s="56" t="b">
        <v>0</v>
      </c>
      <c r="E8713" s="56">
        <f ca="1">IF(PV[[#This Row],[Business Date]]=Control!$C$6, PV[[#This Row],[Notional Value Local Cur]], -PV[[#This Row],[Notional Value Local Cur]])</f>
        <v>0</v>
      </c>
    </row>
    <row r="8714" spans="1:5" x14ac:dyDescent="0.25">
      <c r="A8714" s="36" t="b">
        <v>0</v>
      </c>
      <c r="B8714" s="56" t="b">
        <v>0</v>
      </c>
      <c r="C8714" s="56" t="b">
        <v>0</v>
      </c>
      <c r="D8714" s="56" t="b">
        <v>0</v>
      </c>
      <c r="E8714" s="56">
        <f ca="1">IF(PV[[#This Row],[Business Date]]=Control!$C$6, PV[[#This Row],[Notional Value Local Cur]], -PV[[#This Row],[Notional Value Local Cur]])</f>
        <v>0</v>
      </c>
    </row>
    <row r="8715" spans="1:5" x14ac:dyDescent="0.25">
      <c r="A8715" s="36" t="b">
        <v>0</v>
      </c>
      <c r="B8715" s="56" t="b">
        <v>0</v>
      </c>
      <c r="C8715" s="56" t="b">
        <v>0</v>
      </c>
      <c r="D8715" s="56" t="b">
        <v>0</v>
      </c>
      <c r="E8715" s="56">
        <f ca="1">IF(PV[[#This Row],[Business Date]]=Control!$C$6, PV[[#This Row],[Notional Value Local Cur]], -PV[[#This Row],[Notional Value Local Cur]])</f>
        <v>0</v>
      </c>
    </row>
    <row r="8716" spans="1:5" x14ac:dyDescent="0.25">
      <c r="A8716" s="36" t="b">
        <v>0</v>
      </c>
      <c r="B8716" s="56" t="b">
        <v>0</v>
      </c>
      <c r="C8716" s="56" t="b">
        <v>0</v>
      </c>
      <c r="D8716" s="56" t="b">
        <v>0</v>
      </c>
      <c r="E8716" s="56">
        <f ca="1">IF(PV[[#This Row],[Business Date]]=Control!$C$6, PV[[#This Row],[Notional Value Local Cur]], -PV[[#This Row],[Notional Value Local Cur]])</f>
        <v>0</v>
      </c>
    </row>
    <row r="8717" spans="1:5" x14ac:dyDescent="0.25">
      <c r="A8717" s="36" t="b">
        <v>0</v>
      </c>
      <c r="B8717" s="56" t="b">
        <v>0</v>
      </c>
      <c r="C8717" s="56" t="b">
        <v>0</v>
      </c>
      <c r="D8717" s="56" t="b">
        <v>0</v>
      </c>
      <c r="E8717" s="56">
        <f ca="1">IF(PV[[#This Row],[Business Date]]=Control!$C$6, PV[[#This Row],[Notional Value Local Cur]], -PV[[#This Row],[Notional Value Local Cur]])</f>
        <v>0</v>
      </c>
    </row>
    <row r="8718" spans="1:5" x14ac:dyDescent="0.25">
      <c r="A8718" s="36" t="b">
        <v>0</v>
      </c>
      <c r="B8718" s="56" t="b">
        <v>0</v>
      </c>
      <c r="C8718" s="56" t="b">
        <v>0</v>
      </c>
      <c r="D8718" s="56" t="b">
        <v>0</v>
      </c>
      <c r="E8718" s="56">
        <f ca="1">IF(PV[[#This Row],[Business Date]]=Control!$C$6, PV[[#This Row],[Notional Value Local Cur]], -PV[[#This Row],[Notional Value Local Cur]])</f>
        <v>0</v>
      </c>
    </row>
    <row r="8719" spans="1:5" x14ac:dyDescent="0.25">
      <c r="A8719" s="36" t="b">
        <v>0</v>
      </c>
      <c r="B8719" s="56" t="b">
        <v>0</v>
      </c>
      <c r="C8719" s="56" t="b">
        <v>0</v>
      </c>
      <c r="D8719" s="56" t="b">
        <v>0</v>
      </c>
      <c r="E8719" s="56">
        <f ca="1">IF(PV[[#This Row],[Business Date]]=Control!$C$6, PV[[#This Row],[Notional Value Local Cur]], -PV[[#This Row],[Notional Value Local Cur]])</f>
        <v>0</v>
      </c>
    </row>
    <row r="8720" spans="1:5" x14ac:dyDescent="0.25">
      <c r="A8720" s="36" t="b">
        <v>0</v>
      </c>
      <c r="B8720" s="56" t="b">
        <v>0</v>
      </c>
      <c r="C8720" s="56" t="b">
        <v>0</v>
      </c>
      <c r="D8720" s="56" t="b">
        <v>0</v>
      </c>
      <c r="E8720" s="56">
        <f ca="1">IF(PV[[#This Row],[Business Date]]=Control!$C$6, PV[[#This Row],[Notional Value Local Cur]], -PV[[#This Row],[Notional Value Local Cur]])</f>
        <v>0</v>
      </c>
    </row>
    <row r="8721" spans="1:5" x14ac:dyDescent="0.25">
      <c r="A8721" s="36" t="b">
        <v>0</v>
      </c>
      <c r="B8721" s="56" t="b">
        <v>0</v>
      </c>
      <c r="C8721" s="56" t="b">
        <v>0</v>
      </c>
      <c r="D8721" s="56" t="b">
        <v>0</v>
      </c>
      <c r="E8721" s="56">
        <f ca="1">IF(PV[[#This Row],[Business Date]]=Control!$C$6, PV[[#This Row],[Notional Value Local Cur]], -PV[[#This Row],[Notional Value Local Cur]])</f>
        <v>0</v>
      </c>
    </row>
    <row r="8722" spans="1:5" x14ac:dyDescent="0.25">
      <c r="A8722" s="36" t="b">
        <v>0</v>
      </c>
      <c r="B8722" s="56" t="b">
        <v>0</v>
      </c>
      <c r="C8722" s="56" t="b">
        <v>0</v>
      </c>
      <c r="D8722" s="56" t="b">
        <v>0</v>
      </c>
      <c r="E8722" s="56">
        <f ca="1">IF(PV[[#This Row],[Business Date]]=Control!$C$6, PV[[#This Row],[Notional Value Local Cur]], -PV[[#This Row],[Notional Value Local Cur]])</f>
        <v>0</v>
      </c>
    </row>
    <row r="8723" spans="1:5" x14ac:dyDescent="0.25">
      <c r="A8723" s="36" t="b">
        <v>0</v>
      </c>
      <c r="B8723" s="56" t="b">
        <v>0</v>
      </c>
      <c r="C8723" s="56" t="b">
        <v>0</v>
      </c>
      <c r="D8723" s="56" t="b">
        <v>0</v>
      </c>
      <c r="E8723" s="56">
        <f ca="1">IF(PV[[#This Row],[Business Date]]=Control!$C$6, PV[[#This Row],[Notional Value Local Cur]], -PV[[#This Row],[Notional Value Local Cur]])</f>
        <v>0</v>
      </c>
    </row>
    <row r="8724" spans="1:5" x14ac:dyDescent="0.25">
      <c r="A8724" s="36" t="b">
        <v>0</v>
      </c>
      <c r="B8724" s="56" t="b">
        <v>0</v>
      </c>
      <c r="C8724" s="56" t="b">
        <v>0</v>
      </c>
      <c r="D8724" s="56" t="b">
        <v>0</v>
      </c>
      <c r="E8724" s="56">
        <f ca="1">IF(PV[[#This Row],[Business Date]]=Control!$C$6, PV[[#This Row],[Notional Value Local Cur]], -PV[[#This Row],[Notional Value Local Cur]])</f>
        <v>0</v>
      </c>
    </row>
    <row r="8725" spans="1:5" x14ac:dyDescent="0.25">
      <c r="A8725" s="36" t="b">
        <v>0</v>
      </c>
      <c r="B8725" s="56" t="b">
        <v>0</v>
      </c>
      <c r="C8725" s="56" t="b">
        <v>0</v>
      </c>
      <c r="D8725" s="56" t="b">
        <v>0</v>
      </c>
      <c r="E8725" s="56">
        <f ca="1">IF(PV[[#This Row],[Business Date]]=Control!$C$6, PV[[#This Row],[Notional Value Local Cur]], -PV[[#This Row],[Notional Value Local Cur]])</f>
        <v>0</v>
      </c>
    </row>
    <row r="8726" spans="1:5" x14ac:dyDescent="0.25">
      <c r="A8726" s="36" t="b">
        <v>0</v>
      </c>
      <c r="B8726" s="56" t="b">
        <v>0</v>
      </c>
      <c r="C8726" s="56" t="b">
        <v>0</v>
      </c>
      <c r="D8726" s="56" t="b">
        <v>0</v>
      </c>
      <c r="E8726" s="56">
        <f ca="1">IF(PV[[#This Row],[Business Date]]=Control!$C$6, PV[[#This Row],[Notional Value Local Cur]], -PV[[#This Row],[Notional Value Local Cur]])</f>
        <v>0</v>
      </c>
    </row>
    <row r="8727" spans="1:5" x14ac:dyDescent="0.25">
      <c r="A8727" s="36" t="b">
        <v>0</v>
      </c>
      <c r="B8727" s="56" t="b">
        <v>0</v>
      </c>
      <c r="C8727" s="56" t="b">
        <v>0</v>
      </c>
      <c r="D8727" s="56" t="b">
        <v>0</v>
      </c>
      <c r="E8727" s="56">
        <f ca="1">IF(PV[[#This Row],[Business Date]]=Control!$C$6, PV[[#This Row],[Notional Value Local Cur]], -PV[[#This Row],[Notional Value Local Cur]])</f>
        <v>0</v>
      </c>
    </row>
    <row r="8728" spans="1:5" x14ac:dyDescent="0.25">
      <c r="A8728" s="36" t="b">
        <v>0</v>
      </c>
      <c r="B8728" s="56" t="b">
        <v>0</v>
      </c>
      <c r="C8728" s="56" t="b">
        <v>0</v>
      </c>
      <c r="D8728" s="56" t="b">
        <v>0</v>
      </c>
      <c r="E8728" s="56">
        <f ca="1">IF(PV[[#This Row],[Business Date]]=Control!$C$6, PV[[#This Row],[Notional Value Local Cur]], -PV[[#This Row],[Notional Value Local Cur]])</f>
        <v>0</v>
      </c>
    </row>
    <row r="8729" spans="1:5" x14ac:dyDescent="0.25">
      <c r="A8729" s="36" t="b">
        <v>0</v>
      </c>
      <c r="B8729" s="56" t="b">
        <v>0</v>
      </c>
      <c r="C8729" s="56" t="b">
        <v>0</v>
      </c>
      <c r="D8729" s="56" t="b">
        <v>0</v>
      </c>
      <c r="E8729" s="56">
        <f ca="1">IF(PV[[#This Row],[Business Date]]=Control!$C$6, PV[[#This Row],[Notional Value Local Cur]], -PV[[#This Row],[Notional Value Local Cur]])</f>
        <v>0</v>
      </c>
    </row>
    <row r="8730" spans="1:5" x14ac:dyDescent="0.25">
      <c r="A8730" s="36" t="b">
        <v>0</v>
      </c>
      <c r="B8730" s="56" t="b">
        <v>0</v>
      </c>
      <c r="C8730" s="56" t="b">
        <v>0</v>
      </c>
      <c r="D8730" s="56" t="b">
        <v>0</v>
      </c>
      <c r="E8730" s="56">
        <f ca="1">IF(PV[[#This Row],[Business Date]]=Control!$C$6, PV[[#This Row],[Notional Value Local Cur]], -PV[[#This Row],[Notional Value Local Cur]])</f>
        <v>0</v>
      </c>
    </row>
    <row r="8731" spans="1:5" x14ac:dyDescent="0.25">
      <c r="A8731" s="36" t="b">
        <v>0</v>
      </c>
      <c r="B8731" s="56" t="b">
        <v>0</v>
      </c>
      <c r="C8731" s="56" t="b">
        <v>0</v>
      </c>
      <c r="D8731" s="56" t="b">
        <v>0</v>
      </c>
      <c r="E8731" s="56">
        <f ca="1">IF(PV[[#This Row],[Business Date]]=Control!$C$6, PV[[#This Row],[Notional Value Local Cur]], -PV[[#This Row],[Notional Value Local Cur]])</f>
        <v>0</v>
      </c>
    </row>
    <row r="8732" spans="1:5" x14ac:dyDescent="0.25">
      <c r="A8732" s="36" t="b">
        <v>0</v>
      </c>
      <c r="B8732" s="56" t="b">
        <v>0</v>
      </c>
      <c r="C8732" s="56" t="b">
        <v>0</v>
      </c>
      <c r="D8732" s="56" t="b">
        <v>0</v>
      </c>
      <c r="E8732" s="56">
        <f ca="1">IF(PV[[#This Row],[Business Date]]=Control!$C$6, PV[[#This Row],[Notional Value Local Cur]], -PV[[#This Row],[Notional Value Local Cur]])</f>
        <v>0</v>
      </c>
    </row>
    <row r="8733" spans="1:5" x14ac:dyDescent="0.25">
      <c r="A8733" s="36" t="b">
        <v>0</v>
      </c>
      <c r="B8733" s="56" t="b">
        <v>0</v>
      </c>
      <c r="C8733" s="56" t="b">
        <v>0</v>
      </c>
      <c r="D8733" s="56" t="b">
        <v>0</v>
      </c>
      <c r="E8733" s="56">
        <f ca="1">IF(PV[[#This Row],[Business Date]]=Control!$C$6, PV[[#This Row],[Notional Value Local Cur]], -PV[[#This Row],[Notional Value Local Cur]])</f>
        <v>0</v>
      </c>
    </row>
    <row r="8734" spans="1:5" x14ac:dyDescent="0.25">
      <c r="A8734" s="36" t="b">
        <v>0</v>
      </c>
      <c r="B8734" s="56" t="b">
        <v>0</v>
      </c>
      <c r="C8734" s="56" t="b">
        <v>0</v>
      </c>
      <c r="D8734" s="56" t="b">
        <v>0</v>
      </c>
      <c r="E8734" s="56">
        <f ca="1">IF(PV[[#This Row],[Business Date]]=Control!$C$6, PV[[#This Row],[Notional Value Local Cur]], -PV[[#This Row],[Notional Value Local Cur]])</f>
        <v>0</v>
      </c>
    </row>
    <row r="8735" spans="1:5" x14ac:dyDescent="0.25">
      <c r="A8735" s="36" t="b">
        <v>0</v>
      </c>
      <c r="B8735" s="56" t="b">
        <v>0</v>
      </c>
      <c r="C8735" s="56" t="b">
        <v>0</v>
      </c>
      <c r="D8735" s="56" t="b">
        <v>0</v>
      </c>
      <c r="E8735" s="56">
        <f ca="1">IF(PV[[#This Row],[Business Date]]=Control!$C$6, PV[[#This Row],[Notional Value Local Cur]], -PV[[#This Row],[Notional Value Local Cur]])</f>
        <v>0</v>
      </c>
    </row>
    <row r="8736" spans="1:5" x14ac:dyDescent="0.25">
      <c r="A8736" s="36" t="b">
        <v>0</v>
      </c>
      <c r="B8736" s="56" t="b">
        <v>0</v>
      </c>
      <c r="C8736" s="56" t="b">
        <v>0</v>
      </c>
      <c r="D8736" s="56" t="b">
        <v>0</v>
      </c>
      <c r="E8736" s="56">
        <f ca="1">IF(PV[[#This Row],[Business Date]]=Control!$C$6, PV[[#This Row],[Notional Value Local Cur]], -PV[[#This Row],[Notional Value Local Cur]])</f>
        <v>0</v>
      </c>
    </row>
    <row r="8737" spans="1:5" x14ac:dyDescent="0.25">
      <c r="A8737" s="36" t="b">
        <v>0</v>
      </c>
      <c r="B8737" s="56" t="b">
        <v>0</v>
      </c>
      <c r="C8737" s="56" t="b">
        <v>0</v>
      </c>
      <c r="D8737" s="56" t="b">
        <v>0</v>
      </c>
      <c r="E8737" s="56">
        <f ca="1">IF(PV[[#This Row],[Business Date]]=Control!$C$6, PV[[#This Row],[Notional Value Local Cur]], -PV[[#This Row],[Notional Value Local Cur]])</f>
        <v>0</v>
      </c>
    </row>
    <row r="8738" spans="1:5" x14ac:dyDescent="0.25">
      <c r="A8738" s="36" t="b">
        <v>0</v>
      </c>
      <c r="B8738" s="56" t="b">
        <v>0</v>
      </c>
      <c r="C8738" s="56" t="b">
        <v>0</v>
      </c>
      <c r="D8738" s="56" t="b">
        <v>0</v>
      </c>
      <c r="E8738" s="56">
        <f ca="1">IF(PV[[#This Row],[Business Date]]=Control!$C$6, PV[[#This Row],[Notional Value Local Cur]], -PV[[#This Row],[Notional Value Local Cur]])</f>
        <v>0</v>
      </c>
    </row>
    <row r="8739" spans="1:5" x14ac:dyDescent="0.25">
      <c r="A8739" s="36" t="b">
        <v>0</v>
      </c>
      <c r="B8739" s="56" t="b">
        <v>0</v>
      </c>
      <c r="C8739" s="56" t="b">
        <v>0</v>
      </c>
      <c r="D8739" s="56" t="b">
        <v>0</v>
      </c>
      <c r="E8739" s="56">
        <f ca="1">IF(PV[[#This Row],[Business Date]]=Control!$C$6, PV[[#This Row],[Notional Value Local Cur]], -PV[[#This Row],[Notional Value Local Cur]])</f>
        <v>0</v>
      </c>
    </row>
    <row r="8740" spans="1:5" x14ac:dyDescent="0.25">
      <c r="A8740" s="36" t="b">
        <v>0</v>
      </c>
      <c r="B8740" s="56" t="b">
        <v>0</v>
      </c>
      <c r="C8740" s="56" t="b">
        <v>0</v>
      </c>
      <c r="D8740" s="56" t="b">
        <v>0</v>
      </c>
      <c r="E8740" s="56">
        <f ca="1">IF(PV[[#This Row],[Business Date]]=Control!$C$6, PV[[#This Row],[Notional Value Local Cur]], -PV[[#This Row],[Notional Value Local Cur]])</f>
        <v>0</v>
      </c>
    </row>
    <row r="8741" spans="1:5" x14ac:dyDescent="0.25">
      <c r="A8741" s="36" t="b">
        <v>0</v>
      </c>
      <c r="B8741" s="56" t="b">
        <v>0</v>
      </c>
      <c r="C8741" s="56" t="b">
        <v>0</v>
      </c>
      <c r="D8741" s="56" t="b">
        <v>0</v>
      </c>
      <c r="E8741" s="56">
        <f ca="1">IF(PV[[#This Row],[Business Date]]=Control!$C$6, PV[[#This Row],[Notional Value Local Cur]], -PV[[#This Row],[Notional Value Local Cur]])</f>
        <v>0</v>
      </c>
    </row>
    <row r="8742" spans="1:5" x14ac:dyDescent="0.25">
      <c r="A8742" s="36" t="b">
        <v>0</v>
      </c>
      <c r="B8742" s="56" t="b">
        <v>0</v>
      </c>
      <c r="C8742" s="56" t="b">
        <v>0</v>
      </c>
      <c r="D8742" s="56" t="b">
        <v>0</v>
      </c>
      <c r="E8742" s="56">
        <f ca="1">IF(PV[[#This Row],[Business Date]]=Control!$C$6, PV[[#This Row],[Notional Value Local Cur]], -PV[[#This Row],[Notional Value Local Cur]])</f>
        <v>0</v>
      </c>
    </row>
    <row r="8743" spans="1:5" x14ac:dyDescent="0.25">
      <c r="A8743" s="36" t="b">
        <v>0</v>
      </c>
      <c r="B8743" s="56" t="b">
        <v>0</v>
      </c>
      <c r="C8743" s="56" t="b">
        <v>0</v>
      </c>
      <c r="D8743" s="56" t="b">
        <v>0</v>
      </c>
      <c r="E8743" s="56">
        <f ca="1">IF(PV[[#This Row],[Business Date]]=Control!$C$6, PV[[#This Row],[Notional Value Local Cur]], -PV[[#This Row],[Notional Value Local Cur]])</f>
        <v>0</v>
      </c>
    </row>
    <row r="8744" spans="1:5" x14ac:dyDescent="0.25">
      <c r="A8744" s="36" t="b">
        <v>0</v>
      </c>
      <c r="B8744" s="56" t="b">
        <v>0</v>
      </c>
      <c r="C8744" s="56" t="b">
        <v>0</v>
      </c>
      <c r="D8744" s="56" t="b">
        <v>0</v>
      </c>
      <c r="E8744" s="56">
        <f ca="1">IF(PV[[#This Row],[Business Date]]=Control!$C$6, PV[[#This Row],[Notional Value Local Cur]], -PV[[#This Row],[Notional Value Local Cur]])</f>
        <v>0</v>
      </c>
    </row>
    <row r="8745" spans="1:5" x14ac:dyDescent="0.25">
      <c r="A8745" s="36" t="b">
        <v>0</v>
      </c>
      <c r="B8745" s="56" t="b">
        <v>0</v>
      </c>
      <c r="C8745" s="56" t="b">
        <v>0</v>
      </c>
      <c r="D8745" s="56" t="b">
        <v>0</v>
      </c>
      <c r="E8745" s="56">
        <f ca="1">IF(PV[[#This Row],[Business Date]]=Control!$C$6, PV[[#This Row],[Notional Value Local Cur]], -PV[[#This Row],[Notional Value Local Cur]])</f>
        <v>0</v>
      </c>
    </row>
    <row r="8746" spans="1:5" x14ac:dyDescent="0.25">
      <c r="A8746" s="36" t="b">
        <v>0</v>
      </c>
      <c r="B8746" s="56" t="b">
        <v>0</v>
      </c>
      <c r="C8746" s="56" t="b">
        <v>0</v>
      </c>
      <c r="D8746" s="56" t="b">
        <v>0</v>
      </c>
      <c r="E8746" s="56">
        <f ca="1">IF(PV[[#This Row],[Business Date]]=Control!$C$6, PV[[#This Row],[Notional Value Local Cur]], -PV[[#This Row],[Notional Value Local Cur]])</f>
        <v>0</v>
      </c>
    </row>
    <row r="8747" spans="1:5" x14ac:dyDescent="0.25">
      <c r="A8747" s="36" t="b">
        <v>0</v>
      </c>
      <c r="B8747" s="56" t="b">
        <v>0</v>
      </c>
      <c r="C8747" s="56" t="b">
        <v>0</v>
      </c>
      <c r="D8747" s="56" t="b">
        <v>0</v>
      </c>
      <c r="E8747" s="56">
        <f ca="1">IF(PV[[#This Row],[Business Date]]=Control!$C$6, PV[[#This Row],[Notional Value Local Cur]], -PV[[#This Row],[Notional Value Local Cur]])</f>
        <v>0</v>
      </c>
    </row>
    <row r="8748" spans="1:5" x14ac:dyDescent="0.25">
      <c r="A8748" s="36" t="b">
        <v>0</v>
      </c>
      <c r="B8748" s="56" t="b">
        <v>0</v>
      </c>
      <c r="C8748" s="56" t="b">
        <v>0</v>
      </c>
      <c r="D8748" s="56" t="b">
        <v>0</v>
      </c>
      <c r="E8748" s="56">
        <f ca="1">IF(PV[[#This Row],[Business Date]]=Control!$C$6, PV[[#This Row],[Notional Value Local Cur]], -PV[[#This Row],[Notional Value Local Cur]])</f>
        <v>0</v>
      </c>
    </row>
    <row r="8749" spans="1:5" x14ac:dyDescent="0.25">
      <c r="A8749" s="36" t="b">
        <v>0</v>
      </c>
      <c r="B8749" s="56" t="b">
        <v>0</v>
      </c>
      <c r="C8749" s="56" t="b">
        <v>0</v>
      </c>
      <c r="D8749" s="56" t="b">
        <v>0</v>
      </c>
      <c r="E8749" s="56">
        <f ca="1">IF(PV[[#This Row],[Business Date]]=Control!$C$6, PV[[#This Row],[Notional Value Local Cur]], -PV[[#This Row],[Notional Value Local Cur]])</f>
        <v>0</v>
      </c>
    </row>
    <row r="8750" spans="1:5" x14ac:dyDescent="0.25">
      <c r="A8750" s="36" t="b">
        <v>0</v>
      </c>
      <c r="B8750" s="56" t="b">
        <v>0</v>
      </c>
      <c r="C8750" s="56" t="b">
        <v>0</v>
      </c>
      <c r="D8750" s="56" t="b">
        <v>0</v>
      </c>
      <c r="E8750" s="56">
        <f ca="1">IF(PV[[#This Row],[Business Date]]=Control!$C$6, PV[[#This Row],[Notional Value Local Cur]], -PV[[#This Row],[Notional Value Local Cur]])</f>
        <v>0</v>
      </c>
    </row>
    <row r="8751" spans="1:5" x14ac:dyDescent="0.25">
      <c r="A8751" s="36" t="b">
        <v>0</v>
      </c>
      <c r="B8751" s="56" t="b">
        <v>0</v>
      </c>
      <c r="C8751" s="56" t="b">
        <v>0</v>
      </c>
      <c r="D8751" s="56" t="b">
        <v>0</v>
      </c>
      <c r="E8751" s="56">
        <f ca="1">IF(PV[[#This Row],[Business Date]]=Control!$C$6, PV[[#This Row],[Notional Value Local Cur]], -PV[[#This Row],[Notional Value Local Cur]])</f>
        <v>0</v>
      </c>
    </row>
    <row r="8752" spans="1:5" x14ac:dyDescent="0.25">
      <c r="A8752" s="36" t="b">
        <v>0</v>
      </c>
      <c r="B8752" s="56" t="b">
        <v>0</v>
      </c>
      <c r="C8752" s="56" t="b">
        <v>0</v>
      </c>
      <c r="D8752" s="56" t="b">
        <v>0</v>
      </c>
      <c r="E8752" s="56">
        <f ca="1">IF(PV[[#This Row],[Business Date]]=Control!$C$6, PV[[#This Row],[Notional Value Local Cur]], -PV[[#This Row],[Notional Value Local Cur]])</f>
        <v>0</v>
      </c>
    </row>
    <row r="8753" spans="1:5" x14ac:dyDescent="0.25">
      <c r="A8753" s="36" t="b">
        <v>0</v>
      </c>
      <c r="B8753" s="56" t="b">
        <v>0</v>
      </c>
      <c r="C8753" s="56" t="b">
        <v>0</v>
      </c>
      <c r="D8753" s="56" t="b">
        <v>0</v>
      </c>
      <c r="E8753" s="56">
        <f ca="1">IF(PV[[#This Row],[Business Date]]=Control!$C$6, PV[[#This Row],[Notional Value Local Cur]], -PV[[#This Row],[Notional Value Local Cur]])</f>
        <v>0</v>
      </c>
    </row>
    <row r="8754" spans="1:5" x14ac:dyDescent="0.25">
      <c r="A8754" s="36" t="b">
        <v>0</v>
      </c>
      <c r="B8754" s="56" t="b">
        <v>0</v>
      </c>
      <c r="C8754" s="56" t="b">
        <v>0</v>
      </c>
      <c r="D8754" s="56" t="b">
        <v>0</v>
      </c>
      <c r="E8754" s="56">
        <f ca="1">IF(PV[[#This Row],[Business Date]]=Control!$C$6, PV[[#This Row],[Notional Value Local Cur]], -PV[[#This Row],[Notional Value Local Cur]])</f>
        <v>0</v>
      </c>
    </row>
    <row r="8755" spans="1:5" x14ac:dyDescent="0.25">
      <c r="A8755" s="36" t="b">
        <v>0</v>
      </c>
      <c r="B8755" s="56" t="b">
        <v>0</v>
      </c>
      <c r="C8755" s="56" t="b">
        <v>0</v>
      </c>
      <c r="D8755" s="56" t="b">
        <v>0</v>
      </c>
      <c r="E8755" s="56">
        <f ca="1">IF(PV[[#This Row],[Business Date]]=Control!$C$6, PV[[#This Row],[Notional Value Local Cur]], -PV[[#This Row],[Notional Value Local Cur]])</f>
        <v>0</v>
      </c>
    </row>
    <row r="8756" spans="1:5" x14ac:dyDescent="0.25">
      <c r="A8756" s="36" t="b">
        <v>0</v>
      </c>
      <c r="B8756" s="56" t="b">
        <v>0</v>
      </c>
      <c r="C8756" s="56" t="b">
        <v>0</v>
      </c>
      <c r="D8756" s="56" t="b">
        <v>0</v>
      </c>
      <c r="E8756" s="56">
        <f ca="1">IF(PV[[#This Row],[Business Date]]=Control!$C$6, PV[[#This Row],[Notional Value Local Cur]], -PV[[#This Row],[Notional Value Local Cur]])</f>
        <v>0</v>
      </c>
    </row>
    <row r="8757" spans="1:5" x14ac:dyDescent="0.25">
      <c r="A8757" s="36" t="b">
        <v>0</v>
      </c>
      <c r="B8757" s="56" t="b">
        <v>0</v>
      </c>
      <c r="C8757" s="56" t="b">
        <v>0</v>
      </c>
      <c r="D8757" s="56" t="b">
        <v>0</v>
      </c>
      <c r="E8757" s="56">
        <f ca="1">IF(PV[[#This Row],[Business Date]]=Control!$C$6, PV[[#This Row],[Notional Value Local Cur]], -PV[[#This Row],[Notional Value Local Cur]])</f>
        <v>0</v>
      </c>
    </row>
    <row r="8758" spans="1:5" x14ac:dyDescent="0.25">
      <c r="A8758" s="36" t="b">
        <v>0</v>
      </c>
      <c r="B8758" s="56" t="b">
        <v>0</v>
      </c>
      <c r="C8758" s="56" t="b">
        <v>0</v>
      </c>
      <c r="D8758" s="56" t="b">
        <v>0</v>
      </c>
      <c r="E8758" s="56">
        <f ca="1">IF(PV[[#This Row],[Business Date]]=Control!$C$6, PV[[#This Row],[Notional Value Local Cur]], -PV[[#This Row],[Notional Value Local Cur]])</f>
        <v>0</v>
      </c>
    </row>
    <row r="8759" spans="1:5" x14ac:dyDescent="0.25">
      <c r="A8759" s="36" t="b">
        <v>0</v>
      </c>
      <c r="B8759" s="56" t="b">
        <v>0</v>
      </c>
      <c r="C8759" s="56" t="b">
        <v>0</v>
      </c>
      <c r="D8759" s="56" t="b">
        <v>0</v>
      </c>
      <c r="E8759" s="56">
        <f ca="1">IF(PV[[#This Row],[Business Date]]=Control!$C$6, PV[[#This Row],[Notional Value Local Cur]], -PV[[#This Row],[Notional Value Local Cur]])</f>
        <v>0</v>
      </c>
    </row>
    <row r="8760" spans="1:5" x14ac:dyDescent="0.25">
      <c r="A8760" s="36" t="b">
        <v>0</v>
      </c>
      <c r="B8760" s="56" t="b">
        <v>0</v>
      </c>
      <c r="C8760" s="56" t="b">
        <v>0</v>
      </c>
      <c r="D8760" s="56" t="b">
        <v>0</v>
      </c>
      <c r="E8760" s="56">
        <f ca="1">IF(PV[[#This Row],[Business Date]]=Control!$C$6, PV[[#This Row],[Notional Value Local Cur]], -PV[[#This Row],[Notional Value Local Cur]])</f>
        <v>0</v>
      </c>
    </row>
    <row r="8761" spans="1:5" x14ac:dyDescent="0.25">
      <c r="A8761" s="36" t="b">
        <v>0</v>
      </c>
      <c r="B8761" s="56" t="b">
        <v>0</v>
      </c>
      <c r="C8761" s="56" t="b">
        <v>0</v>
      </c>
      <c r="D8761" s="56" t="b">
        <v>0</v>
      </c>
      <c r="E8761" s="56">
        <f ca="1">IF(PV[[#This Row],[Business Date]]=Control!$C$6, PV[[#This Row],[Notional Value Local Cur]], -PV[[#This Row],[Notional Value Local Cur]])</f>
        <v>0</v>
      </c>
    </row>
    <row r="8762" spans="1:5" x14ac:dyDescent="0.25">
      <c r="A8762" s="36" t="b">
        <v>0</v>
      </c>
      <c r="B8762" s="56" t="b">
        <v>0</v>
      </c>
      <c r="C8762" s="56" t="b">
        <v>0</v>
      </c>
      <c r="D8762" s="56" t="b">
        <v>0</v>
      </c>
      <c r="E8762" s="56">
        <f ca="1">IF(PV[[#This Row],[Business Date]]=Control!$C$6, PV[[#This Row],[Notional Value Local Cur]], -PV[[#This Row],[Notional Value Local Cur]])</f>
        <v>0</v>
      </c>
    </row>
    <row r="8763" spans="1:5" x14ac:dyDescent="0.25">
      <c r="A8763" s="36" t="b">
        <v>0</v>
      </c>
      <c r="B8763" s="56" t="b">
        <v>0</v>
      </c>
      <c r="C8763" s="56" t="b">
        <v>0</v>
      </c>
      <c r="D8763" s="56" t="b">
        <v>0</v>
      </c>
      <c r="E8763" s="56">
        <f ca="1">IF(PV[[#This Row],[Business Date]]=Control!$C$6, PV[[#This Row],[Notional Value Local Cur]], -PV[[#This Row],[Notional Value Local Cur]])</f>
        <v>0</v>
      </c>
    </row>
    <row r="8764" spans="1:5" x14ac:dyDescent="0.25">
      <c r="A8764" s="36" t="b">
        <v>0</v>
      </c>
      <c r="B8764" s="56" t="b">
        <v>0</v>
      </c>
      <c r="C8764" s="56" t="b">
        <v>0</v>
      </c>
      <c r="D8764" s="56" t="b">
        <v>0</v>
      </c>
      <c r="E8764" s="56">
        <f ca="1">IF(PV[[#This Row],[Business Date]]=Control!$C$6, PV[[#This Row],[Notional Value Local Cur]], -PV[[#This Row],[Notional Value Local Cur]])</f>
        <v>0</v>
      </c>
    </row>
    <row r="8765" spans="1:5" x14ac:dyDescent="0.25">
      <c r="A8765" s="36" t="b">
        <v>0</v>
      </c>
      <c r="B8765" s="56" t="b">
        <v>0</v>
      </c>
      <c r="C8765" s="56" t="b">
        <v>0</v>
      </c>
      <c r="D8765" s="56" t="b">
        <v>0</v>
      </c>
      <c r="E8765" s="56">
        <f ca="1">IF(PV[[#This Row],[Business Date]]=Control!$C$6, PV[[#This Row],[Notional Value Local Cur]], -PV[[#This Row],[Notional Value Local Cur]])</f>
        <v>0</v>
      </c>
    </row>
    <row r="8766" spans="1:5" x14ac:dyDescent="0.25">
      <c r="A8766" s="36" t="b">
        <v>0</v>
      </c>
      <c r="B8766" s="56" t="b">
        <v>0</v>
      </c>
      <c r="C8766" s="56" t="b">
        <v>0</v>
      </c>
      <c r="D8766" s="56" t="b">
        <v>0</v>
      </c>
      <c r="E8766" s="56">
        <f ca="1">IF(PV[[#This Row],[Business Date]]=Control!$C$6, PV[[#This Row],[Notional Value Local Cur]], -PV[[#This Row],[Notional Value Local Cur]])</f>
        <v>0</v>
      </c>
    </row>
    <row r="8767" spans="1:5" x14ac:dyDescent="0.25">
      <c r="A8767" s="36" t="b">
        <v>0</v>
      </c>
      <c r="B8767" s="56" t="b">
        <v>0</v>
      </c>
      <c r="C8767" s="56" t="b">
        <v>0</v>
      </c>
      <c r="D8767" s="56" t="b">
        <v>0</v>
      </c>
      <c r="E8767" s="56">
        <f ca="1">IF(PV[[#This Row],[Business Date]]=Control!$C$6, PV[[#This Row],[Notional Value Local Cur]], -PV[[#This Row],[Notional Value Local Cur]])</f>
        <v>0</v>
      </c>
    </row>
    <row r="8768" spans="1:5" x14ac:dyDescent="0.25">
      <c r="A8768" s="36" t="b">
        <v>0</v>
      </c>
      <c r="B8768" s="56" t="b">
        <v>0</v>
      </c>
      <c r="C8768" s="56" t="b">
        <v>0</v>
      </c>
      <c r="D8768" s="56" t="b">
        <v>0</v>
      </c>
      <c r="E8768" s="56">
        <f ca="1">IF(PV[[#This Row],[Business Date]]=Control!$C$6, PV[[#This Row],[Notional Value Local Cur]], -PV[[#This Row],[Notional Value Local Cur]])</f>
        <v>0</v>
      </c>
    </row>
    <row r="8769" spans="1:5" x14ac:dyDescent="0.25">
      <c r="A8769" s="36" t="b">
        <v>0</v>
      </c>
      <c r="B8769" s="56" t="b">
        <v>0</v>
      </c>
      <c r="C8769" s="56" t="b">
        <v>0</v>
      </c>
      <c r="D8769" s="56" t="b">
        <v>0</v>
      </c>
      <c r="E8769" s="56">
        <f ca="1">IF(PV[[#This Row],[Business Date]]=Control!$C$6, PV[[#This Row],[Notional Value Local Cur]], -PV[[#This Row],[Notional Value Local Cur]])</f>
        <v>0</v>
      </c>
    </row>
    <row r="8770" spans="1:5" x14ac:dyDescent="0.25">
      <c r="A8770" s="36" t="b">
        <v>0</v>
      </c>
      <c r="B8770" s="56" t="b">
        <v>0</v>
      </c>
      <c r="C8770" s="56" t="b">
        <v>0</v>
      </c>
      <c r="D8770" s="56" t="b">
        <v>0</v>
      </c>
      <c r="E8770" s="56">
        <f ca="1">IF(PV[[#This Row],[Business Date]]=Control!$C$6, PV[[#This Row],[Notional Value Local Cur]], -PV[[#This Row],[Notional Value Local Cur]])</f>
        <v>0</v>
      </c>
    </row>
    <row r="8771" spans="1:5" x14ac:dyDescent="0.25">
      <c r="A8771" s="36" t="b">
        <v>0</v>
      </c>
      <c r="B8771" s="56" t="b">
        <v>0</v>
      </c>
      <c r="C8771" s="56" t="b">
        <v>0</v>
      </c>
      <c r="D8771" s="56" t="b">
        <v>0</v>
      </c>
      <c r="E8771" s="56">
        <f ca="1">IF(PV[[#This Row],[Business Date]]=Control!$C$6, PV[[#This Row],[Notional Value Local Cur]], -PV[[#This Row],[Notional Value Local Cur]])</f>
        <v>0</v>
      </c>
    </row>
    <row r="8772" spans="1:5" x14ac:dyDescent="0.25">
      <c r="A8772" s="36" t="b">
        <v>0</v>
      </c>
      <c r="B8772" s="56" t="b">
        <v>0</v>
      </c>
      <c r="C8772" s="56" t="b">
        <v>0</v>
      </c>
      <c r="D8772" s="56" t="b">
        <v>0</v>
      </c>
      <c r="E8772" s="56">
        <f ca="1">IF(PV[[#This Row],[Business Date]]=Control!$C$6, PV[[#This Row],[Notional Value Local Cur]], -PV[[#This Row],[Notional Value Local Cur]])</f>
        <v>0</v>
      </c>
    </row>
    <row r="8773" spans="1:5" x14ac:dyDescent="0.25">
      <c r="A8773" s="36" t="b">
        <v>0</v>
      </c>
      <c r="B8773" s="56" t="b">
        <v>0</v>
      </c>
      <c r="C8773" s="56" t="b">
        <v>0</v>
      </c>
      <c r="D8773" s="56" t="b">
        <v>0</v>
      </c>
      <c r="E8773" s="56">
        <f ca="1">IF(PV[[#This Row],[Business Date]]=Control!$C$6, PV[[#This Row],[Notional Value Local Cur]], -PV[[#This Row],[Notional Value Local Cur]])</f>
        <v>0</v>
      </c>
    </row>
    <row r="8774" spans="1:5" x14ac:dyDescent="0.25">
      <c r="A8774" s="36" t="b">
        <v>0</v>
      </c>
      <c r="B8774" s="56" t="b">
        <v>0</v>
      </c>
      <c r="C8774" s="56" t="b">
        <v>0</v>
      </c>
      <c r="D8774" s="56" t="b">
        <v>0</v>
      </c>
      <c r="E8774" s="56">
        <f ca="1">IF(PV[[#This Row],[Business Date]]=Control!$C$6, PV[[#This Row],[Notional Value Local Cur]], -PV[[#This Row],[Notional Value Local Cur]])</f>
        <v>0</v>
      </c>
    </row>
    <row r="8775" spans="1:5" x14ac:dyDescent="0.25">
      <c r="A8775" s="36" t="b">
        <v>0</v>
      </c>
      <c r="B8775" s="56" t="b">
        <v>0</v>
      </c>
      <c r="C8775" s="56" t="b">
        <v>0</v>
      </c>
      <c r="D8775" s="56" t="b">
        <v>0</v>
      </c>
      <c r="E8775" s="56">
        <f ca="1">IF(PV[[#This Row],[Business Date]]=Control!$C$6, PV[[#This Row],[Notional Value Local Cur]], -PV[[#This Row],[Notional Value Local Cur]])</f>
        <v>0</v>
      </c>
    </row>
    <row r="8776" spans="1:5" x14ac:dyDescent="0.25">
      <c r="A8776" s="36" t="b">
        <v>0</v>
      </c>
      <c r="B8776" s="56" t="b">
        <v>0</v>
      </c>
      <c r="C8776" s="56" t="b">
        <v>0</v>
      </c>
      <c r="D8776" s="56" t="b">
        <v>0</v>
      </c>
      <c r="E8776" s="56">
        <f ca="1">IF(PV[[#This Row],[Business Date]]=Control!$C$6, PV[[#This Row],[Notional Value Local Cur]], -PV[[#This Row],[Notional Value Local Cur]])</f>
        <v>0</v>
      </c>
    </row>
    <row r="8777" spans="1:5" x14ac:dyDescent="0.25">
      <c r="A8777" s="36" t="b">
        <v>0</v>
      </c>
      <c r="B8777" s="56" t="b">
        <v>0</v>
      </c>
      <c r="C8777" s="56" t="b">
        <v>0</v>
      </c>
      <c r="D8777" s="56" t="b">
        <v>0</v>
      </c>
      <c r="E8777" s="56">
        <f ca="1">IF(PV[[#This Row],[Business Date]]=Control!$C$6, PV[[#This Row],[Notional Value Local Cur]], -PV[[#This Row],[Notional Value Local Cur]])</f>
        <v>0</v>
      </c>
    </row>
    <row r="8778" spans="1:5" x14ac:dyDescent="0.25">
      <c r="A8778" s="36" t="b">
        <v>0</v>
      </c>
      <c r="B8778" s="56" t="b">
        <v>0</v>
      </c>
      <c r="C8778" s="56" t="b">
        <v>0</v>
      </c>
      <c r="D8778" s="56" t="b">
        <v>0</v>
      </c>
      <c r="E8778" s="56">
        <f ca="1">IF(PV[[#This Row],[Business Date]]=Control!$C$6, PV[[#This Row],[Notional Value Local Cur]], -PV[[#This Row],[Notional Value Local Cur]])</f>
        <v>0</v>
      </c>
    </row>
    <row r="8779" spans="1:5" x14ac:dyDescent="0.25">
      <c r="A8779" s="36" t="b">
        <v>0</v>
      </c>
      <c r="B8779" s="56" t="b">
        <v>0</v>
      </c>
      <c r="C8779" s="56" t="b">
        <v>0</v>
      </c>
      <c r="D8779" s="56" t="b">
        <v>0</v>
      </c>
      <c r="E8779" s="56">
        <f ca="1">IF(PV[[#This Row],[Business Date]]=Control!$C$6, PV[[#This Row],[Notional Value Local Cur]], -PV[[#This Row],[Notional Value Local Cur]])</f>
        <v>0</v>
      </c>
    </row>
    <row r="8780" spans="1:5" x14ac:dyDescent="0.25">
      <c r="A8780" s="36" t="b">
        <v>0</v>
      </c>
      <c r="B8780" s="56" t="b">
        <v>0</v>
      </c>
      <c r="C8780" s="56" t="b">
        <v>0</v>
      </c>
      <c r="D8780" s="56" t="b">
        <v>0</v>
      </c>
      <c r="E8780" s="56">
        <f ca="1">IF(PV[[#This Row],[Business Date]]=Control!$C$6, PV[[#This Row],[Notional Value Local Cur]], -PV[[#This Row],[Notional Value Local Cur]])</f>
        <v>0</v>
      </c>
    </row>
    <row r="8781" spans="1:5" x14ac:dyDescent="0.25">
      <c r="A8781" s="36" t="b">
        <v>0</v>
      </c>
      <c r="B8781" s="56" t="b">
        <v>0</v>
      </c>
      <c r="C8781" s="56" t="b">
        <v>0</v>
      </c>
      <c r="D8781" s="56" t="b">
        <v>0</v>
      </c>
      <c r="E8781" s="56">
        <f ca="1">IF(PV[[#This Row],[Business Date]]=Control!$C$6, PV[[#This Row],[Notional Value Local Cur]], -PV[[#This Row],[Notional Value Local Cur]])</f>
        <v>0</v>
      </c>
    </row>
    <row r="8782" spans="1:5" x14ac:dyDescent="0.25">
      <c r="A8782" s="36" t="b">
        <v>0</v>
      </c>
      <c r="B8782" s="56" t="b">
        <v>0</v>
      </c>
      <c r="C8782" s="56" t="b">
        <v>0</v>
      </c>
      <c r="D8782" s="56" t="b">
        <v>0</v>
      </c>
      <c r="E8782" s="56">
        <f ca="1">IF(PV[[#This Row],[Business Date]]=Control!$C$6, PV[[#This Row],[Notional Value Local Cur]], -PV[[#This Row],[Notional Value Local Cur]])</f>
        <v>0</v>
      </c>
    </row>
    <row r="8783" spans="1:5" x14ac:dyDescent="0.25">
      <c r="A8783" s="36" t="b">
        <v>0</v>
      </c>
      <c r="B8783" s="56" t="b">
        <v>0</v>
      </c>
      <c r="C8783" s="56" t="b">
        <v>0</v>
      </c>
      <c r="D8783" s="56" t="b">
        <v>0</v>
      </c>
      <c r="E8783" s="56">
        <f ca="1">IF(PV[[#This Row],[Business Date]]=Control!$C$6, PV[[#This Row],[Notional Value Local Cur]], -PV[[#This Row],[Notional Value Local Cur]])</f>
        <v>0</v>
      </c>
    </row>
    <row r="8784" spans="1:5" x14ac:dyDescent="0.25">
      <c r="A8784" s="36" t="b">
        <v>0</v>
      </c>
      <c r="B8784" s="56" t="b">
        <v>0</v>
      </c>
      <c r="C8784" s="56" t="b">
        <v>0</v>
      </c>
      <c r="D8784" s="56" t="b">
        <v>0</v>
      </c>
      <c r="E8784" s="56">
        <f ca="1">IF(PV[[#This Row],[Business Date]]=Control!$C$6, PV[[#This Row],[Notional Value Local Cur]], -PV[[#This Row],[Notional Value Local Cur]])</f>
        <v>0</v>
      </c>
    </row>
    <row r="8785" spans="1:5" x14ac:dyDescent="0.25">
      <c r="A8785" s="36" t="b">
        <v>0</v>
      </c>
      <c r="B8785" s="56" t="b">
        <v>0</v>
      </c>
      <c r="C8785" s="56" t="b">
        <v>0</v>
      </c>
      <c r="D8785" s="56" t="b">
        <v>0</v>
      </c>
      <c r="E8785" s="56">
        <f ca="1">IF(PV[[#This Row],[Business Date]]=Control!$C$6, PV[[#This Row],[Notional Value Local Cur]], -PV[[#This Row],[Notional Value Local Cur]])</f>
        <v>0</v>
      </c>
    </row>
    <row r="8786" spans="1:5" x14ac:dyDescent="0.25">
      <c r="A8786" s="36" t="b">
        <v>0</v>
      </c>
      <c r="B8786" s="56" t="b">
        <v>0</v>
      </c>
      <c r="C8786" s="56" t="b">
        <v>0</v>
      </c>
      <c r="D8786" s="56" t="b">
        <v>0</v>
      </c>
      <c r="E8786" s="56">
        <f ca="1">IF(PV[[#This Row],[Business Date]]=Control!$C$6, PV[[#This Row],[Notional Value Local Cur]], -PV[[#This Row],[Notional Value Local Cur]])</f>
        <v>0</v>
      </c>
    </row>
    <row r="8787" spans="1:5" x14ac:dyDescent="0.25">
      <c r="A8787" s="36" t="b">
        <v>0</v>
      </c>
      <c r="B8787" s="56" t="b">
        <v>0</v>
      </c>
      <c r="C8787" s="56" t="b">
        <v>0</v>
      </c>
      <c r="D8787" s="56" t="b">
        <v>0</v>
      </c>
      <c r="E8787" s="56">
        <f ca="1">IF(PV[[#This Row],[Business Date]]=Control!$C$6, PV[[#This Row],[Notional Value Local Cur]], -PV[[#This Row],[Notional Value Local Cur]])</f>
        <v>0</v>
      </c>
    </row>
    <row r="8788" spans="1:5" x14ac:dyDescent="0.25">
      <c r="A8788" s="36" t="b">
        <v>0</v>
      </c>
      <c r="B8788" s="56" t="b">
        <v>0</v>
      </c>
      <c r="C8788" s="56" t="b">
        <v>0</v>
      </c>
      <c r="D8788" s="56" t="b">
        <v>0</v>
      </c>
      <c r="E8788" s="56">
        <f ca="1">IF(PV[[#This Row],[Business Date]]=Control!$C$6, PV[[#This Row],[Notional Value Local Cur]], -PV[[#This Row],[Notional Value Local Cur]])</f>
        <v>0</v>
      </c>
    </row>
    <row r="8789" spans="1:5" x14ac:dyDescent="0.25">
      <c r="A8789" s="36" t="b">
        <v>0</v>
      </c>
      <c r="B8789" s="56" t="b">
        <v>0</v>
      </c>
      <c r="C8789" s="56" t="b">
        <v>0</v>
      </c>
      <c r="D8789" s="56" t="b">
        <v>0</v>
      </c>
      <c r="E8789" s="56">
        <f ca="1">IF(PV[[#This Row],[Business Date]]=Control!$C$6, PV[[#This Row],[Notional Value Local Cur]], -PV[[#This Row],[Notional Value Local Cur]])</f>
        <v>0</v>
      </c>
    </row>
    <row r="8790" spans="1:5" x14ac:dyDescent="0.25">
      <c r="A8790" s="36" t="b">
        <v>0</v>
      </c>
      <c r="B8790" s="56" t="b">
        <v>0</v>
      </c>
      <c r="C8790" s="56" t="b">
        <v>0</v>
      </c>
      <c r="D8790" s="56" t="b">
        <v>0</v>
      </c>
      <c r="E8790" s="56">
        <f ca="1">IF(PV[[#This Row],[Business Date]]=Control!$C$6, PV[[#This Row],[Notional Value Local Cur]], -PV[[#This Row],[Notional Value Local Cur]])</f>
        <v>0</v>
      </c>
    </row>
    <row r="8791" spans="1:5" x14ac:dyDescent="0.25">
      <c r="A8791" s="36" t="b">
        <v>0</v>
      </c>
      <c r="B8791" s="56" t="b">
        <v>0</v>
      </c>
      <c r="C8791" s="56" t="b">
        <v>0</v>
      </c>
      <c r="D8791" s="56" t="b">
        <v>0</v>
      </c>
      <c r="E8791" s="56">
        <f ca="1">IF(PV[[#This Row],[Business Date]]=Control!$C$6, PV[[#This Row],[Notional Value Local Cur]], -PV[[#This Row],[Notional Value Local Cur]])</f>
        <v>0</v>
      </c>
    </row>
    <row r="8792" spans="1:5" x14ac:dyDescent="0.25">
      <c r="A8792" s="36" t="b">
        <v>0</v>
      </c>
      <c r="B8792" s="56" t="b">
        <v>0</v>
      </c>
      <c r="C8792" s="56" t="b">
        <v>0</v>
      </c>
      <c r="D8792" s="56" t="b">
        <v>0</v>
      </c>
      <c r="E8792" s="56">
        <f ca="1">IF(PV[[#This Row],[Business Date]]=Control!$C$6, PV[[#This Row],[Notional Value Local Cur]], -PV[[#This Row],[Notional Value Local Cur]])</f>
        <v>0</v>
      </c>
    </row>
    <row r="8793" spans="1:5" x14ac:dyDescent="0.25">
      <c r="A8793" s="36" t="b">
        <v>0</v>
      </c>
      <c r="B8793" s="56" t="b">
        <v>0</v>
      </c>
      <c r="C8793" s="56" t="b">
        <v>0</v>
      </c>
      <c r="D8793" s="56" t="b">
        <v>0</v>
      </c>
      <c r="E8793" s="56">
        <f ca="1">IF(PV[[#This Row],[Business Date]]=Control!$C$6, PV[[#This Row],[Notional Value Local Cur]], -PV[[#This Row],[Notional Value Local Cur]])</f>
        <v>0</v>
      </c>
    </row>
    <row r="8794" spans="1:5" x14ac:dyDescent="0.25">
      <c r="A8794" s="36" t="b">
        <v>0</v>
      </c>
      <c r="B8794" s="56" t="b">
        <v>0</v>
      </c>
      <c r="C8794" s="56" t="b">
        <v>0</v>
      </c>
      <c r="D8794" s="56" t="b">
        <v>0</v>
      </c>
      <c r="E8794" s="56">
        <f ca="1">IF(PV[[#This Row],[Business Date]]=Control!$C$6, PV[[#This Row],[Notional Value Local Cur]], -PV[[#This Row],[Notional Value Local Cur]])</f>
        <v>0</v>
      </c>
    </row>
    <row r="8795" spans="1:5" x14ac:dyDescent="0.25">
      <c r="A8795" s="36" t="b">
        <v>0</v>
      </c>
      <c r="B8795" s="56" t="b">
        <v>0</v>
      </c>
      <c r="C8795" s="56" t="b">
        <v>0</v>
      </c>
      <c r="D8795" s="56" t="b">
        <v>0</v>
      </c>
      <c r="E8795" s="56">
        <f ca="1">IF(PV[[#This Row],[Business Date]]=Control!$C$6, PV[[#This Row],[Notional Value Local Cur]], -PV[[#This Row],[Notional Value Local Cur]])</f>
        <v>0</v>
      </c>
    </row>
    <row r="8796" spans="1:5" x14ac:dyDescent="0.25">
      <c r="A8796" s="36" t="b">
        <v>0</v>
      </c>
      <c r="B8796" s="56" t="b">
        <v>0</v>
      </c>
      <c r="C8796" s="56" t="b">
        <v>0</v>
      </c>
      <c r="D8796" s="56" t="b">
        <v>0</v>
      </c>
      <c r="E8796" s="56">
        <f ca="1">IF(PV[[#This Row],[Business Date]]=Control!$C$6, PV[[#This Row],[Notional Value Local Cur]], -PV[[#This Row],[Notional Value Local Cur]])</f>
        <v>0</v>
      </c>
    </row>
    <row r="8797" spans="1:5" x14ac:dyDescent="0.25">
      <c r="A8797" s="36" t="b">
        <v>0</v>
      </c>
      <c r="B8797" s="56" t="b">
        <v>0</v>
      </c>
      <c r="C8797" s="56" t="b">
        <v>0</v>
      </c>
      <c r="D8797" s="56" t="b">
        <v>0</v>
      </c>
      <c r="E8797" s="56">
        <f ca="1">IF(PV[[#This Row],[Business Date]]=Control!$C$6, PV[[#This Row],[Notional Value Local Cur]], -PV[[#This Row],[Notional Value Local Cur]])</f>
        <v>0</v>
      </c>
    </row>
    <row r="8798" spans="1:5" x14ac:dyDescent="0.25">
      <c r="A8798" s="36" t="b">
        <v>0</v>
      </c>
      <c r="B8798" s="56" t="b">
        <v>0</v>
      </c>
      <c r="C8798" s="56" t="b">
        <v>0</v>
      </c>
      <c r="D8798" s="56" t="b">
        <v>0</v>
      </c>
      <c r="E8798" s="56">
        <f ca="1">IF(PV[[#This Row],[Business Date]]=Control!$C$6, PV[[#This Row],[Notional Value Local Cur]], -PV[[#This Row],[Notional Value Local Cur]])</f>
        <v>0</v>
      </c>
    </row>
    <row r="8799" spans="1:5" x14ac:dyDescent="0.25">
      <c r="A8799" s="36" t="b">
        <v>0</v>
      </c>
      <c r="B8799" s="56" t="b">
        <v>0</v>
      </c>
      <c r="C8799" s="56" t="b">
        <v>0</v>
      </c>
      <c r="D8799" s="56" t="b">
        <v>0</v>
      </c>
      <c r="E8799" s="56">
        <f ca="1">IF(PV[[#This Row],[Business Date]]=Control!$C$6, PV[[#This Row],[Notional Value Local Cur]], -PV[[#This Row],[Notional Value Local Cur]])</f>
        <v>0</v>
      </c>
    </row>
    <row r="8800" spans="1:5" x14ac:dyDescent="0.25">
      <c r="A8800" s="36" t="b">
        <v>0</v>
      </c>
      <c r="B8800" s="56" t="b">
        <v>0</v>
      </c>
      <c r="C8800" s="56" t="b">
        <v>0</v>
      </c>
      <c r="D8800" s="56" t="b">
        <v>0</v>
      </c>
      <c r="E8800" s="56">
        <f ca="1">IF(PV[[#This Row],[Business Date]]=Control!$C$6, PV[[#This Row],[Notional Value Local Cur]], -PV[[#This Row],[Notional Value Local Cur]])</f>
        <v>0</v>
      </c>
    </row>
    <row r="8801" spans="1:5" x14ac:dyDescent="0.25">
      <c r="A8801" s="36" t="b">
        <v>0</v>
      </c>
      <c r="B8801" s="56" t="b">
        <v>0</v>
      </c>
      <c r="C8801" s="56" t="b">
        <v>0</v>
      </c>
      <c r="D8801" s="56" t="b">
        <v>0</v>
      </c>
      <c r="E8801" s="56">
        <f ca="1">IF(PV[[#This Row],[Business Date]]=Control!$C$6, PV[[#This Row],[Notional Value Local Cur]], -PV[[#This Row],[Notional Value Local Cur]])</f>
        <v>0</v>
      </c>
    </row>
    <row r="8802" spans="1:5" x14ac:dyDescent="0.25">
      <c r="A8802" s="36" t="b">
        <v>0</v>
      </c>
      <c r="B8802" s="56" t="b">
        <v>0</v>
      </c>
      <c r="C8802" s="56" t="b">
        <v>0</v>
      </c>
      <c r="D8802" s="56" t="b">
        <v>0</v>
      </c>
      <c r="E8802" s="56">
        <f ca="1">IF(PV[[#This Row],[Business Date]]=Control!$C$6, PV[[#This Row],[Notional Value Local Cur]], -PV[[#This Row],[Notional Value Local Cur]])</f>
        <v>0</v>
      </c>
    </row>
    <row r="8803" spans="1:5" x14ac:dyDescent="0.25">
      <c r="A8803" s="36" t="b">
        <v>0</v>
      </c>
      <c r="B8803" s="56" t="b">
        <v>0</v>
      </c>
      <c r="C8803" s="56" t="b">
        <v>0</v>
      </c>
      <c r="D8803" s="56" t="b">
        <v>0</v>
      </c>
      <c r="E8803" s="56">
        <f ca="1">IF(PV[[#This Row],[Business Date]]=Control!$C$6, PV[[#This Row],[Notional Value Local Cur]], -PV[[#This Row],[Notional Value Local Cur]])</f>
        <v>0</v>
      </c>
    </row>
    <row r="8804" spans="1:5" x14ac:dyDescent="0.25">
      <c r="A8804" s="36" t="b">
        <v>0</v>
      </c>
      <c r="B8804" s="56" t="b">
        <v>0</v>
      </c>
      <c r="C8804" s="56" t="b">
        <v>0</v>
      </c>
      <c r="D8804" s="56" t="b">
        <v>0</v>
      </c>
      <c r="E8804" s="56">
        <f ca="1">IF(PV[[#This Row],[Business Date]]=Control!$C$6, PV[[#This Row],[Notional Value Local Cur]], -PV[[#This Row],[Notional Value Local Cur]])</f>
        <v>0</v>
      </c>
    </row>
    <row r="8805" spans="1:5" x14ac:dyDescent="0.25">
      <c r="A8805" s="36" t="b">
        <v>0</v>
      </c>
      <c r="B8805" s="56" t="b">
        <v>0</v>
      </c>
      <c r="C8805" s="56" t="b">
        <v>0</v>
      </c>
      <c r="D8805" s="56" t="b">
        <v>0</v>
      </c>
      <c r="E8805" s="56">
        <f ca="1">IF(PV[[#This Row],[Business Date]]=Control!$C$6, PV[[#This Row],[Notional Value Local Cur]], -PV[[#This Row],[Notional Value Local Cur]])</f>
        <v>0</v>
      </c>
    </row>
    <row r="8806" spans="1:5" x14ac:dyDescent="0.25">
      <c r="A8806" s="36" t="b">
        <v>0</v>
      </c>
      <c r="B8806" s="56" t="b">
        <v>0</v>
      </c>
      <c r="C8806" s="56" t="b">
        <v>0</v>
      </c>
      <c r="D8806" s="56" t="b">
        <v>0</v>
      </c>
      <c r="E8806" s="56">
        <f ca="1">IF(PV[[#This Row],[Business Date]]=Control!$C$6, PV[[#This Row],[Notional Value Local Cur]], -PV[[#This Row],[Notional Value Local Cur]])</f>
        <v>0</v>
      </c>
    </row>
    <row r="8807" spans="1:5" x14ac:dyDescent="0.25">
      <c r="A8807" s="36" t="b">
        <v>0</v>
      </c>
      <c r="B8807" s="56" t="b">
        <v>0</v>
      </c>
      <c r="C8807" s="56" t="b">
        <v>0</v>
      </c>
      <c r="D8807" s="56" t="b">
        <v>0</v>
      </c>
      <c r="E8807" s="56">
        <f ca="1">IF(PV[[#This Row],[Business Date]]=Control!$C$6, PV[[#This Row],[Notional Value Local Cur]], -PV[[#This Row],[Notional Value Local Cur]])</f>
        <v>0</v>
      </c>
    </row>
    <row r="8808" spans="1:5" x14ac:dyDescent="0.25">
      <c r="A8808" s="36" t="b">
        <v>0</v>
      </c>
      <c r="B8808" s="56" t="b">
        <v>0</v>
      </c>
      <c r="C8808" s="56" t="b">
        <v>0</v>
      </c>
      <c r="D8808" s="56" t="b">
        <v>0</v>
      </c>
      <c r="E8808" s="56">
        <f ca="1">IF(PV[[#This Row],[Business Date]]=Control!$C$6, PV[[#This Row],[Notional Value Local Cur]], -PV[[#This Row],[Notional Value Local Cur]])</f>
        <v>0</v>
      </c>
    </row>
    <row r="8809" spans="1:5" x14ac:dyDescent="0.25">
      <c r="A8809" s="36" t="b">
        <v>0</v>
      </c>
      <c r="B8809" s="56" t="b">
        <v>0</v>
      </c>
      <c r="C8809" s="56" t="b">
        <v>0</v>
      </c>
      <c r="D8809" s="56" t="b">
        <v>0</v>
      </c>
      <c r="E8809" s="56">
        <f ca="1">IF(PV[[#This Row],[Business Date]]=Control!$C$6, PV[[#This Row],[Notional Value Local Cur]], -PV[[#This Row],[Notional Value Local Cur]])</f>
        <v>0</v>
      </c>
    </row>
    <row r="8810" spans="1:5" x14ac:dyDescent="0.25">
      <c r="A8810" s="36" t="b">
        <v>0</v>
      </c>
      <c r="B8810" s="56" t="b">
        <v>0</v>
      </c>
      <c r="C8810" s="56" t="b">
        <v>0</v>
      </c>
      <c r="D8810" s="56" t="b">
        <v>0</v>
      </c>
      <c r="E8810" s="56">
        <f ca="1">IF(PV[[#This Row],[Business Date]]=Control!$C$6, PV[[#This Row],[Notional Value Local Cur]], -PV[[#This Row],[Notional Value Local Cur]])</f>
        <v>0</v>
      </c>
    </row>
    <row r="8811" spans="1:5" x14ac:dyDescent="0.25">
      <c r="A8811" s="36" t="b">
        <v>0</v>
      </c>
      <c r="B8811" s="56" t="b">
        <v>0</v>
      </c>
      <c r="C8811" s="56" t="b">
        <v>0</v>
      </c>
      <c r="D8811" s="56" t="b">
        <v>0</v>
      </c>
      <c r="E8811" s="56">
        <f ca="1">IF(PV[[#This Row],[Business Date]]=Control!$C$6, PV[[#This Row],[Notional Value Local Cur]], -PV[[#This Row],[Notional Value Local Cur]])</f>
        <v>0</v>
      </c>
    </row>
    <row r="8812" spans="1:5" x14ac:dyDescent="0.25">
      <c r="A8812" s="36" t="b">
        <v>0</v>
      </c>
      <c r="B8812" s="56" t="b">
        <v>0</v>
      </c>
      <c r="C8812" s="56" t="b">
        <v>0</v>
      </c>
      <c r="D8812" s="56" t="b">
        <v>0</v>
      </c>
      <c r="E8812" s="56">
        <f ca="1">IF(PV[[#This Row],[Business Date]]=Control!$C$6, PV[[#This Row],[Notional Value Local Cur]], -PV[[#This Row],[Notional Value Local Cur]])</f>
        <v>0</v>
      </c>
    </row>
    <row r="8813" spans="1:5" x14ac:dyDescent="0.25">
      <c r="A8813" s="36" t="b">
        <v>0</v>
      </c>
      <c r="B8813" s="56" t="b">
        <v>0</v>
      </c>
      <c r="C8813" s="56" t="b">
        <v>0</v>
      </c>
      <c r="D8813" s="56" t="b">
        <v>0</v>
      </c>
      <c r="E8813" s="56">
        <f ca="1">IF(PV[[#This Row],[Business Date]]=Control!$C$6, PV[[#This Row],[Notional Value Local Cur]], -PV[[#This Row],[Notional Value Local Cur]])</f>
        <v>0</v>
      </c>
    </row>
    <row r="8814" spans="1:5" x14ac:dyDescent="0.25">
      <c r="A8814" s="36" t="b">
        <v>0</v>
      </c>
      <c r="B8814" s="56" t="b">
        <v>0</v>
      </c>
      <c r="C8814" s="56" t="b">
        <v>0</v>
      </c>
      <c r="D8814" s="56" t="b">
        <v>0</v>
      </c>
      <c r="E8814" s="56">
        <f ca="1">IF(PV[[#This Row],[Business Date]]=Control!$C$6, PV[[#This Row],[Notional Value Local Cur]], -PV[[#This Row],[Notional Value Local Cur]])</f>
        <v>0</v>
      </c>
    </row>
    <row r="8815" spans="1:5" x14ac:dyDescent="0.25">
      <c r="A8815" s="36" t="b">
        <v>0</v>
      </c>
      <c r="B8815" s="56" t="b">
        <v>0</v>
      </c>
      <c r="C8815" s="56" t="b">
        <v>0</v>
      </c>
      <c r="D8815" s="56" t="b">
        <v>0</v>
      </c>
      <c r="E8815" s="56">
        <f ca="1">IF(PV[[#This Row],[Business Date]]=Control!$C$6, PV[[#This Row],[Notional Value Local Cur]], -PV[[#This Row],[Notional Value Local Cur]])</f>
        <v>0</v>
      </c>
    </row>
    <row r="8816" spans="1:5" x14ac:dyDescent="0.25">
      <c r="A8816" s="36" t="b">
        <v>0</v>
      </c>
      <c r="B8816" s="56" t="b">
        <v>0</v>
      </c>
      <c r="C8816" s="56" t="b">
        <v>0</v>
      </c>
      <c r="D8816" s="56" t="b">
        <v>0</v>
      </c>
      <c r="E8816" s="56">
        <f ca="1">IF(PV[[#This Row],[Business Date]]=Control!$C$6, PV[[#This Row],[Notional Value Local Cur]], -PV[[#This Row],[Notional Value Local Cur]])</f>
        <v>0</v>
      </c>
    </row>
    <row r="8817" spans="1:5" x14ac:dyDescent="0.25">
      <c r="A8817" s="36" t="b">
        <v>0</v>
      </c>
      <c r="B8817" s="56" t="b">
        <v>0</v>
      </c>
      <c r="C8817" s="56" t="b">
        <v>0</v>
      </c>
      <c r="D8817" s="56" t="b">
        <v>0</v>
      </c>
      <c r="E8817" s="56">
        <f ca="1">IF(PV[[#This Row],[Business Date]]=Control!$C$6, PV[[#This Row],[Notional Value Local Cur]], -PV[[#This Row],[Notional Value Local Cur]])</f>
        <v>0</v>
      </c>
    </row>
    <row r="8818" spans="1:5" x14ac:dyDescent="0.25">
      <c r="A8818" s="36" t="b">
        <v>0</v>
      </c>
      <c r="B8818" s="56" t="b">
        <v>0</v>
      </c>
      <c r="C8818" s="56" t="b">
        <v>0</v>
      </c>
      <c r="D8818" s="56" t="b">
        <v>0</v>
      </c>
      <c r="E8818" s="56">
        <f ca="1">IF(PV[[#This Row],[Business Date]]=Control!$C$6, PV[[#This Row],[Notional Value Local Cur]], -PV[[#This Row],[Notional Value Local Cur]])</f>
        <v>0</v>
      </c>
    </row>
    <row r="8819" spans="1:5" x14ac:dyDescent="0.25">
      <c r="A8819" s="36" t="b">
        <v>0</v>
      </c>
      <c r="B8819" s="56" t="b">
        <v>0</v>
      </c>
      <c r="C8819" s="56" t="b">
        <v>0</v>
      </c>
      <c r="D8819" s="56" t="b">
        <v>0</v>
      </c>
      <c r="E8819" s="56">
        <f ca="1">IF(PV[[#This Row],[Business Date]]=Control!$C$6, PV[[#This Row],[Notional Value Local Cur]], -PV[[#This Row],[Notional Value Local Cur]])</f>
        <v>0</v>
      </c>
    </row>
    <row r="8820" spans="1:5" x14ac:dyDescent="0.25">
      <c r="A8820" s="36" t="b">
        <v>0</v>
      </c>
      <c r="B8820" s="56" t="b">
        <v>0</v>
      </c>
      <c r="C8820" s="56" t="b">
        <v>0</v>
      </c>
      <c r="D8820" s="56" t="b">
        <v>0</v>
      </c>
      <c r="E8820" s="56">
        <f ca="1">IF(PV[[#This Row],[Business Date]]=Control!$C$6, PV[[#This Row],[Notional Value Local Cur]], -PV[[#This Row],[Notional Value Local Cur]])</f>
        <v>0</v>
      </c>
    </row>
    <row r="8821" spans="1:5" x14ac:dyDescent="0.25">
      <c r="A8821" s="36" t="b">
        <v>0</v>
      </c>
      <c r="B8821" s="56" t="b">
        <v>0</v>
      </c>
      <c r="C8821" s="56" t="b">
        <v>0</v>
      </c>
      <c r="D8821" s="56" t="b">
        <v>0</v>
      </c>
      <c r="E8821" s="56">
        <f ca="1">IF(PV[[#This Row],[Business Date]]=Control!$C$6, PV[[#This Row],[Notional Value Local Cur]], -PV[[#This Row],[Notional Value Local Cur]])</f>
        <v>0</v>
      </c>
    </row>
    <row r="8822" spans="1:5" x14ac:dyDescent="0.25">
      <c r="A8822" s="36" t="b">
        <v>0</v>
      </c>
      <c r="B8822" s="56" t="b">
        <v>0</v>
      </c>
      <c r="C8822" s="56" t="b">
        <v>0</v>
      </c>
      <c r="D8822" s="56" t="b">
        <v>0</v>
      </c>
      <c r="E8822" s="56">
        <f ca="1">IF(PV[[#This Row],[Business Date]]=Control!$C$6, PV[[#This Row],[Notional Value Local Cur]], -PV[[#This Row],[Notional Value Local Cur]])</f>
        <v>0</v>
      </c>
    </row>
    <row r="8823" spans="1:5" x14ac:dyDescent="0.25">
      <c r="A8823" s="36" t="b">
        <v>0</v>
      </c>
      <c r="B8823" s="56" t="b">
        <v>0</v>
      </c>
      <c r="C8823" s="56" t="b">
        <v>0</v>
      </c>
      <c r="D8823" s="56" t="b">
        <v>0</v>
      </c>
      <c r="E8823" s="56">
        <f ca="1">IF(PV[[#This Row],[Business Date]]=Control!$C$6, PV[[#This Row],[Notional Value Local Cur]], -PV[[#This Row],[Notional Value Local Cur]])</f>
        <v>0</v>
      </c>
    </row>
    <row r="8824" spans="1:5" x14ac:dyDescent="0.25">
      <c r="A8824" s="36" t="b">
        <v>0</v>
      </c>
      <c r="B8824" s="56" t="b">
        <v>0</v>
      </c>
      <c r="C8824" s="56" t="b">
        <v>0</v>
      </c>
      <c r="D8824" s="56" t="b">
        <v>0</v>
      </c>
      <c r="E8824" s="56">
        <f ca="1">IF(PV[[#This Row],[Business Date]]=Control!$C$6, PV[[#This Row],[Notional Value Local Cur]], -PV[[#This Row],[Notional Value Local Cur]])</f>
        <v>0</v>
      </c>
    </row>
    <row r="8825" spans="1:5" x14ac:dyDescent="0.25">
      <c r="A8825" s="36" t="b">
        <v>0</v>
      </c>
      <c r="B8825" s="56" t="b">
        <v>0</v>
      </c>
      <c r="C8825" s="56" t="b">
        <v>0</v>
      </c>
      <c r="D8825" s="56" t="b">
        <v>0</v>
      </c>
      <c r="E8825" s="56">
        <f ca="1">IF(PV[[#This Row],[Business Date]]=Control!$C$6, PV[[#This Row],[Notional Value Local Cur]], -PV[[#This Row],[Notional Value Local Cur]])</f>
        <v>0</v>
      </c>
    </row>
    <row r="8826" spans="1:5" x14ac:dyDescent="0.25">
      <c r="A8826" s="36" t="b">
        <v>0</v>
      </c>
      <c r="B8826" s="56" t="b">
        <v>0</v>
      </c>
      <c r="C8826" s="56" t="b">
        <v>0</v>
      </c>
      <c r="D8826" s="56" t="b">
        <v>0</v>
      </c>
      <c r="E8826" s="56">
        <f ca="1">IF(PV[[#This Row],[Business Date]]=Control!$C$6, PV[[#This Row],[Notional Value Local Cur]], -PV[[#This Row],[Notional Value Local Cur]])</f>
        <v>0</v>
      </c>
    </row>
    <row r="8827" spans="1:5" x14ac:dyDescent="0.25">
      <c r="A8827" s="36" t="b">
        <v>0</v>
      </c>
      <c r="B8827" s="56" t="b">
        <v>0</v>
      </c>
      <c r="C8827" s="56" t="b">
        <v>0</v>
      </c>
      <c r="D8827" s="56" t="b">
        <v>0</v>
      </c>
      <c r="E8827" s="56">
        <f ca="1">IF(PV[[#This Row],[Business Date]]=Control!$C$6, PV[[#This Row],[Notional Value Local Cur]], -PV[[#This Row],[Notional Value Local Cur]])</f>
        <v>0</v>
      </c>
    </row>
    <row r="8828" spans="1:5" x14ac:dyDescent="0.25">
      <c r="A8828" s="36" t="b">
        <v>0</v>
      </c>
      <c r="B8828" s="56" t="b">
        <v>0</v>
      </c>
      <c r="C8828" s="56" t="b">
        <v>0</v>
      </c>
      <c r="D8828" s="56" t="b">
        <v>0</v>
      </c>
      <c r="E8828" s="56">
        <f ca="1">IF(PV[[#This Row],[Business Date]]=Control!$C$6, PV[[#This Row],[Notional Value Local Cur]], -PV[[#This Row],[Notional Value Local Cur]])</f>
        <v>0</v>
      </c>
    </row>
    <row r="8829" spans="1:5" x14ac:dyDescent="0.25">
      <c r="A8829" s="36" t="b">
        <v>0</v>
      </c>
      <c r="B8829" s="56" t="b">
        <v>0</v>
      </c>
      <c r="C8829" s="56" t="b">
        <v>0</v>
      </c>
      <c r="D8829" s="56" t="b">
        <v>0</v>
      </c>
      <c r="E8829" s="56">
        <f ca="1">IF(PV[[#This Row],[Business Date]]=Control!$C$6, PV[[#This Row],[Notional Value Local Cur]], -PV[[#This Row],[Notional Value Local Cur]])</f>
        <v>0</v>
      </c>
    </row>
    <row r="8830" spans="1:5" x14ac:dyDescent="0.25">
      <c r="A8830" s="36" t="b">
        <v>0</v>
      </c>
      <c r="B8830" s="56" t="b">
        <v>0</v>
      </c>
      <c r="C8830" s="56" t="b">
        <v>0</v>
      </c>
      <c r="D8830" s="56" t="b">
        <v>0</v>
      </c>
      <c r="E8830" s="56">
        <f ca="1">IF(PV[[#This Row],[Business Date]]=Control!$C$6, PV[[#This Row],[Notional Value Local Cur]], -PV[[#This Row],[Notional Value Local Cur]])</f>
        <v>0</v>
      </c>
    </row>
    <row r="8831" spans="1:5" x14ac:dyDescent="0.25">
      <c r="A8831" s="36" t="b">
        <v>0</v>
      </c>
      <c r="B8831" s="56" t="b">
        <v>0</v>
      </c>
      <c r="C8831" s="56" t="b">
        <v>0</v>
      </c>
      <c r="D8831" s="56" t="b">
        <v>0</v>
      </c>
      <c r="E8831" s="56">
        <f ca="1">IF(PV[[#This Row],[Business Date]]=Control!$C$6, PV[[#This Row],[Notional Value Local Cur]], -PV[[#This Row],[Notional Value Local Cur]])</f>
        <v>0</v>
      </c>
    </row>
    <row r="8832" spans="1:5" x14ac:dyDescent="0.25">
      <c r="A8832" s="36" t="b">
        <v>0</v>
      </c>
      <c r="B8832" s="56" t="b">
        <v>0</v>
      </c>
      <c r="C8832" s="56" t="b">
        <v>0</v>
      </c>
      <c r="D8832" s="56" t="b">
        <v>0</v>
      </c>
      <c r="E8832" s="56">
        <f ca="1">IF(PV[[#This Row],[Business Date]]=Control!$C$6, PV[[#This Row],[Notional Value Local Cur]], -PV[[#This Row],[Notional Value Local Cur]])</f>
        <v>0</v>
      </c>
    </row>
    <row r="8833" spans="1:5" x14ac:dyDescent="0.25">
      <c r="A8833" s="36" t="b">
        <v>0</v>
      </c>
      <c r="B8833" s="56" t="b">
        <v>0</v>
      </c>
      <c r="C8833" s="56" t="b">
        <v>0</v>
      </c>
      <c r="D8833" s="56" t="b">
        <v>0</v>
      </c>
      <c r="E8833" s="56">
        <f ca="1">IF(PV[[#This Row],[Business Date]]=Control!$C$6, PV[[#This Row],[Notional Value Local Cur]], -PV[[#This Row],[Notional Value Local Cur]])</f>
        <v>0</v>
      </c>
    </row>
    <row r="8834" spans="1:5" x14ac:dyDescent="0.25">
      <c r="A8834" s="36" t="b">
        <v>0</v>
      </c>
      <c r="B8834" s="56" t="b">
        <v>0</v>
      </c>
      <c r="C8834" s="56" t="b">
        <v>0</v>
      </c>
      <c r="D8834" s="56" t="b">
        <v>0</v>
      </c>
      <c r="E8834" s="56">
        <f ca="1">IF(PV[[#This Row],[Business Date]]=Control!$C$6, PV[[#This Row],[Notional Value Local Cur]], -PV[[#This Row],[Notional Value Local Cur]])</f>
        <v>0</v>
      </c>
    </row>
    <row r="8835" spans="1:5" x14ac:dyDescent="0.25">
      <c r="A8835" s="36" t="b">
        <v>0</v>
      </c>
      <c r="B8835" s="56" t="b">
        <v>0</v>
      </c>
      <c r="C8835" s="56" t="b">
        <v>0</v>
      </c>
      <c r="D8835" s="56" t="b">
        <v>0</v>
      </c>
      <c r="E8835" s="56">
        <f ca="1">IF(PV[[#This Row],[Business Date]]=Control!$C$6, PV[[#This Row],[Notional Value Local Cur]], -PV[[#This Row],[Notional Value Local Cur]])</f>
        <v>0</v>
      </c>
    </row>
    <row r="8836" spans="1:5" x14ac:dyDescent="0.25">
      <c r="A8836" s="36" t="b">
        <v>0</v>
      </c>
      <c r="B8836" s="56" t="b">
        <v>0</v>
      </c>
      <c r="C8836" s="56" t="b">
        <v>0</v>
      </c>
      <c r="D8836" s="56" t="b">
        <v>0</v>
      </c>
      <c r="E8836" s="56">
        <f ca="1">IF(PV[[#This Row],[Business Date]]=Control!$C$6, PV[[#This Row],[Notional Value Local Cur]], -PV[[#This Row],[Notional Value Local Cur]])</f>
        <v>0</v>
      </c>
    </row>
    <row r="8837" spans="1:5" x14ac:dyDescent="0.25">
      <c r="A8837" s="36" t="b">
        <v>0</v>
      </c>
      <c r="B8837" s="56" t="b">
        <v>0</v>
      </c>
      <c r="C8837" s="56" t="b">
        <v>0</v>
      </c>
      <c r="D8837" s="56" t="b">
        <v>0</v>
      </c>
      <c r="E8837" s="56">
        <f ca="1">IF(PV[[#This Row],[Business Date]]=Control!$C$6, PV[[#This Row],[Notional Value Local Cur]], -PV[[#This Row],[Notional Value Local Cur]])</f>
        <v>0</v>
      </c>
    </row>
    <row r="8838" spans="1:5" x14ac:dyDescent="0.25">
      <c r="A8838" s="36" t="b">
        <v>0</v>
      </c>
      <c r="B8838" s="56" t="b">
        <v>0</v>
      </c>
      <c r="C8838" s="56" t="b">
        <v>0</v>
      </c>
      <c r="D8838" s="56" t="b">
        <v>0</v>
      </c>
      <c r="E8838" s="56">
        <f ca="1">IF(PV[[#This Row],[Business Date]]=Control!$C$6, PV[[#This Row],[Notional Value Local Cur]], -PV[[#This Row],[Notional Value Local Cur]])</f>
        <v>0</v>
      </c>
    </row>
    <row r="8839" spans="1:5" x14ac:dyDescent="0.25">
      <c r="A8839" s="36" t="b">
        <v>0</v>
      </c>
      <c r="B8839" s="56" t="b">
        <v>0</v>
      </c>
      <c r="C8839" s="56" t="b">
        <v>0</v>
      </c>
      <c r="D8839" s="56" t="b">
        <v>0</v>
      </c>
      <c r="E8839" s="56">
        <f ca="1">IF(PV[[#This Row],[Business Date]]=Control!$C$6, PV[[#This Row],[Notional Value Local Cur]], -PV[[#This Row],[Notional Value Local Cur]])</f>
        <v>0</v>
      </c>
    </row>
    <row r="8840" spans="1:5" x14ac:dyDescent="0.25">
      <c r="A8840" s="36" t="b">
        <v>0</v>
      </c>
      <c r="B8840" s="56" t="b">
        <v>0</v>
      </c>
      <c r="C8840" s="56" t="b">
        <v>0</v>
      </c>
      <c r="D8840" s="56" t="b">
        <v>0</v>
      </c>
      <c r="E8840" s="56">
        <f ca="1">IF(PV[[#This Row],[Business Date]]=Control!$C$6, PV[[#This Row],[Notional Value Local Cur]], -PV[[#This Row],[Notional Value Local Cur]])</f>
        <v>0</v>
      </c>
    </row>
    <row r="8841" spans="1:5" x14ac:dyDescent="0.25">
      <c r="A8841" s="36" t="b">
        <v>0</v>
      </c>
      <c r="B8841" s="56" t="b">
        <v>0</v>
      </c>
      <c r="C8841" s="56" t="b">
        <v>0</v>
      </c>
      <c r="D8841" s="56" t="b">
        <v>0</v>
      </c>
      <c r="E8841" s="56">
        <f ca="1">IF(PV[[#This Row],[Business Date]]=Control!$C$6, PV[[#This Row],[Notional Value Local Cur]], -PV[[#This Row],[Notional Value Local Cur]])</f>
        <v>0</v>
      </c>
    </row>
    <row r="8842" spans="1:5" x14ac:dyDescent="0.25">
      <c r="A8842" s="36" t="b">
        <v>0</v>
      </c>
      <c r="B8842" s="56" t="b">
        <v>0</v>
      </c>
      <c r="C8842" s="56" t="b">
        <v>0</v>
      </c>
      <c r="D8842" s="56" t="b">
        <v>0</v>
      </c>
      <c r="E8842" s="56">
        <f ca="1">IF(PV[[#This Row],[Business Date]]=Control!$C$6, PV[[#This Row],[Notional Value Local Cur]], -PV[[#This Row],[Notional Value Local Cur]])</f>
        <v>0</v>
      </c>
    </row>
    <row r="8843" spans="1:5" x14ac:dyDescent="0.25">
      <c r="A8843" s="36" t="b">
        <v>0</v>
      </c>
      <c r="B8843" s="56" t="b">
        <v>0</v>
      </c>
      <c r="C8843" s="56" t="b">
        <v>0</v>
      </c>
      <c r="D8843" s="56" t="b">
        <v>0</v>
      </c>
      <c r="E8843" s="56">
        <f ca="1">IF(PV[[#This Row],[Business Date]]=Control!$C$6, PV[[#This Row],[Notional Value Local Cur]], -PV[[#This Row],[Notional Value Local Cur]])</f>
        <v>0</v>
      </c>
    </row>
    <row r="8844" spans="1:5" x14ac:dyDescent="0.25">
      <c r="A8844" s="36" t="b">
        <v>0</v>
      </c>
      <c r="B8844" s="56" t="b">
        <v>0</v>
      </c>
      <c r="C8844" s="56" t="b">
        <v>0</v>
      </c>
      <c r="D8844" s="56" t="b">
        <v>0</v>
      </c>
      <c r="E8844" s="56">
        <f ca="1">IF(PV[[#This Row],[Business Date]]=Control!$C$6, PV[[#This Row],[Notional Value Local Cur]], -PV[[#This Row],[Notional Value Local Cur]])</f>
        <v>0</v>
      </c>
    </row>
    <row r="8845" spans="1:5" x14ac:dyDescent="0.25">
      <c r="A8845" s="36" t="b">
        <v>0</v>
      </c>
      <c r="B8845" s="56" t="b">
        <v>0</v>
      </c>
      <c r="C8845" s="56" t="b">
        <v>0</v>
      </c>
      <c r="D8845" s="56" t="b">
        <v>0</v>
      </c>
      <c r="E8845" s="56">
        <f ca="1">IF(PV[[#This Row],[Business Date]]=Control!$C$6, PV[[#This Row],[Notional Value Local Cur]], -PV[[#This Row],[Notional Value Local Cur]])</f>
        <v>0</v>
      </c>
    </row>
    <row r="8846" spans="1:5" x14ac:dyDescent="0.25">
      <c r="A8846" s="36" t="b">
        <v>0</v>
      </c>
      <c r="B8846" s="56" t="b">
        <v>0</v>
      </c>
      <c r="C8846" s="56" t="b">
        <v>0</v>
      </c>
      <c r="D8846" s="56" t="b">
        <v>0</v>
      </c>
      <c r="E8846" s="56">
        <f ca="1">IF(PV[[#This Row],[Business Date]]=Control!$C$6, PV[[#This Row],[Notional Value Local Cur]], -PV[[#This Row],[Notional Value Local Cur]])</f>
        <v>0</v>
      </c>
    </row>
    <row r="8847" spans="1:5" x14ac:dyDescent="0.25">
      <c r="A8847" s="36" t="b">
        <v>0</v>
      </c>
      <c r="B8847" s="56" t="b">
        <v>0</v>
      </c>
      <c r="C8847" s="56" t="b">
        <v>0</v>
      </c>
      <c r="D8847" s="56" t="b">
        <v>0</v>
      </c>
      <c r="E8847" s="56">
        <f ca="1">IF(PV[[#This Row],[Business Date]]=Control!$C$6, PV[[#This Row],[Notional Value Local Cur]], -PV[[#This Row],[Notional Value Local Cur]])</f>
        <v>0</v>
      </c>
    </row>
    <row r="8848" spans="1:5" x14ac:dyDescent="0.25">
      <c r="A8848" s="36" t="b">
        <v>0</v>
      </c>
      <c r="B8848" s="56" t="b">
        <v>0</v>
      </c>
      <c r="C8848" s="56" t="b">
        <v>0</v>
      </c>
      <c r="D8848" s="56" t="b">
        <v>0</v>
      </c>
      <c r="E8848" s="56">
        <f ca="1">IF(PV[[#This Row],[Business Date]]=Control!$C$6, PV[[#This Row],[Notional Value Local Cur]], -PV[[#This Row],[Notional Value Local Cur]])</f>
        <v>0</v>
      </c>
    </row>
    <row r="8849" spans="1:5" x14ac:dyDescent="0.25">
      <c r="A8849" s="36" t="b">
        <v>0</v>
      </c>
      <c r="B8849" s="56" t="b">
        <v>0</v>
      </c>
      <c r="C8849" s="56" t="b">
        <v>0</v>
      </c>
      <c r="D8849" s="56" t="b">
        <v>0</v>
      </c>
      <c r="E8849" s="56">
        <f ca="1">IF(PV[[#This Row],[Business Date]]=Control!$C$6, PV[[#This Row],[Notional Value Local Cur]], -PV[[#This Row],[Notional Value Local Cur]])</f>
        <v>0</v>
      </c>
    </row>
    <row r="8850" spans="1:5" x14ac:dyDescent="0.25">
      <c r="A8850" s="36" t="b">
        <v>0</v>
      </c>
      <c r="B8850" s="56" t="b">
        <v>0</v>
      </c>
      <c r="C8850" s="56" t="b">
        <v>0</v>
      </c>
      <c r="D8850" s="56" t="b">
        <v>0</v>
      </c>
      <c r="E8850" s="56">
        <f ca="1">IF(PV[[#This Row],[Business Date]]=Control!$C$6, PV[[#This Row],[Notional Value Local Cur]], -PV[[#This Row],[Notional Value Local Cur]])</f>
        <v>0</v>
      </c>
    </row>
    <row r="8851" spans="1:5" x14ac:dyDescent="0.25">
      <c r="A8851" s="36" t="b">
        <v>0</v>
      </c>
      <c r="B8851" s="56" t="b">
        <v>0</v>
      </c>
      <c r="C8851" s="56" t="b">
        <v>0</v>
      </c>
      <c r="D8851" s="56" t="b">
        <v>0</v>
      </c>
      <c r="E8851" s="56">
        <f ca="1">IF(PV[[#This Row],[Business Date]]=Control!$C$6, PV[[#This Row],[Notional Value Local Cur]], -PV[[#This Row],[Notional Value Local Cur]])</f>
        <v>0</v>
      </c>
    </row>
    <row r="8852" spans="1:5" x14ac:dyDescent="0.25">
      <c r="A8852" s="36" t="b">
        <v>0</v>
      </c>
      <c r="B8852" s="56" t="b">
        <v>0</v>
      </c>
      <c r="C8852" s="56" t="b">
        <v>0</v>
      </c>
      <c r="D8852" s="56" t="b">
        <v>0</v>
      </c>
      <c r="E8852" s="56">
        <f ca="1">IF(PV[[#This Row],[Business Date]]=Control!$C$6, PV[[#This Row],[Notional Value Local Cur]], -PV[[#This Row],[Notional Value Local Cur]])</f>
        <v>0</v>
      </c>
    </row>
    <row r="8853" spans="1:5" x14ac:dyDescent="0.25">
      <c r="A8853" s="36" t="b">
        <v>0</v>
      </c>
      <c r="B8853" s="56" t="b">
        <v>0</v>
      </c>
      <c r="C8853" s="56" t="b">
        <v>0</v>
      </c>
      <c r="D8853" s="56" t="b">
        <v>0</v>
      </c>
      <c r="E8853" s="56">
        <f ca="1">IF(PV[[#This Row],[Business Date]]=Control!$C$6, PV[[#This Row],[Notional Value Local Cur]], -PV[[#This Row],[Notional Value Local Cur]])</f>
        <v>0</v>
      </c>
    </row>
    <row r="8854" spans="1:5" x14ac:dyDescent="0.25">
      <c r="A8854" s="36" t="b">
        <v>0</v>
      </c>
      <c r="B8854" s="56" t="b">
        <v>0</v>
      </c>
      <c r="C8854" s="56" t="b">
        <v>0</v>
      </c>
      <c r="D8854" s="56" t="b">
        <v>0</v>
      </c>
      <c r="E8854" s="56">
        <f ca="1">IF(PV[[#This Row],[Business Date]]=Control!$C$6, PV[[#This Row],[Notional Value Local Cur]], -PV[[#This Row],[Notional Value Local Cur]])</f>
        <v>0</v>
      </c>
    </row>
    <row r="8855" spans="1:5" x14ac:dyDescent="0.25">
      <c r="A8855" s="36" t="b">
        <v>0</v>
      </c>
      <c r="B8855" s="56" t="b">
        <v>0</v>
      </c>
      <c r="C8855" s="56" t="b">
        <v>0</v>
      </c>
      <c r="D8855" s="56" t="b">
        <v>0</v>
      </c>
      <c r="E8855" s="56">
        <f ca="1">IF(PV[[#This Row],[Business Date]]=Control!$C$6, PV[[#This Row],[Notional Value Local Cur]], -PV[[#This Row],[Notional Value Local Cur]])</f>
        <v>0</v>
      </c>
    </row>
    <row r="8856" spans="1:5" x14ac:dyDescent="0.25">
      <c r="A8856" s="36" t="b">
        <v>0</v>
      </c>
      <c r="B8856" s="56" t="b">
        <v>0</v>
      </c>
      <c r="C8856" s="56" t="b">
        <v>0</v>
      </c>
      <c r="D8856" s="56" t="b">
        <v>0</v>
      </c>
      <c r="E8856" s="56">
        <f ca="1">IF(PV[[#This Row],[Business Date]]=Control!$C$6, PV[[#This Row],[Notional Value Local Cur]], -PV[[#This Row],[Notional Value Local Cur]])</f>
        <v>0</v>
      </c>
    </row>
    <row r="8857" spans="1:5" x14ac:dyDescent="0.25">
      <c r="A8857" s="36" t="b">
        <v>0</v>
      </c>
      <c r="B8857" s="56" t="b">
        <v>0</v>
      </c>
      <c r="C8857" s="56" t="b">
        <v>0</v>
      </c>
      <c r="D8857" s="56" t="b">
        <v>0</v>
      </c>
      <c r="E8857" s="56">
        <f ca="1">IF(PV[[#This Row],[Business Date]]=Control!$C$6, PV[[#This Row],[Notional Value Local Cur]], -PV[[#This Row],[Notional Value Local Cur]])</f>
        <v>0</v>
      </c>
    </row>
    <row r="8858" spans="1:5" x14ac:dyDescent="0.25">
      <c r="A8858" s="36" t="b">
        <v>0</v>
      </c>
      <c r="B8858" s="56" t="b">
        <v>0</v>
      </c>
      <c r="C8858" s="56" t="b">
        <v>0</v>
      </c>
      <c r="D8858" s="56" t="b">
        <v>0</v>
      </c>
      <c r="E8858" s="56">
        <f ca="1">IF(PV[[#This Row],[Business Date]]=Control!$C$6, PV[[#This Row],[Notional Value Local Cur]], -PV[[#This Row],[Notional Value Local Cur]])</f>
        <v>0</v>
      </c>
    </row>
    <row r="8859" spans="1:5" x14ac:dyDescent="0.25">
      <c r="A8859" s="36" t="b">
        <v>0</v>
      </c>
      <c r="B8859" s="56" t="b">
        <v>0</v>
      </c>
      <c r="C8859" s="56" t="b">
        <v>0</v>
      </c>
      <c r="D8859" s="56" t="b">
        <v>0</v>
      </c>
      <c r="E8859" s="56">
        <f ca="1">IF(PV[[#This Row],[Business Date]]=Control!$C$6, PV[[#This Row],[Notional Value Local Cur]], -PV[[#This Row],[Notional Value Local Cur]])</f>
        <v>0</v>
      </c>
    </row>
    <row r="8860" spans="1:5" x14ac:dyDescent="0.25">
      <c r="A8860" s="36" t="b">
        <v>0</v>
      </c>
      <c r="B8860" s="56" t="b">
        <v>0</v>
      </c>
      <c r="C8860" s="56" t="b">
        <v>0</v>
      </c>
      <c r="D8860" s="56" t="b">
        <v>0</v>
      </c>
      <c r="E8860" s="56">
        <f ca="1">IF(PV[[#This Row],[Business Date]]=Control!$C$6, PV[[#This Row],[Notional Value Local Cur]], -PV[[#This Row],[Notional Value Local Cur]])</f>
        <v>0</v>
      </c>
    </row>
    <row r="8861" spans="1:5" x14ac:dyDescent="0.25">
      <c r="A8861" s="36" t="b">
        <v>0</v>
      </c>
      <c r="B8861" s="56" t="b">
        <v>0</v>
      </c>
      <c r="C8861" s="56" t="b">
        <v>0</v>
      </c>
      <c r="D8861" s="56" t="b">
        <v>0</v>
      </c>
      <c r="E8861" s="56">
        <f ca="1">IF(PV[[#This Row],[Business Date]]=Control!$C$6, PV[[#This Row],[Notional Value Local Cur]], -PV[[#This Row],[Notional Value Local Cur]])</f>
        <v>0</v>
      </c>
    </row>
    <row r="8862" spans="1:5" x14ac:dyDescent="0.25">
      <c r="A8862" s="36" t="b">
        <v>0</v>
      </c>
      <c r="B8862" s="56" t="b">
        <v>0</v>
      </c>
      <c r="C8862" s="56" t="b">
        <v>0</v>
      </c>
      <c r="D8862" s="56" t="b">
        <v>0</v>
      </c>
      <c r="E8862" s="56">
        <f ca="1">IF(PV[[#This Row],[Business Date]]=Control!$C$6, PV[[#This Row],[Notional Value Local Cur]], -PV[[#This Row],[Notional Value Local Cur]])</f>
        <v>0</v>
      </c>
    </row>
    <row r="8863" spans="1:5" x14ac:dyDescent="0.25">
      <c r="A8863" s="36" t="b">
        <v>0</v>
      </c>
      <c r="B8863" s="56" t="b">
        <v>0</v>
      </c>
      <c r="C8863" s="56" t="b">
        <v>0</v>
      </c>
      <c r="D8863" s="56" t="b">
        <v>0</v>
      </c>
      <c r="E8863" s="56">
        <f ca="1">IF(PV[[#This Row],[Business Date]]=Control!$C$6, PV[[#This Row],[Notional Value Local Cur]], -PV[[#This Row],[Notional Value Local Cur]])</f>
        <v>0</v>
      </c>
    </row>
    <row r="8864" spans="1:5" x14ac:dyDescent="0.25">
      <c r="A8864" s="36" t="b">
        <v>0</v>
      </c>
      <c r="B8864" s="56" t="b">
        <v>0</v>
      </c>
      <c r="C8864" s="56" t="b">
        <v>0</v>
      </c>
      <c r="D8864" s="56" t="b">
        <v>0</v>
      </c>
      <c r="E8864" s="56">
        <f ca="1">IF(PV[[#This Row],[Business Date]]=Control!$C$6, PV[[#This Row],[Notional Value Local Cur]], -PV[[#This Row],[Notional Value Local Cur]])</f>
        <v>0</v>
      </c>
    </row>
    <row r="8865" spans="1:5" x14ac:dyDescent="0.25">
      <c r="A8865" s="36" t="b">
        <v>0</v>
      </c>
      <c r="B8865" s="56" t="b">
        <v>0</v>
      </c>
      <c r="C8865" s="56" t="b">
        <v>0</v>
      </c>
      <c r="D8865" s="56" t="b">
        <v>0</v>
      </c>
      <c r="E8865" s="56">
        <f ca="1">IF(PV[[#This Row],[Business Date]]=Control!$C$6, PV[[#This Row],[Notional Value Local Cur]], -PV[[#This Row],[Notional Value Local Cur]])</f>
        <v>0</v>
      </c>
    </row>
    <row r="8866" spans="1:5" x14ac:dyDescent="0.25">
      <c r="A8866" s="36" t="b">
        <v>0</v>
      </c>
      <c r="B8866" s="56" t="b">
        <v>0</v>
      </c>
      <c r="C8866" s="56" t="b">
        <v>0</v>
      </c>
      <c r="D8866" s="56" t="b">
        <v>0</v>
      </c>
      <c r="E8866" s="56">
        <f ca="1">IF(PV[[#This Row],[Business Date]]=Control!$C$6, PV[[#This Row],[Notional Value Local Cur]], -PV[[#This Row],[Notional Value Local Cur]])</f>
        <v>0</v>
      </c>
    </row>
    <row r="8867" spans="1:5" x14ac:dyDescent="0.25">
      <c r="A8867" s="36" t="b">
        <v>0</v>
      </c>
      <c r="B8867" s="56" t="b">
        <v>0</v>
      </c>
      <c r="C8867" s="56" t="b">
        <v>0</v>
      </c>
      <c r="D8867" s="56" t="b">
        <v>0</v>
      </c>
      <c r="E8867" s="56">
        <f ca="1">IF(PV[[#This Row],[Business Date]]=Control!$C$6, PV[[#This Row],[Notional Value Local Cur]], -PV[[#This Row],[Notional Value Local Cur]])</f>
        <v>0</v>
      </c>
    </row>
    <row r="8868" spans="1:5" x14ac:dyDescent="0.25">
      <c r="A8868" s="36" t="b">
        <v>0</v>
      </c>
      <c r="B8868" s="56" t="b">
        <v>0</v>
      </c>
      <c r="C8868" s="56" t="b">
        <v>0</v>
      </c>
      <c r="D8868" s="56" t="b">
        <v>0</v>
      </c>
      <c r="E8868" s="56">
        <f ca="1">IF(PV[[#This Row],[Business Date]]=Control!$C$6, PV[[#This Row],[Notional Value Local Cur]], -PV[[#This Row],[Notional Value Local Cur]])</f>
        <v>0</v>
      </c>
    </row>
    <row r="8869" spans="1:5" x14ac:dyDescent="0.25">
      <c r="A8869" s="36" t="b">
        <v>0</v>
      </c>
      <c r="B8869" s="56" t="b">
        <v>0</v>
      </c>
      <c r="C8869" s="56" t="b">
        <v>0</v>
      </c>
      <c r="D8869" s="56" t="b">
        <v>0</v>
      </c>
      <c r="E8869" s="56">
        <f ca="1">IF(PV[[#This Row],[Business Date]]=Control!$C$6, PV[[#This Row],[Notional Value Local Cur]], -PV[[#This Row],[Notional Value Local Cur]])</f>
        <v>0</v>
      </c>
    </row>
    <row r="8870" spans="1:5" x14ac:dyDescent="0.25">
      <c r="A8870" s="36" t="b">
        <v>0</v>
      </c>
      <c r="B8870" s="56" t="b">
        <v>0</v>
      </c>
      <c r="C8870" s="56" t="b">
        <v>0</v>
      </c>
      <c r="D8870" s="56" t="b">
        <v>0</v>
      </c>
      <c r="E8870" s="56">
        <f ca="1">IF(PV[[#This Row],[Business Date]]=Control!$C$6, PV[[#This Row],[Notional Value Local Cur]], -PV[[#This Row],[Notional Value Local Cur]])</f>
        <v>0</v>
      </c>
    </row>
    <row r="8871" spans="1:5" x14ac:dyDescent="0.25">
      <c r="A8871" s="36" t="b">
        <v>0</v>
      </c>
      <c r="B8871" s="56" t="b">
        <v>0</v>
      </c>
      <c r="C8871" s="56" t="b">
        <v>0</v>
      </c>
      <c r="D8871" s="56" t="b">
        <v>0</v>
      </c>
      <c r="E8871" s="56">
        <f ca="1">IF(PV[[#This Row],[Business Date]]=Control!$C$6, PV[[#This Row],[Notional Value Local Cur]], -PV[[#This Row],[Notional Value Local Cur]])</f>
        <v>0</v>
      </c>
    </row>
    <row r="8872" spans="1:5" x14ac:dyDescent="0.25">
      <c r="A8872" s="36" t="b">
        <v>0</v>
      </c>
      <c r="B8872" s="56" t="b">
        <v>0</v>
      </c>
      <c r="C8872" s="56" t="b">
        <v>0</v>
      </c>
      <c r="D8872" s="56" t="b">
        <v>0</v>
      </c>
      <c r="E8872" s="56">
        <f ca="1">IF(PV[[#This Row],[Business Date]]=Control!$C$6, PV[[#This Row],[Notional Value Local Cur]], -PV[[#This Row],[Notional Value Local Cur]])</f>
        <v>0</v>
      </c>
    </row>
    <row r="8873" spans="1:5" x14ac:dyDescent="0.25">
      <c r="A8873" s="36" t="b">
        <v>0</v>
      </c>
      <c r="B8873" s="56" t="b">
        <v>0</v>
      </c>
      <c r="C8873" s="56" t="b">
        <v>0</v>
      </c>
      <c r="D8873" s="56" t="b">
        <v>0</v>
      </c>
      <c r="E8873" s="56">
        <f ca="1">IF(PV[[#This Row],[Business Date]]=Control!$C$6, PV[[#This Row],[Notional Value Local Cur]], -PV[[#This Row],[Notional Value Local Cur]])</f>
        <v>0</v>
      </c>
    </row>
    <row r="8874" spans="1:5" x14ac:dyDescent="0.25">
      <c r="A8874" s="36" t="b">
        <v>0</v>
      </c>
      <c r="B8874" s="56" t="b">
        <v>0</v>
      </c>
      <c r="C8874" s="56" t="b">
        <v>0</v>
      </c>
      <c r="D8874" s="56" t="b">
        <v>0</v>
      </c>
      <c r="E8874" s="56">
        <f ca="1">IF(PV[[#This Row],[Business Date]]=Control!$C$6, PV[[#This Row],[Notional Value Local Cur]], -PV[[#This Row],[Notional Value Local Cur]])</f>
        <v>0</v>
      </c>
    </row>
    <row r="8875" spans="1:5" x14ac:dyDescent="0.25">
      <c r="A8875" s="36" t="b">
        <v>0</v>
      </c>
      <c r="B8875" s="56" t="b">
        <v>0</v>
      </c>
      <c r="C8875" s="56" t="b">
        <v>0</v>
      </c>
      <c r="D8875" s="56" t="b">
        <v>0</v>
      </c>
      <c r="E8875" s="56">
        <f ca="1">IF(PV[[#This Row],[Business Date]]=Control!$C$6, PV[[#This Row],[Notional Value Local Cur]], -PV[[#This Row],[Notional Value Local Cur]])</f>
        <v>0</v>
      </c>
    </row>
    <row r="8876" spans="1:5" x14ac:dyDescent="0.25">
      <c r="A8876" s="36" t="b">
        <v>0</v>
      </c>
      <c r="B8876" s="56" t="b">
        <v>0</v>
      </c>
      <c r="C8876" s="56" t="b">
        <v>0</v>
      </c>
      <c r="D8876" s="56" t="b">
        <v>0</v>
      </c>
      <c r="E8876" s="56">
        <f ca="1">IF(PV[[#This Row],[Business Date]]=Control!$C$6, PV[[#This Row],[Notional Value Local Cur]], -PV[[#This Row],[Notional Value Local Cur]])</f>
        <v>0</v>
      </c>
    </row>
    <row r="8877" spans="1:5" x14ac:dyDescent="0.25">
      <c r="A8877" s="36" t="b">
        <v>0</v>
      </c>
      <c r="B8877" s="56" t="b">
        <v>0</v>
      </c>
      <c r="C8877" s="56" t="b">
        <v>0</v>
      </c>
      <c r="D8877" s="56" t="b">
        <v>0</v>
      </c>
      <c r="E8877" s="56">
        <f ca="1">IF(PV[[#This Row],[Business Date]]=Control!$C$6, PV[[#This Row],[Notional Value Local Cur]], -PV[[#This Row],[Notional Value Local Cur]])</f>
        <v>0</v>
      </c>
    </row>
    <row r="8878" spans="1:5" x14ac:dyDescent="0.25">
      <c r="A8878" s="36" t="b">
        <v>0</v>
      </c>
      <c r="B8878" s="56" t="b">
        <v>0</v>
      </c>
      <c r="C8878" s="56" t="b">
        <v>0</v>
      </c>
      <c r="D8878" s="56" t="b">
        <v>0</v>
      </c>
      <c r="E8878" s="56">
        <f ca="1">IF(PV[[#This Row],[Business Date]]=Control!$C$6, PV[[#This Row],[Notional Value Local Cur]], -PV[[#This Row],[Notional Value Local Cur]])</f>
        <v>0</v>
      </c>
    </row>
    <row r="8879" spans="1:5" x14ac:dyDescent="0.25">
      <c r="A8879" s="36" t="b">
        <v>0</v>
      </c>
      <c r="B8879" s="56" t="b">
        <v>0</v>
      </c>
      <c r="C8879" s="56" t="b">
        <v>0</v>
      </c>
      <c r="D8879" s="56" t="b">
        <v>0</v>
      </c>
      <c r="E8879" s="56">
        <f ca="1">IF(PV[[#This Row],[Business Date]]=Control!$C$6, PV[[#This Row],[Notional Value Local Cur]], -PV[[#This Row],[Notional Value Local Cur]])</f>
        <v>0</v>
      </c>
    </row>
    <row r="8880" spans="1:5" x14ac:dyDescent="0.25">
      <c r="A8880" s="36" t="b">
        <v>0</v>
      </c>
      <c r="B8880" s="56" t="b">
        <v>0</v>
      </c>
      <c r="C8880" s="56" t="b">
        <v>0</v>
      </c>
      <c r="D8880" s="56" t="b">
        <v>0</v>
      </c>
      <c r="E8880" s="56">
        <f ca="1">IF(PV[[#This Row],[Business Date]]=Control!$C$6, PV[[#This Row],[Notional Value Local Cur]], -PV[[#This Row],[Notional Value Local Cur]])</f>
        <v>0</v>
      </c>
    </row>
    <row r="8881" spans="1:5" x14ac:dyDescent="0.25">
      <c r="A8881" s="36" t="b">
        <v>0</v>
      </c>
      <c r="B8881" s="56" t="b">
        <v>0</v>
      </c>
      <c r="C8881" s="56" t="b">
        <v>0</v>
      </c>
      <c r="D8881" s="56" t="b">
        <v>0</v>
      </c>
      <c r="E8881" s="56">
        <f ca="1">IF(PV[[#This Row],[Business Date]]=Control!$C$6, PV[[#This Row],[Notional Value Local Cur]], -PV[[#This Row],[Notional Value Local Cur]])</f>
        <v>0</v>
      </c>
    </row>
    <row r="8882" spans="1:5" x14ac:dyDescent="0.25">
      <c r="A8882" s="36" t="b">
        <v>0</v>
      </c>
      <c r="B8882" s="56" t="b">
        <v>0</v>
      </c>
      <c r="C8882" s="56" t="b">
        <v>0</v>
      </c>
      <c r="D8882" s="56" t="b">
        <v>0</v>
      </c>
      <c r="E8882" s="56">
        <f ca="1">IF(PV[[#This Row],[Business Date]]=Control!$C$6, PV[[#This Row],[Notional Value Local Cur]], -PV[[#This Row],[Notional Value Local Cur]])</f>
        <v>0</v>
      </c>
    </row>
    <row r="8883" spans="1:5" x14ac:dyDescent="0.25">
      <c r="A8883" s="36" t="b">
        <v>0</v>
      </c>
      <c r="B8883" s="56" t="b">
        <v>0</v>
      </c>
      <c r="C8883" s="56" t="b">
        <v>0</v>
      </c>
      <c r="D8883" s="56" t="b">
        <v>0</v>
      </c>
      <c r="E8883" s="56">
        <f ca="1">IF(PV[[#This Row],[Business Date]]=Control!$C$6, PV[[#This Row],[Notional Value Local Cur]], -PV[[#This Row],[Notional Value Local Cur]])</f>
        <v>0</v>
      </c>
    </row>
    <row r="8884" spans="1:5" x14ac:dyDescent="0.25">
      <c r="A8884" s="36" t="b">
        <v>0</v>
      </c>
      <c r="B8884" s="56" t="b">
        <v>0</v>
      </c>
      <c r="C8884" s="56" t="b">
        <v>0</v>
      </c>
      <c r="D8884" s="56" t="b">
        <v>0</v>
      </c>
      <c r="E8884" s="56">
        <f ca="1">IF(PV[[#This Row],[Business Date]]=Control!$C$6, PV[[#This Row],[Notional Value Local Cur]], -PV[[#This Row],[Notional Value Local Cur]])</f>
        <v>0</v>
      </c>
    </row>
    <row r="8885" spans="1:5" x14ac:dyDescent="0.25">
      <c r="A8885" s="36" t="b">
        <v>0</v>
      </c>
      <c r="B8885" s="56" t="b">
        <v>0</v>
      </c>
      <c r="C8885" s="56" t="b">
        <v>0</v>
      </c>
      <c r="D8885" s="56" t="b">
        <v>0</v>
      </c>
      <c r="E8885" s="56">
        <f ca="1">IF(PV[[#This Row],[Business Date]]=Control!$C$6, PV[[#This Row],[Notional Value Local Cur]], -PV[[#This Row],[Notional Value Local Cur]])</f>
        <v>0</v>
      </c>
    </row>
    <row r="8886" spans="1:5" x14ac:dyDescent="0.25">
      <c r="A8886" s="36" t="b">
        <v>0</v>
      </c>
      <c r="B8886" s="56" t="b">
        <v>0</v>
      </c>
      <c r="C8886" s="56" t="b">
        <v>0</v>
      </c>
      <c r="D8886" s="56" t="b">
        <v>0</v>
      </c>
      <c r="E8886" s="56">
        <f ca="1">IF(PV[[#This Row],[Business Date]]=Control!$C$6, PV[[#This Row],[Notional Value Local Cur]], -PV[[#This Row],[Notional Value Local Cur]])</f>
        <v>0</v>
      </c>
    </row>
    <row r="8887" spans="1:5" x14ac:dyDescent="0.25">
      <c r="A8887" s="36" t="b">
        <v>0</v>
      </c>
      <c r="B8887" s="56" t="b">
        <v>0</v>
      </c>
      <c r="C8887" s="56" t="b">
        <v>0</v>
      </c>
      <c r="D8887" s="56" t="b">
        <v>0</v>
      </c>
      <c r="E8887" s="56">
        <f ca="1">IF(PV[[#This Row],[Business Date]]=Control!$C$6, PV[[#This Row],[Notional Value Local Cur]], -PV[[#This Row],[Notional Value Local Cur]])</f>
        <v>0</v>
      </c>
    </row>
    <row r="8888" spans="1:5" x14ac:dyDescent="0.25">
      <c r="A8888" s="36" t="b">
        <v>0</v>
      </c>
      <c r="B8888" s="56" t="b">
        <v>0</v>
      </c>
      <c r="C8888" s="56" t="b">
        <v>0</v>
      </c>
      <c r="D8888" s="56" t="b">
        <v>0</v>
      </c>
      <c r="E8888" s="56">
        <f ca="1">IF(PV[[#This Row],[Business Date]]=Control!$C$6, PV[[#This Row],[Notional Value Local Cur]], -PV[[#This Row],[Notional Value Local Cur]])</f>
        <v>0</v>
      </c>
    </row>
    <row r="8889" spans="1:5" x14ac:dyDescent="0.25">
      <c r="A8889" s="36" t="b">
        <v>0</v>
      </c>
      <c r="B8889" s="56" t="b">
        <v>0</v>
      </c>
      <c r="C8889" s="56" t="b">
        <v>0</v>
      </c>
      <c r="D8889" s="56" t="b">
        <v>0</v>
      </c>
      <c r="E8889" s="56">
        <f ca="1">IF(PV[[#This Row],[Business Date]]=Control!$C$6, PV[[#This Row],[Notional Value Local Cur]], -PV[[#This Row],[Notional Value Local Cur]])</f>
        <v>0</v>
      </c>
    </row>
    <row r="8890" spans="1:5" x14ac:dyDescent="0.25">
      <c r="A8890" s="36" t="b">
        <v>0</v>
      </c>
      <c r="B8890" s="56" t="b">
        <v>0</v>
      </c>
      <c r="C8890" s="56" t="b">
        <v>0</v>
      </c>
      <c r="D8890" s="56" t="b">
        <v>0</v>
      </c>
      <c r="E8890" s="56">
        <f ca="1">IF(PV[[#This Row],[Business Date]]=Control!$C$6, PV[[#This Row],[Notional Value Local Cur]], -PV[[#This Row],[Notional Value Local Cur]])</f>
        <v>0</v>
      </c>
    </row>
    <row r="8891" spans="1:5" x14ac:dyDescent="0.25">
      <c r="A8891" s="36" t="b">
        <v>0</v>
      </c>
      <c r="B8891" s="56" t="b">
        <v>0</v>
      </c>
      <c r="C8891" s="56" t="b">
        <v>0</v>
      </c>
      <c r="D8891" s="56" t="b">
        <v>0</v>
      </c>
      <c r="E8891" s="56">
        <f ca="1">IF(PV[[#This Row],[Business Date]]=Control!$C$6, PV[[#This Row],[Notional Value Local Cur]], -PV[[#This Row],[Notional Value Local Cur]])</f>
        <v>0</v>
      </c>
    </row>
    <row r="8892" spans="1:5" x14ac:dyDescent="0.25">
      <c r="A8892" s="36" t="b">
        <v>0</v>
      </c>
      <c r="B8892" s="56" t="b">
        <v>0</v>
      </c>
      <c r="C8892" s="56" t="b">
        <v>0</v>
      </c>
      <c r="D8892" s="56" t="b">
        <v>0</v>
      </c>
      <c r="E8892" s="56">
        <f ca="1">IF(PV[[#This Row],[Business Date]]=Control!$C$6, PV[[#This Row],[Notional Value Local Cur]], -PV[[#This Row],[Notional Value Local Cur]])</f>
        <v>0</v>
      </c>
    </row>
    <row r="8893" spans="1:5" x14ac:dyDescent="0.25">
      <c r="A8893" s="36" t="b">
        <v>0</v>
      </c>
      <c r="B8893" s="56" t="b">
        <v>0</v>
      </c>
      <c r="C8893" s="56" t="b">
        <v>0</v>
      </c>
      <c r="D8893" s="56" t="b">
        <v>0</v>
      </c>
      <c r="E8893" s="56">
        <f ca="1">IF(PV[[#This Row],[Business Date]]=Control!$C$6, PV[[#This Row],[Notional Value Local Cur]], -PV[[#This Row],[Notional Value Local Cur]])</f>
        <v>0</v>
      </c>
    </row>
    <row r="8894" spans="1:5" x14ac:dyDescent="0.25">
      <c r="A8894" s="36" t="b">
        <v>0</v>
      </c>
      <c r="B8894" s="56" t="b">
        <v>0</v>
      </c>
      <c r="C8894" s="56" t="b">
        <v>0</v>
      </c>
      <c r="D8894" s="56" t="b">
        <v>0</v>
      </c>
      <c r="E8894" s="56">
        <f ca="1">IF(PV[[#This Row],[Business Date]]=Control!$C$6, PV[[#This Row],[Notional Value Local Cur]], -PV[[#This Row],[Notional Value Local Cur]])</f>
        <v>0</v>
      </c>
    </row>
    <row r="8895" spans="1:5" x14ac:dyDescent="0.25">
      <c r="A8895" s="36" t="b">
        <v>0</v>
      </c>
      <c r="B8895" s="56" t="b">
        <v>0</v>
      </c>
      <c r="C8895" s="56" t="b">
        <v>0</v>
      </c>
      <c r="D8895" s="56" t="b">
        <v>0</v>
      </c>
      <c r="E8895" s="56">
        <f ca="1">IF(PV[[#This Row],[Business Date]]=Control!$C$6, PV[[#This Row],[Notional Value Local Cur]], -PV[[#This Row],[Notional Value Local Cur]])</f>
        <v>0</v>
      </c>
    </row>
    <row r="8896" spans="1:5" x14ac:dyDescent="0.25">
      <c r="A8896" s="36" t="b">
        <v>0</v>
      </c>
      <c r="B8896" s="56" t="b">
        <v>0</v>
      </c>
      <c r="C8896" s="56" t="b">
        <v>0</v>
      </c>
      <c r="D8896" s="56" t="b">
        <v>0</v>
      </c>
      <c r="E8896" s="56">
        <f ca="1">IF(PV[[#This Row],[Business Date]]=Control!$C$6, PV[[#This Row],[Notional Value Local Cur]], -PV[[#This Row],[Notional Value Local Cur]])</f>
        <v>0</v>
      </c>
    </row>
    <row r="8897" spans="1:5" x14ac:dyDescent="0.25">
      <c r="A8897" s="36" t="b">
        <v>0</v>
      </c>
      <c r="B8897" s="56" t="b">
        <v>0</v>
      </c>
      <c r="C8897" s="56" t="b">
        <v>0</v>
      </c>
      <c r="D8897" s="56" t="b">
        <v>0</v>
      </c>
      <c r="E8897" s="56">
        <f ca="1">IF(PV[[#This Row],[Business Date]]=Control!$C$6, PV[[#This Row],[Notional Value Local Cur]], -PV[[#This Row],[Notional Value Local Cur]])</f>
        <v>0</v>
      </c>
    </row>
    <row r="8898" spans="1:5" x14ac:dyDescent="0.25">
      <c r="A8898" s="36" t="b">
        <v>0</v>
      </c>
      <c r="B8898" s="56" t="b">
        <v>0</v>
      </c>
      <c r="C8898" s="56" t="b">
        <v>0</v>
      </c>
      <c r="D8898" s="56" t="b">
        <v>0</v>
      </c>
      <c r="E8898" s="56">
        <f ca="1">IF(PV[[#This Row],[Business Date]]=Control!$C$6, PV[[#This Row],[Notional Value Local Cur]], -PV[[#This Row],[Notional Value Local Cur]])</f>
        <v>0</v>
      </c>
    </row>
    <row r="8899" spans="1:5" x14ac:dyDescent="0.25">
      <c r="A8899" s="36" t="b">
        <v>0</v>
      </c>
      <c r="B8899" s="56" t="b">
        <v>0</v>
      </c>
      <c r="C8899" s="56" t="b">
        <v>0</v>
      </c>
      <c r="D8899" s="56" t="b">
        <v>0</v>
      </c>
      <c r="E8899" s="56">
        <f ca="1">IF(PV[[#This Row],[Business Date]]=Control!$C$6, PV[[#This Row],[Notional Value Local Cur]], -PV[[#This Row],[Notional Value Local Cur]])</f>
        <v>0</v>
      </c>
    </row>
    <row r="8900" spans="1:5" x14ac:dyDescent="0.25">
      <c r="A8900" s="36" t="b">
        <v>0</v>
      </c>
      <c r="B8900" s="56" t="b">
        <v>0</v>
      </c>
      <c r="C8900" s="56" t="b">
        <v>0</v>
      </c>
      <c r="D8900" s="56" t="b">
        <v>0</v>
      </c>
      <c r="E8900" s="56">
        <f ca="1">IF(PV[[#This Row],[Business Date]]=Control!$C$6, PV[[#This Row],[Notional Value Local Cur]], -PV[[#This Row],[Notional Value Local Cur]])</f>
        <v>0</v>
      </c>
    </row>
    <row r="8901" spans="1:5" x14ac:dyDescent="0.25">
      <c r="A8901" s="36" t="b">
        <v>0</v>
      </c>
      <c r="B8901" s="56" t="b">
        <v>0</v>
      </c>
      <c r="C8901" s="56" t="b">
        <v>0</v>
      </c>
      <c r="D8901" s="56" t="b">
        <v>0</v>
      </c>
      <c r="E8901" s="56">
        <f ca="1">IF(PV[[#This Row],[Business Date]]=Control!$C$6, PV[[#This Row],[Notional Value Local Cur]], -PV[[#This Row],[Notional Value Local Cur]])</f>
        <v>0</v>
      </c>
    </row>
    <row r="8902" spans="1:5" x14ac:dyDescent="0.25">
      <c r="A8902" s="36" t="b">
        <v>0</v>
      </c>
      <c r="B8902" s="56" t="b">
        <v>0</v>
      </c>
      <c r="C8902" s="56" t="b">
        <v>0</v>
      </c>
      <c r="D8902" s="56" t="b">
        <v>0</v>
      </c>
      <c r="E8902" s="56">
        <f ca="1">IF(PV[[#This Row],[Business Date]]=Control!$C$6, PV[[#This Row],[Notional Value Local Cur]], -PV[[#This Row],[Notional Value Local Cur]])</f>
        <v>0</v>
      </c>
    </row>
    <row r="8903" spans="1:5" x14ac:dyDescent="0.25">
      <c r="A8903" s="36" t="b">
        <v>0</v>
      </c>
      <c r="B8903" s="56" t="b">
        <v>0</v>
      </c>
      <c r="C8903" s="56" t="b">
        <v>0</v>
      </c>
      <c r="D8903" s="56" t="b">
        <v>0</v>
      </c>
      <c r="E8903" s="56">
        <f ca="1">IF(PV[[#This Row],[Business Date]]=Control!$C$6, PV[[#This Row],[Notional Value Local Cur]], -PV[[#This Row],[Notional Value Local Cur]])</f>
        <v>0</v>
      </c>
    </row>
    <row r="8904" spans="1:5" x14ac:dyDescent="0.25">
      <c r="A8904" s="36" t="b">
        <v>0</v>
      </c>
      <c r="B8904" s="56" t="b">
        <v>0</v>
      </c>
      <c r="C8904" s="56" t="b">
        <v>0</v>
      </c>
      <c r="D8904" s="56" t="b">
        <v>0</v>
      </c>
      <c r="E8904" s="56">
        <f ca="1">IF(PV[[#This Row],[Business Date]]=Control!$C$6, PV[[#This Row],[Notional Value Local Cur]], -PV[[#This Row],[Notional Value Local Cur]])</f>
        <v>0</v>
      </c>
    </row>
    <row r="8905" spans="1:5" x14ac:dyDescent="0.25">
      <c r="A8905" s="36" t="b">
        <v>0</v>
      </c>
      <c r="B8905" s="56" t="b">
        <v>0</v>
      </c>
      <c r="C8905" s="56" t="b">
        <v>0</v>
      </c>
      <c r="D8905" s="56" t="b">
        <v>0</v>
      </c>
      <c r="E8905" s="56">
        <f ca="1">IF(PV[[#This Row],[Business Date]]=Control!$C$6, PV[[#This Row],[Notional Value Local Cur]], -PV[[#This Row],[Notional Value Local Cur]])</f>
        <v>0</v>
      </c>
    </row>
    <row r="8906" spans="1:5" x14ac:dyDescent="0.25">
      <c r="A8906" s="36" t="b">
        <v>0</v>
      </c>
      <c r="B8906" s="56" t="b">
        <v>0</v>
      </c>
      <c r="C8906" s="56" t="b">
        <v>0</v>
      </c>
      <c r="D8906" s="56" t="b">
        <v>0</v>
      </c>
      <c r="E8906" s="56">
        <f ca="1">IF(PV[[#This Row],[Business Date]]=Control!$C$6, PV[[#This Row],[Notional Value Local Cur]], -PV[[#This Row],[Notional Value Local Cur]])</f>
        <v>0</v>
      </c>
    </row>
    <row r="8907" spans="1:5" x14ac:dyDescent="0.25">
      <c r="A8907" s="36" t="b">
        <v>0</v>
      </c>
      <c r="B8907" s="56" t="b">
        <v>0</v>
      </c>
      <c r="C8907" s="56" t="b">
        <v>0</v>
      </c>
      <c r="D8907" s="56" t="b">
        <v>0</v>
      </c>
      <c r="E8907" s="56">
        <f ca="1">IF(PV[[#This Row],[Business Date]]=Control!$C$6, PV[[#This Row],[Notional Value Local Cur]], -PV[[#This Row],[Notional Value Local Cur]])</f>
        <v>0</v>
      </c>
    </row>
    <row r="8908" spans="1:5" x14ac:dyDescent="0.25">
      <c r="A8908" s="36" t="b">
        <v>0</v>
      </c>
      <c r="B8908" s="56" t="b">
        <v>0</v>
      </c>
      <c r="C8908" s="56" t="b">
        <v>0</v>
      </c>
      <c r="D8908" s="56" t="b">
        <v>0</v>
      </c>
      <c r="E8908" s="56">
        <f ca="1">IF(PV[[#This Row],[Business Date]]=Control!$C$6, PV[[#This Row],[Notional Value Local Cur]], -PV[[#This Row],[Notional Value Local Cur]])</f>
        <v>0</v>
      </c>
    </row>
    <row r="8909" spans="1:5" x14ac:dyDescent="0.25">
      <c r="A8909" s="36" t="b">
        <v>0</v>
      </c>
      <c r="B8909" s="56" t="b">
        <v>0</v>
      </c>
      <c r="C8909" s="56" t="b">
        <v>0</v>
      </c>
      <c r="D8909" s="56" t="b">
        <v>0</v>
      </c>
      <c r="E8909" s="56">
        <f ca="1">IF(PV[[#This Row],[Business Date]]=Control!$C$6, PV[[#This Row],[Notional Value Local Cur]], -PV[[#This Row],[Notional Value Local Cur]])</f>
        <v>0</v>
      </c>
    </row>
    <row r="8910" spans="1:5" x14ac:dyDescent="0.25">
      <c r="A8910" s="36" t="b">
        <v>0</v>
      </c>
      <c r="B8910" s="56" t="b">
        <v>0</v>
      </c>
      <c r="C8910" s="56" t="b">
        <v>0</v>
      </c>
      <c r="D8910" s="56" t="b">
        <v>0</v>
      </c>
      <c r="E8910" s="56">
        <f ca="1">IF(PV[[#This Row],[Business Date]]=Control!$C$6, PV[[#This Row],[Notional Value Local Cur]], -PV[[#This Row],[Notional Value Local Cur]])</f>
        <v>0</v>
      </c>
    </row>
    <row r="8911" spans="1:5" x14ac:dyDescent="0.25">
      <c r="A8911" s="36" t="b">
        <v>0</v>
      </c>
      <c r="B8911" s="56" t="b">
        <v>0</v>
      </c>
      <c r="C8911" s="56" t="b">
        <v>0</v>
      </c>
      <c r="D8911" s="56" t="b">
        <v>0</v>
      </c>
      <c r="E8911" s="56">
        <f ca="1">IF(PV[[#This Row],[Business Date]]=Control!$C$6, PV[[#This Row],[Notional Value Local Cur]], -PV[[#This Row],[Notional Value Local Cur]])</f>
        <v>0</v>
      </c>
    </row>
    <row r="8912" spans="1:5" x14ac:dyDescent="0.25">
      <c r="A8912" s="36" t="b">
        <v>0</v>
      </c>
      <c r="B8912" s="56" t="b">
        <v>0</v>
      </c>
      <c r="C8912" s="56" t="b">
        <v>0</v>
      </c>
      <c r="D8912" s="56" t="b">
        <v>0</v>
      </c>
      <c r="E8912" s="56">
        <f ca="1">IF(PV[[#This Row],[Business Date]]=Control!$C$6, PV[[#This Row],[Notional Value Local Cur]], -PV[[#This Row],[Notional Value Local Cur]])</f>
        <v>0</v>
      </c>
    </row>
    <row r="8913" spans="1:5" x14ac:dyDescent="0.25">
      <c r="A8913" s="36" t="b">
        <v>0</v>
      </c>
      <c r="B8913" s="56" t="b">
        <v>0</v>
      </c>
      <c r="C8913" s="56" t="b">
        <v>0</v>
      </c>
      <c r="D8913" s="56" t="b">
        <v>0</v>
      </c>
      <c r="E8913" s="56">
        <f ca="1">IF(PV[[#This Row],[Business Date]]=Control!$C$6, PV[[#This Row],[Notional Value Local Cur]], -PV[[#This Row],[Notional Value Local Cur]])</f>
        <v>0</v>
      </c>
    </row>
    <row r="8914" spans="1:5" x14ac:dyDescent="0.25">
      <c r="A8914" s="36" t="b">
        <v>0</v>
      </c>
      <c r="B8914" s="56" t="b">
        <v>0</v>
      </c>
      <c r="C8914" s="56" t="b">
        <v>0</v>
      </c>
      <c r="D8914" s="56" t="b">
        <v>0</v>
      </c>
      <c r="E8914" s="56">
        <f ca="1">IF(PV[[#This Row],[Business Date]]=Control!$C$6, PV[[#This Row],[Notional Value Local Cur]], -PV[[#This Row],[Notional Value Local Cur]])</f>
        <v>0</v>
      </c>
    </row>
    <row r="8915" spans="1:5" x14ac:dyDescent="0.25">
      <c r="A8915" s="36" t="b">
        <v>0</v>
      </c>
      <c r="B8915" s="56" t="b">
        <v>0</v>
      </c>
      <c r="C8915" s="56" t="b">
        <v>0</v>
      </c>
      <c r="D8915" s="56" t="b">
        <v>0</v>
      </c>
      <c r="E8915" s="56">
        <f ca="1">IF(PV[[#This Row],[Business Date]]=Control!$C$6, PV[[#This Row],[Notional Value Local Cur]], -PV[[#This Row],[Notional Value Local Cur]])</f>
        <v>0</v>
      </c>
    </row>
    <row r="8916" spans="1:5" x14ac:dyDescent="0.25">
      <c r="A8916" s="36" t="b">
        <v>0</v>
      </c>
      <c r="B8916" s="56" t="b">
        <v>0</v>
      </c>
      <c r="C8916" s="56" t="b">
        <v>0</v>
      </c>
      <c r="D8916" s="56" t="b">
        <v>0</v>
      </c>
      <c r="E8916" s="56">
        <f ca="1">IF(PV[[#This Row],[Business Date]]=Control!$C$6, PV[[#This Row],[Notional Value Local Cur]], -PV[[#This Row],[Notional Value Local Cur]])</f>
        <v>0</v>
      </c>
    </row>
    <row r="8917" spans="1:5" x14ac:dyDescent="0.25">
      <c r="A8917" s="36" t="b">
        <v>0</v>
      </c>
      <c r="B8917" s="56" t="b">
        <v>0</v>
      </c>
      <c r="C8917" s="56" t="b">
        <v>0</v>
      </c>
      <c r="D8917" s="56" t="b">
        <v>0</v>
      </c>
      <c r="E8917" s="56">
        <f ca="1">IF(PV[[#This Row],[Business Date]]=Control!$C$6, PV[[#This Row],[Notional Value Local Cur]], -PV[[#This Row],[Notional Value Local Cur]])</f>
        <v>0</v>
      </c>
    </row>
    <row r="8918" spans="1:5" x14ac:dyDescent="0.25">
      <c r="A8918" s="36" t="b">
        <v>0</v>
      </c>
      <c r="B8918" s="56" t="b">
        <v>0</v>
      </c>
      <c r="C8918" s="56" t="b">
        <v>0</v>
      </c>
      <c r="D8918" s="56" t="b">
        <v>0</v>
      </c>
      <c r="E8918" s="56">
        <f ca="1">IF(PV[[#This Row],[Business Date]]=Control!$C$6, PV[[#This Row],[Notional Value Local Cur]], -PV[[#This Row],[Notional Value Local Cur]])</f>
        <v>0</v>
      </c>
    </row>
    <row r="8919" spans="1:5" x14ac:dyDescent="0.25">
      <c r="A8919" s="36" t="b">
        <v>0</v>
      </c>
      <c r="B8919" s="56" t="b">
        <v>0</v>
      </c>
      <c r="C8919" s="56" t="b">
        <v>0</v>
      </c>
      <c r="D8919" s="56" t="b">
        <v>0</v>
      </c>
      <c r="E8919" s="56">
        <f ca="1">IF(PV[[#This Row],[Business Date]]=Control!$C$6, PV[[#This Row],[Notional Value Local Cur]], -PV[[#This Row],[Notional Value Local Cur]])</f>
        <v>0</v>
      </c>
    </row>
    <row r="8920" spans="1:5" x14ac:dyDescent="0.25">
      <c r="A8920" s="36" t="b">
        <v>0</v>
      </c>
      <c r="B8920" s="56" t="b">
        <v>0</v>
      </c>
      <c r="C8920" s="56" t="b">
        <v>0</v>
      </c>
      <c r="D8920" s="56" t="b">
        <v>0</v>
      </c>
      <c r="E8920" s="56">
        <f ca="1">IF(PV[[#This Row],[Business Date]]=Control!$C$6, PV[[#This Row],[Notional Value Local Cur]], -PV[[#This Row],[Notional Value Local Cur]])</f>
        <v>0</v>
      </c>
    </row>
    <row r="8921" spans="1:5" x14ac:dyDescent="0.25">
      <c r="A8921" s="36" t="b">
        <v>0</v>
      </c>
      <c r="B8921" s="56" t="b">
        <v>0</v>
      </c>
      <c r="C8921" s="56" t="b">
        <v>0</v>
      </c>
      <c r="D8921" s="56" t="b">
        <v>0</v>
      </c>
      <c r="E8921" s="56">
        <f ca="1">IF(PV[[#This Row],[Business Date]]=Control!$C$6, PV[[#This Row],[Notional Value Local Cur]], -PV[[#This Row],[Notional Value Local Cur]])</f>
        <v>0</v>
      </c>
    </row>
    <row r="8922" spans="1:5" x14ac:dyDescent="0.25">
      <c r="A8922" s="36" t="b">
        <v>0</v>
      </c>
      <c r="B8922" s="56" t="b">
        <v>0</v>
      </c>
      <c r="C8922" s="56" t="b">
        <v>0</v>
      </c>
      <c r="D8922" s="56" t="b">
        <v>0</v>
      </c>
      <c r="E8922" s="56">
        <f ca="1">IF(PV[[#This Row],[Business Date]]=Control!$C$6, PV[[#This Row],[Notional Value Local Cur]], -PV[[#This Row],[Notional Value Local Cur]])</f>
        <v>0</v>
      </c>
    </row>
    <row r="8923" spans="1:5" x14ac:dyDescent="0.25">
      <c r="A8923" s="36" t="b">
        <v>0</v>
      </c>
      <c r="B8923" s="56" t="b">
        <v>0</v>
      </c>
      <c r="C8923" s="56" t="b">
        <v>0</v>
      </c>
      <c r="D8923" s="56" t="b">
        <v>0</v>
      </c>
      <c r="E8923" s="56">
        <f ca="1">IF(PV[[#This Row],[Business Date]]=Control!$C$6, PV[[#This Row],[Notional Value Local Cur]], -PV[[#This Row],[Notional Value Local Cur]])</f>
        <v>0</v>
      </c>
    </row>
    <row r="8924" spans="1:5" x14ac:dyDescent="0.25">
      <c r="A8924" s="36" t="b">
        <v>0</v>
      </c>
      <c r="B8924" s="56" t="b">
        <v>0</v>
      </c>
      <c r="C8924" s="56" t="b">
        <v>0</v>
      </c>
      <c r="D8924" s="56" t="b">
        <v>0</v>
      </c>
      <c r="E8924" s="56">
        <f ca="1">IF(PV[[#This Row],[Business Date]]=Control!$C$6, PV[[#This Row],[Notional Value Local Cur]], -PV[[#This Row],[Notional Value Local Cur]])</f>
        <v>0</v>
      </c>
    </row>
    <row r="8925" spans="1:5" x14ac:dyDescent="0.25">
      <c r="A8925" s="36" t="b">
        <v>0</v>
      </c>
      <c r="B8925" s="56" t="b">
        <v>0</v>
      </c>
      <c r="C8925" s="56" t="b">
        <v>0</v>
      </c>
      <c r="D8925" s="56" t="b">
        <v>0</v>
      </c>
      <c r="E8925" s="56">
        <f ca="1">IF(PV[[#This Row],[Business Date]]=Control!$C$6, PV[[#This Row],[Notional Value Local Cur]], -PV[[#This Row],[Notional Value Local Cur]])</f>
        <v>0</v>
      </c>
    </row>
    <row r="8926" spans="1:5" x14ac:dyDescent="0.25">
      <c r="A8926" s="36" t="b">
        <v>0</v>
      </c>
      <c r="B8926" s="56" t="b">
        <v>0</v>
      </c>
      <c r="C8926" s="56" t="b">
        <v>0</v>
      </c>
      <c r="D8926" s="56" t="b">
        <v>0</v>
      </c>
      <c r="E8926" s="56">
        <f ca="1">IF(PV[[#This Row],[Business Date]]=Control!$C$6, PV[[#This Row],[Notional Value Local Cur]], -PV[[#This Row],[Notional Value Local Cur]])</f>
        <v>0</v>
      </c>
    </row>
    <row r="8927" spans="1:5" x14ac:dyDescent="0.25">
      <c r="A8927" s="36" t="b">
        <v>0</v>
      </c>
      <c r="B8927" s="56" t="b">
        <v>0</v>
      </c>
      <c r="C8927" s="56" t="b">
        <v>0</v>
      </c>
      <c r="D8927" s="56" t="b">
        <v>0</v>
      </c>
      <c r="E8927" s="56">
        <f ca="1">IF(PV[[#This Row],[Business Date]]=Control!$C$6, PV[[#This Row],[Notional Value Local Cur]], -PV[[#This Row],[Notional Value Local Cur]])</f>
        <v>0</v>
      </c>
    </row>
    <row r="8928" spans="1:5" x14ac:dyDescent="0.25">
      <c r="A8928" s="36" t="b">
        <v>0</v>
      </c>
      <c r="B8928" s="56" t="b">
        <v>0</v>
      </c>
      <c r="C8928" s="56" t="b">
        <v>0</v>
      </c>
      <c r="D8928" s="56" t="b">
        <v>0</v>
      </c>
      <c r="E8928" s="56">
        <f ca="1">IF(PV[[#This Row],[Business Date]]=Control!$C$6, PV[[#This Row],[Notional Value Local Cur]], -PV[[#This Row],[Notional Value Local Cur]])</f>
        <v>0</v>
      </c>
    </row>
    <row r="8929" spans="1:5" x14ac:dyDescent="0.25">
      <c r="A8929" s="36" t="b">
        <v>0</v>
      </c>
      <c r="B8929" s="56" t="b">
        <v>0</v>
      </c>
      <c r="C8929" s="56" t="b">
        <v>0</v>
      </c>
      <c r="D8929" s="56" t="b">
        <v>0</v>
      </c>
      <c r="E8929" s="56">
        <f ca="1">IF(PV[[#This Row],[Business Date]]=Control!$C$6, PV[[#This Row],[Notional Value Local Cur]], -PV[[#This Row],[Notional Value Local Cur]])</f>
        <v>0</v>
      </c>
    </row>
    <row r="8930" spans="1:5" x14ac:dyDescent="0.25">
      <c r="A8930" s="36" t="b">
        <v>0</v>
      </c>
      <c r="B8930" s="56" t="b">
        <v>0</v>
      </c>
      <c r="C8930" s="56" t="b">
        <v>0</v>
      </c>
      <c r="D8930" s="56" t="b">
        <v>0</v>
      </c>
      <c r="E8930" s="56">
        <f ca="1">IF(PV[[#This Row],[Business Date]]=Control!$C$6, PV[[#This Row],[Notional Value Local Cur]], -PV[[#This Row],[Notional Value Local Cur]])</f>
        <v>0</v>
      </c>
    </row>
    <row r="8931" spans="1:5" x14ac:dyDescent="0.25">
      <c r="A8931" s="36" t="b">
        <v>0</v>
      </c>
      <c r="B8931" s="56" t="b">
        <v>0</v>
      </c>
      <c r="C8931" s="56" t="b">
        <v>0</v>
      </c>
      <c r="D8931" s="56" t="b">
        <v>0</v>
      </c>
      <c r="E8931" s="56">
        <f ca="1">IF(PV[[#This Row],[Business Date]]=Control!$C$6, PV[[#This Row],[Notional Value Local Cur]], -PV[[#This Row],[Notional Value Local Cur]])</f>
        <v>0</v>
      </c>
    </row>
    <row r="8932" spans="1:5" x14ac:dyDescent="0.25">
      <c r="A8932" s="36" t="b">
        <v>0</v>
      </c>
      <c r="B8932" s="56" t="b">
        <v>0</v>
      </c>
      <c r="C8932" s="56" t="b">
        <v>0</v>
      </c>
      <c r="D8932" s="56" t="b">
        <v>0</v>
      </c>
      <c r="E8932" s="56">
        <f ca="1">IF(PV[[#This Row],[Business Date]]=Control!$C$6, PV[[#This Row],[Notional Value Local Cur]], -PV[[#This Row],[Notional Value Local Cur]])</f>
        <v>0</v>
      </c>
    </row>
    <row r="8933" spans="1:5" x14ac:dyDescent="0.25">
      <c r="A8933" s="36" t="b">
        <v>0</v>
      </c>
      <c r="B8933" s="56" t="b">
        <v>0</v>
      </c>
      <c r="C8933" s="56" t="b">
        <v>0</v>
      </c>
      <c r="D8933" s="56" t="b">
        <v>0</v>
      </c>
      <c r="E8933" s="56">
        <f ca="1">IF(PV[[#This Row],[Business Date]]=Control!$C$6, PV[[#This Row],[Notional Value Local Cur]], -PV[[#This Row],[Notional Value Local Cur]])</f>
        <v>0</v>
      </c>
    </row>
    <row r="8934" spans="1:5" x14ac:dyDescent="0.25">
      <c r="A8934" s="36" t="b">
        <v>0</v>
      </c>
      <c r="B8934" s="56" t="b">
        <v>0</v>
      </c>
      <c r="C8934" s="56" t="b">
        <v>0</v>
      </c>
      <c r="D8934" s="56" t="b">
        <v>0</v>
      </c>
      <c r="E8934" s="56">
        <f ca="1">IF(PV[[#This Row],[Business Date]]=Control!$C$6, PV[[#This Row],[Notional Value Local Cur]], -PV[[#This Row],[Notional Value Local Cur]])</f>
        <v>0</v>
      </c>
    </row>
    <row r="8935" spans="1:5" x14ac:dyDescent="0.25">
      <c r="A8935" s="36" t="b">
        <v>0</v>
      </c>
      <c r="B8935" s="56" t="b">
        <v>0</v>
      </c>
      <c r="C8935" s="56" t="b">
        <v>0</v>
      </c>
      <c r="D8935" s="56" t="b">
        <v>0</v>
      </c>
      <c r="E8935" s="56">
        <f ca="1">IF(PV[[#This Row],[Business Date]]=Control!$C$6, PV[[#This Row],[Notional Value Local Cur]], -PV[[#This Row],[Notional Value Local Cur]])</f>
        <v>0</v>
      </c>
    </row>
    <row r="8936" spans="1:5" x14ac:dyDescent="0.25">
      <c r="A8936" s="36" t="b">
        <v>0</v>
      </c>
      <c r="B8936" s="56" t="b">
        <v>0</v>
      </c>
      <c r="C8936" s="56" t="b">
        <v>0</v>
      </c>
      <c r="D8936" s="56" t="b">
        <v>0</v>
      </c>
      <c r="E8936" s="56">
        <f ca="1">IF(PV[[#This Row],[Business Date]]=Control!$C$6, PV[[#This Row],[Notional Value Local Cur]], -PV[[#This Row],[Notional Value Local Cur]])</f>
        <v>0</v>
      </c>
    </row>
    <row r="8937" spans="1:5" x14ac:dyDescent="0.25">
      <c r="A8937" s="36" t="b">
        <v>0</v>
      </c>
      <c r="B8937" s="56" t="b">
        <v>0</v>
      </c>
      <c r="C8937" s="56" t="b">
        <v>0</v>
      </c>
      <c r="D8937" s="56" t="b">
        <v>0</v>
      </c>
      <c r="E8937" s="56">
        <f ca="1">IF(PV[[#This Row],[Business Date]]=Control!$C$6, PV[[#This Row],[Notional Value Local Cur]], -PV[[#This Row],[Notional Value Local Cur]])</f>
        <v>0</v>
      </c>
    </row>
    <row r="8938" spans="1:5" x14ac:dyDescent="0.25">
      <c r="A8938" s="36" t="b">
        <v>0</v>
      </c>
      <c r="B8938" s="56" t="b">
        <v>0</v>
      </c>
      <c r="C8938" s="56" t="b">
        <v>0</v>
      </c>
      <c r="D8938" s="56" t="b">
        <v>0</v>
      </c>
      <c r="E8938" s="56">
        <f ca="1">IF(PV[[#This Row],[Business Date]]=Control!$C$6, PV[[#This Row],[Notional Value Local Cur]], -PV[[#This Row],[Notional Value Local Cur]])</f>
        <v>0</v>
      </c>
    </row>
    <row r="8939" spans="1:5" x14ac:dyDescent="0.25">
      <c r="A8939" s="36" t="b">
        <v>0</v>
      </c>
      <c r="B8939" s="56" t="b">
        <v>0</v>
      </c>
      <c r="C8939" s="56" t="b">
        <v>0</v>
      </c>
      <c r="D8939" s="56" t="b">
        <v>0</v>
      </c>
      <c r="E8939" s="56">
        <f ca="1">IF(PV[[#This Row],[Business Date]]=Control!$C$6, PV[[#This Row],[Notional Value Local Cur]], -PV[[#This Row],[Notional Value Local Cur]])</f>
        <v>0</v>
      </c>
    </row>
    <row r="8940" spans="1:5" x14ac:dyDescent="0.25">
      <c r="A8940" s="36" t="b">
        <v>0</v>
      </c>
      <c r="B8940" s="56" t="b">
        <v>0</v>
      </c>
      <c r="C8940" s="56" t="b">
        <v>0</v>
      </c>
      <c r="D8940" s="56" t="b">
        <v>0</v>
      </c>
      <c r="E8940" s="56">
        <f ca="1">IF(PV[[#This Row],[Business Date]]=Control!$C$6, PV[[#This Row],[Notional Value Local Cur]], -PV[[#This Row],[Notional Value Local Cur]])</f>
        <v>0</v>
      </c>
    </row>
    <row r="8941" spans="1:5" x14ac:dyDescent="0.25">
      <c r="A8941" s="36" t="b">
        <v>0</v>
      </c>
      <c r="B8941" s="56" t="b">
        <v>0</v>
      </c>
      <c r="C8941" s="56" t="b">
        <v>0</v>
      </c>
      <c r="D8941" s="56" t="b">
        <v>0</v>
      </c>
      <c r="E8941" s="56">
        <f ca="1">IF(PV[[#This Row],[Business Date]]=Control!$C$6, PV[[#This Row],[Notional Value Local Cur]], -PV[[#This Row],[Notional Value Local Cur]])</f>
        <v>0</v>
      </c>
    </row>
    <row r="8942" spans="1:5" x14ac:dyDescent="0.25">
      <c r="A8942" s="36" t="b">
        <v>0</v>
      </c>
      <c r="B8942" s="56" t="b">
        <v>0</v>
      </c>
      <c r="C8942" s="56" t="b">
        <v>0</v>
      </c>
      <c r="D8942" s="56" t="b">
        <v>0</v>
      </c>
      <c r="E8942" s="56">
        <f ca="1">IF(PV[[#This Row],[Business Date]]=Control!$C$6, PV[[#This Row],[Notional Value Local Cur]], -PV[[#This Row],[Notional Value Local Cur]])</f>
        <v>0</v>
      </c>
    </row>
    <row r="8943" spans="1:5" x14ac:dyDescent="0.25">
      <c r="A8943" s="36" t="b">
        <v>0</v>
      </c>
      <c r="B8943" s="56" t="b">
        <v>0</v>
      </c>
      <c r="C8943" s="56" t="b">
        <v>0</v>
      </c>
      <c r="D8943" s="56" t="b">
        <v>0</v>
      </c>
      <c r="E8943" s="56">
        <f ca="1">IF(PV[[#This Row],[Business Date]]=Control!$C$6, PV[[#This Row],[Notional Value Local Cur]], -PV[[#This Row],[Notional Value Local Cur]])</f>
        <v>0</v>
      </c>
    </row>
    <row r="8944" spans="1:5" x14ac:dyDescent="0.25">
      <c r="A8944" s="36" t="b">
        <v>0</v>
      </c>
      <c r="B8944" s="56" t="b">
        <v>0</v>
      </c>
      <c r="C8944" s="56" t="b">
        <v>0</v>
      </c>
      <c r="D8944" s="56" t="b">
        <v>0</v>
      </c>
      <c r="E8944" s="56">
        <f ca="1">IF(PV[[#This Row],[Business Date]]=Control!$C$6, PV[[#This Row],[Notional Value Local Cur]], -PV[[#This Row],[Notional Value Local Cur]])</f>
        <v>0</v>
      </c>
    </row>
    <row r="8945" spans="1:5" x14ac:dyDescent="0.25">
      <c r="A8945" s="36" t="b">
        <v>0</v>
      </c>
      <c r="B8945" s="56" t="b">
        <v>0</v>
      </c>
      <c r="C8945" s="56" t="b">
        <v>0</v>
      </c>
      <c r="D8945" s="56" t="b">
        <v>0</v>
      </c>
      <c r="E8945" s="56">
        <f ca="1">IF(PV[[#This Row],[Business Date]]=Control!$C$6, PV[[#This Row],[Notional Value Local Cur]], -PV[[#This Row],[Notional Value Local Cur]])</f>
        <v>0</v>
      </c>
    </row>
    <row r="8946" spans="1:5" x14ac:dyDescent="0.25">
      <c r="A8946" s="36" t="b">
        <v>0</v>
      </c>
      <c r="B8946" s="56" t="b">
        <v>0</v>
      </c>
      <c r="C8946" s="56" t="b">
        <v>0</v>
      </c>
      <c r="D8946" s="56" t="b">
        <v>0</v>
      </c>
      <c r="E8946" s="56">
        <f ca="1">IF(PV[[#This Row],[Business Date]]=Control!$C$6, PV[[#This Row],[Notional Value Local Cur]], -PV[[#This Row],[Notional Value Local Cur]])</f>
        <v>0</v>
      </c>
    </row>
    <row r="8947" spans="1:5" x14ac:dyDescent="0.25">
      <c r="A8947" s="36" t="b">
        <v>0</v>
      </c>
      <c r="B8947" s="56" t="b">
        <v>0</v>
      </c>
      <c r="C8947" s="56" t="b">
        <v>0</v>
      </c>
      <c r="D8947" s="56" t="b">
        <v>0</v>
      </c>
      <c r="E8947" s="56">
        <f ca="1">IF(PV[[#This Row],[Business Date]]=Control!$C$6, PV[[#This Row],[Notional Value Local Cur]], -PV[[#This Row],[Notional Value Local Cur]])</f>
        <v>0</v>
      </c>
    </row>
    <row r="8948" spans="1:5" x14ac:dyDescent="0.25">
      <c r="A8948" s="36" t="b">
        <v>0</v>
      </c>
      <c r="B8948" s="56" t="b">
        <v>0</v>
      </c>
      <c r="C8948" s="56" t="b">
        <v>0</v>
      </c>
      <c r="D8948" s="56" t="b">
        <v>0</v>
      </c>
      <c r="E8948" s="56">
        <f ca="1">IF(PV[[#This Row],[Business Date]]=Control!$C$6, PV[[#This Row],[Notional Value Local Cur]], -PV[[#This Row],[Notional Value Local Cur]])</f>
        <v>0</v>
      </c>
    </row>
    <row r="8949" spans="1:5" x14ac:dyDescent="0.25">
      <c r="A8949" s="36" t="b">
        <v>0</v>
      </c>
      <c r="B8949" s="56" t="b">
        <v>0</v>
      </c>
      <c r="C8949" s="56" t="b">
        <v>0</v>
      </c>
      <c r="D8949" s="56" t="b">
        <v>0</v>
      </c>
      <c r="E8949" s="56">
        <f ca="1">IF(PV[[#This Row],[Business Date]]=Control!$C$6, PV[[#This Row],[Notional Value Local Cur]], -PV[[#This Row],[Notional Value Local Cur]])</f>
        <v>0</v>
      </c>
    </row>
    <row r="8950" spans="1:5" x14ac:dyDescent="0.25">
      <c r="A8950" s="36" t="b">
        <v>0</v>
      </c>
      <c r="B8950" s="56" t="b">
        <v>0</v>
      </c>
      <c r="C8950" s="56" t="b">
        <v>0</v>
      </c>
      <c r="D8950" s="56" t="b">
        <v>0</v>
      </c>
      <c r="E8950" s="56">
        <f ca="1">IF(PV[[#This Row],[Business Date]]=Control!$C$6, PV[[#This Row],[Notional Value Local Cur]], -PV[[#This Row],[Notional Value Local Cur]])</f>
        <v>0</v>
      </c>
    </row>
    <row r="8951" spans="1:5" x14ac:dyDescent="0.25">
      <c r="A8951" s="36" t="b">
        <v>0</v>
      </c>
      <c r="B8951" s="56" t="b">
        <v>0</v>
      </c>
      <c r="C8951" s="56" t="b">
        <v>0</v>
      </c>
      <c r="D8951" s="56" t="b">
        <v>0</v>
      </c>
      <c r="E8951" s="56">
        <f ca="1">IF(PV[[#This Row],[Business Date]]=Control!$C$6, PV[[#This Row],[Notional Value Local Cur]], -PV[[#This Row],[Notional Value Local Cur]])</f>
        <v>0</v>
      </c>
    </row>
    <row r="8952" spans="1:5" x14ac:dyDescent="0.25">
      <c r="A8952" s="36" t="b">
        <v>0</v>
      </c>
      <c r="B8952" s="56" t="b">
        <v>0</v>
      </c>
      <c r="C8952" s="56" t="b">
        <v>0</v>
      </c>
      <c r="D8952" s="56" t="b">
        <v>0</v>
      </c>
      <c r="E8952" s="56">
        <f ca="1">IF(PV[[#This Row],[Business Date]]=Control!$C$6, PV[[#This Row],[Notional Value Local Cur]], -PV[[#This Row],[Notional Value Local Cur]])</f>
        <v>0</v>
      </c>
    </row>
    <row r="8953" spans="1:5" x14ac:dyDescent="0.25">
      <c r="A8953" s="36" t="b">
        <v>0</v>
      </c>
      <c r="B8953" s="56" t="b">
        <v>0</v>
      </c>
      <c r="C8953" s="56" t="b">
        <v>0</v>
      </c>
      <c r="D8953" s="56" t="b">
        <v>0</v>
      </c>
      <c r="E8953" s="56">
        <f ca="1">IF(PV[[#This Row],[Business Date]]=Control!$C$6, PV[[#This Row],[Notional Value Local Cur]], -PV[[#This Row],[Notional Value Local Cur]])</f>
        <v>0</v>
      </c>
    </row>
    <row r="8954" spans="1:5" x14ac:dyDescent="0.25">
      <c r="A8954" s="36" t="b">
        <v>0</v>
      </c>
      <c r="B8954" s="56" t="b">
        <v>0</v>
      </c>
      <c r="C8954" s="56" t="b">
        <v>0</v>
      </c>
      <c r="D8954" s="56" t="b">
        <v>0</v>
      </c>
      <c r="E8954" s="56">
        <f ca="1">IF(PV[[#This Row],[Business Date]]=Control!$C$6, PV[[#This Row],[Notional Value Local Cur]], -PV[[#This Row],[Notional Value Local Cur]])</f>
        <v>0</v>
      </c>
    </row>
    <row r="8955" spans="1:5" x14ac:dyDescent="0.25">
      <c r="A8955" s="36" t="b">
        <v>0</v>
      </c>
      <c r="B8955" s="56" t="b">
        <v>0</v>
      </c>
      <c r="C8955" s="56" t="b">
        <v>0</v>
      </c>
      <c r="D8955" s="56" t="b">
        <v>0</v>
      </c>
      <c r="E8955" s="56">
        <f ca="1">IF(PV[[#This Row],[Business Date]]=Control!$C$6, PV[[#This Row],[Notional Value Local Cur]], -PV[[#This Row],[Notional Value Local Cur]])</f>
        <v>0</v>
      </c>
    </row>
    <row r="8956" spans="1:5" x14ac:dyDescent="0.25">
      <c r="A8956" s="36" t="b">
        <v>0</v>
      </c>
      <c r="B8956" s="56" t="b">
        <v>0</v>
      </c>
      <c r="C8956" s="56" t="b">
        <v>0</v>
      </c>
      <c r="D8956" s="56" t="b">
        <v>0</v>
      </c>
      <c r="E8956" s="56">
        <f ca="1">IF(PV[[#This Row],[Business Date]]=Control!$C$6, PV[[#This Row],[Notional Value Local Cur]], -PV[[#This Row],[Notional Value Local Cur]])</f>
        <v>0</v>
      </c>
    </row>
    <row r="8957" spans="1:5" x14ac:dyDescent="0.25">
      <c r="A8957" s="36" t="b">
        <v>0</v>
      </c>
      <c r="B8957" s="56" t="b">
        <v>0</v>
      </c>
      <c r="C8957" s="56" t="b">
        <v>0</v>
      </c>
      <c r="D8957" s="56" t="b">
        <v>0</v>
      </c>
      <c r="E8957" s="56">
        <f ca="1">IF(PV[[#This Row],[Business Date]]=Control!$C$6, PV[[#This Row],[Notional Value Local Cur]], -PV[[#This Row],[Notional Value Local Cur]])</f>
        <v>0</v>
      </c>
    </row>
    <row r="8958" spans="1:5" x14ac:dyDescent="0.25">
      <c r="A8958" s="36" t="b">
        <v>0</v>
      </c>
      <c r="B8958" s="56" t="b">
        <v>0</v>
      </c>
      <c r="C8958" s="56" t="b">
        <v>0</v>
      </c>
      <c r="D8958" s="56" t="b">
        <v>0</v>
      </c>
      <c r="E8958" s="56">
        <f ca="1">IF(PV[[#This Row],[Business Date]]=Control!$C$6, PV[[#This Row],[Notional Value Local Cur]], -PV[[#This Row],[Notional Value Local Cur]])</f>
        <v>0</v>
      </c>
    </row>
    <row r="8959" spans="1:5" x14ac:dyDescent="0.25">
      <c r="A8959" s="36" t="b">
        <v>0</v>
      </c>
      <c r="B8959" s="56" t="b">
        <v>0</v>
      </c>
      <c r="C8959" s="56" t="b">
        <v>0</v>
      </c>
      <c r="D8959" s="56" t="b">
        <v>0</v>
      </c>
      <c r="E8959" s="56">
        <f ca="1">IF(PV[[#This Row],[Business Date]]=Control!$C$6, PV[[#This Row],[Notional Value Local Cur]], -PV[[#This Row],[Notional Value Local Cur]])</f>
        <v>0</v>
      </c>
    </row>
    <row r="8960" spans="1:5" x14ac:dyDescent="0.25">
      <c r="A8960" s="36" t="b">
        <v>0</v>
      </c>
      <c r="B8960" s="56" t="b">
        <v>0</v>
      </c>
      <c r="C8960" s="56" t="b">
        <v>0</v>
      </c>
      <c r="D8960" s="56" t="b">
        <v>0</v>
      </c>
      <c r="E8960" s="56">
        <f ca="1">IF(PV[[#This Row],[Business Date]]=Control!$C$6, PV[[#This Row],[Notional Value Local Cur]], -PV[[#This Row],[Notional Value Local Cur]])</f>
        <v>0</v>
      </c>
    </row>
    <row r="8961" spans="1:5" x14ac:dyDescent="0.25">
      <c r="A8961" s="36" t="b">
        <v>0</v>
      </c>
      <c r="B8961" s="56" t="b">
        <v>0</v>
      </c>
      <c r="C8961" s="56" t="b">
        <v>0</v>
      </c>
      <c r="D8961" s="56" t="b">
        <v>0</v>
      </c>
      <c r="E8961" s="56">
        <f ca="1">IF(PV[[#This Row],[Business Date]]=Control!$C$6, PV[[#This Row],[Notional Value Local Cur]], -PV[[#This Row],[Notional Value Local Cur]])</f>
        <v>0</v>
      </c>
    </row>
    <row r="8962" spans="1:5" x14ac:dyDescent="0.25">
      <c r="A8962" s="36" t="b">
        <v>0</v>
      </c>
      <c r="B8962" s="56" t="b">
        <v>0</v>
      </c>
      <c r="C8962" s="56" t="b">
        <v>0</v>
      </c>
      <c r="D8962" s="56" t="b">
        <v>0</v>
      </c>
      <c r="E8962" s="56">
        <f ca="1">IF(PV[[#This Row],[Business Date]]=Control!$C$6, PV[[#This Row],[Notional Value Local Cur]], -PV[[#This Row],[Notional Value Local Cur]])</f>
        <v>0</v>
      </c>
    </row>
    <row r="8963" spans="1:5" x14ac:dyDescent="0.25">
      <c r="A8963" s="36" t="b">
        <v>0</v>
      </c>
      <c r="B8963" s="56" t="b">
        <v>0</v>
      </c>
      <c r="C8963" s="56" t="b">
        <v>0</v>
      </c>
      <c r="D8963" s="56" t="b">
        <v>0</v>
      </c>
      <c r="E8963" s="56">
        <f ca="1">IF(PV[[#This Row],[Business Date]]=Control!$C$6, PV[[#This Row],[Notional Value Local Cur]], -PV[[#This Row],[Notional Value Local Cur]])</f>
        <v>0</v>
      </c>
    </row>
    <row r="8964" spans="1:5" x14ac:dyDescent="0.25">
      <c r="A8964" s="36" t="b">
        <v>0</v>
      </c>
      <c r="B8964" s="56" t="b">
        <v>0</v>
      </c>
      <c r="C8964" s="56" t="b">
        <v>0</v>
      </c>
      <c r="D8964" s="56" t="b">
        <v>0</v>
      </c>
      <c r="E8964" s="56">
        <f ca="1">IF(PV[[#This Row],[Business Date]]=Control!$C$6, PV[[#This Row],[Notional Value Local Cur]], -PV[[#This Row],[Notional Value Local Cur]])</f>
        <v>0</v>
      </c>
    </row>
    <row r="8965" spans="1:5" x14ac:dyDescent="0.25">
      <c r="A8965" s="36" t="b">
        <v>0</v>
      </c>
      <c r="B8965" s="56" t="b">
        <v>0</v>
      </c>
      <c r="C8965" s="56" t="b">
        <v>0</v>
      </c>
      <c r="D8965" s="56" t="b">
        <v>0</v>
      </c>
      <c r="E8965" s="56">
        <f ca="1">IF(PV[[#This Row],[Business Date]]=Control!$C$6, PV[[#This Row],[Notional Value Local Cur]], -PV[[#This Row],[Notional Value Local Cur]])</f>
        <v>0</v>
      </c>
    </row>
    <row r="8966" spans="1:5" x14ac:dyDescent="0.25">
      <c r="A8966" s="36" t="b">
        <v>0</v>
      </c>
      <c r="B8966" s="56" t="b">
        <v>0</v>
      </c>
      <c r="C8966" s="56" t="b">
        <v>0</v>
      </c>
      <c r="D8966" s="56" t="b">
        <v>0</v>
      </c>
      <c r="E8966" s="56">
        <f ca="1">IF(PV[[#This Row],[Business Date]]=Control!$C$6, PV[[#This Row],[Notional Value Local Cur]], -PV[[#This Row],[Notional Value Local Cur]])</f>
        <v>0</v>
      </c>
    </row>
    <row r="8967" spans="1:5" x14ac:dyDescent="0.25">
      <c r="A8967" s="36" t="b">
        <v>0</v>
      </c>
      <c r="B8967" s="56" t="b">
        <v>0</v>
      </c>
      <c r="C8967" s="56" t="b">
        <v>0</v>
      </c>
      <c r="D8967" s="56" t="b">
        <v>0</v>
      </c>
      <c r="E8967" s="56">
        <f ca="1">IF(PV[[#This Row],[Business Date]]=Control!$C$6, PV[[#This Row],[Notional Value Local Cur]], -PV[[#This Row],[Notional Value Local Cur]])</f>
        <v>0</v>
      </c>
    </row>
    <row r="8968" spans="1:5" x14ac:dyDescent="0.25">
      <c r="A8968" s="36" t="b">
        <v>0</v>
      </c>
      <c r="B8968" s="56" t="b">
        <v>0</v>
      </c>
      <c r="C8968" s="56" t="b">
        <v>0</v>
      </c>
      <c r="D8968" s="56" t="b">
        <v>0</v>
      </c>
      <c r="E8968" s="56">
        <f ca="1">IF(PV[[#This Row],[Business Date]]=Control!$C$6, PV[[#This Row],[Notional Value Local Cur]], -PV[[#This Row],[Notional Value Local Cur]])</f>
        <v>0</v>
      </c>
    </row>
    <row r="8969" spans="1:5" x14ac:dyDescent="0.25">
      <c r="A8969" s="36" t="b">
        <v>0</v>
      </c>
      <c r="B8969" s="56" t="b">
        <v>0</v>
      </c>
      <c r="C8969" s="56" t="b">
        <v>0</v>
      </c>
      <c r="D8969" s="56" t="b">
        <v>0</v>
      </c>
      <c r="E8969" s="56">
        <f ca="1">IF(PV[[#This Row],[Business Date]]=Control!$C$6, PV[[#This Row],[Notional Value Local Cur]], -PV[[#This Row],[Notional Value Local Cur]])</f>
        <v>0</v>
      </c>
    </row>
    <row r="8970" spans="1:5" x14ac:dyDescent="0.25">
      <c r="A8970" s="36" t="b">
        <v>0</v>
      </c>
      <c r="B8970" s="56" t="b">
        <v>0</v>
      </c>
      <c r="C8970" s="56" t="b">
        <v>0</v>
      </c>
      <c r="D8970" s="56" t="b">
        <v>0</v>
      </c>
      <c r="E8970" s="56">
        <f ca="1">IF(PV[[#This Row],[Business Date]]=Control!$C$6, PV[[#This Row],[Notional Value Local Cur]], -PV[[#This Row],[Notional Value Local Cur]])</f>
        <v>0</v>
      </c>
    </row>
    <row r="8971" spans="1:5" x14ac:dyDescent="0.25">
      <c r="A8971" s="36" t="b">
        <v>0</v>
      </c>
      <c r="B8971" s="56" t="b">
        <v>0</v>
      </c>
      <c r="C8971" s="56" t="b">
        <v>0</v>
      </c>
      <c r="D8971" s="56" t="b">
        <v>0</v>
      </c>
      <c r="E8971" s="56">
        <f ca="1">IF(PV[[#This Row],[Business Date]]=Control!$C$6, PV[[#This Row],[Notional Value Local Cur]], -PV[[#This Row],[Notional Value Local Cur]])</f>
        <v>0</v>
      </c>
    </row>
    <row r="8972" spans="1:5" x14ac:dyDescent="0.25">
      <c r="A8972" s="36" t="b">
        <v>0</v>
      </c>
      <c r="B8972" s="56" t="b">
        <v>0</v>
      </c>
      <c r="C8972" s="56" t="b">
        <v>0</v>
      </c>
      <c r="D8972" s="56" t="b">
        <v>0</v>
      </c>
      <c r="E8972" s="56">
        <f ca="1">IF(PV[[#This Row],[Business Date]]=Control!$C$6, PV[[#This Row],[Notional Value Local Cur]], -PV[[#This Row],[Notional Value Local Cur]])</f>
        <v>0</v>
      </c>
    </row>
    <row r="8973" spans="1:5" x14ac:dyDescent="0.25">
      <c r="A8973" s="36" t="b">
        <v>0</v>
      </c>
      <c r="B8973" s="56" t="b">
        <v>0</v>
      </c>
      <c r="C8973" s="56" t="b">
        <v>0</v>
      </c>
      <c r="D8973" s="56" t="b">
        <v>0</v>
      </c>
      <c r="E8973" s="56">
        <f ca="1">IF(PV[[#This Row],[Business Date]]=Control!$C$6, PV[[#This Row],[Notional Value Local Cur]], -PV[[#This Row],[Notional Value Local Cur]])</f>
        <v>0</v>
      </c>
    </row>
    <row r="8974" spans="1:5" x14ac:dyDescent="0.25">
      <c r="A8974" s="36" t="b">
        <v>0</v>
      </c>
      <c r="B8974" s="56" t="b">
        <v>0</v>
      </c>
      <c r="C8974" s="56" t="b">
        <v>0</v>
      </c>
      <c r="D8974" s="56" t="b">
        <v>0</v>
      </c>
      <c r="E8974" s="56">
        <f ca="1">IF(PV[[#This Row],[Business Date]]=Control!$C$6, PV[[#This Row],[Notional Value Local Cur]], -PV[[#This Row],[Notional Value Local Cur]])</f>
        <v>0</v>
      </c>
    </row>
    <row r="8975" spans="1:5" x14ac:dyDescent="0.25">
      <c r="A8975" s="36" t="b">
        <v>0</v>
      </c>
      <c r="B8975" s="56" t="b">
        <v>0</v>
      </c>
      <c r="C8975" s="56" t="b">
        <v>0</v>
      </c>
      <c r="D8975" s="56" t="b">
        <v>0</v>
      </c>
      <c r="E8975" s="56">
        <f ca="1">IF(PV[[#This Row],[Business Date]]=Control!$C$6, PV[[#This Row],[Notional Value Local Cur]], -PV[[#This Row],[Notional Value Local Cur]])</f>
        <v>0</v>
      </c>
    </row>
    <row r="8976" spans="1:5" x14ac:dyDescent="0.25">
      <c r="A8976" s="36" t="b">
        <v>0</v>
      </c>
      <c r="B8976" s="56" t="b">
        <v>0</v>
      </c>
      <c r="C8976" s="56" t="b">
        <v>0</v>
      </c>
      <c r="D8976" s="56" t="b">
        <v>0</v>
      </c>
      <c r="E8976" s="56">
        <f ca="1">IF(PV[[#This Row],[Business Date]]=Control!$C$6, PV[[#This Row],[Notional Value Local Cur]], -PV[[#This Row],[Notional Value Local Cur]])</f>
        <v>0</v>
      </c>
    </row>
    <row r="8977" spans="1:5" x14ac:dyDescent="0.25">
      <c r="A8977" s="36" t="b">
        <v>0</v>
      </c>
      <c r="B8977" s="56" t="b">
        <v>0</v>
      </c>
      <c r="C8977" s="56" t="b">
        <v>0</v>
      </c>
      <c r="D8977" s="56" t="b">
        <v>0</v>
      </c>
      <c r="E8977" s="56">
        <f ca="1">IF(PV[[#This Row],[Business Date]]=Control!$C$6, PV[[#This Row],[Notional Value Local Cur]], -PV[[#This Row],[Notional Value Local Cur]])</f>
        <v>0</v>
      </c>
    </row>
    <row r="8978" spans="1:5" x14ac:dyDescent="0.25">
      <c r="A8978" s="36" t="b">
        <v>0</v>
      </c>
      <c r="B8978" s="56" t="b">
        <v>0</v>
      </c>
      <c r="C8978" s="56" t="b">
        <v>0</v>
      </c>
      <c r="D8978" s="56" t="b">
        <v>0</v>
      </c>
      <c r="E8978" s="56">
        <f ca="1">IF(PV[[#This Row],[Business Date]]=Control!$C$6, PV[[#This Row],[Notional Value Local Cur]], -PV[[#This Row],[Notional Value Local Cur]])</f>
        <v>0</v>
      </c>
    </row>
    <row r="8979" spans="1:5" x14ac:dyDescent="0.25">
      <c r="A8979" s="36" t="b">
        <v>0</v>
      </c>
      <c r="B8979" s="56" t="b">
        <v>0</v>
      </c>
      <c r="C8979" s="56" t="b">
        <v>0</v>
      </c>
      <c r="D8979" s="56" t="b">
        <v>0</v>
      </c>
      <c r="E8979" s="56">
        <f ca="1">IF(PV[[#This Row],[Business Date]]=Control!$C$6, PV[[#This Row],[Notional Value Local Cur]], -PV[[#This Row],[Notional Value Local Cur]])</f>
        <v>0</v>
      </c>
    </row>
    <row r="8980" spans="1:5" x14ac:dyDescent="0.25">
      <c r="A8980" s="36" t="b">
        <v>0</v>
      </c>
      <c r="B8980" s="56" t="b">
        <v>0</v>
      </c>
      <c r="C8980" s="56" t="b">
        <v>0</v>
      </c>
      <c r="D8980" s="56" t="b">
        <v>0</v>
      </c>
      <c r="E8980" s="56">
        <f ca="1">IF(PV[[#This Row],[Business Date]]=Control!$C$6, PV[[#This Row],[Notional Value Local Cur]], -PV[[#This Row],[Notional Value Local Cur]])</f>
        <v>0</v>
      </c>
    </row>
    <row r="8981" spans="1:5" x14ac:dyDescent="0.25">
      <c r="A8981" s="36" t="b">
        <v>0</v>
      </c>
      <c r="B8981" s="56" t="b">
        <v>0</v>
      </c>
      <c r="C8981" s="56" t="b">
        <v>0</v>
      </c>
      <c r="D8981" s="56" t="b">
        <v>0</v>
      </c>
      <c r="E8981" s="56">
        <f ca="1">IF(PV[[#This Row],[Business Date]]=Control!$C$6, PV[[#This Row],[Notional Value Local Cur]], -PV[[#This Row],[Notional Value Local Cur]])</f>
        <v>0</v>
      </c>
    </row>
    <row r="8982" spans="1:5" x14ac:dyDescent="0.25">
      <c r="A8982" s="36" t="b">
        <v>0</v>
      </c>
      <c r="B8982" s="56" t="b">
        <v>0</v>
      </c>
      <c r="C8982" s="56" t="b">
        <v>0</v>
      </c>
      <c r="D8982" s="56" t="b">
        <v>0</v>
      </c>
      <c r="E8982" s="56">
        <f ca="1">IF(PV[[#This Row],[Business Date]]=Control!$C$6, PV[[#This Row],[Notional Value Local Cur]], -PV[[#This Row],[Notional Value Local Cur]])</f>
        <v>0</v>
      </c>
    </row>
    <row r="8983" spans="1:5" x14ac:dyDescent="0.25">
      <c r="A8983" s="36" t="b">
        <v>0</v>
      </c>
      <c r="B8983" s="56" t="b">
        <v>0</v>
      </c>
      <c r="C8983" s="56" t="b">
        <v>0</v>
      </c>
      <c r="D8983" s="56" t="b">
        <v>0</v>
      </c>
      <c r="E8983" s="56">
        <f ca="1">IF(PV[[#This Row],[Business Date]]=Control!$C$6, PV[[#This Row],[Notional Value Local Cur]], -PV[[#This Row],[Notional Value Local Cur]])</f>
        <v>0</v>
      </c>
    </row>
    <row r="8984" spans="1:5" x14ac:dyDescent="0.25">
      <c r="A8984" s="36" t="b">
        <v>0</v>
      </c>
      <c r="B8984" s="56" t="b">
        <v>0</v>
      </c>
      <c r="C8984" s="56" t="b">
        <v>0</v>
      </c>
      <c r="D8984" s="56" t="b">
        <v>0</v>
      </c>
      <c r="E8984" s="56">
        <f ca="1">IF(PV[[#This Row],[Business Date]]=Control!$C$6, PV[[#This Row],[Notional Value Local Cur]], -PV[[#This Row],[Notional Value Local Cur]])</f>
        <v>0</v>
      </c>
    </row>
    <row r="8985" spans="1:5" x14ac:dyDescent="0.25">
      <c r="A8985" s="36" t="b">
        <v>0</v>
      </c>
      <c r="B8985" s="56" t="b">
        <v>0</v>
      </c>
      <c r="C8985" s="56" t="b">
        <v>0</v>
      </c>
      <c r="D8985" s="56" t="b">
        <v>0</v>
      </c>
      <c r="E8985" s="56">
        <f ca="1">IF(PV[[#This Row],[Business Date]]=Control!$C$6, PV[[#This Row],[Notional Value Local Cur]], -PV[[#This Row],[Notional Value Local Cur]])</f>
        <v>0</v>
      </c>
    </row>
    <row r="8986" spans="1:5" x14ac:dyDescent="0.25">
      <c r="A8986" s="36" t="b">
        <v>0</v>
      </c>
      <c r="B8986" s="56" t="b">
        <v>0</v>
      </c>
      <c r="C8986" s="56" t="b">
        <v>0</v>
      </c>
      <c r="D8986" s="56" t="b">
        <v>0</v>
      </c>
      <c r="E8986" s="56">
        <f ca="1">IF(PV[[#This Row],[Business Date]]=Control!$C$6, PV[[#This Row],[Notional Value Local Cur]], -PV[[#This Row],[Notional Value Local Cur]])</f>
        <v>0</v>
      </c>
    </row>
    <row r="8987" spans="1:5" x14ac:dyDescent="0.25">
      <c r="A8987" s="36" t="b">
        <v>0</v>
      </c>
      <c r="B8987" s="56" t="b">
        <v>0</v>
      </c>
      <c r="C8987" s="56" t="b">
        <v>0</v>
      </c>
      <c r="D8987" s="56" t="b">
        <v>0</v>
      </c>
      <c r="E8987" s="56">
        <f ca="1">IF(PV[[#This Row],[Business Date]]=Control!$C$6, PV[[#This Row],[Notional Value Local Cur]], -PV[[#This Row],[Notional Value Local Cur]])</f>
        <v>0</v>
      </c>
    </row>
    <row r="8988" spans="1:5" x14ac:dyDescent="0.25">
      <c r="A8988" s="36" t="b">
        <v>0</v>
      </c>
      <c r="B8988" s="56" t="b">
        <v>0</v>
      </c>
      <c r="C8988" s="56" t="b">
        <v>0</v>
      </c>
      <c r="D8988" s="56" t="b">
        <v>0</v>
      </c>
      <c r="E8988" s="56">
        <f ca="1">IF(PV[[#This Row],[Business Date]]=Control!$C$6, PV[[#This Row],[Notional Value Local Cur]], -PV[[#This Row],[Notional Value Local Cur]])</f>
        <v>0</v>
      </c>
    </row>
    <row r="8989" spans="1:5" x14ac:dyDescent="0.25">
      <c r="A8989" s="36" t="b">
        <v>0</v>
      </c>
      <c r="B8989" s="56" t="b">
        <v>0</v>
      </c>
      <c r="C8989" s="56" t="b">
        <v>0</v>
      </c>
      <c r="D8989" s="56" t="b">
        <v>0</v>
      </c>
      <c r="E8989" s="56">
        <f ca="1">IF(PV[[#This Row],[Business Date]]=Control!$C$6, PV[[#This Row],[Notional Value Local Cur]], -PV[[#This Row],[Notional Value Local Cur]])</f>
        <v>0</v>
      </c>
    </row>
    <row r="8990" spans="1:5" x14ac:dyDescent="0.25">
      <c r="A8990" s="36" t="b">
        <v>0</v>
      </c>
      <c r="B8990" s="56" t="b">
        <v>0</v>
      </c>
      <c r="C8990" s="56" t="b">
        <v>0</v>
      </c>
      <c r="D8990" s="56" t="b">
        <v>0</v>
      </c>
      <c r="E8990" s="56">
        <f ca="1">IF(PV[[#This Row],[Business Date]]=Control!$C$6, PV[[#This Row],[Notional Value Local Cur]], -PV[[#This Row],[Notional Value Local Cur]])</f>
        <v>0</v>
      </c>
    </row>
    <row r="8991" spans="1:5" x14ac:dyDescent="0.25">
      <c r="A8991" s="36" t="b">
        <v>0</v>
      </c>
      <c r="B8991" s="56" t="b">
        <v>0</v>
      </c>
      <c r="C8991" s="56" t="b">
        <v>0</v>
      </c>
      <c r="D8991" s="56" t="b">
        <v>0</v>
      </c>
      <c r="E8991" s="56">
        <f ca="1">IF(PV[[#This Row],[Business Date]]=Control!$C$6, PV[[#This Row],[Notional Value Local Cur]], -PV[[#This Row],[Notional Value Local Cur]])</f>
        <v>0</v>
      </c>
    </row>
    <row r="8992" spans="1:5" x14ac:dyDescent="0.25">
      <c r="A8992" s="36" t="b">
        <v>0</v>
      </c>
      <c r="B8992" s="56" t="b">
        <v>0</v>
      </c>
      <c r="C8992" s="56" t="b">
        <v>0</v>
      </c>
      <c r="D8992" s="56" t="b">
        <v>0</v>
      </c>
      <c r="E8992" s="56">
        <f ca="1">IF(PV[[#This Row],[Business Date]]=Control!$C$6, PV[[#This Row],[Notional Value Local Cur]], -PV[[#This Row],[Notional Value Local Cur]])</f>
        <v>0</v>
      </c>
    </row>
    <row r="8993" spans="1:5" x14ac:dyDescent="0.25">
      <c r="A8993" s="36" t="b">
        <v>0</v>
      </c>
      <c r="B8993" s="56" t="b">
        <v>0</v>
      </c>
      <c r="C8993" s="56" t="b">
        <v>0</v>
      </c>
      <c r="D8993" s="56" t="b">
        <v>0</v>
      </c>
      <c r="E8993" s="56">
        <f ca="1">IF(PV[[#This Row],[Business Date]]=Control!$C$6, PV[[#This Row],[Notional Value Local Cur]], -PV[[#This Row],[Notional Value Local Cur]])</f>
        <v>0</v>
      </c>
    </row>
    <row r="8994" spans="1:5" x14ac:dyDescent="0.25">
      <c r="A8994" s="36" t="b">
        <v>0</v>
      </c>
      <c r="B8994" s="56" t="b">
        <v>0</v>
      </c>
      <c r="C8994" s="56" t="b">
        <v>0</v>
      </c>
      <c r="D8994" s="56" t="b">
        <v>0</v>
      </c>
      <c r="E8994" s="56">
        <f ca="1">IF(PV[[#This Row],[Business Date]]=Control!$C$6, PV[[#This Row],[Notional Value Local Cur]], -PV[[#This Row],[Notional Value Local Cur]])</f>
        <v>0</v>
      </c>
    </row>
    <row r="8995" spans="1:5" x14ac:dyDescent="0.25">
      <c r="A8995" s="36" t="b">
        <v>0</v>
      </c>
      <c r="B8995" s="56" t="b">
        <v>0</v>
      </c>
      <c r="C8995" s="56" t="b">
        <v>0</v>
      </c>
      <c r="D8995" s="56" t="b">
        <v>0</v>
      </c>
      <c r="E8995" s="56">
        <f ca="1">IF(PV[[#This Row],[Business Date]]=Control!$C$6, PV[[#This Row],[Notional Value Local Cur]], -PV[[#This Row],[Notional Value Local Cur]])</f>
        <v>0</v>
      </c>
    </row>
    <row r="8996" spans="1:5" x14ac:dyDescent="0.25">
      <c r="A8996" s="36" t="b">
        <v>0</v>
      </c>
      <c r="B8996" s="56" t="b">
        <v>0</v>
      </c>
      <c r="C8996" s="56" t="b">
        <v>0</v>
      </c>
      <c r="D8996" s="56" t="b">
        <v>0</v>
      </c>
      <c r="E8996" s="56">
        <f ca="1">IF(PV[[#This Row],[Business Date]]=Control!$C$6, PV[[#This Row],[Notional Value Local Cur]], -PV[[#This Row],[Notional Value Local Cur]])</f>
        <v>0</v>
      </c>
    </row>
    <row r="8997" spans="1:5" x14ac:dyDescent="0.25">
      <c r="A8997" s="36" t="b">
        <v>0</v>
      </c>
      <c r="B8997" s="56" t="b">
        <v>0</v>
      </c>
      <c r="C8997" s="56" t="b">
        <v>0</v>
      </c>
      <c r="D8997" s="56" t="b">
        <v>0</v>
      </c>
      <c r="E8997" s="56">
        <f ca="1">IF(PV[[#This Row],[Business Date]]=Control!$C$6, PV[[#This Row],[Notional Value Local Cur]], -PV[[#This Row],[Notional Value Local Cur]])</f>
        <v>0</v>
      </c>
    </row>
    <row r="8998" spans="1:5" x14ac:dyDescent="0.25">
      <c r="A8998" s="36" t="b">
        <v>0</v>
      </c>
      <c r="B8998" s="56" t="b">
        <v>0</v>
      </c>
      <c r="C8998" s="56" t="b">
        <v>0</v>
      </c>
      <c r="D8998" s="56" t="b">
        <v>0</v>
      </c>
      <c r="E8998" s="56">
        <f ca="1">IF(PV[[#This Row],[Business Date]]=Control!$C$6, PV[[#This Row],[Notional Value Local Cur]], -PV[[#This Row],[Notional Value Local Cur]])</f>
        <v>0</v>
      </c>
    </row>
    <row r="8999" spans="1:5" x14ac:dyDescent="0.25">
      <c r="A8999" s="36" t="b">
        <v>0</v>
      </c>
      <c r="B8999" s="56" t="b">
        <v>0</v>
      </c>
      <c r="C8999" s="56" t="b">
        <v>0</v>
      </c>
      <c r="D8999" s="56" t="b">
        <v>0</v>
      </c>
      <c r="E8999" s="56">
        <f ca="1">IF(PV[[#This Row],[Business Date]]=Control!$C$6, PV[[#This Row],[Notional Value Local Cur]], -PV[[#This Row],[Notional Value Local Cur]])</f>
        <v>0</v>
      </c>
    </row>
    <row r="9000" spans="1:5" x14ac:dyDescent="0.25">
      <c r="A9000" s="36" t="b">
        <v>0</v>
      </c>
      <c r="B9000" s="56" t="b">
        <v>0</v>
      </c>
      <c r="C9000" s="56" t="b">
        <v>0</v>
      </c>
      <c r="D9000" s="56" t="b">
        <v>0</v>
      </c>
      <c r="E9000" s="56">
        <f ca="1">IF(PV[[#This Row],[Business Date]]=Control!$C$6, PV[[#This Row],[Notional Value Local Cur]], -PV[[#This Row],[Notional Value Local Cur]])</f>
        <v>0</v>
      </c>
    </row>
    <row r="9001" spans="1:5" x14ac:dyDescent="0.25">
      <c r="A9001" s="36" t="b">
        <v>0</v>
      </c>
      <c r="B9001" s="56" t="b">
        <v>0</v>
      </c>
      <c r="C9001" s="56" t="b">
        <v>0</v>
      </c>
      <c r="D9001" s="56" t="b">
        <v>0</v>
      </c>
      <c r="E9001" s="56">
        <f ca="1">IF(PV[[#This Row],[Business Date]]=Control!$C$6, PV[[#This Row],[Notional Value Local Cur]], -PV[[#This Row],[Notional Value Local Cur]])</f>
        <v>0</v>
      </c>
    </row>
    <row r="9002" spans="1:5" x14ac:dyDescent="0.25">
      <c r="A9002" s="36" t="b">
        <v>0</v>
      </c>
      <c r="B9002" s="56" t="b">
        <v>0</v>
      </c>
      <c r="C9002" s="56" t="b">
        <v>0</v>
      </c>
      <c r="D9002" s="56" t="b">
        <v>0</v>
      </c>
      <c r="E9002" s="56">
        <f ca="1">IF(PV[[#This Row],[Business Date]]=Control!$C$6, PV[[#This Row],[Notional Value Local Cur]], -PV[[#This Row],[Notional Value Local Cur]])</f>
        <v>0</v>
      </c>
    </row>
    <row r="9003" spans="1:5" x14ac:dyDescent="0.25">
      <c r="A9003" s="36" t="b">
        <v>0</v>
      </c>
      <c r="B9003" s="56" t="b">
        <v>0</v>
      </c>
      <c r="C9003" s="56" t="b">
        <v>0</v>
      </c>
      <c r="D9003" s="56" t="b">
        <v>0</v>
      </c>
      <c r="E9003" s="56">
        <f ca="1">IF(PV[[#This Row],[Business Date]]=Control!$C$6, PV[[#This Row],[Notional Value Local Cur]], -PV[[#This Row],[Notional Value Local Cur]])</f>
        <v>0</v>
      </c>
    </row>
    <row r="9004" spans="1:5" x14ac:dyDescent="0.25">
      <c r="A9004" s="36" t="b">
        <v>0</v>
      </c>
      <c r="B9004" s="56" t="b">
        <v>0</v>
      </c>
      <c r="C9004" s="56" t="b">
        <v>0</v>
      </c>
      <c r="D9004" s="56" t="b">
        <v>0</v>
      </c>
      <c r="E9004" s="56">
        <f ca="1">IF(PV[[#This Row],[Business Date]]=Control!$C$6, PV[[#This Row],[Notional Value Local Cur]], -PV[[#This Row],[Notional Value Local Cur]])</f>
        <v>0</v>
      </c>
    </row>
    <row r="9005" spans="1:5" x14ac:dyDescent="0.25">
      <c r="A9005" s="36" t="b">
        <v>0</v>
      </c>
      <c r="B9005" s="56" t="b">
        <v>0</v>
      </c>
      <c r="C9005" s="56" t="b">
        <v>0</v>
      </c>
      <c r="D9005" s="56" t="b">
        <v>0</v>
      </c>
      <c r="E9005" s="56">
        <f ca="1">IF(PV[[#This Row],[Business Date]]=Control!$C$6, PV[[#This Row],[Notional Value Local Cur]], -PV[[#This Row],[Notional Value Local Cur]])</f>
        <v>0</v>
      </c>
    </row>
    <row r="9006" spans="1:5" x14ac:dyDescent="0.25">
      <c r="A9006" s="36" t="b">
        <v>0</v>
      </c>
      <c r="B9006" s="56" t="b">
        <v>0</v>
      </c>
      <c r="C9006" s="56" t="b">
        <v>0</v>
      </c>
      <c r="D9006" s="56" t="b">
        <v>0</v>
      </c>
      <c r="E9006" s="56">
        <f ca="1">IF(PV[[#This Row],[Business Date]]=Control!$C$6, PV[[#This Row],[Notional Value Local Cur]], -PV[[#This Row],[Notional Value Local Cur]])</f>
        <v>0</v>
      </c>
    </row>
    <row r="9007" spans="1:5" x14ac:dyDescent="0.25">
      <c r="A9007" s="36" t="b">
        <v>0</v>
      </c>
      <c r="B9007" s="56" t="b">
        <v>0</v>
      </c>
      <c r="C9007" s="56" t="b">
        <v>0</v>
      </c>
      <c r="D9007" s="56" t="b">
        <v>0</v>
      </c>
      <c r="E9007" s="56">
        <f ca="1">IF(PV[[#This Row],[Business Date]]=Control!$C$6, PV[[#This Row],[Notional Value Local Cur]], -PV[[#This Row],[Notional Value Local Cur]])</f>
        <v>0</v>
      </c>
    </row>
    <row r="9008" spans="1:5" x14ac:dyDescent="0.25">
      <c r="A9008" s="36" t="b">
        <v>0</v>
      </c>
      <c r="B9008" s="56" t="b">
        <v>0</v>
      </c>
      <c r="C9008" s="56" t="b">
        <v>0</v>
      </c>
      <c r="D9008" s="56" t="b">
        <v>0</v>
      </c>
      <c r="E9008" s="56">
        <f ca="1">IF(PV[[#This Row],[Business Date]]=Control!$C$6, PV[[#This Row],[Notional Value Local Cur]], -PV[[#This Row],[Notional Value Local Cur]])</f>
        <v>0</v>
      </c>
    </row>
    <row r="9009" spans="1:5" x14ac:dyDescent="0.25">
      <c r="A9009" s="36" t="b">
        <v>0</v>
      </c>
      <c r="B9009" s="56" t="b">
        <v>0</v>
      </c>
      <c r="C9009" s="56" t="b">
        <v>0</v>
      </c>
      <c r="D9009" s="56" t="b">
        <v>0</v>
      </c>
      <c r="E9009" s="56">
        <f ca="1">IF(PV[[#This Row],[Business Date]]=Control!$C$6, PV[[#This Row],[Notional Value Local Cur]], -PV[[#This Row],[Notional Value Local Cur]])</f>
        <v>0</v>
      </c>
    </row>
    <row r="9010" spans="1:5" x14ac:dyDescent="0.25">
      <c r="A9010" s="36" t="b">
        <v>0</v>
      </c>
      <c r="B9010" s="56" t="b">
        <v>0</v>
      </c>
      <c r="C9010" s="56" t="b">
        <v>0</v>
      </c>
      <c r="D9010" s="56" t="b">
        <v>0</v>
      </c>
      <c r="E9010" s="56">
        <f ca="1">IF(PV[[#This Row],[Business Date]]=Control!$C$6, PV[[#This Row],[Notional Value Local Cur]], -PV[[#This Row],[Notional Value Local Cur]])</f>
        <v>0</v>
      </c>
    </row>
    <row r="9011" spans="1:5" x14ac:dyDescent="0.25">
      <c r="A9011" s="36" t="b">
        <v>0</v>
      </c>
      <c r="B9011" s="56" t="b">
        <v>0</v>
      </c>
      <c r="C9011" s="56" t="b">
        <v>0</v>
      </c>
      <c r="D9011" s="56" t="b">
        <v>0</v>
      </c>
      <c r="E9011" s="56">
        <f ca="1">IF(PV[[#This Row],[Business Date]]=Control!$C$6, PV[[#This Row],[Notional Value Local Cur]], -PV[[#This Row],[Notional Value Local Cur]])</f>
        <v>0</v>
      </c>
    </row>
    <row r="9012" spans="1:5" x14ac:dyDescent="0.25">
      <c r="A9012" s="36" t="b">
        <v>0</v>
      </c>
      <c r="B9012" s="56" t="b">
        <v>0</v>
      </c>
      <c r="C9012" s="56" t="b">
        <v>0</v>
      </c>
      <c r="D9012" s="56" t="b">
        <v>0</v>
      </c>
      <c r="E9012" s="56">
        <f ca="1">IF(PV[[#This Row],[Business Date]]=Control!$C$6, PV[[#This Row],[Notional Value Local Cur]], -PV[[#This Row],[Notional Value Local Cur]])</f>
        <v>0</v>
      </c>
    </row>
    <row r="9013" spans="1:5" x14ac:dyDescent="0.25">
      <c r="A9013" s="36" t="b">
        <v>0</v>
      </c>
      <c r="B9013" s="56" t="b">
        <v>0</v>
      </c>
      <c r="C9013" s="56" t="b">
        <v>0</v>
      </c>
      <c r="D9013" s="56" t="b">
        <v>0</v>
      </c>
      <c r="E9013" s="56">
        <f ca="1">IF(PV[[#This Row],[Business Date]]=Control!$C$6, PV[[#This Row],[Notional Value Local Cur]], -PV[[#This Row],[Notional Value Local Cur]])</f>
        <v>0</v>
      </c>
    </row>
    <row r="9014" spans="1:5" x14ac:dyDescent="0.25">
      <c r="A9014" s="36" t="b">
        <v>0</v>
      </c>
      <c r="B9014" s="56" t="b">
        <v>0</v>
      </c>
      <c r="C9014" s="56" t="b">
        <v>0</v>
      </c>
      <c r="D9014" s="56" t="b">
        <v>0</v>
      </c>
      <c r="E9014" s="56">
        <f ca="1">IF(PV[[#This Row],[Business Date]]=Control!$C$6, PV[[#This Row],[Notional Value Local Cur]], -PV[[#This Row],[Notional Value Local Cur]])</f>
        <v>0</v>
      </c>
    </row>
    <row r="9015" spans="1:5" x14ac:dyDescent="0.25">
      <c r="A9015" s="36" t="b">
        <v>0</v>
      </c>
      <c r="B9015" s="56" t="b">
        <v>0</v>
      </c>
      <c r="C9015" s="56" t="b">
        <v>0</v>
      </c>
      <c r="D9015" s="56" t="b">
        <v>0</v>
      </c>
      <c r="E9015" s="56">
        <f ca="1">IF(PV[[#This Row],[Business Date]]=Control!$C$6, PV[[#This Row],[Notional Value Local Cur]], -PV[[#This Row],[Notional Value Local Cur]])</f>
        <v>0</v>
      </c>
    </row>
    <row r="9016" spans="1:5" x14ac:dyDescent="0.25">
      <c r="A9016" s="36" t="b">
        <v>0</v>
      </c>
      <c r="B9016" s="56" t="b">
        <v>0</v>
      </c>
      <c r="C9016" s="56" t="b">
        <v>0</v>
      </c>
      <c r="D9016" s="56" t="b">
        <v>0</v>
      </c>
      <c r="E9016" s="56">
        <f ca="1">IF(PV[[#This Row],[Business Date]]=Control!$C$6, PV[[#This Row],[Notional Value Local Cur]], -PV[[#This Row],[Notional Value Local Cur]])</f>
        <v>0</v>
      </c>
    </row>
    <row r="9017" spans="1:5" x14ac:dyDescent="0.25">
      <c r="A9017" s="36" t="b">
        <v>0</v>
      </c>
      <c r="B9017" s="56" t="b">
        <v>0</v>
      </c>
      <c r="C9017" s="56" t="b">
        <v>0</v>
      </c>
      <c r="D9017" s="56" t="b">
        <v>0</v>
      </c>
      <c r="E9017" s="56">
        <f ca="1">IF(PV[[#This Row],[Business Date]]=Control!$C$6, PV[[#This Row],[Notional Value Local Cur]], -PV[[#This Row],[Notional Value Local Cur]])</f>
        <v>0</v>
      </c>
    </row>
    <row r="9018" spans="1:5" x14ac:dyDescent="0.25">
      <c r="A9018" s="36" t="b">
        <v>0</v>
      </c>
      <c r="B9018" s="56" t="b">
        <v>0</v>
      </c>
      <c r="C9018" s="56" t="b">
        <v>0</v>
      </c>
      <c r="D9018" s="56" t="b">
        <v>0</v>
      </c>
      <c r="E9018" s="56">
        <f ca="1">IF(PV[[#This Row],[Business Date]]=Control!$C$6, PV[[#This Row],[Notional Value Local Cur]], -PV[[#This Row],[Notional Value Local Cur]])</f>
        <v>0</v>
      </c>
    </row>
    <row r="9019" spans="1:5" x14ac:dyDescent="0.25">
      <c r="A9019" s="36" t="b">
        <v>0</v>
      </c>
      <c r="B9019" s="56" t="b">
        <v>0</v>
      </c>
      <c r="C9019" s="56" t="b">
        <v>0</v>
      </c>
      <c r="D9019" s="56" t="b">
        <v>0</v>
      </c>
      <c r="E9019" s="56">
        <f ca="1">IF(PV[[#This Row],[Business Date]]=Control!$C$6, PV[[#This Row],[Notional Value Local Cur]], -PV[[#This Row],[Notional Value Local Cur]])</f>
        <v>0</v>
      </c>
    </row>
    <row r="9020" spans="1:5" x14ac:dyDescent="0.25">
      <c r="A9020" s="36" t="b">
        <v>0</v>
      </c>
      <c r="B9020" s="56" t="b">
        <v>0</v>
      </c>
      <c r="C9020" s="56" t="b">
        <v>0</v>
      </c>
      <c r="D9020" s="56" t="b">
        <v>0</v>
      </c>
      <c r="E9020" s="56">
        <f ca="1">IF(PV[[#This Row],[Business Date]]=Control!$C$6, PV[[#This Row],[Notional Value Local Cur]], -PV[[#This Row],[Notional Value Local Cur]])</f>
        <v>0</v>
      </c>
    </row>
    <row r="9021" spans="1:5" x14ac:dyDescent="0.25">
      <c r="A9021" s="36" t="b">
        <v>0</v>
      </c>
      <c r="B9021" s="56" t="b">
        <v>0</v>
      </c>
      <c r="C9021" s="56" t="b">
        <v>0</v>
      </c>
      <c r="D9021" s="56" t="b">
        <v>0</v>
      </c>
      <c r="E9021" s="56">
        <f ca="1">IF(PV[[#This Row],[Business Date]]=Control!$C$6, PV[[#This Row],[Notional Value Local Cur]], -PV[[#This Row],[Notional Value Local Cur]])</f>
        <v>0</v>
      </c>
    </row>
    <row r="9022" spans="1:5" x14ac:dyDescent="0.25">
      <c r="A9022" s="36" t="b">
        <v>0</v>
      </c>
      <c r="B9022" s="56" t="b">
        <v>0</v>
      </c>
      <c r="C9022" s="56" t="b">
        <v>0</v>
      </c>
      <c r="D9022" s="56" t="b">
        <v>0</v>
      </c>
      <c r="E9022" s="56">
        <f ca="1">IF(PV[[#This Row],[Business Date]]=Control!$C$6, PV[[#This Row],[Notional Value Local Cur]], -PV[[#This Row],[Notional Value Local Cur]])</f>
        <v>0</v>
      </c>
    </row>
    <row r="9023" spans="1:5" x14ac:dyDescent="0.25">
      <c r="A9023" s="36" t="b">
        <v>0</v>
      </c>
      <c r="B9023" s="56" t="b">
        <v>0</v>
      </c>
      <c r="C9023" s="56" t="b">
        <v>0</v>
      </c>
      <c r="D9023" s="56" t="b">
        <v>0</v>
      </c>
      <c r="E9023" s="56">
        <f ca="1">IF(PV[[#This Row],[Business Date]]=Control!$C$6, PV[[#This Row],[Notional Value Local Cur]], -PV[[#This Row],[Notional Value Local Cur]])</f>
        <v>0</v>
      </c>
    </row>
    <row r="9024" spans="1:5" x14ac:dyDescent="0.25">
      <c r="A9024" s="36" t="b">
        <v>0</v>
      </c>
      <c r="B9024" s="56" t="b">
        <v>0</v>
      </c>
      <c r="C9024" s="56" t="b">
        <v>0</v>
      </c>
      <c r="D9024" s="56" t="b">
        <v>0</v>
      </c>
      <c r="E9024" s="56">
        <f ca="1">IF(PV[[#This Row],[Business Date]]=Control!$C$6, PV[[#This Row],[Notional Value Local Cur]], -PV[[#This Row],[Notional Value Local Cur]])</f>
        <v>0</v>
      </c>
    </row>
    <row r="9025" spans="1:5" x14ac:dyDescent="0.25">
      <c r="A9025" s="36" t="b">
        <v>0</v>
      </c>
      <c r="B9025" s="56" t="b">
        <v>0</v>
      </c>
      <c r="C9025" s="56" t="b">
        <v>0</v>
      </c>
      <c r="D9025" s="56" t="b">
        <v>0</v>
      </c>
      <c r="E9025" s="56">
        <f ca="1">IF(PV[[#This Row],[Business Date]]=Control!$C$6, PV[[#This Row],[Notional Value Local Cur]], -PV[[#This Row],[Notional Value Local Cur]])</f>
        <v>0</v>
      </c>
    </row>
    <row r="9026" spans="1:5" x14ac:dyDescent="0.25">
      <c r="A9026" s="36" t="b">
        <v>0</v>
      </c>
      <c r="B9026" s="56" t="b">
        <v>0</v>
      </c>
      <c r="C9026" s="56" t="b">
        <v>0</v>
      </c>
      <c r="D9026" s="56" t="b">
        <v>0</v>
      </c>
      <c r="E9026" s="56">
        <f ca="1">IF(PV[[#This Row],[Business Date]]=Control!$C$6, PV[[#This Row],[Notional Value Local Cur]], -PV[[#This Row],[Notional Value Local Cur]])</f>
        <v>0</v>
      </c>
    </row>
    <row r="9027" spans="1:5" x14ac:dyDescent="0.25">
      <c r="A9027" s="36" t="b">
        <v>0</v>
      </c>
      <c r="B9027" s="56" t="b">
        <v>0</v>
      </c>
      <c r="C9027" s="56" t="b">
        <v>0</v>
      </c>
      <c r="D9027" s="56" t="b">
        <v>0</v>
      </c>
      <c r="E9027" s="56">
        <f ca="1">IF(PV[[#This Row],[Business Date]]=Control!$C$6, PV[[#This Row],[Notional Value Local Cur]], -PV[[#This Row],[Notional Value Local Cur]])</f>
        <v>0</v>
      </c>
    </row>
    <row r="9028" spans="1:5" x14ac:dyDescent="0.25">
      <c r="A9028" s="36" t="b">
        <v>0</v>
      </c>
      <c r="B9028" s="56" t="b">
        <v>0</v>
      </c>
      <c r="C9028" s="56" t="b">
        <v>0</v>
      </c>
      <c r="D9028" s="56" t="b">
        <v>0</v>
      </c>
      <c r="E9028" s="56">
        <f ca="1">IF(PV[[#This Row],[Business Date]]=Control!$C$6, PV[[#This Row],[Notional Value Local Cur]], -PV[[#This Row],[Notional Value Local Cur]])</f>
        <v>0</v>
      </c>
    </row>
    <row r="9029" spans="1:5" x14ac:dyDescent="0.25">
      <c r="A9029" s="36" t="b">
        <v>0</v>
      </c>
      <c r="B9029" s="56" t="b">
        <v>0</v>
      </c>
      <c r="C9029" s="56" t="b">
        <v>0</v>
      </c>
      <c r="D9029" s="56" t="b">
        <v>0</v>
      </c>
      <c r="E9029" s="56">
        <f ca="1">IF(PV[[#This Row],[Business Date]]=Control!$C$6, PV[[#This Row],[Notional Value Local Cur]], -PV[[#This Row],[Notional Value Local Cur]])</f>
        <v>0</v>
      </c>
    </row>
    <row r="9030" spans="1:5" x14ac:dyDescent="0.25">
      <c r="A9030" s="36" t="b">
        <v>0</v>
      </c>
      <c r="B9030" s="56" t="b">
        <v>0</v>
      </c>
      <c r="C9030" s="56" t="b">
        <v>0</v>
      </c>
      <c r="D9030" s="56" t="b">
        <v>0</v>
      </c>
      <c r="E9030" s="56">
        <f ca="1">IF(PV[[#This Row],[Business Date]]=Control!$C$6, PV[[#This Row],[Notional Value Local Cur]], -PV[[#This Row],[Notional Value Local Cur]])</f>
        <v>0</v>
      </c>
    </row>
    <row r="9031" spans="1:5" x14ac:dyDescent="0.25">
      <c r="A9031" s="36" t="b">
        <v>0</v>
      </c>
      <c r="B9031" s="56" t="b">
        <v>0</v>
      </c>
      <c r="C9031" s="56" t="b">
        <v>0</v>
      </c>
      <c r="D9031" s="56" t="b">
        <v>0</v>
      </c>
      <c r="E9031" s="56">
        <f ca="1">IF(PV[[#This Row],[Business Date]]=Control!$C$6, PV[[#This Row],[Notional Value Local Cur]], -PV[[#This Row],[Notional Value Local Cur]])</f>
        <v>0</v>
      </c>
    </row>
    <row r="9032" spans="1:5" x14ac:dyDescent="0.25">
      <c r="A9032" s="36" t="b">
        <v>0</v>
      </c>
      <c r="B9032" s="56" t="b">
        <v>0</v>
      </c>
      <c r="C9032" s="56" t="b">
        <v>0</v>
      </c>
      <c r="D9032" s="56" t="b">
        <v>0</v>
      </c>
      <c r="E9032" s="56">
        <f ca="1">IF(PV[[#This Row],[Business Date]]=Control!$C$6, PV[[#This Row],[Notional Value Local Cur]], -PV[[#This Row],[Notional Value Local Cur]])</f>
        <v>0</v>
      </c>
    </row>
    <row r="9033" spans="1:5" x14ac:dyDescent="0.25">
      <c r="A9033" s="36" t="b">
        <v>0</v>
      </c>
      <c r="B9033" s="56" t="b">
        <v>0</v>
      </c>
      <c r="C9033" s="56" t="b">
        <v>0</v>
      </c>
      <c r="D9033" s="56" t="b">
        <v>0</v>
      </c>
      <c r="E9033" s="56">
        <f ca="1">IF(PV[[#This Row],[Business Date]]=Control!$C$6, PV[[#This Row],[Notional Value Local Cur]], -PV[[#This Row],[Notional Value Local Cur]])</f>
        <v>0</v>
      </c>
    </row>
    <row r="9034" spans="1:5" x14ac:dyDescent="0.25">
      <c r="A9034" s="36" t="b">
        <v>0</v>
      </c>
      <c r="B9034" s="56" t="b">
        <v>0</v>
      </c>
      <c r="C9034" s="56" t="b">
        <v>0</v>
      </c>
      <c r="D9034" s="56" t="b">
        <v>0</v>
      </c>
      <c r="E9034" s="56">
        <f ca="1">IF(PV[[#This Row],[Business Date]]=Control!$C$6, PV[[#This Row],[Notional Value Local Cur]], -PV[[#This Row],[Notional Value Local Cur]])</f>
        <v>0</v>
      </c>
    </row>
    <row r="9035" spans="1:5" x14ac:dyDescent="0.25">
      <c r="A9035" s="36" t="b">
        <v>0</v>
      </c>
      <c r="B9035" s="56" t="b">
        <v>0</v>
      </c>
      <c r="C9035" s="56" t="b">
        <v>0</v>
      </c>
      <c r="D9035" s="56" t="b">
        <v>0</v>
      </c>
      <c r="E9035" s="56">
        <f ca="1">IF(PV[[#This Row],[Business Date]]=Control!$C$6, PV[[#This Row],[Notional Value Local Cur]], -PV[[#This Row],[Notional Value Local Cur]])</f>
        <v>0</v>
      </c>
    </row>
    <row r="9036" spans="1:5" x14ac:dyDescent="0.25">
      <c r="A9036" s="36" t="b">
        <v>0</v>
      </c>
      <c r="B9036" s="56" t="b">
        <v>0</v>
      </c>
      <c r="C9036" s="56" t="b">
        <v>0</v>
      </c>
      <c r="D9036" s="56" t="b">
        <v>0</v>
      </c>
      <c r="E9036" s="56">
        <f ca="1">IF(PV[[#This Row],[Business Date]]=Control!$C$6, PV[[#This Row],[Notional Value Local Cur]], -PV[[#This Row],[Notional Value Local Cur]])</f>
        <v>0</v>
      </c>
    </row>
    <row r="9037" spans="1:5" x14ac:dyDescent="0.25">
      <c r="A9037" s="36" t="b">
        <v>0</v>
      </c>
      <c r="B9037" s="56" t="b">
        <v>0</v>
      </c>
      <c r="C9037" s="56" t="b">
        <v>0</v>
      </c>
      <c r="D9037" s="56" t="b">
        <v>0</v>
      </c>
      <c r="E9037" s="56">
        <f ca="1">IF(PV[[#This Row],[Business Date]]=Control!$C$6, PV[[#This Row],[Notional Value Local Cur]], -PV[[#This Row],[Notional Value Local Cur]])</f>
        <v>0</v>
      </c>
    </row>
    <row r="9038" spans="1:5" x14ac:dyDescent="0.25">
      <c r="A9038" s="36" t="b">
        <v>0</v>
      </c>
      <c r="B9038" s="56" t="b">
        <v>0</v>
      </c>
      <c r="C9038" s="56" t="b">
        <v>0</v>
      </c>
      <c r="D9038" s="56" t="b">
        <v>0</v>
      </c>
      <c r="E9038" s="56">
        <f ca="1">IF(PV[[#This Row],[Business Date]]=Control!$C$6, PV[[#This Row],[Notional Value Local Cur]], -PV[[#This Row],[Notional Value Local Cur]])</f>
        <v>0</v>
      </c>
    </row>
    <row r="9039" spans="1:5" x14ac:dyDescent="0.25">
      <c r="A9039" s="36" t="b">
        <v>0</v>
      </c>
      <c r="B9039" s="56" t="b">
        <v>0</v>
      </c>
      <c r="C9039" s="56" t="b">
        <v>0</v>
      </c>
      <c r="D9039" s="56" t="b">
        <v>0</v>
      </c>
      <c r="E9039" s="56">
        <f ca="1">IF(PV[[#This Row],[Business Date]]=Control!$C$6, PV[[#This Row],[Notional Value Local Cur]], -PV[[#This Row],[Notional Value Local Cur]])</f>
        <v>0</v>
      </c>
    </row>
    <row r="9040" spans="1:5" x14ac:dyDescent="0.25">
      <c r="A9040" s="36" t="b">
        <v>0</v>
      </c>
      <c r="B9040" s="56" t="b">
        <v>0</v>
      </c>
      <c r="C9040" s="56" t="b">
        <v>0</v>
      </c>
      <c r="D9040" s="56" t="b">
        <v>0</v>
      </c>
      <c r="E9040" s="56">
        <f ca="1">IF(PV[[#This Row],[Business Date]]=Control!$C$6, PV[[#This Row],[Notional Value Local Cur]], -PV[[#This Row],[Notional Value Local Cur]])</f>
        <v>0</v>
      </c>
    </row>
    <row r="9041" spans="1:5" x14ac:dyDescent="0.25">
      <c r="A9041" s="36" t="b">
        <v>0</v>
      </c>
      <c r="B9041" s="56" t="b">
        <v>0</v>
      </c>
      <c r="C9041" s="56" t="b">
        <v>0</v>
      </c>
      <c r="D9041" s="56" t="b">
        <v>0</v>
      </c>
      <c r="E9041" s="56">
        <f ca="1">IF(PV[[#This Row],[Business Date]]=Control!$C$6, PV[[#This Row],[Notional Value Local Cur]], -PV[[#This Row],[Notional Value Local Cur]])</f>
        <v>0</v>
      </c>
    </row>
    <row r="9042" spans="1:5" x14ac:dyDescent="0.25">
      <c r="A9042" s="36" t="b">
        <v>0</v>
      </c>
      <c r="B9042" s="56" t="b">
        <v>0</v>
      </c>
      <c r="C9042" s="56" t="b">
        <v>0</v>
      </c>
      <c r="D9042" s="56" t="b">
        <v>0</v>
      </c>
      <c r="E9042" s="56">
        <f ca="1">IF(PV[[#This Row],[Business Date]]=Control!$C$6, PV[[#This Row],[Notional Value Local Cur]], -PV[[#This Row],[Notional Value Local Cur]])</f>
        <v>0</v>
      </c>
    </row>
    <row r="9043" spans="1:5" x14ac:dyDescent="0.25">
      <c r="A9043" s="36" t="b">
        <v>0</v>
      </c>
      <c r="B9043" s="56" t="b">
        <v>0</v>
      </c>
      <c r="C9043" s="56" t="b">
        <v>0</v>
      </c>
      <c r="D9043" s="56" t="b">
        <v>0</v>
      </c>
      <c r="E9043" s="56">
        <f ca="1">IF(PV[[#This Row],[Business Date]]=Control!$C$6, PV[[#This Row],[Notional Value Local Cur]], -PV[[#This Row],[Notional Value Local Cur]])</f>
        <v>0</v>
      </c>
    </row>
    <row r="9044" spans="1:5" x14ac:dyDescent="0.25">
      <c r="A9044" s="36" t="b">
        <v>0</v>
      </c>
      <c r="B9044" s="56" t="b">
        <v>0</v>
      </c>
      <c r="C9044" s="56" t="b">
        <v>0</v>
      </c>
      <c r="D9044" s="56" t="b">
        <v>0</v>
      </c>
      <c r="E9044" s="56">
        <f ca="1">IF(PV[[#This Row],[Business Date]]=Control!$C$6, PV[[#This Row],[Notional Value Local Cur]], -PV[[#This Row],[Notional Value Local Cur]])</f>
        <v>0</v>
      </c>
    </row>
    <row r="9045" spans="1:5" x14ac:dyDescent="0.25">
      <c r="A9045" s="36" t="b">
        <v>0</v>
      </c>
      <c r="B9045" s="56" t="b">
        <v>0</v>
      </c>
      <c r="C9045" s="56" t="b">
        <v>0</v>
      </c>
      <c r="D9045" s="56" t="b">
        <v>0</v>
      </c>
      <c r="E9045" s="56">
        <f ca="1">IF(PV[[#This Row],[Business Date]]=Control!$C$6, PV[[#This Row],[Notional Value Local Cur]], -PV[[#This Row],[Notional Value Local Cur]])</f>
        <v>0</v>
      </c>
    </row>
    <row r="9046" spans="1:5" x14ac:dyDescent="0.25">
      <c r="A9046" s="36" t="b">
        <v>0</v>
      </c>
      <c r="B9046" s="56" t="b">
        <v>0</v>
      </c>
      <c r="C9046" s="56" t="b">
        <v>0</v>
      </c>
      <c r="D9046" s="56" t="b">
        <v>0</v>
      </c>
      <c r="E9046" s="56">
        <f ca="1">IF(PV[[#This Row],[Business Date]]=Control!$C$6, PV[[#This Row],[Notional Value Local Cur]], -PV[[#This Row],[Notional Value Local Cur]])</f>
        <v>0</v>
      </c>
    </row>
    <row r="9047" spans="1:5" x14ac:dyDescent="0.25">
      <c r="A9047" s="36" t="b">
        <v>0</v>
      </c>
      <c r="B9047" s="56" t="b">
        <v>0</v>
      </c>
      <c r="C9047" s="56" t="b">
        <v>0</v>
      </c>
      <c r="D9047" s="56" t="b">
        <v>0</v>
      </c>
      <c r="E9047" s="56">
        <f ca="1">IF(PV[[#This Row],[Business Date]]=Control!$C$6, PV[[#This Row],[Notional Value Local Cur]], -PV[[#This Row],[Notional Value Local Cur]])</f>
        <v>0</v>
      </c>
    </row>
    <row r="9048" spans="1:5" x14ac:dyDescent="0.25">
      <c r="A9048" s="36" t="b">
        <v>0</v>
      </c>
      <c r="B9048" s="56" t="b">
        <v>0</v>
      </c>
      <c r="C9048" s="56" t="b">
        <v>0</v>
      </c>
      <c r="D9048" s="56" t="b">
        <v>0</v>
      </c>
      <c r="E9048" s="56">
        <f ca="1">IF(PV[[#This Row],[Business Date]]=Control!$C$6, PV[[#This Row],[Notional Value Local Cur]], -PV[[#This Row],[Notional Value Local Cur]])</f>
        <v>0</v>
      </c>
    </row>
    <row r="9049" spans="1:5" x14ac:dyDescent="0.25">
      <c r="A9049" s="36" t="b">
        <v>0</v>
      </c>
      <c r="B9049" s="56" t="b">
        <v>0</v>
      </c>
      <c r="C9049" s="56" t="b">
        <v>0</v>
      </c>
      <c r="D9049" s="56" t="b">
        <v>0</v>
      </c>
      <c r="E9049" s="56">
        <f ca="1">IF(PV[[#This Row],[Business Date]]=Control!$C$6, PV[[#This Row],[Notional Value Local Cur]], -PV[[#This Row],[Notional Value Local Cur]])</f>
        <v>0</v>
      </c>
    </row>
    <row r="9050" spans="1:5" x14ac:dyDescent="0.25">
      <c r="A9050" s="36" t="b">
        <v>0</v>
      </c>
      <c r="B9050" s="56" t="b">
        <v>0</v>
      </c>
      <c r="C9050" s="56" t="b">
        <v>0</v>
      </c>
      <c r="D9050" s="56" t="b">
        <v>0</v>
      </c>
      <c r="E9050" s="56">
        <f ca="1">IF(PV[[#This Row],[Business Date]]=Control!$C$6, PV[[#This Row],[Notional Value Local Cur]], -PV[[#This Row],[Notional Value Local Cur]])</f>
        <v>0</v>
      </c>
    </row>
    <row r="9051" spans="1:5" x14ac:dyDescent="0.25">
      <c r="A9051" s="36" t="b">
        <v>0</v>
      </c>
      <c r="B9051" s="56" t="b">
        <v>0</v>
      </c>
      <c r="C9051" s="56" t="b">
        <v>0</v>
      </c>
      <c r="D9051" s="56" t="b">
        <v>0</v>
      </c>
      <c r="E9051" s="56">
        <f ca="1">IF(PV[[#This Row],[Business Date]]=Control!$C$6, PV[[#This Row],[Notional Value Local Cur]], -PV[[#This Row],[Notional Value Local Cur]])</f>
        <v>0</v>
      </c>
    </row>
    <row r="9052" spans="1:5" x14ac:dyDescent="0.25">
      <c r="A9052" s="36" t="b">
        <v>0</v>
      </c>
      <c r="B9052" s="56" t="b">
        <v>0</v>
      </c>
      <c r="C9052" s="56" t="b">
        <v>0</v>
      </c>
      <c r="D9052" s="56" t="b">
        <v>0</v>
      </c>
      <c r="E9052" s="56">
        <f ca="1">IF(PV[[#This Row],[Business Date]]=Control!$C$6, PV[[#This Row],[Notional Value Local Cur]], -PV[[#This Row],[Notional Value Local Cur]])</f>
        <v>0</v>
      </c>
    </row>
    <row r="9053" spans="1:5" x14ac:dyDescent="0.25">
      <c r="A9053" s="36" t="b">
        <v>0</v>
      </c>
      <c r="B9053" s="56" t="b">
        <v>0</v>
      </c>
      <c r="C9053" s="56" t="b">
        <v>0</v>
      </c>
      <c r="D9053" s="56" t="b">
        <v>0</v>
      </c>
      <c r="E9053" s="56">
        <f ca="1">IF(PV[[#This Row],[Business Date]]=Control!$C$6, PV[[#This Row],[Notional Value Local Cur]], -PV[[#This Row],[Notional Value Local Cur]])</f>
        <v>0</v>
      </c>
    </row>
    <row r="9054" spans="1:5" x14ac:dyDescent="0.25">
      <c r="A9054" s="36" t="b">
        <v>0</v>
      </c>
      <c r="B9054" s="56" t="b">
        <v>0</v>
      </c>
      <c r="C9054" s="56" t="b">
        <v>0</v>
      </c>
      <c r="D9054" s="56" t="b">
        <v>0</v>
      </c>
      <c r="E9054" s="56">
        <f ca="1">IF(PV[[#This Row],[Business Date]]=Control!$C$6, PV[[#This Row],[Notional Value Local Cur]], -PV[[#This Row],[Notional Value Local Cur]])</f>
        <v>0</v>
      </c>
    </row>
    <row r="9055" spans="1:5" x14ac:dyDescent="0.25">
      <c r="A9055" s="36" t="b">
        <v>0</v>
      </c>
      <c r="B9055" s="56" t="b">
        <v>0</v>
      </c>
      <c r="C9055" s="56" t="b">
        <v>0</v>
      </c>
      <c r="D9055" s="56" t="b">
        <v>0</v>
      </c>
      <c r="E9055" s="56">
        <f ca="1">IF(PV[[#This Row],[Business Date]]=Control!$C$6, PV[[#This Row],[Notional Value Local Cur]], -PV[[#This Row],[Notional Value Local Cur]])</f>
        <v>0</v>
      </c>
    </row>
    <row r="9056" spans="1:5" x14ac:dyDescent="0.25">
      <c r="A9056" s="36" t="b">
        <v>0</v>
      </c>
      <c r="B9056" s="56" t="b">
        <v>0</v>
      </c>
      <c r="C9056" s="56" t="b">
        <v>0</v>
      </c>
      <c r="D9056" s="56" t="b">
        <v>0</v>
      </c>
      <c r="E9056" s="56">
        <f ca="1">IF(PV[[#This Row],[Business Date]]=Control!$C$6, PV[[#This Row],[Notional Value Local Cur]], -PV[[#This Row],[Notional Value Local Cur]])</f>
        <v>0</v>
      </c>
    </row>
    <row r="9057" spans="1:5" x14ac:dyDescent="0.25">
      <c r="A9057" s="36" t="b">
        <v>0</v>
      </c>
      <c r="B9057" s="56" t="b">
        <v>0</v>
      </c>
      <c r="C9057" s="56" t="b">
        <v>0</v>
      </c>
      <c r="D9057" s="56" t="b">
        <v>0</v>
      </c>
      <c r="E9057" s="56">
        <f ca="1">IF(PV[[#This Row],[Business Date]]=Control!$C$6, PV[[#This Row],[Notional Value Local Cur]], -PV[[#This Row],[Notional Value Local Cur]])</f>
        <v>0</v>
      </c>
    </row>
    <row r="9058" spans="1:5" x14ac:dyDescent="0.25">
      <c r="A9058" s="36" t="b">
        <v>0</v>
      </c>
      <c r="B9058" s="56" t="b">
        <v>0</v>
      </c>
      <c r="C9058" s="56" t="b">
        <v>0</v>
      </c>
      <c r="D9058" s="56" t="b">
        <v>0</v>
      </c>
      <c r="E9058" s="56">
        <f ca="1">IF(PV[[#This Row],[Business Date]]=Control!$C$6, PV[[#This Row],[Notional Value Local Cur]], -PV[[#This Row],[Notional Value Local Cur]])</f>
        <v>0</v>
      </c>
    </row>
    <row r="9059" spans="1:5" x14ac:dyDescent="0.25">
      <c r="A9059" s="36" t="b">
        <v>0</v>
      </c>
      <c r="B9059" s="56" t="b">
        <v>0</v>
      </c>
      <c r="C9059" s="56" t="b">
        <v>0</v>
      </c>
      <c r="D9059" s="56" t="b">
        <v>0</v>
      </c>
      <c r="E9059" s="56">
        <f ca="1">IF(PV[[#This Row],[Business Date]]=Control!$C$6, PV[[#This Row],[Notional Value Local Cur]], -PV[[#This Row],[Notional Value Local Cur]])</f>
        <v>0</v>
      </c>
    </row>
    <row r="9060" spans="1:5" x14ac:dyDescent="0.25">
      <c r="A9060" s="36" t="b">
        <v>0</v>
      </c>
      <c r="B9060" s="56" t="b">
        <v>0</v>
      </c>
      <c r="C9060" s="56" t="b">
        <v>0</v>
      </c>
      <c r="D9060" s="56" t="b">
        <v>0</v>
      </c>
      <c r="E9060" s="56">
        <f ca="1">IF(PV[[#This Row],[Business Date]]=Control!$C$6, PV[[#This Row],[Notional Value Local Cur]], -PV[[#This Row],[Notional Value Local Cur]])</f>
        <v>0</v>
      </c>
    </row>
    <row r="9061" spans="1:5" x14ac:dyDescent="0.25">
      <c r="A9061" s="36" t="b">
        <v>0</v>
      </c>
      <c r="B9061" s="56" t="b">
        <v>0</v>
      </c>
      <c r="C9061" s="56" t="b">
        <v>0</v>
      </c>
      <c r="D9061" s="56" t="b">
        <v>0</v>
      </c>
      <c r="E9061" s="56">
        <f ca="1">IF(PV[[#This Row],[Business Date]]=Control!$C$6, PV[[#This Row],[Notional Value Local Cur]], -PV[[#This Row],[Notional Value Local Cur]])</f>
        <v>0</v>
      </c>
    </row>
    <row r="9062" spans="1:5" x14ac:dyDescent="0.25">
      <c r="A9062" s="36" t="b">
        <v>0</v>
      </c>
      <c r="B9062" s="56" t="b">
        <v>0</v>
      </c>
      <c r="C9062" s="56" t="b">
        <v>0</v>
      </c>
      <c r="D9062" s="56" t="b">
        <v>0</v>
      </c>
      <c r="E9062" s="56">
        <f ca="1">IF(PV[[#This Row],[Business Date]]=Control!$C$6, PV[[#This Row],[Notional Value Local Cur]], -PV[[#This Row],[Notional Value Local Cur]])</f>
        <v>0</v>
      </c>
    </row>
    <row r="9063" spans="1:5" x14ac:dyDescent="0.25">
      <c r="A9063" s="36" t="b">
        <v>0</v>
      </c>
      <c r="B9063" s="56" t="b">
        <v>0</v>
      </c>
      <c r="C9063" s="56" t="b">
        <v>0</v>
      </c>
      <c r="D9063" s="56" t="b">
        <v>0</v>
      </c>
      <c r="E9063" s="56">
        <f ca="1">IF(PV[[#This Row],[Business Date]]=Control!$C$6, PV[[#This Row],[Notional Value Local Cur]], -PV[[#This Row],[Notional Value Local Cur]])</f>
        <v>0</v>
      </c>
    </row>
    <row r="9064" spans="1:5" x14ac:dyDescent="0.25">
      <c r="A9064" s="36" t="b">
        <v>0</v>
      </c>
      <c r="B9064" s="56" t="b">
        <v>0</v>
      </c>
      <c r="C9064" s="56" t="b">
        <v>0</v>
      </c>
      <c r="D9064" s="56" t="b">
        <v>0</v>
      </c>
      <c r="E9064" s="56">
        <f ca="1">IF(PV[[#This Row],[Business Date]]=Control!$C$6, PV[[#This Row],[Notional Value Local Cur]], -PV[[#This Row],[Notional Value Local Cur]])</f>
        <v>0</v>
      </c>
    </row>
    <row r="9065" spans="1:5" x14ac:dyDescent="0.25">
      <c r="A9065" s="36" t="b">
        <v>0</v>
      </c>
      <c r="B9065" s="56" t="b">
        <v>0</v>
      </c>
      <c r="C9065" s="56" t="b">
        <v>0</v>
      </c>
      <c r="D9065" s="56" t="b">
        <v>0</v>
      </c>
      <c r="E9065" s="56">
        <f ca="1">IF(PV[[#This Row],[Business Date]]=Control!$C$6, PV[[#This Row],[Notional Value Local Cur]], -PV[[#This Row],[Notional Value Local Cur]])</f>
        <v>0</v>
      </c>
    </row>
    <row r="9066" spans="1:5" x14ac:dyDescent="0.25">
      <c r="A9066" s="36" t="b">
        <v>0</v>
      </c>
      <c r="B9066" s="56" t="b">
        <v>0</v>
      </c>
      <c r="C9066" s="56" t="b">
        <v>0</v>
      </c>
      <c r="D9066" s="56" t="b">
        <v>0</v>
      </c>
      <c r="E9066" s="56">
        <f ca="1">IF(PV[[#This Row],[Business Date]]=Control!$C$6, PV[[#This Row],[Notional Value Local Cur]], -PV[[#This Row],[Notional Value Local Cur]])</f>
        <v>0</v>
      </c>
    </row>
    <row r="9067" spans="1:5" x14ac:dyDescent="0.25">
      <c r="A9067" s="36" t="b">
        <v>0</v>
      </c>
      <c r="B9067" s="56" t="b">
        <v>0</v>
      </c>
      <c r="C9067" s="56" t="b">
        <v>0</v>
      </c>
      <c r="D9067" s="56" t="b">
        <v>0</v>
      </c>
      <c r="E9067" s="56">
        <f ca="1">IF(PV[[#This Row],[Business Date]]=Control!$C$6, PV[[#This Row],[Notional Value Local Cur]], -PV[[#This Row],[Notional Value Local Cur]])</f>
        <v>0</v>
      </c>
    </row>
    <row r="9068" spans="1:5" x14ac:dyDescent="0.25">
      <c r="A9068" s="36" t="b">
        <v>0</v>
      </c>
      <c r="B9068" s="56" t="b">
        <v>0</v>
      </c>
      <c r="C9068" s="56" t="b">
        <v>0</v>
      </c>
      <c r="D9068" s="56" t="b">
        <v>0</v>
      </c>
      <c r="E9068" s="56">
        <f ca="1">IF(PV[[#This Row],[Business Date]]=Control!$C$6, PV[[#This Row],[Notional Value Local Cur]], -PV[[#This Row],[Notional Value Local Cur]])</f>
        <v>0</v>
      </c>
    </row>
    <row r="9069" spans="1:5" x14ac:dyDescent="0.25">
      <c r="A9069" s="36" t="b">
        <v>0</v>
      </c>
      <c r="B9069" s="56" t="b">
        <v>0</v>
      </c>
      <c r="C9069" s="56" t="b">
        <v>0</v>
      </c>
      <c r="D9069" s="56" t="b">
        <v>0</v>
      </c>
      <c r="E9069" s="56">
        <f ca="1">IF(PV[[#This Row],[Business Date]]=Control!$C$6, PV[[#This Row],[Notional Value Local Cur]], -PV[[#This Row],[Notional Value Local Cur]])</f>
        <v>0</v>
      </c>
    </row>
    <row r="9070" spans="1:5" x14ac:dyDescent="0.25">
      <c r="A9070" s="36" t="b">
        <v>0</v>
      </c>
      <c r="B9070" s="56" t="b">
        <v>0</v>
      </c>
      <c r="C9070" s="56" t="b">
        <v>0</v>
      </c>
      <c r="D9070" s="56" t="b">
        <v>0</v>
      </c>
      <c r="E9070" s="56">
        <f ca="1">IF(PV[[#This Row],[Business Date]]=Control!$C$6, PV[[#This Row],[Notional Value Local Cur]], -PV[[#This Row],[Notional Value Local Cur]])</f>
        <v>0</v>
      </c>
    </row>
    <row r="9071" spans="1:5" x14ac:dyDescent="0.25">
      <c r="A9071" s="36" t="b">
        <v>0</v>
      </c>
      <c r="B9071" s="56" t="b">
        <v>0</v>
      </c>
      <c r="C9071" s="56" t="b">
        <v>0</v>
      </c>
      <c r="D9071" s="56" t="b">
        <v>0</v>
      </c>
      <c r="E9071" s="56">
        <f ca="1">IF(PV[[#This Row],[Business Date]]=Control!$C$6, PV[[#This Row],[Notional Value Local Cur]], -PV[[#This Row],[Notional Value Local Cur]])</f>
        <v>0</v>
      </c>
    </row>
    <row r="9072" spans="1:5" x14ac:dyDescent="0.25">
      <c r="A9072" s="36" t="b">
        <v>0</v>
      </c>
      <c r="B9072" s="56" t="b">
        <v>0</v>
      </c>
      <c r="C9072" s="56" t="b">
        <v>0</v>
      </c>
      <c r="D9072" s="56" t="b">
        <v>0</v>
      </c>
      <c r="E9072" s="56">
        <f ca="1">IF(PV[[#This Row],[Business Date]]=Control!$C$6, PV[[#This Row],[Notional Value Local Cur]], -PV[[#This Row],[Notional Value Local Cur]])</f>
        <v>0</v>
      </c>
    </row>
    <row r="9073" spans="1:5" x14ac:dyDescent="0.25">
      <c r="A9073" s="36" t="b">
        <v>0</v>
      </c>
      <c r="B9073" s="56" t="b">
        <v>0</v>
      </c>
      <c r="C9073" s="56" t="b">
        <v>0</v>
      </c>
      <c r="D9073" s="56" t="b">
        <v>0</v>
      </c>
      <c r="E9073" s="56">
        <f ca="1">IF(PV[[#This Row],[Business Date]]=Control!$C$6, PV[[#This Row],[Notional Value Local Cur]], -PV[[#This Row],[Notional Value Local Cur]])</f>
        <v>0</v>
      </c>
    </row>
    <row r="9074" spans="1:5" x14ac:dyDescent="0.25">
      <c r="A9074" s="36" t="b">
        <v>0</v>
      </c>
      <c r="B9074" s="56" t="b">
        <v>0</v>
      </c>
      <c r="C9074" s="56" t="b">
        <v>0</v>
      </c>
      <c r="D9074" s="56" t="b">
        <v>0</v>
      </c>
      <c r="E9074" s="56">
        <f ca="1">IF(PV[[#This Row],[Business Date]]=Control!$C$6, PV[[#This Row],[Notional Value Local Cur]], -PV[[#This Row],[Notional Value Local Cur]])</f>
        <v>0</v>
      </c>
    </row>
    <row r="9075" spans="1:5" x14ac:dyDescent="0.25">
      <c r="A9075" s="36" t="b">
        <v>0</v>
      </c>
      <c r="B9075" s="56" t="b">
        <v>0</v>
      </c>
      <c r="C9075" s="56" t="b">
        <v>0</v>
      </c>
      <c r="D9075" s="56" t="b">
        <v>0</v>
      </c>
      <c r="E9075" s="56">
        <f ca="1">IF(PV[[#This Row],[Business Date]]=Control!$C$6, PV[[#This Row],[Notional Value Local Cur]], -PV[[#This Row],[Notional Value Local Cur]])</f>
        <v>0</v>
      </c>
    </row>
    <row r="9076" spans="1:5" x14ac:dyDescent="0.25">
      <c r="A9076" s="36" t="b">
        <v>0</v>
      </c>
      <c r="B9076" s="56" t="b">
        <v>0</v>
      </c>
      <c r="C9076" s="56" t="b">
        <v>0</v>
      </c>
      <c r="D9076" s="56" t="b">
        <v>0</v>
      </c>
      <c r="E9076" s="56">
        <f ca="1">IF(PV[[#This Row],[Business Date]]=Control!$C$6, PV[[#This Row],[Notional Value Local Cur]], -PV[[#This Row],[Notional Value Local Cur]])</f>
        <v>0</v>
      </c>
    </row>
    <row r="9077" spans="1:5" x14ac:dyDescent="0.25">
      <c r="A9077" s="36" t="b">
        <v>0</v>
      </c>
      <c r="B9077" s="56" t="b">
        <v>0</v>
      </c>
      <c r="C9077" s="56" t="b">
        <v>0</v>
      </c>
      <c r="D9077" s="56" t="b">
        <v>0</v>
      </c>
      <c r="E9077" s="56">
        <f ca="1">IF(PV[[#This Row],[Business Date]]=Control!$C$6, PV[[#This Row],[Notional Value Local Cur]], -PV[[#This Row],[Notional Value Local Cur]])</f>
        <v>0</v>
      </c>
    </row>
    <row r="9078" spans="1:5" x14ac:dyDescent="0.25">
      <c r="A9078" s="36" t="b">
        <v>0</v>
      </c>
      <c r="B9078" s="56" t="b">
        <v>0</v>
      </c>
      <c r="C9078" s="56" t="b">
        <v>0</v>
      </c>
      <c r="D9078" s="56" t="b">
        <v>0</v>
      </c>
      <c r="E9078" s="56">
        <f ca="1">IF(PV[[#This Row],[Business Date]]=Control!$C$6, PV[[#This Row],[Notional Value Local Cur]], -PV[[#This Row],[Notional Value Local Cur]])</f>
        <v>0</v>
      </c>
    </row>
    <row r="9079" spans="1:5" x14ac:dyDescent="0.25">
      <c r="A9079" s="36" t="b">
        <v>0</v>
      </c>
      <c r="B9079" s="56" t="b">
        <v>0</v>
      </c>
      <c r="C9079" s="56" t="b">
        <v>0</v>
      </c>
      <c r="D9079" s="56" t="b">
        <v>0</v>
      </c>
      <c r="E9079" s="56">
        <f ca="1">IF(PV[[#This Row],[Business Date]]=Control!$C$6, PV[[#This Row],[Notional Value Local Cur]], -PV[[#This Row],[Notional Value Local Cur]])</f>
        <v>0</v>
      </c>
    </row>
    <row r="9080" spans="1:5" x14ac:dyDescent="0.25">
      <c r="A9080" s="36" t="b">
        <v>0</v>
      </c>
      <c r="B9080" s="56" t="b">
        <v>0</v>
      </c>
      <c r="C9080" s="56" t="b">
        <v>0</v>
      </c>
      <c r="D9080" s="56" t="b">
        <v>0</v>
      </c>
      <c r="E9080" s="56">
        <f ca="1">IF(PV[[#This Row],[Business Date]]=Control!$C$6, PV[[#This Row],[Notional Value Local Cur]], -PV[[#This Row],[Notional Value Local Cur]])</f>
        <v>0</v>
      </c>
    </row>
    <row r="9081" spans="1:5" x14ac:dyDescent="0.25">
      <c r="A9081" s="36" t="b">
        <v>0</v>
      </c>
      <c r="B9081" s="56" t="b">
        <v>0</v>
      </c>
      <c r="C9081" s="56" t="b">
        <v>0</v>
      </c>
      <c r="D9081" s="56" t="b">
        <v>0</v>
      </c>
      <c r="E9081" s="56">
        <f ca="1">IF(PV[[#This Row],[Business Date]]=Control!$C$6, PV[[#This Row],[Notional Value Local Cur]], -PV[[#This Row],[Notional Value Local Cur]])</f>
        <v>0</v>
      </c>
    </row>
    <row r="9082" spans="1:5" x14ac:dyDescent="0.25">
      <c r="A9082" s="36" t="b">
        <v>0</v>
      </c>
      <c r="B9082" s="56" t="b">
        <v>0</v>
      </c>
      <c r="C9082" s="56" t="b">
        <v>0</v>
      </c>
      <c r="D9082" s="56" t="b">
        <v>0</v>
      </c>
      <c r="E9082" s="56">
        <f ca="1">IF(PV[[#This Row],[Business Date]]=Control!$C$6, PV[[#This Row],[Notional Value Local Cur]], -PV[[#This Row],[Notional Value Local Cur]])</f>
        <v>0</v>
      </c>
    </row>
    <row r="9083" spans="1:5" x14ac:dyDescent="0.25">
      <c r="A9083" s="36" t="b">
        <v>0</v>
      </c>
      <c r="B9083" s="56" t="b">
        <v>0</v>
      </c>
      <c r="C9083" s="56" t="b">
        <v>0</v>
      </c>
      <c r="D9083" s="56" t="b">
        <v>0</v>
      </c>
      <c r="E9083" s="56">
        <f ca="1">IF(PV[[#This Row],[Business Date]]=Control!$C$6, PV[[#This Row],[Notional Value Local Cur]], -PV[[#This Row],[Notional Value Local Cur]])</f>
        <v>0</v>
      </c>
    </row>
    <row r="9084" spans="1:5" x14ac:dyDescent="0.25">
      <c r="A9084" s="36" t="b">
        <v>0</v>
      </c>
      <c r="B9084" s="56" t="b">
        <v>0</v>
      </c>
      <c r="C9084" s="56" t="b">
        <v>0</v>
      </c>
      <c r="D9084" s="56" t="b">
        <v>0</v>
      </c>
      <c r="E9084" s="56">
        <f ca="1">IF(PV[[#This Row],[Business Date]]=Control!$C$6, PV[[#This Row],[Notional Value Local Cur]], -PV[[#This Row],[Notional Value Local Cur]])</f>
        <v>0</v>
      </c>
    </row>
    <row r="9085" spans="1:5" x14ac:dyDescent="0.25">
      <c r="A9085" s="36" t="b">
        <v>0</v>
      </c>
      <c r="B9085" s="56" t="b">
        <v>0</v>
      </c>
      <c r="C9085" s="56" t="b">
        <v>0</v>
      </c>
      <c r="D9085" s="56" t="b">
        <v>0</v>
      </c>
      <c r="E9085" s="56">
        <f ca="1">IF(PV[[#This Row],[Business Date]]=Control!$C$6, PV[[#This Row],[Notional Value Local Cur]], -PV[[#This Row],[Notional Value Local Cur]])</f>
        <v>0</v>
      </c>
    </row>
    <row r="9086" spans="1:5" x14ac:dyDescent="0.25">
      <c r="A9086" s="36" t="b">
        <v>0</v>
      </c>
      <c r="B9086" s="56" t="b">
        <v>0</v>
      </c>
      <c r="C9086" s="56" t="b">
        <v>0</v>
      </c>
      <c r="D9086" s="56" t="b">
        <v>0</v>
      </c>
      <c r="E9086" s="56">
        <f ca="1">IF(PV[[#This Row],[Business Date]]=Control!$C$6, PV[[#This Row],[Notional Value Local Cur]], -PV[[#This Row],[Notional Value Local Cur]])</f>
        <v>0</v>
      </c>
    </row>
    <row r="9087" spans="1:5" x14ac:dyDescent="0.25">
      <c r="A9087" s="36" t="b">
        <v>0</v>
      </c>
      <c r="B9087" s="56" t="b">
        <v>0</v>
      </c>
      <c r="C9087" s="56" t="b">
        <v>0</v>
      </c>
      <c r="D9087" s="56" t="b">
        <v>0</v>
      </c>
      <c r="E9087" s="56">
        <f ca="1">IF(PV[[#This Row],[Business Date]]=Control!$C$6, PV[[#This Row],[Notional Value Local Cur]], -PV[[#This Row],[Notional Value Local Cur]])</f>
        <v>0</v>
      </c>
    </row>
    <row r="9088" spans="1:5" x14ac:dyDescent="0.25">
      <c r="A9088" s="36" t="b">
        <v>0</v>
      </c>
      <c r="B9088" s="56" t="b">
        <v>0</v>
      </c>
      <c r="C9088" s="56" t="b">
        <v>0</v>
      </c>
      <c r="D9088" s="56" t="b">
        <v>0</v>
      </c>
      <c r="E9088" s="56">
        <f ca="1">IF(PV[[#This Row],[Business Date]]=Control!$C$6, PV[[#This Row],[Notional Value Local Cur]], -PV[[#This Row],[Notional Value Local Cur]])</f>
        <v>0</v>
      </c>
    </row>
    <row r="9089" spans="1:5" x14ac:dyDescent="0.25">
      <c r="A9089" s="36" t="b">
        <v>0</v>
      </c>
      <c r="B9089" s="56" t="b">
        <v>0</v>
      </c>
      <c r="C9089" s="56" t="b">
        <v>0</v>
      </c>
      <c r="D9089" s="56" t="b">
        <v>0</v>
      </c>
      <c r="E9089" s="56">
        <f ca="1">IF(PV[[#This Row],[Business Date]]=Control!$C$6, PV[[#This Row],[Notional Value Local Cur]], -PV[[#This Row],[Notional Value Local Cur]])</f>
        <v>0</v>
      </c>
    </row>
    <row r="9090" spans="1:5" x14ac:dyDescent="0.25">
      <c r="A9090" s="36" t="b">
        <v>0</v>
      </c>
      <c r="B9090" s="56" t="b">
        <v>0</v>
      </c>
      <c r="C9090" s="56" t="b">
        <v>0</v>
      </c>
      <c r="D9090" s="56" t="b">
        <v>0</v>
      </c>
      <c r="E9090" s="56">
        <f ca="1">IF(PV[[#This Row],[Business Date]]=Control!$C$6, PV[[#This Row],[Notional Value Local Cur]], -PV[[#This Row],[Notional Value Local Cur]])</f>
        <v>0</v>
      </c>
    </row>
    <row r="9091" spans="1:5" x14ac:dyDescent="0.25">
      <c r="A9091" s="36" t="b">
        <v>0</v>
      </c>
      <c r="B9091" s="56" t="b">
        <v>0</v>
      </c>
      <c r="C9091" s="56" t="b">
        <v>0</v>
      </c>
      <c r="D9091" s="56" t="b">
        <v>0</v>
      </c>
      <c r="E9091" s="56">
        <f ca="1">IF(PV[[#This Row],[Business Date]]=Control!$C$6, PV[[#This Row],[Notional Value Local Cur]], -PV[[#This Row],[Notional Value Local Cur]])</f>
        <v>0</v>
      </c>
    </row>
    <row r="9092" spans="1:5" x14ac:dyDescent="0.25">
      <c r="A9092" s="36" t="b">
        <v>0</v>
      </c>
      <c r="B9092" s="56" t="b">
        <v>0</v>
      </c>
      <c r="C9092" s="56" t="b">
        <v>0</v>
      </c>
      <c r="D9092" s="56" t="b">
        <v>0</v>
      </c>
      <c r="E9092" s="56">
        <f ca="1">IF(PV[[#This Row],[Business Date]]=Control!$C$6, PV[[#This Row],[Notional Value Local Cur]], -PV[[#This Row],[Notional Value Local Cur]])</f>
        <v>0</v>
      </c>
    </row>
    <row r="9093" spans="1:5" x14ac:dyDescent="0.25">
      <c r="A9093" s="36" t="b">
        <v>0</v>
      </c>
      <c r="B9093" s="56" t="b">
        <v>0</v>
      </c>
      <c r="C9093" s="56" t="b">
        <v>0</v>
      </c>
      <c r="D9093" s="56" t="b">
        <v>0</v>
      </c>
      <c r="E9093" s="56">
        <f ca="1">IF(PV[[#This Row],[Business Date]]=Control!$C$6, PV[[#This Row],[Notional Value Local Cur]], -PV[[#This Row],[Notional Value Local Cur]])</f>
        <v>0</v>
      </c>
    </row>
    <row r="9094" spans="1:5" x14ac:dyDescent="0.25">
      <c r="A9094" s="36" t="b">
        <v>0</v>
      </c>
      <c r="B9094" s="56" t="b">
        <v>0</v>
      </c>
      <c r="C9094" s="56" t="b">
        <v>0</v>
      </c>
      <c r="D9094" s="56" t="b">
        <v>0</v>
      </c>
      <c r="E9094" s="56">
        <f ca="1">IF(PV[[#This Row],[Business Date]]=Control!$C$6, PV[[#This Row],[Notional Value Local Cur]], -PV[[#This Row],[Notional Value Local Cur]])</f>
        <v>0</v>
      </c>
    </row>
    <row r="9095" spans="1:5" x14ac:dyDescent="0.25">
      <c r="A9095" s="36" t="b">
        <v>0</v>
      </c>
      <c r="B9095" s="56" t="b">
        <v>0</v>
      </c>
      <c r="C9095" s="56" t="b">
        <v>0</v>
      </c>
      <c r="D9095" s="56" t="b">
        <v>0</v>
      </c>
      <c r="E9095" s="56">
        <f ca="1">IF(PV[[#This Row],[Business Date]]=Control!$C$6, PV[[#This Row],[Notional Value Local Cur]], -PV[[#This Row],[Notional Value Local Cur]])</f>
        <v>0</v>
      </c>
    </row>
    <row r="9096" spans="1:5" x14ac:dyDescent="0.25">
      <c r="A9096" s="36" t="b">
        <v>0</v>
      </c>
      <c r="B9096" s="56" t="b">
        <v>0</v>
      </c>
      <c r="C9096" s="56" t="b">
        <v>0</v>
      </c>
      <c r="D9096" s="56" t="b">
        <v>0</v>
      </c>
      <c r="E9096" s="56">
        <f ca="1">IF(PV[[#This Row],[Business Date]]=Control!$C$6, PV[[#This Row],[Notional Value Local Cur]], -PV[[#This Row],[Notional Value Local Cur]])</f>
        <v>0</v>
      </c>
    </row>
    <row r="9097" spans="1:5" x14ac:dyDescent="0.25">
      <c r="A9097" s="36" t="b">
        <v>0</v>
      </c>
      <c r="B9097" s="56" t="b">
        <v>0</v>
      </c>
      <c r="C9097" s="56" t="b">
        <v>0</v>
      </c>
      <c r="D9097" s="56" t="b">
        <v>0</v>
      </c>
      <c r="E9097" s="56">
        <f ca="1">IF(PV[[#This Row],[Business Date]]=Control!$C$6, PV[[#This Row],[Notional Value Local Cur]], -PV[[#This Row],[Notional Value Local Cur]])</f>
        <v>0</v>
      </c>
    </row>
    <row r="9098" spans="1:5" x14ac:dyDescent="0.25">
      <c r="A9098" s="36" t="b">
        <v>0</v>
      </c>
      <c r="B9098" s="56" t="b">
        <v>0</v>
      </c>
      <c r="C9098" s="56" t="b">
        <v>0</v>
      </c>
      <c r="D9098" s="56" t="b">
        <v>0</v>
      </c>
      <c r="E9098" s="56">
        <f ca="1">IF(PV[[#This Row],[Business Date]]=Control!$C$6, PV[[#This Row],[Notional Value Local Cur]], -PV[[#This Row],[Notional Value Local Cur]])</f>
        <v>0</v>
      </c>
    </row>
    <row r="9099" spans="1:5" x14ac:dyDescent="0.25">
      <c r="A9099" s="36" t="b">
        <v>0</v>
      </c>
      <c r="B9099" s="56" t="b">
        <v>0</v>
      </c>
      <c r="C9099" s="56" t="b">
        <v>0</v>
      </c>
      <c r="D9099" s="56" t="b">
        <v>0</v>
      </c>
      <c r="E9099" s="56">
        <f ca="1">IF(PV[[#This Row],[Business Date]]=Control!$C$6, PV[[#This Row],[Notional Value Local Cur]], -PV[[#This Row],[Notional Value Local Cur]])</f>
        <v>0</v>
      </c>
    </row>
    <row r="9100" spans="1:5" x14ac:dyDescent="0.25">
      <c r="A9100" s="36" t="b">
        <v>0</v>
      </c>
      <c r="B9100" s="56" t="b">
        <v>0</v>
      </c>
      <c r="C9100" s="56" t="b">
        <v>0</v>
      </c>
      <c r="D9100" s="56" t="b">
        <v>0</v>
      </c>
      <c r="E9100" s="56">
        <f ca="1">IF(PV[[#This Row],[Business Date]]=Control!$C$6, PV[[#This Row],[Notional Value Local Cur]], -PV[[#This Row],[Notional Value Local Cur]])</f>
        <v>0</v>
      </c>
    </row>
    <row r="9101" spans="1:5" x14ac:dyDescent="0.25">
      <c r="A9101" s="36" t="b">
        <v>0</v>
      </c>
      <c r="B9101" s="56" t="b">
        <v>0</v>
      </c>
      <c r="C9101" s="56" t="b">
        <v>0</v>
      </c>
      <c r="D9101" s="56" t="b">
        <v>0</v>
      </c>
      <c r="E9101" s="56">
        <f ca="1">IF(PV[[#This Row],[Business Date]]=Control!$C$6, PV[[#This Row],[Notional Value Local Cur]], -PV[[#This Row],[Notional Value Local Cur]])</f>
        <v>0</v>
      </c>
    </row>
    <row r="9102" spans="1:5" x14ac:dyDescent="0.25">
      <c r="A9102" s="36" t="b">
        <v>0</v>
      </c>
      <c r="B9102" s="56" t="b">
        <v>0</v>
      </c>
      <c r="C9102" s="56" t="b">
        <v>0</v>
      </c>
      <c r="D9102" s="56" t="b">
        <v>0</v>
      </c>
      <c r="E9102" s="56">
        <f ca="1">IF(PV[[#This Row],[Business Date]]=Control!$C$6, PV[[#This Row],[Notional Value Local Cur]], -PV[[#This Row],[Notional Value Local Cur]])</f>
        <v>0</v>
      </c>
    </row>
    <row r="9103" spans="1:5" x14ac:dyDescent="0.25">
      <c r="A9103" s="36" t="b">
        <v>0</v>
      </c>
      <c r="B9103" s="56" t="b">
        <v>0</v>
      </c>
      <c r="C9103" s="56" t="b">
        <v>0</v>
      </c>
      <c r="D9103" s="56" t="b">
        <v>0</v>
      </c>
      <c r="E9103" s="56">
        <f ca="1">IF(PV[[#This Row],[Business Date]]=Control!$C$6, PV[[#This Row],[Notional Value Local Cur]], -PV[[#This Row],[Notional Value Local Cur]])</f>
        <v>0</v>
      </c>
    </row>
    <row r="9104" spans="1:5" x14ac:dyDescent="0.25">
      <c r="A9104" s="36" t="b">
        <v>0</v>
      </c>
      <c r="B9104" s="56" t="b">
        <v>0</v>
      </c>
      <c r="C9104" s="56" t="b">
        <v>0</v>
      </c>
      <c r="D9104" s="56" t="b">
        <v>0</v>
      </c>
      <c r="E9104" s="56">
        <f ca="1">IF(PV[[#This Row],[Business Date]]=Control!$C$6, PV[[#This Row],[Notional Value Local Cur]], -PV[[#This Row],[Notional Value Local Cur]])</f>
        <v>0</v>
      </c>
    </row>
    <row r="9105" spans="1:5" x14ac:dyDescent="0.25">
      <c r="A9105" s="36" t="b">
        <v>0</v>
      </c>
      <c r="B9105" s="56" t="b">
        <v>0</v>
      </c>
      <c r="C9105" s="56" t="b">
        <v>0</v>
      </c>
      <c r="D9105" s="56" t="b">
        <v>0</v>
      </c>
      <c r="E9105" s="56">
        <f ca="1">IF(PV[[#This Row],[Business Date]]=Control!$C$6, PV[[#This Row],[Notional Value Local Cur]], -PV[[#This Row],[Notional Value Local Cur]])</f>
        <v>0</v>
      </c>
    </row>
    <row r="9106" spans="1:5" x14ac:dyDescent="0.25">
      <c r="A9106" s="36" t="b">
        <v>0</v>
      </c>
      <c r="B9106" s="56" t="b">
        <v>0</v>
      </c>
      <c r="C9106" s="56" t="b">
        <v>0</v>
      </c>
      <c r="D9106" s="56" t="b">
        <v>0</v>
      </c>
      <c r="E9106" s="56">
        <f ca="1">IF(PV[[#This Row],[Business Date]]=Control!$C$6, PV[[#This Row],[Notional Value Local Cur]], -PV[[#This Row],[Notional Value Local Cur]])</f>
        <v>0</v>
      </c>
    </row>
    <row r="9107" spans="1:5" x14ac:dyDescent="0.25">
      <c r="A9107" s="36" t="b">
        <v>0</v>
      </c>
      <c r="B9107" s="56" t="b">
        <v>0</v>
      </c>
      <c r="C9107" s="56" t="b">
        <v>0</v>
      </c>
      <c r="D9107" s="56" t="b">
        <v>0</v>
      </c>
      <c r="E9107" s="56">
        <f ca="1">IF(PV[[#This Row],[Business Date]]=Control!$C$6, PV[[#This Row],[Notional Value Local Cur]], -PV[[#This Row],[Notional Value Local Cur]])</f>
        <v>0</v>
      </c>
    </row>
    <row r="9108" spans="1:5" x14ac:dyDescent="0.25">
      <c r="A9108" s="36" t="b">
        <v>0</v>
      </c>
      <c r="B9108" s="56" t="b">
        <v>0</v>
      </c>
      <c r="C9108" s="56" t="b">
        <v>0</v>
      </c>
      <c r="D9108" s="56" t="b">
        <v>0</v>
      </c>
      <c r="E9108" s="56">
        <f ca="1">IF(PV[[#This Row],[Business Date]]=Control!$C$6, PV[[#This Row],[Notional Value Local Cur]], -PV[[#This Row],[Notional Value Local Cur]])</f>
        <v>0</v>
      </c>
    </row>
    <row r="9109" spans="1:5" x14ac:dyDescent="0.25">
      <c r="A9109" s="36" t="b">
        <v>0</v>
      </c>
      <c r="B9109" s="56" t="b">
        <v>0</v>
      </c>
      <c r="C9109" s="56" t="b">
        <v>0</v>
      </c>
      <c r="D9109" s="56" t="b">
        <v>0</v>
      </c>
      <c r="E9109" s="56">
        <f ca="1">IF(PV[[#This Row],[Business Date]]=Control!$C$6, PV[[#This Row],[Notional Value Local Cur]], -PV[[#This Row],[Notional Value Local Cur]])</f>
        <v>0</v>
      </c>
    </row>
    <row r="9110" spans="1:5" x14ac:dyDescent="0.25">
      <c r="A9110" s="36" t="b">
        <v>0</v>
      </c>
      <c r="B9110" s="56" t="b">
        <v>0</v>
      </c>
      <c r="C9110" s="56" t="b">
        <v>0</v>
      </c>
      <c r="D9110" s="56" t="b">
        <v>0</v>
      </c>
      <c r="E9110" s="56">
        <f ca="1">IF(PV[[#This Row],[Business Date]]=Control!$C$6, PV[[#This Row],[Notional Value Local Cur]], -PV[[#This Row],[Notional Value Local Cur]])</f>
        <v>0</v>
      </c>
    </row>
    <row r="9111" spans="1:5" x14ac:dyDescent="0.25">
      <c r="A9111" s="36" t="b">
        <v>0</v>
      </c>
      <c r="B9111" s="56" t="b">
        <v>0</v>
      </c>
      <c r="C9111" s="56" t="b">
        <v>0</v>
      </c>
      <c r="D9111" s="56" t="b">
        <v>0</v>
      </c>
      <c r="E9111" s="56">
        <f ca="1">IF(PV[[#This Row],[Business Date]]=Control!$C$6, PV[[#This Row],[Notional Value Local Cur]], -PV[[#This Row],[Notional Value Local Cur]])</f>
        <v>0</v>
      </c>
    </row>
    <row r="9112" spans="1:5" x14ac:dyDescent="0.25">
      <c r="A9112" s="36" t="b">
        <v>0</v>
      </c>
      <c r="B9112" s="56" t="b">
        <v>0</v>
      </c>
      <c r="C9112" s="56" t="b">
        <v>0</v>
      </c>
      <c r="D9112" s="56" t="b">
        <v>0</v>
      </c>
      <c r="E9112" s="56">
        <f ca="1">IF(PV[[#This Row],[Business Date]]=Control!$C$6, PV[[#This Row],[Notional Value Local Cur]], -PV[[#This Row],[Notional Value Local Cur]])</f>
        <v>0</v>
      </c>
    </row>
    <row r="9113" spans="1:5" x14ac:dyDescent="0.25">
      <c r="A9113" s="36" t="b">
        <v>0</v>
      </c>
      <c r="B9113" s="56" t="b">
        <v>0</v>
      </c>
      <c r="C9113" s="56" t="b">
        <v>0</v>
      </c>
      <c r="D9113" s="56" t="b">
        <v>0</v>
      </c>
      <c r="E9113" s="56">
        <f ca="1">IF(PV[[#This Row],[Business Date]]=Control!$C$6, PV[[#This Row],[Notional Value Local Cur]], -PV[[#This Row],[Notional Value Local Cur]])</f>
        <v>0</v>
      </c>
    </row>
    <row r="9114" spans="1:5" x14ac:dyDescent="0.25">
      <c r="A9114" s="36" t="b">
        <v>0</v>
      </c>
      <c r="B9114" s="56" t="b">
        <v>0</v>
      </c>
      <c r="C9114" s="56" t="b">
        <v>0</v>
      </c>
      <c r="D9114" s="56" t="b">
        <v>0</v>
      </c>
      <c r="E9114" s="56">
        <f ca="1">IF(PV[[#This Row],[Business Date]]=Control!$C$6, PV[[#This Row],[Notional Value Local Cur]], -PV[[#This Row],[Notional Value Local Cur]])</f>
        <v>0</v>
      </c>
    </row>
    <row r="9115" spans="1:5" x14ac:dyDescent="0.25">
      <c r="A9115" s="36" t="b">
        <v>0</v>
      </c>
      <c r="B9115" s="56" t="b">
        <v>0</v>
      </c>
      <c r="C9115" s="56" t="b">
        <v>0</v>
      </c>
      <c r="D9115" s="56" t="b">
        <v>0</v>
      </c>
      <c r="E9115" s="56">
        <f ca="1">IF(PV[[#This Row],[Business Date]]=Control!$C$6, PV[[#This Row],[Notional Value Local Cur]], -PV[[#This Row],[Notional Value Local Cur]])</f>
        <v>0</v>
      </c>
    </row>
    <row r="9116" spans="1:5" x14ac:dyDescent="0.25">
      <c r="A9116" s="36" t="b">
        <v>0</v>
      </c>
      <c r="B9116" s="56" t="b">
        <v>0</v>
      </c>
      <c r="C9116" s="56" t="b">
        <v>0</v>
      </c>
      <c r="D9116" s="56" t="b">
        <v>0</v>
      </c>
      <c r="E9116" s="56">
        <f ca="1">IF(PV[[#This Row],[Business Date]]=Control!$C$6, PV[[#This Row],[Notional Value Local Cur]], -PV[[#This Row],[Notional Value Local Cur]])</f>
        <v>0</v>
      </c>
    </row>
    <row r="9117" spans="1:5" x14ac:dyDescent="0.25">
      <c r="A9117" s="36" t="b">
        <v>0</v>
      </c>
      <c r="B9117" s="56" t="b">
        <v>0</v>
      </c>
      <c r="C9117" s="56" t="b">
        <v>0</v>
      </c>
      <c r="D9117" s="56" t="b">
        <v>0</v>
      </c>
      <c r="E9117" s="56">
        <f ca="1">IF(PV[[#This Row],[Business Date]]=Control!$C$6, PV[[#This Row],[Notional Value Local Cur]], -PV[[#This Row],[Notional Value Local Cur]])</f>
        <v>0</v>
      </c>
    </row>
    <row r="9118" spans="1:5" x14ac:dyDescent="0.25">
      <c r="A9118" s="36" t="b">
        <v>0</v>
      </c>
      <c r="B9118" s="56" t="b">
        <v>0</v>
      </c>
      <c r="C9118" s="56" t="b">
        <v>0</v>
      </c>
      <c r="D9118" s="56" t="b">
        <v>0</v>
      </c>
      <c r="E9118" s="56">
        <f ca="1">IF(PV[[#This Row],[Business Date]]=Control!$C$6, PV[[#This Row],[Notional Value Local Cur]], -PV[[#This Row],[Notional Value Local Cur]])</f>
        <v>0</v>
      </c>
    </row>
    <row r="9119" spans="1:5" x14ac:dyDescent="0.25">
      <c r="A9119" s="36" t="b">
        <v>0</v>
      </c>
      <c r="B9119" s="56" t="b">
        <v>0</v>
      </c>
      <c r="C9119" s="56" t="b">
        <v>0</v>
      </c>
      <c r="D9119" s="56" t="b">
        <v>0</v>
      </c>
      <c r="E9119" s="56">
        <f ca="1">IF(PV[[#This Row],[Business Date]]=Control!$C$6, PV[[#This Row],[Notional Value Local Cur]], -PV[[#This Row],[Notional Value Local Cur]])</f>
        <v>0</v>
      </c>
    </row>
    <row r="9120" spans="1:5" x14ac:dyDescent="0.25">
      <c r="A9120" s="36" t="b">
        <v>0</v>
      </c>
      <c r="B9120" s="56" t="b">
        <v>0</v>
      </c>
      <c r="C9120" s="56" t="b">
        <v>0</v>
      </c>
      <c r="D9120" s="56" t="b">
        <v>0</v>
      </c>
      <c r="E9120" s="56">
        <f ca="1">IF(PV[[#This Row],[Business Date]]=Control!$C$6, PV[[#This Row],[Notional Value Local Cur]], -PV[[#This Row],[Notional Value Local Cur]])</f>
        <v>0</v>
      </c>
    </row>
    <row r="9121" spans="1:5" x14ac:dyDescent="0.25">
      <c r="A9121" s="36" t="b">
        <v>0</v>
      </c>
      <c r="B9121" s="56" t="b">
        <v>0</v>
      </c>
      <c r="C9121" s="56" t="b">
        <v>0</v>
      </c>
      <c r="D9121" s="56" t="b">
        <v>0</v>
      </c>
      <c r="E9121" s="56">
        <f ca="1">IF(PV[[#This Row],[Business Date]]=Control!$C$6, PV[[#This Row],[Notional Value Local Cur]], -PV[[#This Row],[Notional Value Local Cur]])</f>
        <v>0</v>
      </c>
    </row>
    <row r="9122" spans="1:5" x14ac:dyDescent="0.25">
      <c r="A9122" s="36" t="b">
        <v>0</v>
      </c>
      <c r="B9122" s="56" t="b">
        <v>0</v>
      </c>
      <c r="C9122" s="56" t="b">
        <v>0</v>
      </c>
      <c r="D9122" s="56" t="b">
        <v>0</v>
      </c>
      <c r="E9122" s="56">
        <f ca="1">IF(PV[[#This Row],[Business Date]]=Control!$C$6, PV[[#This Row],[Notional Value Local Cur]], -PV[[#This Row],[Notional Value Local Cur]])</f>
        <v>0</v>
      </c>
    </row>
    <row r="9123" spans="1:5" x14ac:dyDescent="0.25">
      <c r="A9123" s="36" t="b">
        <v>0</v>
      </c>
      <c r="B9123" s="56" t="b">
        <v>0</v>
      </c>
      <c r="C9123" s="56" t="b">
        <v>0</v>
      </c>
      <c r="D9123" s="56" t="b">
        <v>0</v>
      </c>
      <c r="E9123" s="56">
        <f ca="1">IF(PV[[#This Row],[Business Date]]=Control!$C$6, PV[[#This Row],[Notional Value Local Cur]], -PV[[#This Row],[Notional Value Local Cur]])</f>
        <v>0</v>
      </c>
    </row>
    <row r="9124" spans="1:5" x14ac:dyDescent="0.25">
      <c r="A9124" s="36" t="b">
        <v>0</v>
      </c>
      <c r="B9124" s="56" t="b">
        <v>0</v>
      </c>
      <c r="C9124" s="56" t="b">
        <v>0</v>
      </c>
      <c r="D9124" s="56" t="b">
        <v>0</v>
      </c>
      <c r="E9124" s="56">
        <f ca="1">IF(PV[[#This Row],[Business Date]]=Control!$C$6, PV[[#This Row],[Notional Value Local Cur]], -PV[[#This Row],[Notional Value Local Cur]])</f>
        <v>0</v>
      </c>
    </row>
    <row r="9125" spans="1:5" x14ac:dyDescent="0.25">
      <c r="A9125" s="36" t="b">
        <v>0</v>
      </c>
      <c r="B9125" s="56" t="b">
        <v>0</v>
      </c>
      <c r="C9125" s="56" t="b">
        <v>0</v>
      </c>
      <c r="D9125" s="56" t="b">
        <v>0</v>
      </c>
      <c r="E9125" s="56">
        <f ca="1">IF(PV[[#This Row],[Business Date]]=Control!$C$6, PV[[#This Row],[Notional Value Local Cur]], -PV[[#This Row],[Notional Value Local Cur]])</f>
        <v>0</v>
      </c>
    </row>
    <row r="9126" spans="1:5" x14ac:dyDescent="0.25">
      <c r="A9126" s="36" t="b">
        <v>0</v>
      </c>
      <c r="B9126" s="56" t="b">
        <v>0</v>
      </c>
      <c r="C9126" s="56" t="b">
        <v>0</v>
      </c>
      <c r="D9126" s="56" t="b">
        <v>0</v>
      </c>
      <c r="E9126" s="56">
        <f ca="1">IF(PV[[#This Row],[Business Date]]=Control!$C$6, PV[[#This Row],[Notional Value Local Cur]], -PV[[#This Row],[Notional Value Local Cur]])</f>
        <v>0</v>
      </c>
    </row>
    <row r="9127" spans="1:5" x14ac:dyDescent="0.25">
      <c r="A9127" s="36" t="b">
        <v>0</v>
      </c>
      <c r="B9127" s="56" t="b">
        <v>0</v>
      </c>
      <c r="C9127" s="56" t="b">
        <v>0</v>
      </c>
      <c r="D9127" s="56" t="b">
        <v>0</v>
      </c>
      <c r="E9127" s="56">
        <f ca="1">IF(PV[[#This Row],[Business Date]]=Control!$C$6, PV[[#This Row],[Notional Value Local Cur]], -PV[[#This Row],[Notional Value Local Cur]])</f>
        <v>0</v>
      </c>
    </row>
    <row r="9128" spans="1:5" x14ac:dyDescent="0.25">
      <c r="A9128" s="36" t="b">
        <v>0</v>
      </c>
      <c r="B9128" s="56" t="b">
        <v>0</v>
      </c>
      <c r="C9128" s="56" t="b">
        <v>0</v>
      </c>
      <c r="D9128" s="56" t="b">
        <v>0</v>
      </c>
      <c r="E9128" s="56">
        <f ca="1">IF(PV[[#This Row],[Business Date]]=Control!$C$6, PV[[#This Row],[Notional Value Local Cur]], -PV[[#This Row],[Notional Value Local Cur]])</f>
        <v>0</v>
      </c>
    </row>
    <row r="9129" spans="1:5" x14ac:dyDescent="0.25">
      <c r="A9129" s="36" t="b">
        <v>0</v>
      </c>
      <c r="B9129" s="56" t="b">
        <v>0</v>
      </c>
      <c r="C9129" s="56" t="b">
        <v>0</v>
      </c>
      <c r="D9129" s="56" t="b">
        <v>0</v>
      </c>
      <c r="E9129" s="56">
        <f ca="1">IF(PV[[#This Row],[Business Date]]=Control!$C$6, PV[[#This Row],[Notional Value Local Cur]], -PV[[#This Row],[Notional Value Local Cur]])</f>
        <v>0</v>
      </c>
    </row>
    <row r="9130" spans="1:5" x14ac:dyDescent="0.25">
      <c r="A9130" s="36" t="b">
        <v>0</v>
      </c>
      <c r="B9130" s="56" t="b">
        <v>0</v>
      </c>
      <c r="C9130" s="56" t="b">
        <v>0</v>
      </c>
      <c r="D9130" s="56" t="b">
        <v>0</v>
      </c>
      <c r="E9130" s="56">
        <f ca="1">IF(PV[[#This Row],[Business Date]]=Control!$C$6, PV[[#This Row],[Notional Value Local Cur]], -PV[[#This Row],[Notional Value Local Cur]])</f>
        <v>0</v>
      </c>
    </row>
    <row r="9131" spans="1:5" x14ac:dyDescent="0.25">
      <c r="A9131" s="36" t="b">
        <v>0</v>
      </c>
      <c r="B9131" s="56" t="b">
        <v>0</v>
      </c>
      <c r="C9131" s="56" t="b">
        <v>0</v>
      </c>
      <c r="D9131" s="56" t="b">
        <v>0</v>
      </c>
      <c r="E9131" s="56">
        <f ca="1">IF(PV[[#This Row],[Business Date]]=Control!$C$6, PV[[#This Row],[Notional Value Local Cur]], -PV[[#This Row],[Notional Value Local Cur]])</f>
        <v>0</v>
      </c>
    </row>
    <row r="9132" spans="1:5" x14ac:dyDescent="0.25">
      <c r="A9132" s="36" t="b">
        <v>0</v>
      </c>
      <c r="B9132" s="56" t="b">
        <v>0</v>
      </c>
      <c r="C9132" s="56" t="b">
        <v>0</v>
      </c>
      <c r="D9132" s="56" t="b">
        <v>0</v>
      </c>
      <c r="E9132" s="56">
        <f ca="1">IF(PV[[#This Row],[Business Date]]=Control!$C$6, PV[[#This Row],[Notional Value Local Cur]], -PV[[#This Row],[Notional Value Local Cur]])</f>
        <v>0</v>
      </c>
    </row>
    <row r="9133" spans="1:5" x14ac:dyDescent="0.25">
      <c r="A9133" s="36" t="b">
        <v>0</v>
      </c>
      <c r="B9133" s="56" t="b">
        <v>0</v>
      </c>
      <c r="C9133" s="56" t="b">
        <v>0</v>
      </c>
      <c r="D9133" s="56" t="b">
        <v>0</v>
      </c>
      <c r="E9133" s="56">
        <f ca="1">IF(PV[[#This Row],[Business Date]]=Control!$C$6, PV[[#This Row],[Notional Value Local Cur]], -PV[[#This Row],[Notional Value Local Cur]])</f>
        <v>0</v>
      </c>
    </row>
    <row r="9134" spans="1:5" x14ac:dyDescent="0.25">
      <c r="A9134" s="36" t="b">
        <v>0</v>
      </c>
      <c r="B9134" s="56" t="b">
        <v>0</v>
      </c>
      <c r="C9134" s="56" t="b">
        <v>0</v>
      </c>
      <c r="D9134" s="56" t="b">
        <v>0</v>
      </c>
      <c r="E9134" s="56">
        <f ca="1">IF(PV[[#This Row],[Business Date]]=Control!$C$6, PV[[#This Row],[Notional Value Local Cur]], -PV[[#This Row],[Notional Value Local Cur]])</f>
        <v>0</v>
      </c>
    </row>
    <row r="9135" spans="1:5" x14ac:dyDescent="0.25">
      <c r="A9135" s="36" t="b">
        <v>0</v>
      </c>
      <c r="B9135" s="56" t="b">
        <v>0</v>
      </c>
      <c r="C9135" s="56" t="b">
        <v>0</v>
      </c>
      <c r="D9135" s="56" t="b">
        <v>0</v>
      </c>
      <c r="E9135" s="56">
        <f ca="1">IF(PV[[#This Row],[Business Date]]=Control!$C$6, PV[[#This Row],[Notional Value Local Cur]], -PV[[#This Row],[Notional Value Local Cur]])</f>
        <v>0</v>
      </c>
    </row>
    <row r="9136" spans="1:5" x14ac:dyDescent="0.25">
      <c r="A9136" s="36" t="b">
        <v>0</v>
      </c>
      <c r="B9136" s="56" t="b">
        <v>0</v>
      </c>
      <c r="C9136" s="56" t="b">
        <v>0</v>
      </c>
      <c r="D9136" s="56" t="b">
        <v>0</v>
      </c>
      <c r="E9136" s="56">
        <f ca="1">IF(PV[[#This Row],[Business Date]]=Control!$C$6, PV[[#This Row],[Notional Value Local Cur]], -PV[[#This Row],[Notional Value Local Cur]])</f>
        <v>0</v>
      </c>
    </row>
    <row r="9137" spans="1:5" x14ac:dyDescent="0.25">
      <c r="A9137" s="36" t="b">
        <v>0</v>
      </c>
      <c r="B9137" s="56" t="b">
        <v>0</v>
      </c>
      <c r="C9137" s="56" t="b">
        <v>0</v>
      </c>
      <c r="D9137" s="56" t="b">
        <v>0</v>
      </c>
      <c r="E9137" s="56">
        <f ca="1">IF(PV[[#This Row],[Business Date]]=Control!$C$6, PV[[#This Row],[Notional Value Local Cur]], -PV[[#This Row],[Notional Value Local Cur]])</f>
        <v>0</v>
      </c>
    </row>
    <row r="9138" spans="1:5" x14ac:dyDescent="0.25">
      <c r="A9138" s="36" t="b">
        <v>0</v>
      </c>
      <c r="B9138" s="56" t="b">
        <v>0</v>
      </c>
      <c r="C9138" s="56" t="b">
        <v>0</v>
      </c>
      <c r="D9138" s="56" t="b">
        <v>0</v>
      </c>
      <c r="E9138" s="56">
        <f ca="1">IF(PV[[#This Row],[Business Date]]=Control!$C$6, PV[[#This Row],[Notional Value Local Cur]], -PV[[#This Row],[Notional Value Local Cur]])</f>
        <v>0</v>
      </c>
    </row>
    <row r="9139" spans="1:5" x14ac:dyDescent="0.25">
      <c r="A9139" s="36" t="b">
        <v>0</v>
      </c>
      <c r="B9139" s="56" t="b">
        <v>0</v>
      </c>
      <c r="C9139" s="56" t="b">
        <v>0</v>
      </c>
      <c r="D9139" s="56" t="b">
        <v>0</v>
      </c>
      <c r="E9139" s="56">
        <f ca="1">IF(PV[[#This Row],[Business Date]]=Control!$C$6, PV[[#This Row],[Notional Value Local Cur]], -PV[[#This Row],[Notional Value Local Cur]])</f>
        <v>0</v>
      </c>
    </row>
    <row r="9140" spans="1:5" x14ac:dyDescent="0.25">
      <c r="A9140" s="36" t="b">
        <v>0</v>
      </c>
      <c r="B9140" s="56" t="b">
        <v>0</v>
      </c>
      <c r="C9140" s="56" t="b">
        <v>0</v>
      </c>
      <c r="D9140" s="56" t="b">
        <v>0</v>
      </c>
      <c r="E9140" s="56">
        <f ca="1">IF(PV[[#This Row],[Business Date]]=Control!$C$6, PV[[#This Row],[Notional Value Local Cur]], -PV[[#This Row],[Notional Value Local Cur]])</f>
        <v>0</v>
      </c>
    </row>
    <row r="9141" spans="1:5" x14ac:dyDescent="0.25">
      <c r="A9141" s="36" t="b">
        <v>0</v>
      </c>
      <c r="B9141" s="56" t="b">
        <v>0</v>
      </c>
      <c r="C9141" s="56" t="b">
        <v>0</v>
      </c>
      <c r="D9141" s="56" t="b">
        <v>0</v>
      </c>
      <c r="E9141" s="56">
        <f ca="1">IF(PV[[#This Row],[Business Date]]=Control!$C$6, PV[[#This Row],[Notional Value Local Cur]], -PV[[#This Row],[Notional Value Local Cur]])</f>
        <v>0</v>
      </c>
    </row>
    <row r="9142" spans="1:5" x14ac:dyDescent="0.25">
      <c r="A9142" s="36" t="b">
        <v>0</v>
      </c>
      <c r="B9142" s="56" t="b">
        <v>0</v>
      </c>
      <c r="C9142" s="56" t="b">
        <v>0</v>
      </c>
      <c r="D9142" s="56" t="b">
        <v>0</v>
      </c>
      <c r="E9142" s="56">
        <f ca="1">IF(PV[[#This Row],[Business Date]]=Control!$C$6, PV[[#This Row],[Notional Value Local Cur]], -PV[[#This Row],[Notional Value Local Cur]])</f>
        <v>0</v>
      </c>
    </row>
    <row r="9143" spans="1:5" x14ac:dyDescent="0.25">
      <c r="A9143" s="36" t="b">
        <v>0</v>
      </c>
      <c r="B9143" s="56" t="b">
        <v>0</v>
      </c>
      <c r="C9143" s="56" t="b">
        <v>0</v>
      </c>
      <c r="D9143" s="56" t="b">
        <v>0</v>
      </c>
      <c r="E9143" s="56">
        <f ca="1">IF(PV[[#This Row],[Business Date]]=Control!$C$6, PV[[#This Row],[Notional Value Local Cur]], -PV[[#This Row],[Notional Value Local Cur]])</f>
        <v>0</v>
      </c>
    </row>
    <row r="9144" spans="1:5" x14ac:dyDescent="0.25">
      <c r="A9144" s="36" t="b">
        <v>0</v>
      </c>
      <c r="B9144" s="56" t="b">
        <v>0</v>
      </c>
      <c r="C9144" s="56" t="b">
        <v>0</v>
      </c>
      <c r="D9144" s="56" t="b">
        <v>0</v>
      </c>
      <c r="E9144" s="56">
        <f ca="1">IF(PV[[#This Row],[Business Date]]=Control!$C$6, PV[[#This Row],[Notional Value Local Cur]], -PV[[#This Row],[Notional Value Local Cur]])</f>
        <v>0</v>
      </c>
    </row>
    <row r="9145" spans="1:5" x14ac:dyDescent="0.25">
      <c r="A9145" s="36" t="b">
        <v>0</v>
      </c>
      <c r="B9145" s="56" t="b">
        <v>0</v>
      </c>
      <c r="C9145" s="56" t="b">
        <v>0</v>
      </c>
      <c r="D9145" s="56" t="b">
        <v>0</v>
      </c>
      <c r="E9145" s="56">
        <f ca="1">IF(PV[[#This Row],[Business Date]]=Control!$C$6, PV[[#This Row],[Notional Value Local Cur]], -PV[[#This Row],[Notional Value Local Cur]])</f>
        <v>0</v>
      </c>
    </row>
    <row r="9146" spans="1:5" x14ac:dyDescent="0.25">
      <c r="A9146" s="36" t="b">
        <v>0</v>
      </c>
      <c r="B9146" s="56" t="b">
        <v>0</v>
      </c>
      <c r="C9146" s="56" t="b">
        <v>0</v>
      </c>
      <c r="D9146" s="56" t="b">
        <v>0</v>
      </c>
      <c r="E9146" s="56">
        <f ca="1">IF(PV[[#This Row],[Business Date]]=Control!$C$6, PV[[#This Row],[Notional Value Local Cur]], -PV[[#This Row],[Notional Value Local Cur]])</f>
        <v>0</v>
      </c>
    </row>
    <row r="9147" spans="1:5" x14ac:dyDescent="0.25">
      <c r="A9147" s="36" t="b">
        <v>0</v>
      </c>
      <c r="B9147" s="56" t="b">
        <v>0</v>
      </c>
      <c r="C9147" s="56" t="b">
        <v>0</v>
      </c>
      <c r="D9147" s="56" t="b">
        <v>0</v>
      </c>
      <c r="E9147" s="56">
        <f ca="1">IF(PV[[#This Row],[Business Date]]=Control!$C$6, PV[[#This Row],[Notional Value Local Cur]], -PV[[#This Row],[Notional Value Local Cur]])</f>
        <v>0</v>
      </c>
    </row>
    <row r="9148" spans="1:5" x14ac:dyDescent="0.25">
      <c r="A9148" s="36" t="b">
        <v>0</v>
      </c>
      <c r="B9148" s="56" t="b">
        <v>0</v>
      </c>
      <c r="C9148" s="56" t="b">
        <v>0</v>
      </c>
      <c r="D9148" s="56" t="b">
        <v>0</v>
      </c>
      <c r="E9148" s="56">
        <f ca="1">IF(PV[[#This Row],[Business Date]]=Control!$C$6, PV[[#This Row],[Notional Value Local Cur]], -PV[[#This Row],[Notional Value Local Cur]])</f>
        <v>0</v>
      </c>
    </row>
    <row r="9149" spans="1:5" x14ac:dyDescent="0.25">
      <c r="A9149" s="36" t="b">
        <v>0</v>
      </c>
      <c r="B9149" s="56" t="b">
        <v>0</v>
      </c>
      <c r="C9149" s="56" t="b">
        <v>0</v>
      </c>
      <c r="D9149" s="56" t="b">
        <v>0</v>
      </c>
      <c r="E9149" s="56">
        <f ca="1">IF(PV[[#This Row],[Business Date]]=Control!$C$6, PV[[#This Row],[Notional Value Local Cur]], -PV[[#This Row],[Notional Value Local Cur]])</f>
        <v>0</v>
      </c>
    </row>
    <row r="9150" spans="1:5" x14ac:dyDescent="0.25">
      <c r="A9150" s="36" t="b">
        <v>0</v>
      </c>
      <c r="B9150" s="56" t="b">
        <v>0</v>
      </c>
      <c r="C9150" s="56" t="b">
        <v>0</v>
      </c>
      <c r="D9150" s="56" t="b">
        <v>0</v>
      </c>
      <c r="E9150" s="56">
        <f ca="1">IF(PV[[#This Row],[Business Date]]=Control!$C$6, PV[[#This Row],[Notional Value Local Cur]], -PV[[#This Row],[Notional Value Local Cur]])</f>
        <v>0</v>
      </c>
    </row>
    <row r="9151" spans="1:5" x14ac:dyDescent="0.25">
      <c r="A9151" s="36" t="b">
        <v>0</v>
      </c>
      <c r="B9151" s="56" t="b">
        <v>0</v>
      </c>
      <c r="C9151" s="56" t="b">
        <v>0</v>
      </c>
      <c r="D9151" s="56" t="b">
        <v>0</v>
      </c>
      <c r="E9151" s="56">
        <f ca="1">IF(PV[[#This Row],[Business Date]]=Control!$C$6, PV[[#This Row],[Notional Value Local Cur]], -PV[[#This Row],[Notional Value Local Cur]])</f>
        <v>0</v>
      </c>
    </row>
    <row r="9152" spans="1:5" x14ac:dyDescent="0.25">
      <c r="A9152" s="36" t="b">
        <v>0</v>
      </c>
      <c r="B9152" s="56" t="b">
        <v>0</v>
      </c>
      <c r="C9152" s="56" t="b">
        <v>0</v>
      </c>
      <c r="D9152" s="56" t="b">
        <v>0</v>
      </c>
      <c r="E9152" s="56">
        <f ca="1">IF(PV[[#This Row],[Business Date]]=Control!$C$6, PV[[#This Row],[Notional Value Local Cur]], -PV[[#This Row],[Notional Value Local Cur]])</f>
        <v>0</v>
      </c>
    </row>
    <row r="9153" spans="1:5" x14ac:dyDescent="0.25">
      <c r="A9153" s="36" t="b">
        <v>0</v>
      </c>
      <c r="B9153" s="56" t="b">
        <v>0</v>
      </c>
      <c r="C9153" s="56" t="b">
        <v>0</v>
      </c>
      <c r="D9153" s="56" t="b">
        <v>0</v>
      </c>
      <c r="E9153" s="56">
        <f ca="1">IF(PV[[#This Row],[Business Date]]=Control!$C$6, PV[[#This Row],[Notional Value Local Cur]], -PV[[#This Row],[Notional Value Local Cur]])</f>
        <v>0</v>
      </c>
    </row>
    <row r="9154" spans="1:5" x14ac:dyDescent="0.25">
      <c r="A9154" s="36" t="b">
        <v>0</v>
      </c>
      <c r="B9154" s="56" t="b">
        <v>0</v>
      </c>
      <c r="C9154" s="56" t="b">
        <v>0</v>
      </c>
      <c r="D9154" s="56" t="b">
        <v>0</v>
      </c>
      <c r="E9154" s="56">
        <f ca="1">IF(PV[[#This Row],[Business Date]]=Control!$C$6, PV[[#This Row],[Notional Value Local Cur]], -PV[[#This Row],[Notional Value Local Cur]])</f>
        <v>0</v>
      </c>
    </row>
    <row r="9155" spans="1:5" x14ac:dyDescent="0.25">
      <c r="A9155" s="36" t="b">
        <v>0</v>
      </c>
      <c r="B9155" s="56" t="b">
        <v>0</v>
      </c>
      <c r="C9155" s="56" t="b">
        <v>0</v>
      </c>
      <c r="D9155" s="56" t="b">
        <v>0</v>
      </c>
      <c r="E9155" s="56">
        <f ca="1">IF(PV[[#This Row],[Business Date]]=Control!$C$6, PV[[#This Row],[Notional Value Local Cur]], -PV[[#This Row],[Notional Value Local Cur]])</f>
        <v>0</v>
      </c>
    </row>
    <row r="9156" spans="1:5" x14ac:dyDescent="0.25">
      <c r="A9156" s="36" t="b">
        <v>0</v>
      </c>
      <c r="B9156" s="56" t="b">
        <v>0</v>
      </c>
      <c r="C9156" s="56" t="b">
        <v>0</v>
      </c>
      <c r="D9156" s="56" t="b">
        <v>0</v>
      </c>
      <c r="E9156" s="56">
        <f ca="1">IF(PV[[#This Row],[Business Date]]=Control!$C$6, PV[[#This Row],[Notional Value Local Cur]], -PV[[#This Row],[Notional Value Local Cur]])</f>
        <v>0</v>
      </c>
    </row>
    <row r="9157" spans="1:5" x14ac:dyDescent="0.25">
      <c r="A9157" s="36" t="b">
        <v>0</v>
      </c>
      <c r="B9157" s="56" t="b">
        <v>0</v>
      </c>
      <c r="C9157" s="56" t="b">
        <v>0</v>
      </c>
      <c r="D9157" s="56" t="b">
        <v>0</v>
      </c>
      <c r="E9157" s="56">
        <f ca="1">IF(PV[[#This Row],[Business Date]]=Control!$C$6, PV[[#This Row],[Notional Value Local Cur]], -PV[[#This Row],[Notional Value Local Cur]])</f>
        <v>0</v>
      </c>
    </row>
    <row r="9158" spans="1:5" x14ac:dyDescent="0.25">
      <c r="A9158" s="36" t="b">
        <v>0</v>
      </c>
      <c r="B9158" s="56" t="b">
        <v>0</v>
      </c>
      <c r="C9158" s="56" t="b">
        <v>0</v>
      </c>
      <c r="D9158" s="56" t="b">
        <v>0</v>
      </c>
      <c r="E9158" s="56">
        <f ca="1">IF(PV[[#This Row],[Business Date]]=Control!$C$6, PV[[#This Row],[Notional Value Local Cur]], -PV[[#This Row],[Notional Value Local Cur]])</f>
        <v>0</v>
      </c>
    </row>
    <row r="9159" spans="1:5" x14ac:dyDescent="0.25">
      <c r="A9159" s="36" t="b">
        <v>0</v>
      </c>
      <c r="B9159" s="56" t="b">
        <v>0</v>
      </c>
      <c r="C9159" s="56" t="b">
        <v>0</v>
      </c>
      <c r="D9159" s="56" t="b">
        <v>0</v>
      </c>
      <c r="E9159" s="56">
        <f ca="1">IF(PV[[#This Row],[Business Date]]=Control!$C$6, PV[[#This Row],[Notional Value Local Cur]], -PV[[#This Row],[Notional Value Local Cur]])</f>
        <v>0</v>
      </c>
    </row>
    <row r="9160" spans="1:5" x14ac:dyDescent="0.25">
      <c r="A9160" s="36" t="b">
        <v>0</v>
      </c>
      <c r="B9160" s="56" t="b">
        <v>0</v>
      </c>
      <c r="C9160" s="56" t="b">
        <v>0</v>
      </c>
      <c r="D9160" s="56" t="b">
        <v>0</v>
      </c>
      <c r="E9160" s="56">
        <f ca="1">IF(PV[[#This Row],[Business Date]]=Control!$C$6, PV[[#This Row],[Notional Value Local Cur]], -PV[[#This Row],[Notional Value Local Cur]])</f>
        <v>0</v>
      </c>
    </row>
    <row r="9161" spans="1:5" x14ac:dyDescent="0.25">
      <c r="A9161" s="36" t="b">
        <v>0</v>
      </c>
      <c r="B9161" s="56" t="b">
        <v>0</v>
      </c>
      <c r="C9161" s="56" t="b">
        <v>0</v>
      </c>
      <c r="D9161" s="56" t="b">
        <v>0</v>
      </c>
      <c r="E9161" s="56">
        <f ca="1">IF(PV[[#This Row],[Business Date]]=Control!$C$6, PV[[#This Row],[Notional Value Local Cur]], -PV[[#This Row],[Notional Value Local Cur]])</f>
        <v>0</v>
      </c>
    </row>
    <row r="9162" spans="1:5" x14ac:dyDescent="0.25">
      <c r="A9162" s="36" t="b">
        <v>0</v>
      </c>
      <c r="B9162" s="56" t="b">
        <v>0</v>
      </c>
      <c r="C9162" s="56" t="b">
        <v>0</v>
      </c>
      <c r="D9162" s="56" t="b">
        <v>0</v>
      </c>
      <c r="E9162" s="56">
        <f ca="1">IF(PV[[#This Row],[Business Date]]=Control!$C$6, PV[[#This Row],[Notional Value Local Cur]], -PV[[#This Row],[Notional Value Local Cur]])</f>
        <v>0</v>
      </c>
    </row>
    <row r="9163" spans="1:5" x14ac:dyDescent="0.25">
      <c r="A9163" s="36" t="b">
        <v>0</v>
      </c>
      <c r="B9163" s="56" t="b">
        <v>0</v>
      </c>
      <c r="C9163" s="56" t="b">
        <v>0</v>
      </c>
      <c r="D9163" s="56" t="b">
        <v>0</v>
      </c>
      <c r="E9163" s="56">
        <f ca="1">IF(PV[[#This Row],[Business Date]]=Control!$C$6, PV[[#This Row],[Notional Value Local Cur]], -PV[[#This Row],[Notional Value Local Cur]])</f>
        <v>0</v>
      </c>
    </row>
    <row r="9164" spans="1:5" x14ac:dyDescent="0.25">
      <c r="A9164" s="36" t="b">
        <v>0</v>
      </c>
      <c r="B9164" s="56" t="b">
        <v>0</v>
      </c>
      <c r="C9164" s="56" t="b">
        <v>0</v>
      </c>
      <c r="D9164" s="56" t="b">
        <v>0</v>
      </c>
      <c r="E9164" s="56">
        <f ca="1">IF(PV[[#This Row],[Business Date]]=Control!$C$6, PV[[#This Row],[Notional Value Local Cur]], -PV[[#This Row],[Notional Value Local Cur]])</f>
        <v>0</v>
      </c>
    </row>
    <row r="9165" spans="1:5" x14ac:dyDescent="0.25">
      <c r="A9165" s="36" t="b">
        <v>0</v>
      </c>
      <c r="B9165" s="56" t="b">
        <v>0</v>
      </c>
      <c r="C9165" s="56" t="b">
        <v>0</v>
      </c>
      <c r="D9165" s="56" t="b">
        <v>0</v>
      </c>
      <c r="E9165" s="56">
        <f ca="1">IF(PV[[#This Row],[Business Date]]=Control!$C$6, PV[[#This Row],[Notional Value Local Cur]], -PV[[#This Row],[Notional Value Local Cur]])</f>
        <v>0</v>
      </c>
    </row>
    <row r="9166" spans="1:5" x14ac:dyDescent="0.25">
      <c r="A9166" s="36" t="b">
        <v>0</v>
      </c>
      <c r="B9166" s="56" t="b">
        <v>0</v>
      </c>
      <c r="C9166" s="56" t="b">
        <v>0</v>
      </c>
      <c r="D9166" s="56" t="b">
        <v>0</v>
      </c>
      <c r="E9166" s="56">
        <f ca="1">IF(PV[[#This Row],[Business Date]]=Control!$C$6, PV[[#This Row],[Notional Value Local Cur]], -PV[[#This Row],[Notional Value Local Cur]])</f>
        <v>0</v>
      </c>
    </row>
    <row r="9167" spans="1:5" x14ac:dyDescent="0.25">
      <c r="A9167" s="36" t="b">
        <v>0</v>
      </c>
      <c r="B9167" s="56" t="b">
        <v>0</v>
      </c>
      <c r="C9167" s="56" t="b">
        <v>0</v>
      </c>
      <c r="D9167" s="56" t="b">
        <v>0</v>
      </c>
      <c r="E9167" s="56">
        <f ca="1">IF(PV[[#This Row],[Business Date]]=Control!$C$6, PV[[#This Row],[Notional Value Local Cur]], -PV[[#This Row],[Notional Value Local Cur]])</f>
        <v>0</v>
      </c>
    </row>
    <row r="9168" spans="1:5" x14ac:dyDescent="0.25">
      <c r="A9168" s="36" t="b">
        <v>0</v>
      </c>
      <c r="B9168" s="56" t="b">
        <v>0</v>
      </c>
      <c r="C9168" s="56" t="b">
        <v>0</v>
      </c>
      <c r="D9168" s="56" t="b">
        <v>0</v>
      </c>
      <c r="E9168" s="56">
        <f ca="1">IF(PV[[#This Row],[Business Date]]=Control!$C$6, PV[[#This Row],[Notional Value Local Cur]], -PV[[#This Row],[Notional Value Local Cur]])</f>
        <v>0</v>
      </c>
    </row>
    <row r="9169" spans="1:5" x14ac:dyDescent="0.25">
      <c r="A9169" s="36" t="b">
        <v>0</v>
      </c>
      <c r="B9169" s="56" t="b">
        <v>0</v>
      </c>
      <c r="C9169" s="56" t="b">
        <v>0</v>
      </c>
      <c r="D9169" s="56" t="b">
        <v>0</v>
      </c>
      <c r="E9169" s="56">
        <f ca="1">IF(PV[[#This Row],[Business Date]]=Control!$C$6, PV[[#This Row],[Notional Value Local Cur]], -PV[[#This Row],[Notional Value Local Cur]])</f>
        <v>0</v>
      </c>
    </row>
    <row r="9170" spans="1:5" x14ac:dyDescent="0.25">
      <c r="A9170" s="36" t="b">
        <v>0</v>
      </c>
      <c r="B9170" s="56" t="b">
        <v>0</v>
      </c>
      <c r="C9170" s="56" t="b">
        <v>0</v>
      </c>
      <c r="D9170" s="56" t="b">
        <v>0</v>
      </c>
      <c r="E9170" s="56">
        <f ca="1">IF(PV[[#This Row],[Business Date]]=Control!$C$6, PV[[#This Row],[Notional Value Local Cur]], -PV[[#This Row],[Notional Value Local Cur]])</f>
        <v>0</v>
      </c>
    </row>
    <row r="9171" spans="1:5" x14ac:dyDescent="0.25">
      <c r="A9171" s="36" t="b">
        <v>0</v>
      </c>
      <c r="B9171" s="56" t="b">
        <v>0</v>
      </c>
      <c r="C9171" s="56" t="b">
        <v>0</v>
      </c>
      <c r="D9171" s="56" t="b">
        <v>0</v>
      </c>
      <c r="E9171" s="56">
        <f ca="1">IF(PV[[#This Row],[Business Date]]=Control!$C$6, PV[[#This Row],[Notional Value Local Cur]], -PV[[#This Row],[Notional Value Local Cur]])</f>
        <v>0</v>
      </c>
    </row>
    <row r="9172" spans="1:5" x14ac:dyDescent="0.25">
      <c r="A9172" s="36" t="b">
        <v>0</v>
      </c>
      <c r="B9172" s="56" t="b">
        <v>0</v>
      </c>
      <c r="C9172" s="56" t="b">
        <v>0</v>
      </c>
      <c r="D9172" s="56" t="b">
        <v>0</v>
      </c>
      <c r="E9172" s="56">
        <f ca="1">IF(PV[[#This Row],[Business Date]]=Control!$C$6, PV[[#This Row],[Notional Value Local Cur]], -PV[[#This Row],[Notional Value Local Cur]])</f>
        <v>0</v>
      </c>
    </row>
    <row r="9173" spans="1:5" x14ac:dyDescent="0.25">
      <c r="A9173" s="36" t="b">
        <v>0</v>
      </c>
      <c r="B9173" s="56" t="b">
        <v>0</v>
      </c>
      <c r="C9173" s="56" t="b">
        <v>0</v>
      </c>
      <c r="D9173" s="56" t="b">
        <v>0</v>
      </c>
      <c r="E9173" s="56">
        <f ca="1">IF(PV[[#This Row],[Business Date]]=Control!$C$6, PV[[#This Row],[Notional Value Local Cur]], -PV[[#This Row],[Notional Value Local Cur]])</f>
        <v>0</v>
      </c>
    </row>
    <row r="9174" spans="1:5" x14ac:dyDescent="0.25">
      <c r="A9174" s="36" t="b">
        <v>0</v>
      </c>
      <c r="B9174" s="56" t="b">
        <v>0</v>
      </c>
      <c r="C9174" s="56" t="b">
        <v>0</v>
      </c>
      <c r="D9174" s="56" t="b">
        <v>0</v>
      </c>
      <c r="E9174" s="56">
        <f ca="1">IF(PV[[#This Row],[Business Date]]=Control!$C$6, PV[[#This Row],[Notional Value Local Cur]], -PV[[#This Row],[Notional Value Local Cur]])</f>
        <v>0</v>
      </c>
    </row>
    <row r="9175" spans="1:5" x14ac:dyDescent="0.25">
      <c r="A9175" s="36" t="b">
        <v>0</v>
      </c>
      <c r="B9175" s="56" t="b">
        <v>0</v>
      </c>
      <c r="C9175" s="56" t="b">
        <v>0</v>
      </c>
      <c r="D9175" s="56" t="b">
        <v>0</v>
      </c>
      <c r="E9175" s="56">
        <f ca="1">IF(PV[[#This Row],[Business Date]]=Control!$C$6, PV[[#This Row],[Notional Value Local Cur]], -PV[[#This Row],[Notional Value Local Cur]])</f>
        <v>0</v>
      </c>
    </row>
    <row r="9176" spans="1:5" x14ac:dyDescent="0.25">
      <c r="A9176" s="36" t="b">
        <v>0</v>
      </c>
      <c r="B9176" s="56" t="b">
        <v>0</v>
      </c>
      <c r="C9176" s="56" t="b">
        <v>0</v>
      </c>
      <c r="D9176" s="56" t="b">
        <v>0</v>
      </c>
      <c r="E9176" s="56">
        <f ca="1">IF(PV[[#This Row],[Business Date]]=Control!$C$6, PV[[#This Row],[Notional Value Local Cur]], -PV[[#This Row],[Notional Value Local Cur]])</f>
        <v>0</v>
      </c>
    </row>
    <row r="9177" spans="1:5" x14ac:dyDescent="0.25">
      <c r="A9177" s="36" t="b">
        <v>0</v>
      </c>
      <c r="B9177" s="56" t="b">
        <v>0</v>
      </c>
      <c r="C9177" s="56" t="b">
        <v>0</v>
      </c>
      <c r="D9177" s="56" t="b">
        <v>0</v>
      </c>
      <c r="E9177" s="56">
        <f ca="1">IF(PV[[#This Row],[Business Date]]=Control!$C$6, PV[[#This Row],[Notional Value Local Cur]], -PV[[#This Row],[Notional Value Local Cur]])</f>
        <v>0</v>
      </c>
    </row>
    <row r="9178" spans="1:5" x14ac:dyDescent="0.25">
      <c r="A9178" s="36" t="b">
        <v>0</v>
      </c>
      <c r="B9178" s="56" t="b">
        <v>0</v>
      </c>
      <c r="C9178" s="56" t="b">
        <v>0</v>
      </c>
      <c r="D9178" s="56" t="b">
        <v>0</v>
      </c>
      <c r="E9178" s="56">
        <f ca="1">IF(PV[[#This Row],[Business Date]]=Control!$C$6, PV[[#This Row],[Notional Value Local Cur]], -PV[[#This Row],[Notional Value Local Cur]])</f>
        <v>0</v>
      </c>
    </row>
    <row r="9179" spans="1:5" x14ac:dyDescent="0.25">
      <c r="A9179" s="36" t="b">
        <v>0</v>
      </c>
      <c r="B9179" s="56" t="b">
        <v>0</v>
      </c>
      <c r="C9179" s="56" t="b">
        <v>0</v>
      </c>
      <c r="D9179" s="56" t="b">
        <v>0</v>
      </c>
      <c r="E9179" s="56">
        <f ca="1">IF(PV[[#This Row],[Business Date]]=Control!$C$6, PV[[#This Row],[Notional Value Local Cur]], -PV[[#This Row],[Notional Value Local Cur]])</f>
        <v>0</v>
      </c>
    </row>
    <row r="9180" spans="1:5" x14ac:dyDescent="0.25">
      <c r="A9180" s="36" t="b">
        <v>0</v>
      </c>
      <c r="B9180" s="56" t="b">
        <v>0</v>
      </c>
      <c r="C9180" s="56" t="b">
        <v>0</v>
      </c>
      <c r="D9180" s="56" t="b">
        <v>0</v>
      </c>
      <c r="E9180" s="56">
        <f ca="1">IF(PV[[#This Row],[Business Date]]=Control!$C$6, PV[[#This Row],[Notional Value Local Cur]], -PV[[#This Row],[Notional Value Local Cur]])</f>
        <v>0</v>
      </c>
    </row>
    <row r="9181" spans="1:5" x14ac:dyDescent="0.25">
      <c r="A9181" s="36" t="b">
        <v>0</v>
      </c>
      <c r="B9181" s="56" t="b">
        <v>0</v>
      </c>
      <c r="C9181" s="56" t="b">
        <v>0</v>
      </c>
      <c r="D9181" s="56" t="b">
        <v>0</v>
      </c>
      <c r="E9181" s="56">
        <f ca="1">IF(PV[[#This Row],[Business Date]]=Control!$C$6, PV[[#This Row],[Notional Value Local Cur]], -PV[[#This Row],[Notional Value Local Cur]])</f>
        <v>0</v>
      </c>
    </row>
    <row r="9182" spans="1:5" x14ac:dyDescent="0.25">
      <c r="A9182" s="36" t="b">
        <v>0</v>
      </c>
      <c r="B9182" s="56" t="b">
        <v>0</v>
      </c>
      <c r="C9182" s="56" t="b">
        <v>0</v>
      </c>
      <c r="D9182" s="56" t="b">
        <v>0</v>
      </c>
      <c r="E9182" s="56">
        <f ca="1">IF(PV[[#This Row],[Business Date]]=Control!$C$6, PV[[#This Row],[Notional Value Local Cur]], -PV[[#This Row],[Notional Value Local Cur]])</f>
        <v>0</v>
      </c>
    </row>
    <row r="9183" spans="1:5" x14ac:dyDescent="0.25">
      <c r="A9183" s="36" t="b">
        <v>0</v>
      </c>
      <c r="B9183" s="56" t="b">
        <v>0</v>
      </c>
      <c r="C9183" s="56" t="b">
        <v>0</v>
      </c>
      <c r="D9183" s="56" t="b">
        <v>0</v>
      </c>
      <c r="E9183" s="56">
        <f ca="1">IF(PV[[#This Row],[Business Date]]=Control!$C$6, PV[[#This Row],[Notional Value Local Cur]], -PV[[#This Row],[Notional Value Local Cur]])</f>
        <v>0</v>
      </c>
    </row>
    <row r="9184" spans="1:5" x14ac:dyDescent="0.25">
      <c r="A9184" s="36" t="b">
        <v>0</v>
      </c>
      <c r="B9184" s="56" t="b">
        <v>0</v>
      </c>
      <c r="C9184" s="56" t="b">
        <v>0</v>
      </c>
      <c r="D9184" s="56" t="b">
        <v>0</v>
      </c>
      <c r="E9184" s="56">
        <f ca="1">IF(PV[[#This Row],[Business Date]]=Control!$C$6, PV[[#This Row],[Notional Value Local Cur]], -PV[[#This Row],[Notional Value Local Cur]])</f>
        <v>0</v>
      </c>
    </row>
    <row r="9185" spans="1:5" x14ac:dyDescent="0.25">
      <c r="A9185" s="36" t="b">
        <v>0</v>
      </c>
      <c r="B9185" s="56" t="b">
        <v>0</v>
      </c>
      <c r="C9185" s="56" t="b">
        <v>0</v>
      </c>
      <c r="D9185" s="56" t="b">
        <v>0</v>
      </c>
      <c r="E9185" s="56">
        <f ca="1">IF(PV[[#This Row],[Business Date]]=Control!$C$6, PV[[#This Row],[Notional Value Local Cur]], -PV[[#This Row],[Notional Value Local Cur]])</f>
        <v>0</v>
      </c>
    </row>
    <row r="9186" spans="1:5" x14ac:dyDescent="0.25">
      <c r="A9186" s="36" t="b">
        <v>0</v>
      </c>
      <c r="B9186" s="56" t="b">
        <v>0</v>
      </c>
      <c r="C9186" s="56" t="b">
        <v>0</v>
      </c>
      <c r="D9186" s="56" t="b">
        <v>0</v>
      </c>
      <c r="E9186" s="56">
        <f ca="1">IF(PV[[#This Row],[Business Date]]=Control!$C$6, PV[[#This Row],[Notional Value Local Cur]], -PV[[#This Row],[Notional Value Local Cur]])</f>
        <v>0</v>
      </c>
    </row>
    <row r="9187" spans="1:5" x14ac:dyDescent="0.25">
      <c r="A9187" s="36" t="b">
        <v>0</v>
      </c>
      <c r="B9187" s="56" t="b">
        <v>0</v>
      </c>
      <c r="C9187" s="56" t="b">
        <v>0</v>
      </c>
      <c r="D9187" s="56" t="b">
        <v>0</v>
      </c>
      <c r="E9187" s="56">
        <f ca="1">IF(PV[[#This Row],[Business Date]]=Control!$C$6, PV[[#This Row],[Notional Value Local Cur]], -PV[[#This Row],[Notional Value Local Cur]])</f>
        <v>0</v>
      </c>
    </row>
    <row r="9188" spans="1:5" x14ac:dyDescent="0.25">
      <c r="A9188" s="36" t="b">
        <v>0</v>
      </c>
      <c r="B9188" s="56" t="b">
        <v>0</v>
      </c>
      <c r="C9188" s="56" t="b">
        <v>0</v>
      </c>
      <c r="D9188" s="56" t="b">
        <v>0</v>
      </c>
      <c r="E9188" s="56">
        <f ca="1">IF(PV[[#This Row],[Business Date]]=Control!$C$6, PV[[#This Row],[Notional Value Local Cur]], -PV[[#This Row],[Notional Value Local Cur]])</f>
        <v>0</v>
      </c>
    </row>
    <row r="9189" spans="1:5" x14ac:dyDescent="0.25">
      <c r="A9189" s="36" t="b">
        <v>0</v>
      </c>
      <c r="B9189" s="56" t="b">
        <v>0</v>
      </c>
      <c r="C9189" s="56" t="b">
        <v>0</v>
      </c>
      <c r="D9189" s="56" t="b">
        <v>0</v>
      </c>
      <c r="E9189" s="56">
        <f ca="1">IF(PV[[#This Row],[Business Date]]=Control!$C$6, PV[[#This Row],[Notional Value Local Cur]], -PV[[#This Row],[Notional Value Local Cur]])</f>
        <v>0</v>
      </c>
    </row>
    <row r="9190" spans="1:5" x14ac:dyDescent="0.25">
      <c r="A9190" s="36" t="b">
        <v>0</v>
      </c>
      <c r="B9190" s="56" t="b">
        <v>0</v>
      </c>
      <c r="C9190" s="56" t="b">
        <v>0</v>
      </c>
      <c r="D9190" s="56" t="b">
        <v>0</v>
      </c>
      <c r="E9190" s="56">
        <f ca="1">IF(PV[[#This Row],[Business Date]]=Control!$C$6, PV[[#This Row],[Notional Value Local Cur]], -PV[[#This Row],[Notional Value Local Cur]])</f>
        <v>0</v>
      </c>
    </row>
    <row r="9191" spans="1:5" x14ac:dyDescent="0.25">
      <c r="A9191" s="36" t="b">
        <v>0</v>
      </c>
      <c r="B9191" s="56" t="b">
        <v>0</v>
      </c>
      <c r="C9191" s="56" t="b">
        <v>0</v>
      </c>
      <c r="D9191" s="56" t="b">
        <v>0</v>
      </c>
      <c r="E9191" s="56">
        <f ca="1">IF(PV[[#This Row],[Business Date]]=Control!$C$6, PV[[#This Row],[Notional Value Local Cur]], -PV[[#This Row],[Notional Value Local Cur]])</f>
        <v>0</v>
      </c>
    </row>
    <row r="9192" spans="1:5" x14ac:dyDescent="0.25">
      <c r="A9192" s="36" t="b">
        <v>0</v>
      </c>
      <c r="B9192" s="56" t="b">
        <v>0</v>
      </c>
      <c r="C9192" s="56" t="b">
        <v>0</v>
      </c>
      <c r="D9192" s="56" t="b">
        <v>0</v>
      </c>
      <c r="E9192" s="56">
        <f ca="1">IF(PV[[#This Row],[Business Date]]=Control!$C$6, PV[[#This Row],[Notional Value Local Cur]], -PV[[#This Row],[Notional Value Local Cur]])</f>
        <v>0</v>
      </c>
    </row>
    <row r="9193" spans="1:5" x14ac:dyDescent="0.25">
      <c r="A9193" s="36" t="b">
        <v>0</v>
      </c>
      <c r="B9193" s="56" t="b">
        <v>0</v>
      </c>
      <c r="C9193" s="56" t="b">
        <v>0</v>
      </c>
      <c r="D9193" s="56" t="b">
        <v>0</v>
      </c>
      <c r="E9193" s="56">
        <f ca="1">IF(PV[[#This Row],[Business Date]]=Control!$C$6, PV[[#This Row],[Notional Value Local Cur]], -PV[[#This Row],[Notional Value Local Cur]])</f>
        <v>0</v>
      </c>
    </row>
    <row r="9194" spans="1:5" x14ac:dyDescent="0.25">
      <c r="A9194" s="36" t="b">
        <v>0</v>
      </c>
      <c r="B9194" s="56" t="b">
        <v>0</v>
      </c>
      <c r="C9194" s="56" t="b">
        <v>0</v>
      </c>
      <c r="D9194" s="56" t="b">
        <v>0</v>
      </c>
      <c r="E9194" s="56">
        <f ca="1">IF(PV[[#This Row],[Business Date]]=Control!$C$6, PV[[#This Row],[Notional Value Local Cur]], -PV[[#This Row],[Notional Value Local Cur]])</f>
        <v>0</v>
      </c>
    </row>
    <row r="9195" spans="1:5" x14ac:dyDescent="0.25">
      <c r="A9195" s="36" t="b">
        <v>0</v>
      </c>
      <c r="B9195" s="56" t="b">
        <v>0</v>
      </c>
      <c r="C9195" s="56" t="b">
        <v>0</v>
      </c>
      <c r="D9195" s="56" t="b">
        <v>0</v>
      </c>
      <c r="E9195" s="56">
        <f ca="1">IF(PV[[#This Row],[Business Date]]=Control!$C$6, PV[[#This Row],[Notional Value Local Cur]], -PV[[#This Row],[Notional Value Local Cur]])</f>
        <v>0</v>
      </c>
    </row>
    <row r="9196" spans="1:5" x14ac:dyDescent="0.25">
      <c r="A9196" s="36" t="b">
        <v>0</v>
      </c>
      <c r="B9196" s="56" t="b">
        <v>0</v>
      </c>
      <c r="C9196" s="56" t="b">
        <v>0</v>
      </c>
      <c r="D9196" s="56" t="b">
        <v>0</v>
      </c>
      <c r="E9196" s="56">
        <f ca="1">IF(PV[[#This Row],[Business Date]]=Control!$C$6, PV[[#This Row],[Notional Value Local Cur]], -PV[[#This Row],[Notional Value Local Cur]])</f>
        <v>0</v>
      </c>
    </row>
    <row r="9197" spans="1:5" x14ac:dyDescent="0.25">
      <c r="A9197" s="36" t="b">
        <v>0</v>
      </c>
      <c r="B9197" s="56" t="b">
        <v>0</v>
      </c>
      <c r="C9197" s="56" t="b">
        <v>0</v>
      </c>
      <c r="D9197" s="56" t="b">
        <v>0</v>
      </c>
      <c r="E9197" s="56">
        <f ca="1">IF(PV[[#This Row],[Business Date]]=Control!$C$6, PV[[#This Row],[Notional Value Local Cur]], -PV[[#This Row],[Notional Value Local Cur]])</f>
        <v>0</v>
      </c>
    </row>
    <row r="9198" spans="1:5" x14ac:dyDescent="0.25">
      <c r="A9198" s="36" t="b">
        <v>0</v>
      </c>
      <c r="B9198" s="56" t="b">
        <v>0</v>
      </c>
      <c r="C9198" s="56" t="b">
        <v>0</v>
      </c>
      <c r="D9198" s="56" t="b">
        <v>0</v>
      </c>
      <c r="E9198" s="56">
        <f ca="1">IF(PV[[#This Row],[Business Date]]=Control!$C$6, PV[[#This Row],[Notional Value Local Cur]], -PV[[#This Row],[Notional Value Local Cur]])</f>
        <v>0</v>
      </c>
    </row>
    <row r="9199" spans="1:5" x14ac:dyDescent="0.25">
      <c r="A9199" s="36" t="b">
        <v>0</v>
      </c>
      <c r="B9199" s="56" t="b">
        <v>0</v>
      </c>
      <c r="C9199" s="56" t="b">
        <v>0</v>
      </c>
      <c r="D9199" s="56" t="b">
        <v>0</v>
      </c>
      <c r="E9199" s="56">
        <f ca="1">IF(PV[[#This Row],[Business Date]]=Control!$C$6, PV[[#This Row],[Notional Value Local Cur]], -PV[[#This Row],[Notional Value Local Cur]])</f>
        <v>0</v>
      </c>
    </row>
    <row r="9200" spans="1:5" x14ac:dyDescent="0.25">
      <c r="A9200" s="36" t="b">
        <v>0</v>
      </c>
      <c r="B9200" s="56" t="b">
        <v>0</v>
      </c>
      <c r="C9200" s="56" t="b">
        <v>0</v>
      </c>
      <c r="D9200" s="56" t="b">
        <v>0</v>
      </c>
      <c r="E9200" s="56">
        <f ca="1">IF(PV[[#This Row],[Business Date]]=Control!$C$6, PV[[#This Row],[Notional Value Local Cur]], -PV[[#This Row],[Notional Value Local Cur]])</f>
        <v>0</v>
      </c>
    </row>
    <row r="9201" spans="1:5" x14ac:dyDescent="0.25">
      <c r="A9201" s="36" t="b">
        <v>0</v>
      </c>
      <c r="B9201" s="56" t="b">
        <v>0</v>
      </c>
      <c r="C9201" s="56" t="b">
        <v>0</v>
      </c>
      <c r="D9201" s="56" t="b">
        <v>0</v>
      </c>
      <c r="E9201" s="56">
        <f ca="1">IF(PV[[#This Row],[Business Date]]=Control!$C$6, PV[[#This Row],[Notional Value Local Cur]], -PV[[#This Row],[Notional Value Local Cur]])</f>
        <v>0</v>
      </c>
    </row>
    <row r="9202" spans="1:5" x14ac:dyDescent="0.25">
      <c r="A9202" s="36" t="b">
        <v>0</v>
      </c>
      <c r="B9202" s="56" t="b">
        <v>0</v>
      </c>
      <c r="C9202" s="56" t="b">
        <v>0</v>
      </c>
      <c r="D9202" s="56" t="b">
        <v>0</v>
      </c>
      <c r="E9202" s="56">
        <f ca="1">IF(PV[[#This Row],[Business Date]]=Control!$C$6, PV[[#This Row],[Notional Value Local Cur]], -PV[[#This Row],[Notional Value Local Cur]])</f>
        <v>0</v>
      </c>
    </row>
    <row r="9203" spans="1:5" x14ac:dyDescent="0.25">
      <c r="A9203" s="36" t="b">
        <v>0</v>
      </c>
      <c r="B9203" s="56" t="b">
        <v>0</v>
      </c>
      <c r="C9203" s="56" t="b">
        <v>0</v>
      </c>
      <c r="D9203" s="56" t="b">
        <v>0</v>
      </c>
      <c r="E9203" s="56">
        <f ca="1">IF(PV[[#This Row],[Business Date]]=Control!$C$6, PV[[#This Row],[Notional Value Local Cur]], -PV[[#This Row],[Notional Value Local Cur]])</f>
        <v>0</v>
      </c>
    </row>
    <row r="9204" spans="1:5" x14ac:dyDescent="0.25">
      <c r="A9204" s="36" t="b">
        <v>0</v>
      </c>
      <c r="B9204" s="56" t="b">
        <v>0</v>
      </c>
      <c r="C9204" s="56" t="b">
        <v>0</v>
      </c>
      <c r="D9204" s="56" t="b">
        <v>0</v>
      </c>
      <c r="E9204" s="56">
        <f ca="1">IF(PV[[#This Row],[Business Date]]=Control!$C$6, PV[[#This Row],[Notional Value Local Cur]], -PV[[#This Row],[Notional Value Local Cur]])</f>
        <v>0</v>
      </c>
    </row>
    <row r="9205" spans="1:5" x14ac:dyDescent="0.25">
      <c r="A9205" s="36" t="b">
        <v>0</v>
      </c>
      <c r="B9205" s="56" t="b">
        <v>0</v>
      </c>
      <c r="C9205" s="56" t="b">
        <v>0</v>
      </c>
      <c r="D9205" s="56" t="b">
        <v>0</v>
      </c>
      <c r="E9205" s="56">
        <f ca="1">IF(PV[[#This Row],[Business Date]]=Control!$C$6, PV[[#This Row],[Notional Value Local Cur]], -PV[[#This Row],[Notional Value Local Cur]])</f>
        <v>0</v>
      </c>
    </row>
    <row r="9206" spans="1:5" x14ac:dyDescent="0.25">
      <c r="A9206" s="36" t="b">
        <v>0</v>
      </c>
      <c r="B9206" s="56" t="b">
        <v>0</v>
      </c>
      <c r="C9206" s="56" t="b">
        <v>0</v>
      </c>
      <c r="D9206" s="56" t="b">
        <v>0</v>
      </c>
      <c r="E9206" s="56">
        <f ca="1">IF(PV[[#This Row],[Business Date]]=Control!$C$6, PV[[#This Row],[Notional Value Local Cur]], -PV[[#This Row],[Notional Value Local Cur]])</f>
        <v>0</v>
      </c>
    </row>
    <row r="9207" spans="1:5" x14ac:dyDescent="0.25">
      <c r="A9207" s="36" t="b">
        <v>0</v>
      </c>
      <c r="B9207" s="56" t="b">
        <v>0</v>
      </c>
      <c r="C9207" s="56" t="b">
        <v>0</v>
      </c>
      <c r="D9207" s="56" t="b">
        <v>0</v>
      </c>
      <c r="E9207" s="56">
        <f ca="1">IF(PV[[#This Row],[Business Date]]=Control!$C$6, PV[[#This Row],[Notional Value Local Cur]], -PV[[#This Row],[Notional Value Local Cur]])</f>
        <v>0</v>
      </c>
    </row>
    <row r="9208" spans="1:5" x14ac:dyDescent="0.25">
      <c r="A9208" s="36" t="b">
        <v>0</v>
      </c>
      <c r="B9208" s="56" t="b">
        <v>0</v>
      </c>
      <c r="C9208" s="56" t="b">
        <v>0</v>
      </c>
      <c r="D9208" s="56" t="b">
        <v>0</v>
      </c>
      <c r="E9208" s="56">
        <f ca="1">IF(PV[[#This Row],[Business Date]]=Control!$C$6, PV[[#This Row],[Notional Value Local Cur]], -PV[[#This Row],[Notional Value Local Cur]])</f>
        <v>0</v>
      </c>
    </row>
    <row r="9209" spans="1:5" x14ac:dyDescent="0.25">
      <c r="A9209" s="36" t="b">
        <v>0</v>
      </c>
      <c r="B9209" s="56" t="b">
        <v>0</v>
      </c>
      <c r="C9209" s="56" t="b">
        <v>0</v>
      </c>
      <c r="D9209" s="56" t="b">
        <v>0</v>
      </c>
      <c r="E9209" s="56">
        <f ca="1">IF(PV[[#This Row],[Business Date]]=Control!$C$6, PV[[#This Row],[Notional Value Local Cur]], -PV[[#This Row],[Notional Value Local Cur]])</f>
        <v>0</v>
      </c>
    </row>
    <row r="9210" spans="1:5" x14ac:dyDescent="0.25">
      <c r="A9210" s="36" t="b">
        <v>0</v>
      </c>
      <c r="B9210" s="56" t="b">
        <v>0</v>
      </c>
      <c r="C9210" s="56" t="b">
        <v>0</v>
      </c>
      <c r="D9210" s="56" t="b">
        <v>0</v>
      </c>
      <c r="E9210" s="56">
        <f ca="1">IF(PV[[#This Row],[Business Date]]=Control!$C$6, PV[[#This Row],[Notional Value Local Cur]], -PV[[#This Row],[Notional Value Local Cur]])</f>
        <v>0</v>
      </c>
    </row>
    <row r="9211" spans="1:5" x14ac:dyDescent="0.25">
      <c r="A9211" s="36" t="b">
        <v>0</v>
      </c>
      <c r="B9211" s="56" t="b">
        <v>0</v>
      </c>
      <c r="C9211" s="56" t="b">
        <v>0</v>
      </c>
      <c r="D9211" s="56" t="b">
        <v>0</v>
      </c>
      <c r="E9211" s="56">
        <f ca="1">IF(PV[[#This Row],[Business Date]]=Control!$C$6, PV[[#This Row],[Notional Value Local Cur]], -PV[[#This Row],[Notional Value Local Cur]])</f>
        <v>0</v>
      </c>
    </row>
    <row r="9212" spans="1:5" x14ac:dyDescent="0.25">
      <c r="A9212" s="36" t="b">
        <v>0</v>
      </c>
      <c r="B9212" s="56" t="b">
        <v>0</v>
      </c>
      <c r="C9212" s="56" t="b">
        <v>0</v>
      </c>
      <c r="D9212" s="56" t="b">
        <v>0</v>
      </c>
      <c r="E9212" s="56">
        <f ca="1">IF(PV[[#This Row],[Business Date]]=Control!$C$6, PV[[#This Row],[Notional Value Local Cur]], -PV[[#This Row],[Notional Value Local Cur]])</f>
        <v>0</v>
      </c>
    </row>
    <row r="9213" spans="1:5" x14ac:dyDescent="0.25">
      <c r="A9213" s="36" t="b">
        <v>0</v>
      </c>
      <c r="B9213" s="56" t="b">
        <v>0</v>
      </c>
      <c r="C9213" s="56" t="b">
        <v>0</v>
      </c>
      <c r="D9213" s="56" t="b">
        <v>0</v>
      </c>
      <c r="E9213" s="56">
        <f ca="1">IF(PV[[#This Row],[Business Date]]=Control!$C$6, PV[[#This Row],[Notional Value Local Cur]], -PV[[#This Row],[Notional Value Local Cur]])</f>
        <v>0</v>
      </c>
    </row>
    <row r="9214" spans="1:5" x14ac:dyDescent="0.25">
      <c r="A9214" s="36" t="b">
        <v>0</v>
      </c>
      <c r="B9214" s="56" t="b">
        <v>0</v>
      </c>
      <c r="C9214" s="56" t="b">
        <v>0</v>
      </c>
      <c r="D9214" s="56" t="b">
        <v>0</v>
      </c>
      <c r="E9214" s="56">
        <f ca="1">IF(PV[[#This Row],[Business Date]]=Control!$C$6, PV[[#This Row],[Notional Value Local Cur]], -PV[[#This Row],[Notional Value Local Cur]])</f>
        <v>0</v>
      </c>
    </row>
    <row r="9215" spans="1:5" x14ac:dyDescent="0.25">
      <c r="A9215" s="36" t="b">
        <v>0</v>
      </c>
      <c r="B9215" s="56" t="b">
        <v>0</v>
      </c>
      <c r="C9215" s="56" t="b">
        <v>0</v>
      </c>
      <c r="D9215" s="56" t="b">
        <v>0</v>
      </c>
      <c r="E9215" s="56">
        <f ca="1">IF(PV[[#This Row],[Business Date]]=Control!$C$6, PV[[#This Row],[Notional Value Local Cur]], -PV[[#This Row],[Notional Value Local Cur]])</f>
        <v>0</v>
      </c>
    </row>
    <row r="9216" spans="1:5" x14ac:dyDescent="0.25">
      <c r="A9216" s="36" t="b">
        <v>0</v>
      </c>
      <c r="B9216" s="56" t="b">
        <v>0</v>
      </c>
      <c r="C9216" s="56" t="b">
        <v>0</v>
      </c>
      <c r="D9216" s="56" t="b">
        <v>0</v>
      </c>
      <c r="E9216" s="56">
        <f ca="1">IF(PV[[#This Row],[Business Date]]=Control!$C$6, PV[[#This Row],[Notional Value Local Cur]], -PV[[#This Row],[Notional Value Local Cur]])</f>
        <v>0</v>
      </c>
    </row>
    <row r="9217" spans="1:5" x14ac:dyDescent="0.25">
      <c r="A9217" s="36" t="b">
        <v>0</v>
      </c>
      <c r="B9217" s="56" t="b">
        <v>0</v>
      </c>
      <c r="C9217" s="56" t="b">
        <v>0</v>
      </c>
      <c r="D9217" s="56" t="b">
        <v>0</v>
      </c>
      <c r="E9217" s="56">
        <f ca="1">IF(PV[[#This Row],[Business Date]]=Control!$C$6, PV[[#This Row],[Notional Value Local Cur]], -PV[[#This Row],[Notional Value Local Cur]])</f>
        <v>0</v>
      </c>
    </row>
    <row r="9218" spans="1:5" x14ac:dyDescent="0.25">
      <c r="A9218" s="36" t="b">
        <v>0</v>
      </c>
      <c r="B9218" s="56" t="b">
        <v>0</v>
      </c>
      <c r="C9218" s="56" t="b">
        <v>0</v>
      </c>
      <c r="D9218" s="56" t="b">
        <v>0</v>
      </c>
      <c r="E9218" s="56">
        <f ca="1">IF(PV[[#This Row],[Business Date]]=Control!$C$6, PV[[#This Row],[Notional Value Local Cur]], -PV[[#This Row],[Notional Value Local Cur]])</f>
        <v>0</v>
      </c>
    </row>
    <row r="9219" spans="1:5" x14ac:dyDescent="0.25">
      <c r="A9219" s="36" t="b">
        <v>0</v>
      </c>
      <c r="B9219" s="56" t="b">
        <v>0</v>
      </c>
      <c r="C9219" s="56" t="b">
        <v>0</v>
      </c>
      <c r="D9219" s="56" t="b">
        <v>0</v>
      </c>
      <c r="E9219" s="56">
        <f ca="1">IF(PV[[#This Row],[Business Date]]=Control!$C$6, PV[[#This Row],[Notional Value Local Cur]], -PV[[#This Row],[Notional Value Local Cur]])</f>
        <v>0</v>
      </c>
    </row>
    <row r="9220" spans="1:5" x14ac:dyDescent="0.25">
      <c r="A9220" s="36" t="b">
        <v>0</v>
      </c>
      <c r="B9220" s="56" t="b">
        <v>0</v>
      </c>
      <c r="C9220" s="56" t="b">
        <v>0</v>
      </c>
      <c r="D9220" s="56" t="b">
        <v>0</v>
      </c>
      <c r="E9220" s="56">
        <f ca="1">IF(PV[[#This Row],[Business Date]]=Control!$C$6, PV[[#This Row],[Notional Value Local Cur]], -PV[[#This Row],[Notional Value Local Cur]])</f>
        <v>0</v>
      </c>
    </row>
    <row r="9221" spans="1:5" x14ac:dyDescent="0.25">
      <c r="A9221" s="36" t="b">
        <v>0</v>
      </c>
      <c r="B9221" s="56" t="b">
        <v>0</v>
      </c>
      <c r="C9221" s="56" t="b">
        <v>0</v>
      </c>
      <c r="D9221" s="56" t="b">
        <v>0</v>
      </c>
      <c r="E9221" s="56">
        <f ca="1">IF(PV[[#This Row],[Business Date]]=Control!$C$6, PV[[#This Row],[Notional Value Local Cur]], -PV[[#This Row],[Notional Value Local Cur]])</f>
        <v>0</v>
      </c>
    </row>
    <row r="9222" spans="1:5" x14ac:dyDescent="0.25">
      <c r="A9222" s="36" t="b">
        <v>0</v>
      </c>
      <c r="B9222" s="56" t="b">
        <v>0</v>
      </c>
      <c r="C9222" s="56" t="b">
        <v>0</v>
      </c>
      <c r="D9222" s="56" t="b">
        <v>0</v>
      </c>
      <c r="E9222" s="56">
        <f ca="1">IF(PV[[#This Row],[Business Date]]=Control!$C$6, PV[[#This Row],[Notional Value Local Cur]], -PV[[#This Row],[Notional Value Local Cur]])</f>
        <v>0</v>
      </c>
    </row>
    <row r="9223" spans="1:5" x14ac:dyDescent="0.25">
      <c r="A9223" s="36" t="b">
        <v>0</v>
      </c>
      <c r="B9223" s="56" t="b">
        <v>0</v>
      </c>
      <c r="C9223" s="56" t="b">
        <v>0</v>
      </c>
      <c r="D9223" s="56" t="b">
        <v>0</v>
      </c>
      <c r="E9223" s="56">
        <f ca="1">IF(PV[[#This Row],[Business Date]]=Control!$C$6, PV[[#This Row],[Notional Value Local Cur]], -PV[[#This Row],[Notional Value Local Cur]])</f>
        <v>0</v>
      </c>
    </row>
    <row r="9224" spans="1:5" x14ac:dyDescent="0.25">
      <c r="A9224" s="36" t="b">
        <v>0</v>
      </c>
      <c r="B9224" s="56" t="b">
        <v>0</v>
      </c>
      <c r="C9224" s="56" t="b">
        <v>0</v>
      </c>
      <c r="D9224" s="56" t="b">
        <v>0</v>
      </c>
      <c r="E9224" s="56">
        <f ca="1">IF(PV[[#This Row],[Business Date]]=Control!$C$6, PV[[#This Row],[Notional Value Local Cur]], -PV[[#This Row],[Notional Value Local Cur]])</f>
        <v>0</v>
      </c>
    </row>
    <row r="9225" spans="1:5" x14ac:dyDescent="0.25">
      <c r="A9225" s="36" t="b">
        <v>0</v>
      </c>
      <c r="B9225" s="56" t="b">
        <v>0</v>
      </c>
      <c r="C9225" s="56" t="b">
        <v>0</v>
      </c>
      <c r="D9225" s="56" t="b">
        <v>0</v>
      </c>
      <c r="E9225" s="56">
        <f ca="1">IF(PV[[#This Row],[Business Date]]=Control!$C$6, PV[[#This Row],[Notional Value Local Cur]], -PV[[#This Row],[Notional Value Local Cur]])</f>
        <v>0</v>
      </c>
    </row>
    <row r="9226" spans="1:5" x14ac:dyDescent="0.25">
      <c r="A9226" s="36" t="b">
        <v>0</v>
      </c>
      <c r="B9226" s="56" t="b">
        <v>0</v>
      </c>
      <c r="C9226" s="56" t="b">
        <v>0</v>
      </c>
      <c r="D9226" s="56" t="b">
        <v>0</v>
      </c>
      <c r="E9226" s="56">
        <f ca="1">IF(PV[[#This Row],[Business Date]]=Control!$C$6, PV[[#This Row],[Notional Value Local Cur]], -PV[[#This Row],[Notional Value Local Cur]])</f>
        <v>0</v>
      </c>
    </row>
    <row r="9227" spans="1:5" x14ac:dyDescent="0.25">
      <c r="A9227" s="36" t="b">
        <v>0</v>
      </c>
      <c r="B9227" s="56" t="b">
        <v>0</v>
      </c>
      <c r="C9227" s="56" t="b">
        <v>0</v>
      </c>
      <c r="D9227" s="56" t="b">
        <v>0</v>
      </c>
      <c r="E9227" s="56">
        <f ca="1">IF(PV[[#This Row],[Business Date]]=Control!$C$6, PV[[#This Row],[Notional Value Local Cur]], -PV[[#This Row],[Notional Value Local Cur]])</f>
        <v>0</v>
      </c>
    </row>
    <row r="9228" spans="1:5" x14ac:dyDescent="0.25">
      <c r="A9228" s="36" t="b">
        <v>0</v>
      </c>
      <c r="B9228" s="56" t="b">
        <v>0</v>
      </c>
      <c r="C9228" s="56" t="b">
        <v>0</v>
      </c>
      <c r="D9228" s="56" t="b">
        <v>0</v>
      </c>
      <c r="E9228" s="56">
        <f ca="1">IF(PV[[#This Row],[Business Date]]=Control!$C$6, PV[[#This Row],[Notional Value Local Cur]], -PV[[#This Row],[Notional Value Local Cur]])</f>
        <v>0</v>
      </c>
    </row>
    <row r="9229" spans="1:5" x14ac:dyDescent="0.25">
      <c r="A9229" s="36" t="b">
        <v>0</v>
      </c>
      <c r="B9229" s="56" t="b">
        <v>0</v>
      </c>
      <c r="C9229" s="56" t="b">
        <v>0</v>
      </c>
      <c r="D9229" s="56" t="b">
        <v>0</v>
      </c>
      <c r="E9229" s="56">
        <f ca="1">IF(PV[[#This Row],[Business Date]]=Control!$C$6, PV[[#This Row],[Notional Value Local Cur]], -PV[[#This Row],[Notional Value Local Cur]])</f>
        <v>0</v>
      </c>
    </row>
    <row r="9230" spans="1:5" x14ac:dyDescent="0.25">
      <c r="A9230" s="36" t="b">
        <v>0</v>
      </c>
      <c r="B9230" s="56" t="b">
        <v>0</v>
      </c>
      <c r="C9230" s="56" t="b">
        <v>0</v>
      </c>
      <c r="D9230" s="56" t="b">
        <v>0</v>
      </c>
      <c r="E9230" s="56">
        <f ca="1">IF(PV[[#This Row],[Business Date]]=Control!$C$6, PV[[#This Row],[Notional Value Local Cur]], -PV[[#This Row],[Notional Value Local Cur]])</f>
        <v>0</v>
      </c>
    </row>
    <row r="9231" spans="1:5" x14ac:dyDescent="0.25">
      <c r="A9231" s="36" t="b">
        <v>0</v>
      </c>
      <c r="B9231" s="56" t="b">
        <v>0</v>
      </c>
      <c r="C9231" s="56" t="b">
        <v>0</v>
      </c>
      <c r="D9231" s="56" t="b">
        <v>0</v>
      </c>
      <c r="E9231" s="56">
        <f ca="1">IF(PV[[#This Row],[Business Date]]=Control!$C$6, PV[[#This Row],[Notional Value Local Cur]], -PV[[#This Row],[Notional Value Local Cur]])</f>
        <v>0</v>
      </c>
    </row>
    <row r="9232" spans="1:5" x14ac:dyDescent="0.25">
      <c r="A9232" s="36" t="b">
        <v>0</v>
      </c>
      <c r="B9232" s="56" t="b">
        <v>0</v>
      </c>
      <c r="C9232" s="56" t="b">
        <v>0</v>
      </c>
      <c r="D9232" s="56" t="b">
        <v>0</v>
      </c>
      <c r="E9232" s="56">
        <f ca="1">IF(PV[[#This Row],[Business Date]]=Control!$C$6, PV[[#This Row],[Notional Value Local Cur]], -PV[[#This Row],[Notional Value Local Cur]])</f>
        <v>0</v>
      </c>
    </row>
    <row r="9233" spans="1:5" x14ac:dyDescent="0.25">
      <c r="A9233" s="36" t="b">
        <v>0</v>
      </c>
      <c r="B9233" s="56" t="b">
        <v>0</v>
      </c>
      <c r="C9233" s="56" t="b">
        <v>0</v>
      </c>
      <c r="D9233" s="56" t="b">
        <v>0</v>
      </c>
      <c r="E9233" s="56">
        <f ca="1">IF(PV[[#This Row],[Business Date]]=Control!$C$6, PV[[#This Row],[Notional Value Local Cur]], -PV[[#This Row],[Notional Value Local Cur]])</f>
        <v>0</v>
      </c>
    </row>
    <row r="9234" spans="1:5" x14ac:dyDescent="0.25">
      <c r="A9234" s="36" t="b">
        <v>0</v>
      </c>
      <c r="B9234" s="56" t="b">
        <v>0</v>
      </c>
      <c r="C9234" s="56" t="b">
        <v>0</v>
      </c>
      <c r="D9234" s="56" t="b">
        <v>0</v>
      </c>
      <c r="E9234" s="56">
        <f ca="1">IF(PV[[#This Row],[Business Date]]=Control!$C$6, PV[[#This Row],[Notional Value Local Cur]], -PV[[#This Row],[Notional Value Local Cur]])</f>
        <v>0</v>
      </c>
    </row>
    <row r="9235" spans="1:5" x14ac:dyDescent="0.25">
      <c r="A9235" s="36" t="b">
        <v>0</v>
      </c>
      <c r="B9235" s="56" t="b">
        <v>0</v>
      </c>
      <c r="C9235" s="56" t="b">
        <v>0</v>
      </c>
      <c r="D9235" s="56" t="b">
        <v>0</v>
      </c>
      <c r="E9235" s="56">
        <f ca="1">IF(PV[[#This Row],[Business Date]]=Control!$C$6, PV[[#This Row],[Notional Value Local Cur]], -PV[[#This Row],[Notional Value Local Cur]])</f>
        <v>0</v>
      </c>
    </row>
    <row r="9236" spans="1:5" x14ac:dyDescent="0.25">
      <c r="A9236" s="36" t="b">
        <v>0</v>
      </c>
      <c r="B9236" s="56" t="b">
        <v>0</v>
      </c>
      <c r="C9236" s="56" t="b">
        <v>0</v>
      </c>
      <c r="D9236" s="56" t="b">
        <v>0</v>
      </c>
      <c r="E9236" s="56">
        <f ca="1">IF(PV[[#This Row],[Business Date]]=Control!$C$6, PV[[#This Row],[Notional Value Local Cur]], -PV[[#This Row],[Notional Value Local Cur]])</f>
        <v>0</v>
      </c>
    </row>
    <row r="9237" spans="1:5" x14ac:dyDescent="0.25">
      <c r="A9237" s="36" t="b">
        <v>0</v>
      </c>
      <c r="B9237" s="56" t="b">
        <v>0</v>
      </c>
      <c r="C9237" s="56" t="b">
        <v>0</v>
      </c>
      <c r="D9237" s="56" t="b">
        <v>0</v>
      </c>
      <c r="E9237" s="56">
        <f ca="1">IF(PV[[#This Row],[Business Date]]=Control!$C$6, PV[[#This Row],[Notional Value Local Cur]], -PV[[#This Row],[Notional Value Local Cur]])</f>
        <v>0</v>
      </c>
    </row>
    <row r="9238" spans="1:5" x14ac:dyDescent="0.25">
      <c r="A9238" s="36" t="b">
        <v>0</v>
      </c>
      <c r="B9238" s="56" t="b">
        <v>0</v>
      </c>
      <c r="C9238" s="56" t="b">
        <v>0</v>
      </c>
      <c r="D9238" s="56" t="b">
        <v>0</v>
      </c>
      <c r="E9238" s="56">
        <f ca="1">IF(PV[[#This Row],[Business Date]]=Control!$C$6, PV[[#This Row],[Notional Value Local Cur]], -PV[[#This Row],[Notional Value Local Cur]])</f>
        <v>0</v>
      </c>
    </row>
    <row r="9239" spans="1:5" x14ac:dyDescent="0.25">
      <c r="A9239" s="36" t="b">
        <v>0</v>
      </c>
      <c r="B9239" s="56" t="b">
        <v>0</v>
      </c>
      <c r="C9239" s="56" t="b">
        <v>0</v>
      </c>
      <c r="D9239" s="56" t="b">
        <v>0</v>
      </c>
      <c r="E9239" s="56">
        <f ca="1">IF(PV[[#This Row],[Business Date]]=Control!$C$6, PV[[#This Row],[Notional Value Local Cur]], -PV[[#This Row],[Notional Value Local Cur]])</f>
        <v>0</v>
      </c>
    </row>
    <row r="9240" spans="1:5" x14ac:dyDescent="0.25">
      <c r="A9240" s="36" t="b">
        <v>0</v>
      </c>
      <c r="B9240" s="56" t="b">
        <v>0</v>
      </c>
      <c r="C9240" s="56" t="b">
        <v>0</v>
      </c>
      <c r="D9240" s="56" t="b">
        <v>0</v>
      </c>
      <c r="E9240" s="56">
        <f ca="1">IF(PV[[#This Row],[Business Date]]=Control!$C$6, PV[[#This Row],[Notional Value Local Cur]], -PV[[#This Row],[Notional Value Local Cur]])</f>
        <v>0</v>
      </c>
    </row>
    <row r="9241" spans="1:5" x14ac:dyDescent="0.25">
      <c r="A9241" s="36" t="b">
        <v>0</v>
      </c>
      <c r="B9241" s="56" t="b">
        <v>0</v>
      </c>
      <c r="C9241" s="56" t="b">
        <v>0</v>
      </c>
      <c r="D9241" s="56" t="b">
        <v>0</v>
      </c>
      <c r="E9241" s="56">
        <f ca="1">IF(PV[[#This Row],[Business Date]]=Control!$C$6, PV[[#This Row],[Notional Value Local Cur]], -PV[[#This Row],[Notional Value Local Cur]])</f>
        <v>0</v>
      </c>
    </row>
    <row r="9242" spans="1:5" x14ac:dyDescent="0.25">
      <c r="A9242" s="36" t="b">
        <v>0</v>
      </c>
      <c r="B9242" s="56" t="b">
        <v>0</v>
      </c>
      <c r="C9242" s="56" t="b">
        <v>0</v>
      </c>
      <c r="D9242" s="56" t="b">
        <v>0</v>
      </c>
      <c r="E9242" s="56">
        <f ca="1">IF(PV[[#This Row],[Business Date]]=Control!$C$6, PV[[#This Row],[Notional Value Local Cur]], -PV[[#This Row],[Notional Value Local Cur]])</f>
        <v>0</v>
      </c>
    </row>
    <row r="9243" spans="1:5" x14ac:dyDescent="0.25">
      <c r="A9243" s="36" t="b">
        <v>0</v>
      </c>
      <c r="B9243" s="56" t="b">
        <v>0</v>
      </c>
      <c r="C9243" s="56" t="b">
        <v>0</v>
      </c>
      <c r="D9243" s="56" t="b">
        <v>0</v>
      </c>
      <c r="E9243" s="56">
        <f ca="1">IF(PV[[#This Row],[Business Date]]=Control!$C$6, PV[[#This Row],[Notional Value Local Cur]], -PV[[#This Row],[Notional Value Local Cur]])</f>
        <v>0</v>
      </c>
    </row>
    <row r="9244" spans="1:5" x14ac:dyDescent="0.25">
      <c r="A9244" s="36" t="b">
        <v>0</v>
      </c>
      <c r="B9244" s="56" t="b">
        <v>0</v>
      </c>
      <c r="C9244" s="56" t="b">
        <v>0</v>
      </c>
      <c r="D9244" s="56" t="b">
        <v>0</v>
      </c>
      <c r="E9244" s="56">
        <f ca="1">IF(PV[[#This Row],[Business Date]]=Control!$C$6, PV[[#This Row],[Notional Value Local Cur]], -PV[[#This Row],[Notional Value Local Cur]])</f>
        <v>0</v>
      </c>
    </row>
    <row r="9245" spans="1:5" x14ac:dyDescent="0.25">
      <c r="A9245" s="36" t="b">
        <v>0</v>
      </c>
      <c r="B9245" s="56" t="b">
        <v>0</v>
      </c>
      <c r="C9245" s="56" t="b">
        <v>0</v>
      </c>
      <c r="D9245" s="56" t="b">
        <v>0</v>
      </c>
      <c r="E9245" s="56">
        <f ca="1">IF(PV[[#This Row],[Business Date]]=Control!$C$6, PV[[#This Row],[Notional Value Local Cur]], -PV[[#This Row],[Notional Value Local Cur]])</f>
        <v>0</v>
      </c>
    </row>
    <row r="9246" spans="1:5" x14ac:dyDescent="0.25">
      <c r="A9246" s="36" t="b">
        <v>0</v>
      </c>
      <c r="B9246" s="56" t="b">
        <v>0</v>
      </c>
      <c r="C9246" s="56" t="b">
        <v>0</v>
      </c>
      <c r="D9246" s="56" t="b">
        <v>0</v>
      </c>
      <c r="E9246" s="56">
        <f ca="1">IF(PV[[#This Row],[Business Date]]=Control!$C$6, PV[[#This Row],[Notional Value Local Cur]], -PV[[#This Row],[Notional Value Local Cur]])</f>
        <v>0</v>
      </c>
    </row>
    <row r="9247" spans="1:5" x14ac:dyDescent="0.25">
      <c r="A9247" s="36" t="b">
        <v>0</v>
      </c>
      <c r="B9247" s="56" t="b">
        <v>0</v>
      </c>
      <c r="C9247" s="56" t="b">
        <v>0</v>
      </c>
      <c r="D9247" s="56" t="b">
        <v>0</v>
      </c>
      <c r="E9247" s="56">
        <f ca="1">IF(PV[[#This Row],[Business Date]]=Control!$C$6, PV[[#This Row],[Notional Value Local Cur]], -PV[[#This Row],[Notional Value Local Cur]])</f>
        <v>0</v>
      </c>
    </row>
    <row r="9248" spans="1:5" x14ac:dyDescent="0.25">
      <c r="A9248" s="36" t="b">
        <v>0</v>
      </c>
      <c r="B9248" s="56" t="b">
        <v>0</v>
      </c>
      <c r="C9248" s="56" t="b">
        <v>0</v>
      </c>
      <c r="D9248" s="56" t="b">
        <v>0</v>
      </c>
      <c r="E9248" s="56">
        <f ca="1">IF(PV[[#This Row],[Business Date]]=Control!$C$6, PV[[#This Row],[Notional Value Local Cur]], -PV[[#This Row],[Notional Value Local Cur]])</f>
        <v>0</v>
      </c>
    </row>
    <row r="9249" spans="1:5" x14ac:dyDescent="0.25">
      <c r="A9249" s="36" t="b">
        <v>0</v>
      </c>
      <c r="B9249" s="56" t="b">
        <v>0</v>
      </c>
      <c r="C9249" s="56" t="b">
        <v>0</v>
      </c>
      <c r="D9249" s="56" t="b">
        <v>0</v>
      </c>
      <c r="E9249" s="56">
        <f ca="1">IF(PV[[#This Row],[Business Date]]=Control!$C$6, PV[[#This Row],[Notional Value Local Cur]], -PV[[#This Row],[Notional Value Local Cur]])</f>
        <v>0</v>
      </c>
    </row>
    <row r="9250" spans="1:5" x14ac:dyDescent="0.25">
      <c r="A9250" s="36" t="b">
        <v>0</v>
      </c>
      <c r="B9250" s="56" t="b">
        <v>0</v>
      </c>
      <c r="C9250" s="56" t="b">
        <v>0</v>
      </c>
      <c r="D9250" s="56" t="b">
        <v>0</v>
      </c>
      <c r="E9250" s="56">
        <f ca="1">IF(PV[[#This Row],[Business Date]]=Control!$C$6, PV[[#This Row],[Notional Value Local Cur]], -PV[[#This Row],[Notional Value Local Cur]])</f>
        <v>0</v>
      </c>
    </row>
    <row r="9251" spans="1:5" x14ac:dyDescent="0.25">
      <c r="A9251" s="36" t="b">
        <v>0</v>
      </c>
      <c r="B9251" s="56" t="b">
        <v>0</v>
      </c>
      <c r="C9251" s="56" t="b">
        <v>0</v>
      </c>
      <c r="D9251" s="56" t="b">
        <v>0</v>
      </c>
      <c r="E9251" s="56">
        <f ca="1">IF(PV[[#This Row],[Business Date]]=Control!$C$6, PV[[#This Row],[Notional Value Local Cur]], -PV[[#This Row],[Notional Value Local Cur]])</f>
        <v>0</v>
      </c>
    </row>
    <row r="9252" spans="1:5" x14ac:dyDescent="0.25">
      <c r="A9252" s="36" t="b">
        <v>0</v>
      </c>
      <c r="B9252" s="56" t="b">
        <v>0</v>
      </c>
      <c r="C9252" s="56" t="b">
        <v>0</v>
      </c>
      <c r="D9252" s="56" t="b">
        <v>0</v>
      </c>
      <c r="E9252" s="56">
        <f ca="1">IF(PV[[#This Row],[Business Date]]=Control!$C$6, PV[[#This Row],[Notional Value Local Cur]], -PV[[#This Row],[Notional Value Local Cur]])</f>
        <v>0</v>
      </c>
    </row>
    <row r="9253" spans="1:5" x14ac:dyDescent="0.25">
      <c r="A9253" s="36" t="b">
        <v>0</v>
      </c>
      <c r="B9253" s="56" t="b">
        <v>0</v>
      </c>
      <c r="C9253" s="56" t="b">
        <v>0</v>
      </c>
      <c r="D9253" s="56" t="b">
        <v>0</v>
      </c>
      <c r="E9253" s="56">
        <f ca="1">IF(PV[[#This Row],[Business Date]]=Control!$C$6, PV[[#This Row],[Notional Value Local Cur]], -PV[[#This Row],[Notional Value Local Cur]])</f>
        <v>0</v>
      </c>
    </row>
    <row r="9254" spans="1:5" x14ac:dyDescent="0.25">
      <c r="A9254" s="36" t="b">
        <v>0</v>
      </c>
      <c r="B9254" s="56" t="b">
        <v>0</v>
      </c>
      <c r="C9254" s="56" t="b">
        <v>0</v>
      </c>
      <c r="D9254" s="56" t="b">
        <v>0</v>
      </c>
      <c r="E9254" s="56">
        <f ca="1">IF(PV[[#This Row],[Business Date]]=Control!$C$6, PV[[#This Row],[Notional Value Local Cur]], -PV[[#This Row],[Notional Value Local Cur]])</f>
        <v>0</v>
      </c>
    </row>
    <row r="9255" spans="1:5" x14ac:dyDescent="0.25">
      <c r="A9255" s="36" t="b">
        <v>0</v>
      </c>
      <c r="B9255" s="56" t="b">
        <v>0</v>
      </c>
      <c r="C9255" s="56" t="b">
        <v>0</v>
      </c>
      <c r="D9255" s="56" t="b">
        <v>0</v>
      </c>
      <c r="E9255" s="56">
        <f ca="1">IF(PV[[#This Row],[Business Date]]=Control!$C$6, PV[[#This Row],[Notional Value Local Cur]], -PV[[#This Row],[Notional Value Local Cur]])</f>
        <v>0</v>
      </c>
    </row>
    <row r="9256" spans="1:5" x14ac:dyDescent="0.25">
      <c r="A9256" s="36" t="b">
        <v>0</v>
      </c>
      <c r="B9256" s="56" t="b">
        <v>0</v>
      </c>
      <c r="C9256" s="56" t="b">
        <v>0</v>
      </c>
      <c r="D9256" s="56" t="b">
        <v>0</v>
      </c>
      <c r="E9256" s="56">
        <f ca="1">IF(PV[[#This Row],[Business Date]]=Control!$C$6, PV[[#This Row],[Notional Value Local Cur]], -PV[[#This Row],[Notional Value Local Cur]])</f>
        <v>0</v>
      </c>
    </row>
    <row r="9257" spans="1:5" x14ac:dyDescent="0.25">
      <c r="A9257" s="36" t="b">
        <v>0</v>
      </c>
      <c r="B9257" s="56" t="b">
        <v>0</v>
      </c>
      <c r="C9257" s="56" t="b">
        <v>0</v>
      </c>
      <c r="D9257" s="56" t="b">
        <v>0</v>
      </c>
      <c r="E9257" s="56">
        <f ca="1">IF(PV[[#This Row],[Business Date]]=Control!$C$6, PV[[#This Row],[Notional Value Local Cur]], -PV[[#This Row],[Notional Value Local Cur]])</f>
        <v>0</v>
      </c>
    </row>
    <row r="9258" spans="1:5" x14ac:dyDescent="0.25">
      <c r="A9258" s="36" t="b">
        <v>0</v>
      </c>
      <c r="B9258" s="56" t="b">
        <v>0</v>
      </c>
      <c r="C9258" s="56" t="b">
        <v>0</v>
      </c>
      <c r="D9258" s="56" t="b">
        <v>0</v>
      </c>
      <c r="E9258" s="56">
        <f ca="1">IF(PV[[#This Row],[Business Date]]=Control!$C$6, PV[[#This Row],[Notional Value Local Cur]], -PV[[#This Row],[Notional Value Local Cur]])</f>
        <v>0</v>
      </c>
    </row>
    <row r="9259" spans="1:5" x14ac:dyDescent="0.25">
      <c r="A9259" s="36" t="b">
        <v>0</v>
      </c>
      <c r="B9259" s="56" t="b">
        <v>0</v>
      </c>
      <c r="C9259" s="56" t="b">
        <v>0</v>
      </c>
      <c r="D9259" s="56" t="b">
        <v>0</v>
      </c>
      <c r="E9259" s="56">
        <f ca="1">IF(PV[[#This Row],[Business Date]]=Control!$C$6, PV[[#This Row],[Notional Value Local Cur]], -PV[[#This Row],[Notional Value Local Cur]])</f>
        <v>0</v>
      </c>
    </row>
    <row r="9260" spans="1:5" x14ac:dyDescent="0.25">
      <c r="A9260" s="36" t="b">
        <v>0</v>
      </c>
      <c r="B9260" s="56" t="b">
        <v>0</v>
      </c>
      <c r="C9260" s="56" t="b">
        <v>0</v>
      </c>
      <c r="D9260" s="56" t="b">
        <v>0</v>
      </c>
      <c r="E9260" s="56">
        <f ca="1">IF(PV[[#This Row],[Business Date]]=Control!$C$6, PV[[#This Row],[Notional Value Local Cur]], -PV[[#This Row],[Notional Value Local Cur]])</f>
        <v>0</v>
      </c>
    </row>
    <row r="9261" spans="1:5" x14ac:dyDescent="0.25">
      <c r="A9261" s="36" t="b">
        <v>0</v>
      </c>
      <c r="B9261" s="56" t="b">
        <v>0</v>
      </c>
      <c r="C9261" s="56" t="b">
        <v>0</v>
      </c>
      <c r="D9261" s="56" t="b">
        <v>0</v>
      </c>
      <c r="E9261" s="56">
        <f ca="1">IF(PV[[#This Row],[Business Date]]=Control!$C$6, PV[[#This Row],[Notional Value Local Cur]], -PV[[#This Row],[Notional Value Local Cur]])</f>
        <v>0</v>
      </c>
    </row>
    <row r="9262" spans="1:5" x14ac:dyDescent="0.25">
      <c r="A9262" s="36" t="b">
        <v>0</v>
      </c>
      <c r="B9262" s="56" t="b">
        <v>0</v>
      </c>
      <c r="C9262" s="56" t="b">
        <v>0</v>
      </c>
      <c r="D9262" s="56" t="b">
        <v>0</v>
      </c>
      <c r="E9262" s="56">
        <f ca="1">IF(PV[[#This Row],[Business Date]]=Control!$C$6, PV[[#This Row],[Notional Value Local Cur]], -PV[[#This Row],[Notional Value Local Cur]])</f>
        <v>0</v>
      </c>
    </row>
    <row r="9263" spans="1:5" x14ac:dyDescent="0.25">
      <c r="A9263" s="36" t="b">
        <v>0</v>
      </c>
      <c r="B9263" s="56" t="b">
        <v>0</v>
      </c>
      <c r="C9263" s="56" t="b">
        <v>0</v>
      </c>
      <c r="D9263" s="56" t="b">
        <v>0</v>
      </c>
      <c r="E9263" s="56">
        <f ca="1">IF(PV[[#This Row],[Business Date]]=Control!$C$6, PV[[#This Row],[Notional Value Local Cur]], -PV[[#This Row],[Notional Value Local Cur]])</f>
        <v>0</v>
      </c>
    </row>
    <row r="9264" spans="1:5" x14ac:dyDescent="0.25">
      <c r="A9264" s="36" t="b">
        <v>0</v>
      </c>
      <c r="B9264" s="56" t="b">
        <v>0</v>
      </c>
      <c r="C9264" s="56" t="b">
        <v>0</v>
      </c>
      <c r="D9264" s="56" t="b">
        <v>0</v>
      </c>
      <c r="E9264" s="56">
        <f ca="1">IF(PV[[#This Row],[Business Date]]=Control!$C$6, PV[[#This Row],[Notional Value Local Cur]], -PV[[#This Row],[Notional Value Local Cur]])</f>
        <v>0</v>
      </c>
    </row>
    <row r="9265" spans="1:5" x14ac:dyDescent="0.25">
      <c r="A9265" s="36" t="b">
        <v>0</v>
      </c>
      <c r="B9265" s="56" t="b">
        <v>0</v>
      </c>
      <c r="C9265" s="56" t="b">
        <v>0</v>
      </c>
      <c r="D9265" s="56" t="b">
        <v>0</v>
      </c>
      <c r="E9265" s="56">
        <f ca="1">IF(PV[[#This Row],[Business Date]]=Control!$C$6, PV[[#This Row],[Notional Value Local Cur]], -PV[[#This Row],[Notional Value Local Cur]])</f>
        <v>0</v>
      </c>
    </row>
    <row r="9266" spans="1:5" x14ac:dyDescent="0.25">
      <c r="A9266" s="36" t="b">
        <v>0</v>
      </c>
      <c r="B9266" s="56" t="b">
        <v>0</v>
      </c>
      <c r="C9266" s="56" t="b">
        <v>0</v>
      </c>
      <c r="D9266" s="56" t="b">
        <v>0</v>
      </c>
      <c r="E9266" s="56">
        <f ca="1">IF(PV[[#This Row],[Business Date]]=Control!$C$6, PV[[#This Row],[Notional Value Local Cur]], -PV[[#This Row],[Notional Value Local Cur]])</f>
        <v>0</v>
      </c>
    </row>
    <row r="9267" spans="1:5" x14ac:dyDescent="0.25">
      <c r="A9267" s="36" t="b">
        <v>0</v>
      </c>
      <c r="B9267" s="56" t="b">
        <v>0</v>
      </c>
      <c r="C9267" s="56" t="b">
        <v>0</v>
      </c>
      <c r="D9267" s="56" t="b">
        <v>0</v>
      </c>
      <c r="E9267" s="56">
        <f ca="1">IF(PV[[#This Row],[Business Date]]=Control!$C$6, PV[[#This Row],[Notional Value Local Cur]], -PV[[#This Row],[Notional Value Local Cur]])</f>
        <v>0</v>
      </c>
    </row>
    <row r="9268" spans="1:5" x14ac:dyDescent="0.25">
      <c r="A9268" s="36" t="b">
        <v>0</v>
      </c>
      <c r="B9268" s="56" t="b">
        <v>0</v>
      </c>
      <c r="C9268" s="56" t="b">
        <v>0</v>
      </c>
      <c r="D9268" s="56" t="b">
        <v>0</v>
      </c>
      <c r="E9268" s="56">
        <f ca="1">IF(PV[[#This Row],[Business Date]]=Control!$C$6, PV[[#This Row],[Notional Value Local Cur]], -PV[[#This Row],[Notional Value Local Cur]])</f>
        <v>0</v>
      </c>
    </row>
    <row r="9269" spans="1:5" x14ac:dyDescent="0.25">
      <c r="A9269" s="36" t="b">
        <v>0</v>
      </c>
      <c r="B9269" s="56" t="b">
        <v>0</v>
      </c>
      <c r="C9269" s="56" t="b">
        <v>0</v>
      </c>
      <c r="D9269" s="56" t="b">
        <v>0</v>
      </c>
      <c r="E9269" s="56">
        <f ca="1">IF(PV[[#This Row],[Business Date]]=Control!$C$6, PV[[#This Row],[Notional Value Local Cur]], -PV[[#This Row],[Notional Value Local Cur]])</f>
        <v>0</v>
      </c>
    </row>
    <row r="9270" spans="1:5" x14ac:dyDescent="0.25">
      <c r="A9270" s="36" t="b">
        <v>0</v>
      </c>
      <c r="B9270" s="56" t="b">
        <v>0</v>
      </c>
      <c r="C9270" s="56" t="b">
        <v>0</v>
      </c>
      <c r="D9270" s="56" t="b">
        <v>0</v>
      </c>
      <c r="E9270" s="56">
        <f ca="1">IF(PV[[#This Row],[Business Date]]=Control!$C$6, PV[[#This Row],[Notional Value Local Cur]], -PV[[#This Row],[Notional Value Local Cur]])</f>
        <v>0</v>
      </c>
    </row>
    <row r="9271" spans="1:5" x14ac:dyDescent="0.25">
      <c r="A9271" s="36" t="b">
        <v>0</v>
      </c>
      <c r="B9271" s="56" t="b">
        <v>0</v>
      </c>
      <c r="C9271" s="56" t="b">
        <v>0</v>
      </c>
      <c r="D9271" s="56" t="b">
        <v>0</v>
      </c>
      <c r="E9271" s="56">
        <f ca="1">IF(PV[[#This Row],[Business Date]]=Control!$C$6, PV[[#This Row],[Notional Value Local Cur]], -PV[[#This Row],[Notional Value Local Cur]])</f>
        <v>0</v>
      </c>
    </row>
    <row r="9272" spans="1:5" x14ac:dyDescent="0.25">
      <c r="A9272" s="36" t="b">
        <v>0</v>
      </c>
      <c r="B9272" s="56" t="b">
        <v>0</v>
      </c>
      <c r="C9272" s="56" t="b">
        <v>0</v>
      </c>
      <c r="D9272" s="56" t="b">
        <v>0</v>
      </c>
      <c r="E9272" s="56">
        <f ca="1">IF(PV[[#This Row],[Business Date]]=Control!$C$6, PV[[#This Row],[Notional Value Local Cur]], -PV[[#This Row],[Notional Value Local Cur]])</f>
        <v>0</v>
      </c>
    </row>
    <row r="9273" spans="1:5" x14ac:dyDescent="0.25">
      <c r="A9273" s="36" t="b">
        <v>0</v>
      </c>
      <c r="B9273" s="56" t="b">
        <v>0</v>
      </c>
      <c r="C9273" s="56" t="b">
        <v>0</v>
      </c>
      <c r="D9273" s="56" t="b">
        <v>0</v>
      </c>
      <c r="E9273" s="56">
        <f ca="1">IF(PV[[#This Row],[Business Date]]=Control!$C$6, PV[[#This Row],[Notional Value Local Cur]], -PV[[#This Row],[Notional Value Local Cur]])</f>
        <v>0</v>
      </c>
    </row>
    <row r="9274" spans="1:5" x14ac:dyDescent="0.25">
      <c r="A9274" s="36" t="b">
        <v>0</v>
      </c>
      <c r="B9274" s="56" t="b">
        <v>0</v>
      </c>
      <c r="C9274" s="56" t="b">
        <v>0</v>
      </c>
      <c r="D9274" s="56" t="b">
        <v>0</v>
      </c>
      <c r="E9274" s="56">
        <f ca="1">IF(PV[[#This Row],[Business Date]]=Control!$C$6, PV[[#This Row],[Notional Value Local Cur]], -PV[[#This Row],[Notional Value Local Cur]])</f>
        <v>0</v>
      </c>
    </row>
    <row r="9275" spans="1:5" x14ac:dyDescent="0.25">
      <c r="A9275" s="36" t="b">
        <v>0</v>
      </c>
      <c r="B9275" s="56" t="b">
        <v>0</v>
      </c>
      <c r="C9275" s="56" t="b">
        <v>0</v>
      </c>
      <c r="D9275" s="56" t="b">
        <v>0</v>
      </c>
      <c r="E9275" s="56">
        <f ca="1">IF(PV[[#This Row],[Business Date]]=Control!$C$6, PV[[#This Row],[Notional Value Local Cur]], -PV[[#This Row],[Notional Value Local Cur]])</f>
        <v>0</v>
      </c>
    </row>
    <row r="9276" spans="1:5" x14ac:dyDescent="0.25">
      <c r="A9276" s="36" t="b">
        <v>0</v>
      </c>
      <c r="B9276" s="56" t="b">
        <v>0</v>
      </c>
      <c r="C9276" s="56" t="b">
        <v>0</v>
      </c>
      <c r="D9276" s="56" t="b">
        <v>0</v>
      </c>
      <c r="E9276" s="56">
        <f ca="1">IF(PV[[#This Row],[Business Date]]=Control!$C$6, PV[[#This Row],[Notional Value Local Cur]], -PV[[#This Row],[Notional Value Local Cur]])</f>
        <v>0</v>
      </c>
    </row>
    <row r="9277" spans="1:5" x14ac:dyDescent="0.25">
      <c r="A9277" s="36" t="b">
        <v>0</v>
      </c>
      <c r="B9277" s="56" t="b">
        <v>0</v>
      </c>
      <c r="C9277" s="56" t="b">
        <v>0</v>
      </c>
      <c r="D9277" s="56" t="b">
        <v>0</v>
      </c>
      <c r="E9277" s="56">
        <f ca="1">IF(PV[[#This Row],[Business Date]]=Control!$C$6, PV[[#This Row],[Notional Value Local Cur]], -PV[[#This Row],[Notional Value Local Cur]])</f>
        <v>0</v>
      </c>
    </row>
    <row r="9278" spans="1:5" x14ac:dyDescent="0.25">
      <c r="A9278" s="36" t="b">
        <v>0</v>
      </c>
      <c r="B9278" s="56" t="b">
        <v>0</v>
      </c>
      <c r="C9278" s="56" t="b">
        <v>0</v>
      </c>
      <c r="D9278" s="56" t="b">
        <v>0</v>
      </c>
      <c r="E9278" s="56">
        <f ca="1">IF(PV[[#This Row],[Business Date]]=Control!$C$6, PV[[#This Row],[Notional Value Local Cur]], -PV[[#This Row],[Notional Value Local Cur]])</f>
        <v>0</v>
      </c>
    </row>
    <row r="9279" spans="1:5" x14ac:dyDescent="0.25">
      <c r="A9279" s="36" t="b">
        <v>0</v>
      </c>
      <c r="B9279" s="56" t="b">
        <v>0</v>
      </c>
      <c r="C9279" s="56" t="b">
        <v>0</v>
      </c>
      <c r="D9279" s="56" t="b">
        <v>0</v>
      </c>
      <c r="E9279" s="56">
        <f ca="1">IF(PV[[#This Row],[Business Date]]=Control!$C$6, PV[[#This Row],[Notional Value Local Cur]], -PV[[#This Row],[Notional Value Local Cur]])</f>
        <v>0</v>
      </c>
    </row>
    <row r="9280" spans="1:5" x14ac:dyDescent="0.25">
      <c r="A9280" s="36" t="b">
        <v>0</v>
      </c>
      <c r="B9280" s="56" t="b">
        <v>0</v>
      </c>
      <c r="C9280" s="56" t="b">
        <v>0</v>
      </c>
      <c r="D9280" s="56" t="b">
        <v>0</v>
      </c>
      <c r="E9280" s="56">
        <f ca="1">IF(PV[[#This Row],[Business Date]]=Control!$C$6, PV[[#This Row],[Notional Value Local Cur]], -PV[[#This Row],[Notional Value Local Cur]])</f>
        <v>0</v>
      </c>
    </row>
    <row r="9281" spans="1:5" x14ac:dyDescent="0.25">
      <c r="A9281" s="36" t="b">
        <v>0</v>
      </c>
      <c r="B9281" s="56" t="b">
        <v>0</v>
      </c>
      <c r="C9281" s="56" t="b">
        <v>0</v>
      </c>
      <c r="D9281" s="56" t="b">
        <v>0</v>
      </c>
      <c r="E9281" s="56">
        <f ca="1">IF(PV[[#This Row],[Business Date]]=Control!$C$6, PV[[#This Row],[Notional Value Local Cur]], -PV[[#This Row],[Notional Value Local Cur]])</f>
        <v>0</v>
      </c>
    </row>
    <row r="9282" spans="1:5" x14ac:dyDescent="0.25">
      <c r="A9282" s="36" t="b">
        <v>0</v>
      </c>
      <c r="B9282" s="56" t="b">
        <v>0</v>
      </c>
      <c r="C9282" s="56" t="b">
        <v>0</v>
      </c>
      <c r="D9282" s="56" t="b">
        <v>0</v>
      </c>
      <c r="E9282" s="56">
        <f ca="1">IF(PV[[#This Row],[Business Date]]=Control!$C$6, PV[[#This Row],[Notional Value Local Cur]], -PV[[#This Row],[Notional Value Local Cur]])</f>
        <v>0</v>
      </c>
    </row>
    <row r="9283" spans="1:5" x14ac:dyDescent="0.25">
      <c r="A9283" s="36" t="b">
        <v>0</v>
      </c>
      <c r="B9283" s="56" t="b">
        <v>0</v>
      </c>
      <c r="C9283" s="56" t="b">
        <v>0</v>
      </c>
      <c r="D9283" s="56" t="b">
        <v>0</v>
      </c>
      <c r="E9283" s="56">
        <f ca="1">IF(PV[[#This Row],[Business Date]]=Control!$C$6, PV[[#This Row],[Notional Value Local Cur]], -PV[[#This Row],[Notional Value Local Cur]])</f>
        <v>0</v>
      </c>
    </row>
    <row r="9284" spans="1:5" x14ac:dyDescent="0.25">
      <c r="A9284" s="36" t="b">
        <v>0</v>
      </c>
      <c r="B9284" s="56" t="b">
        <v>0</v>
      </c>
      <c r="C9284" s="56" t="b">
        <v>0</v>
      </c>
      <c r="D9284" s="56" t="b">
        <v>0</v>
      </c>
      <c r="E9284" s="56">
        <f ca="1">IF(PV[[#This Row],[Business Date]]=Control!$C$6, PV[[#This Row],[Notional Value Local Cur]], -PV[[#This Row],[Notional Value Local Cur]])</f>
        <v>0</v>
      </c>
    </row>
    <row r="9285" spans="1:5" x14ac:dyDescent="0.25">
      <c r="A9285" s="36" t="b">
        <v>0</v>
      </c>
      <c r="B9285" s="56" t="b">
        <v>0</v>
      </c>
      <c r="C9285" s="56" t="b">
        <v>0</v>
      </c>
      <c r="D9285" s="56" t="b">
        <v>0</v>
      </c>
      <c r="E9285" s="56">
        <f ca="1">IF(PV[[#This Row],[Business Date]]=Control!$C$6, PV[[#This Row],[Notional Value Local Cur]], -PV[[#This Row],[Notional Value Local Cur]])</f>
        <v>0</v>
      </c>
    </row>
    <row r="9286" spans="1:5" x14ac:dyDescent="0.25">
      <c r="A9286" s="36" t="b">
        <v>0</v>
      </c>
      <c r="B9286" s="56" t="b">
        <v>0</v>
      </c>
      <c r="C9286" s="56" t="b">
        <v>0</v>
      </c>
      <c r="D9286" s="56" t="b">
        <v>0</v>
      </c>
      <c r="E9286" s="56">
        <f ca="1">IF(PV[[#This Row],[Business Date]]=Control!$C$6, PV[[#This Row],[Notional Value Local Cur]], -PV[[#This Row],[Notional Value Local Cur]])</f>
        <v>0</v>
      </c>
    </row>
    <row r="9287" spans="1:5" x14ac:dyDescent="0.25">
      <c r="A9287" s="36" t="b">
        <v>0</v>
      </c>
      <c r="B9287" s="56" t="b">
        <v>0</v>
      </c>
      <c r="C9287" s="56" t="b">
        <v>0</v>
      </c>
      <c r="D9287" s="56" t="b">
        <v>0</v>
      </c>
      <c r="E9287" s="56">
        <f ca="1">IF(PV[[#This Row],[Business Date]]=Control!$C$6, PV[[#This Row],[Notional Value Local Cur]], -PV[[#This Row],[Notional Value Local Cur]])</f>
        <v>0</v>
      </c>
    </row>
    <row r="9288" spans="1:5" x14ac:dyDescent="0.25">
      <c r="A9288" s="36" t="b">
        <v>0</v>
      </c>
      <c r="B9288" s="56" t="b">
        <v>0</v>
      </c>
      <c r="C9288" s="56" t="b">
        <v>0</v>
      </c>
      <c r="D9288" s="56" t="b">
        <v>0</v>
      </c>
      <c r="E9288" s="56">
        <f ca="1">IF(PV[[#This Row],[Business Date]]=Control!$C$6, PV[[#This Row],[Notional Value Local Cur]], -PV[[#This Row],[Notional Value Local Cur]])</f>
        <v>0</v>
      </c>
    </row>
    <row r="9289" spans="1:5" x14ac:dyDescent="0.25">
      <c r="A9289" s="36" t="b">
        <v>0</v>
      </c>
      <c r="B9289" s="56" t="b">
        <v>0</v>
      </c>
      <c r="C9289" s="56" t="b">
        <v>0</v>
      </c>
      <c r="D9289" s="56" t="b">
        <v>0</v>
      </c>
      <c r="E9289" s="56">
        <f ca="1">IF(PV[[#This Row],[Business Date]]=Control!$C$6, PV[[#This Row],[Notional Value Local Cur]], -PV[[#This Row],[Notional Value Local Cur]])</f>
        <v>0</v>
      </c>
    </row>
    <row r="9290" spans="1:5" x14ac:dyDescent="0.25">
      <c r="A9290" s="36" t="b">
        <v>0</v>
      </c>
      <c r="B9290" s="56" t="b">
        <v>0</v>
      </c>
      <c r="C9290" s="56" t="b">
        <v>0</v>
      </c>
      <c r="D9290" s="56" t="b">
        <v>0</v>
      </c>
      <c r="E9290" s="56">
        <f ca="1">IF(PV[[#This Row],[Business Date]]=Control!$C$6, PV[[#This Row],[Notional Value Local Cur]], -PV[[#This Row],[Notional Value Local Cur]])</f>
        <v>0</v>
      </c>
    </row>
    <row r="9291" spans="1:5" x14ac:dyDescent="0.25">
      <c r="A9291" s="36" t="b">
        <v>0</v>
      </c>
      <c r="B9291" s="56" t="b">
        <v>0</v>
      </c>
      <c r="C9291" s="56" t="b">
        <v>0</v>
      </c>
      <c r="D9291" s="56" t="b">
        <v>0</v>
      </c>
      <c r="E9291" s="56">
        <f ca="1">IF(PV[[#This Row],[Business Date]]=Control!$C$6, PV[[#This Row],[Notional Value Local Cur]], -PV[[#This Row],[Notional Value Local Cur]])</f>
        <v>0</v>
      </c>
    </row>
    <row r="9292" spans="1:5" x14ac:dyDescent="0.25">
      <c r="A9292" s="36" t="b">
        <v>0</v>
      </c>
      <c r="B9292" s="56" t="b">
        <v>0</v>
      </c>
      <c r="C9292" s="56" t="b">
        <v>0</v>
      </c>
      <c r="D9292" s="56" t="b">
        <v>0</v>
      </c>
      <c r="E9292" s="56">
        <f ca="1">IF(PV[[#This Row],[Business Date]]=Control!$C$6, PV[[#This Row],[Notional Value Local Cur]], -PV[[#This Row],[Notional Value Local Cur]])</f>
        <v>0</v>
      </c>
    </row>
    <row r="9293" spans="1:5" x14ac:dyDescent="0.25">
      <c r="A9293" s="36" t="b">
        <v>0</v>
      </c>
      <c r="B9293" s="56" t="b">
        <v>0</v>
      </c>
      <c r="C9293" s="56" t="b">
        <v>0</v>
      </c>
      <c r="D9293" s="56" t="b">
        <v>0</v>
      </c>
      <c r="E9293" s="56">
        <f ca="1">IF(PV[[#This Row],[Business Date]]=Control!$C$6, PV[[#This Row],[Notional Value Local Cur]], -PV[[#This Row],[Notional Value Local Cur]])</f>
        <v>0</v>
      </c>
    </row>
    <row r="9294" spans="1:5" x14ac:dyDescent="0.25">
      <c r="A9294" s="36" t="b">
        <v>0</v>
      </c>
      <c r="B9294" s="56" t="b">
        <v>0</v>
      </c>
      <c r="C9294" s="56" t="b">
        <v>0</v>
      </c>
      <c r="D9294" s="56" t="b">
        <v>0</v>
      </c>
      <c r="E9294" s="56">
        <f ca="1">IF(PV[[#This Row],[Business Date]]=Control!$C$6, PV[[#This Row],[Notional Value Local Cur]], -PV[[#This Row],[Notional Value Local Cur]])</f>
        <v>0</v>
      </c>
    </row>
    <row r="9295" spans="1:5" x14ac:dyDescent="0.25">
      <c r="A9295" s="36" t="b">
        <v>0</v>
      </c>
      <c r="B9295" s="56" t="b">
        <v>0</v>
      </c>
      <c r="C9295" s="56" t="b">
        <v>0</v>
      </c>
      <c r="D9295" s="56" t="b">
        <v>0</v>
      </c>
      <c r="E9295" s="56">
        <f ca="1">IF(PV[[#This Row],[Business Date]]=Control!$C$6, PV[[#This Row],[Notional Value Local Cur]], -PV[[#This Row],[Notional Value Local Cur]])</f>
        <v>0</v>
      </c>
    </row>
    <row r="9296" spans="1:5" x14ac:dyDescent="0.25">
      <c r="A9296" s="36" t="b">
        <v>0</v>
      </c>
      <c r="B9296" s="56" t="b">
        <v>0</v>
      </c>
      <c r="C9296" s="56" t="b">
        <v>0</v>
      </c>
      <c r="D9296" s="56" t="b">
        <v>0</v>
      </c>
      <c r="E9296" s="56">
        <f ca="1">IF(PV[[#This Row],[Business Date]]=Control!$C$6, PV[[#This Row],[Notional Value Local Cur]], -PV[[#This Row],[Notional Value Local Cur]])</f>
        <v>0</v>
      </c>
    </row>
    <row r="9297" spans="1:5" x14ac:dyDescent="0.25">
      <c r="A9297" s="36" t="b">
        <v>0</v>
      </c>
      <c r="B9297" s="56" t="b">
        <v>0</v>
      </c>
      <c r="C9297" s="56" t="b">
        <v>0</v>
      </c>
      <c r="D9297" s="56" t="b">
        <v>0</v>
      </c>
      <c r="E9297" s="56">
        <f ca="1">IF(PV[[#This Row],[Business Date]]=Control!$C$6, PV[[#This Row],[Notional Value Local Cur]], -PV[[#This Row],[Notional Value Local Cur]])</f>
        <v>0</v>
      </c>
    </row>
    <row r="9298" spans="1:5" x14ac:dyDescent="0.25">
      <c r="A9298" s="36" t="b">
        <v>0</v>
      </c>
      <c r="B9298" s="56" t="b">
        <v>0</v>
      </c>
      <c r="C9298" s="56" t="b">
        <v>0</v>
      </c>
      <c r="D9298" s="56" t="b">
        <v>0</v>
      </c>
      <c r="E9298" s="56">
        <f ca="1">IF(PV[[#This Row],[Business Date]]=Control!$C$6, PV[[#This Row],[Notional Value Local Cur]], -PV[[#This Row],[Notional Value Local Cur]])</f>
        <v>0</v>
      </c>
    </row>
    <row r="9299" spans="1:5" x14ac:dyDescent="0.25">
      <c r="A9299" s="36" t="b">
        <v>0</v>
      </c>
      <c r="B9299" s="56" t="b">
        <v>0</v>
      </c>
      <c r="C9299" s="56" t="b">
        <v>0</v>
      </c>
      <c r="D9299" s="56" t="b">
        <v>0</v>
      </c>
      <c r="E9299" s="56">
        <f ca="1">IF(PV[[#This Row],[Business Date]]=Control!$C$6, PV[[#This Row],[Notional Value Local Cur]], -PV[[#This Row],[Notional Value Local Cur]])</f>
        <v>0</v>
      </c>
    </row>
    <row r="9300" spans="1:5" x14ac:dyDescent="0.25">
      <c r="A9300" s="36" t="b">
        <v>0</v>
      </c>
      <c r="B9300" s="56" t="b">
        <v>0</v>
      </c>
      <c r="C9300" s="56" t="b">
        <v>0</v>
      </c>
      <c r="D9300" s="56" t="b">
        <v>0</v>
      </c>
      <c r="E9300" s="56">
        <f ca="1">IF(PV[[#This Row],[Business Date]]=Control!$C$6, PV[[#This Row],[Notional Value Local Cur]], -PV[[#This Row],[Notional Value Local Cur]])</f>
        <v>0</v>
      </c>
    </row>
    <row r="9301" spans="1:5" x14ac:dyDescent="0.25">
      <c r="A9301" s="36" t="b">
        <v>0</v>
      </c>
      <c r="B9301" s="56" t="b">
        <v>0</v>
      </c>
      <c r="C9301" s="56" t="b">
        <v>0</v>
      </c>
      <c r="D9301" s="56" t="b">
        <v>0</v>
      </c>
      <c r="E9301" s="56">
        <f ca="1">IF(PV[[#This Row],[Business Date]]=Control!$C$6, PV[[#This Row],[Notional Value Local Cur]], -PV[[#This Row],[Notional Value Local Cur]])</f>
        <v>0</v>
      </c>
    </row>
    <row r="9302" spans="1:5" x14ac:dyDescent="0.25">
      <c r="A9302" s="36" t="b">
        <v>0</v>
      </c>
      <c r="B9302" s="56" t="b">
        <v>0</v>
      </c>
      <c r="C9302" s="56" t="b">
        <v>0</v>
      </c>
      <c r="D9302" s="56" t="b">
        <v>0</v>
      </c>
      <c r="E9302" s="56">
        <f ca="1">IF(PV[[#This Row],[Business Date]]=Control!$C$6, PV[[#This Row],[Notional Value Local Cur]], -PV[[#This Row],[Notional Value Local Cur]])</f>
        <v>0</v>
      </c>
    </row>
    <row r="9303" spans="1:5" x14ac:dyDescent="0.25">
      <c r="A9303" s="36" t="b">
        <v>0</v>
      </c>
      <c r="B9303" s="56" t="b">
        <v>0</v>
      </c>
      <c r="C9303" s="56" t="b">
        <v>0</v>
      </c>
      <c r="D9303" s="56" t="b">
        <v>0</v>
      </c>
      <c r="E9303" s="56">
        <f ca="1">IF(PV[[#This Row],[Business Date]]=Control!$C$6, PV[[#This Row],[Notional Value Local Cur]], -PV[[#This Row],[Notional Value Local Cur]])</f>
        <v>0</v>
      </c>
    </row>
    <row r="9304" spans="1:5" x14ac:dyDescent="0.25">
      <c r="A9304" s="36" t="b">
        <v>0</v>
      </c>
      <c r="B9304" s="56" t="b">
        <v>0</v>
      </c>
      <c r="C9304" s="56" t="b">
        <v>0</v>
      </c>
      <c r="D9304" s="56" t="b">
        <v>0</v>
      </c>
      <c r="E9304" s="56">
        <f ca="1">IF(PV[[#This Row],[Business Date]]=Control!$C$6, PV[[#This Row],[Notional Value Local Cur]], -PV[[#This Row],[Notional Value Local Cur]])</f>
        <v>0</v>
      </c>
    </row>
    <row r="9305" spans="1:5" x14ac:dyDescent="0.25">
      <c r="A9305" s="36" t="b">
        <v>0</v>
      </c>
      <c r="B9305" s="56" t="b">
        <v>0</v>
      </c>
      <c r="C9305" s="56" t="b">
        <v>0</v>
      </c>
      <c r="D9305" s="56" t="b">
        <v>0</v>
      </c>
      <c r="E9305" s="56">
        <f ca="1">IF(PV[[#This Row],[Business Date]]=Control!$C$6, PV[[#This Row],[Notional Value Local Cur]], -PV[[#This Row],[Notional Value Local Cur]])</f>
        <v>0</v>
      </c>
    </row>
    <row r="9306" spans="1:5" x14ac:dyDescent="0.25">
      <c r="A9306" s="36" t="b">
        <v>0</v>
      </c>
      <c r="B9306" s="56" t="b">
        <v>0</v>
      </c>
      <c r="C9306" s="56" t="b">
        <v>0</v>
      </c>
      <c r="D9306" s="56" t="b">
        <v>0</v>
      </c>
      <c r="E9306" s="56">
        <f ca="1">IF(PV[[#This Row],[Business Date]]=Control!$C$6, PV[[#This Row],[Notional Value Local Cur]], -PV[[#This Row],[Notional Value Local Cur]])</f>
        <v>0</v>
      </c>
    </row>
    <row r="9307" spans="1:5" x14ac:dyDescent="0.25">
      <c r="A9307" s="36" t="b">
        <v>0</v>
      </c>
      <c r="B9307" s="56" t="b">
        <v>0</v>
      </c>
      <c r="C9307" s="56" t="b">
        <v>0</v>
      </c>
      <c r="D9307" s="56" t="b">
        <v>0</v>
      </c>
      <c r="E9307" s="56">
        <f ca="1">IF(PV[[#This Row],[Business Date]]=Control!$C$6, PV[[#This Row],[Notional Value Local Cur]], -PV[[#This Row],[Notional Value Local Cur]])</f>
        <v>0</v>
      </c>
    </row>
    <row r="9308" spans="1:5" x14ac:dyDescent="0.25">
      <c r="A9308" s="36" t="b">
        <v>0</v>
      </c>
      <c r="B9308" s="56" t="b">
        <v>0</v>
      </c>
      <c r="C9308" s="56" t="b">
        <v>0</v>
      </c>
      <c r="D9308" s="56" t="b">
        <v>0</v>
      </c>
      <c r="E9308" s="56">
        <f ca="1">IF(PV[[#This Row],[Business Date]]=Control!$C$6, PV[[#This Row],[Notional Value Local Cur]], -PV[[#This Row],[Notional Value Local Cur]])</f>
        <v>0</v>
      </c>
    </row>
    <row r="9309" spans="1:5" x14ac:dyDescent="0.25">
      <c r="A9309" s="36" t="b">
        <v>0</v>
      </c>
      <c r="B9309" s="56" t="b">
        <v>0</v>
      </c>
      <c r="C9309" s="56" t="b">
        <v>0</v>
      </c>
      <c r="D9309" s="56" t="b">
        <v>0</v>
      </c>
      <c r="E9309" s="56">
        <f ca="1">IF(PV[[#This Row],[Business Date]]=Control!$C$6, PV[[#This Row],[Notional Value Local Cur]], -PV[[#This Row],[Notional Value Local Cur]])</f>
        <v>0</v>
      </c>
    </row>
    <row r="9310" spans="1:5" x14ac:dyDescent="0.25">
      <c r="A9310" s="36" t="b">
        <v>0</v>
      </c>
      <c r="B9310" s="56" t="b">
        <v>0</v>
      </c>
      <c r="C9310" s="56" t="b">
        <v>0</v>
      </c>
      <c r="D9310" s="56" t="b">
        <v>0</v>
      </c>
      <c r="E9310" s="56">
        <f ca="1">IF(PV[[#This Row],[Business Date]]=Control!$C$6, PV[[#This Row],[Notional Value Local Cur]], -PV[[#This Row],[Notional Value Local Cur]])</f>
        <v>0</v>
      </c>
    </row>
    <row r="9311" spans="1:5" x14ac:dyDescent="0.25">
      <c r="A9311" s="36" t="b">
        <v>0</v>
      </c>
      <c r="B9311" s="56" t="b">
        <v>0</v>
      </c>
      <c r="C9311" s="56" t="b">
        <v>0</v>
      </c>
      <c r="D9311" s="56" t="b">
        <v>0</v>
      </c>
      <c r="E9311" s="56">
        <f ca="1">IF(PV[[#This Row],[Business Date]]=Control!$C$6, PV[[#This Row],[Notional Value Local Cur]], -PV[[#This Row],[Notional Value Local Cur]])</f>
        <v>0</v>
      </c>
    </row>
    <row r="9312" spans="1:5" x14ac:dyDescent="0.25">
      <c r="A9312" s="36" t="b">
        <v>0</v>
      </c>
      <c r="B9312" s="56" t="b">
        <v>0</v>
      </c>
      <c r="C9312" s="56" t="b">
        <v>0</v>
      </c>
      <c r="D9312" s="56" t="b">
        <v>0</v>
      </c>
      <c r="E9312" s="56">
        <f ca="1">IF(PV[[#This Row],[Business Date]]=Control!$C$6, PV[[#This Row],[Notional Value Local Cur]], -PV[[#This Row],[Notional Value Local Cur]])</f>
        <v>0</v>
      </c>
    </row>
    <row r="9313" spans="1:5" x14ac:dyDescent="0.25">
      <c r="A9313" s="36" t="b">
        <v>0</v>
      </c>
      <c r="B9313" s="56" t="b">
        <v>0</v>
      </c>
      <c r="C9313" s="56" t="b">
        <v>0</v>
      </c>
      <c r="D9313" s="56" t="b">
        <v>0</v>
      </c>
      <c r="E9313" s="56">
        <f ca="1">IF(PV[[#This Row],[Business Date]]=Control!$C$6, PV[[#This Row],[Notional Value Local Cur]], -PV[[#This Row],[Notional Value Local Cur]])</f>
        <v>0</v>
      </c>
    </row>
    <row r="9314" spans="1:5" x14ac:dyDescent="0.25">
      <c r="A9314" s="36" t="b">
        <v>0</v>
      </c>
      <c r="B9314" s="56" t="b">
        <v>0</v>
      </c>
      <c r="C9314" s="56" t="b">
        <v>0</v>
      </c>
      <c r="D9314" s="56" t="b">
        <v>0</v>
      </c>
      <c r="E9314" s="56">
        <f ca="1">IF(PV[[#This Row],[Business Date]]=Control!$C$6, PV[[#This Row],[Notional Value Local Cur]], -PV[[#This Row],[Notional Value Local Cur]])</f>
        <v>0</v>
      </c>
    </row>
    <row r="9315" spans="1:5" x14ac:dyDescent="0.25">
      <c r="A9315" s="36" t="b">
        <v>0</v>
      </c>
      <c r="B9315" s="56" t="b">
        <v>0</v>
      </c>
      <c r="C9315" s="56" t="b">
        <v>0</v>
      </c>
      <c r="D9315" s="56" t="b">
        <v>0</v>
      </c>
      <c r="E9315" s="56">
        <f ca="1">IF(PV[[#This Row],[Business Date]]=Control!$C$6, PV[[#This Row],[Notional Value Local Cur]], -PV[[#This Row],[Notional Value Local Cur]])</f>
        <v>0</v>
      </c>
    </row>
    <row r="9316" spans="1:5" x14ac:dyDescent="0.25">
      <c r="A9316" s="36" t="b">
        <v>0</v>
      </c>
      <c r="B9316" s="56" t="b">
        <v>0</v>
      </c>
      <c r="C9316" s="56" t="b">
        <v>0</v>
      </c>
      <c r="D9316" s="56" t="b">
        <v>0</v>
      </c>
      <c r="E9316" s="56">
        <f ca="1">IF(PV[[#This Row],[Business Date]]=Control!$C$6, PV[[#This Row],[Notional Value Local Cur]], -PV[[#This Row],[Notional Value Local Cur]])</f>
        <v>0</v>
      </c>
    </row>
    <row r="9317" spans="1:5" x14ac:dyDescent="0.25">
      <c r="A9317" s="36" t="b">
        <v>0</v>
      </c>
      <c r="B9317" s="56" t="b">
        <v>0</v>
      </c>
      <c r="C9317" s="56" t="b">
        <v>0</v>
      </c>
      <c r="D9317" s="56" t="b">
        <v>0</v>
      </c>
      <c r="E9317" s="56">
        <f ca="1">IF(PV[[#This Row],[Business Date]]=Control!$C$6, PV[[#This Row],[Notional Value Local Cur]], -PV[[#This Row],[Notional Value Local Cur]])</f>
        <v>0</v>
      </c>
    </row>
    <row r="9318" spans="1:5" x14ac:dyDescent="0.25">
      <c r="A9318" s="36" t="b">
        <v>0</v>
      </c>
      <c r="B9318" s="56" t="b">
        <v>0</v>
      </c>
      <c r="C9318" s="56" t="b">
        <v>0</v>
      </c>
      <c r="D9318" s="56" t="b">
        <v>0</v>
      </c>
      <c r="E9318" s="56">
        <f ca="1">IF(PV[[#This Row],[Business Date]]=Control!$C$6, PV[[#This Row],[Notional Value Local Cur]], -PV[[#This Row],[Notional Value Local Cur]])</f>
        <v>0</v>
      </c>
    </row>
    <row r="9319" spans="1:5" x14ac:dyDescent="0.25">
      <c r="A9319" s="36" t="b">
        <v>0</v>
      </c>
      <c r="B9319" s="56" t="b">
        <v>0</v>
      </c>
      <c r="C9319" s="56" t="b">
        <v>0</v>
      </c>
      <c r="D9319" s="56" t="b">
        <v>0</v>
      </c>
      <c r="E9319" s="56">
        <f ca="1">IF(PV[[#This Row],[Business Date]]=Control!$C$6, PV[[#This Row],[Notional Value Local Cur]], -PV[[#This Row],[Notional Value Local Cur]])</f>
        <v>0</v>
      </c>
    </row>
    <row r="9320" spans="1:5" x14ac:dyDescent="0.25">
      <c r="A9320" s="36" t="b">
        <v>0</v>
      </c>
      <c r="B9320" s="56" t="b">
        <v>0</v>
      </c>
      <c r="C9320" s="56" t="b">
        <v>0</v>
      </c>
      <c r="D9320" s="56" t="b">
        <v>0</v>
      </c>
      <c r="E9320" s="56">
        <f ca="1">IF(PV[[#This Row],[Business Date]]=Control!$C$6, PV[[#This Row],[Notional Value Local Cur]], -PV[[#This Row],[Notional Value Local Cur]])</f>
        <v>0</v>
      </c>
    </row>
    <row r="9321" spans="1:5" x14ac:dyDescent="0.25">
      <c r="A9321" s="36" t="b">
        <v>0</v>
      </c>
      <c r="B9321" s="56" t="b">
        <v>0</v>
      </c>
      <c r="C9321" s="56" t="b">
        <v>0</v>
      </c>
      <c r="D9321" s="56" t="b">
        <v>0</v>
      </c>
      <c r="E9321" s="56">
        <f ca="1">IF(PV[[#This Row],[Business Date]]=Control!$C$6, PV[[#This Row],[Notional Value Local Cur]], -PV[[#This Row],[Notional Value Local Cur]])</f>
        <v>0</v>
      </c>
    </row>
    <row r="9322" spans="1:5" x14ac:dyDescent="0.25">
      <c r="A9322" s="36" t="b">
        <v>0</v>
      </c>
      <c r="B9322" s="56" t="b">
        <v>0</v>
      </c>
      <c r="C9322" s="56" t="b">
        <v>0</v>
      </c>
      <c r="D9322" s="56" t="b">
        <v>0</v>
      </c>
      <c r="E9322" s="56">
        <f ca="1">IF(PV[[#This Row],[Business Date]]=Control!$C$6, PV[[#This Row],[Notional Value Local Cur]], -PV[[#This Row],[Notional Value Local Cur]])</f>
        <v>0</v>
      </c>
    </row>
    <row r="9323" spans="1:5" x14ac:dyDescent="0.25">
      <c r="A9323" s="36" t="b">
        <v>0</v>
      </c>
      <c r="B9323" s="56" t="b">
        <v>0</v>
      </c>
      <c r="C9323" s="56" t="b">
        <v>0</v>
      </c>
      <c r="D9323" s="56" t="b">
        <v>0</v>
      </c>
      <c r="E9323" s="56">
        <f ca="1">IF(PV[[#This Row],[Business Date]]=Control!$C$6, PV[[#This Row],[Notional Value Local Cur]], -PV[[#This Row],[Notional Value Local Cur]])</f>
        <v>0</v>
      </c>
    </row>
    <row r="9324" spans="1:5" x14ac:dyDescent="0.25">
      <c r="A9324" s="36" t="b">
        <v>0</v>
      </c>
      <c r="B9324" s="56" t="b">
        <v>0</v>
      </c>
      <c r="C9324" s="56" t="b">
        <v>0</v>
      </c>
      <c r="D9324" s="56" t="b">
        <v>0</v>
      </c>
      <c r="E9324" s="56">
        <f ca="1">IF(PV[[#This Row],[Business Date]]=Control!$C$6, PV[[#This Row],[Notional Value Local Cur]], -PV[[#This Row],[Notional Value Local Cur]])</f>
        <v>0</v>
      </c>
    </row>
    <row r="9325" spans="1:5" x14ac:dyDescent="0.25">
      <c r="A9325" s="36" t="b">
        <v>0</v>
      </c>
      <c r="B9325" s="56" t="b">
        <v>0</v>
      </c>
      <c r="C9325" s="56" t="b">
        <v>0</v>
      </c>
      <c r="D9325" s="56" t="b">
        <v>0</v>
      </c>
      <c r="E9325" s="56">
        <f ca="1">IF(PV[[#This Row],[Business Date]]=Control!$C$6, PV[[#This Row],[Notional Value Local Cur]], -PV[[#This Row],[Notional Value Local Cur]])</f>
        <v>0</v>
      </c>
    </row>
    <row r="9326" spans="1:5" x14ac:dyDescent="0.25">
      <c r="A9326" s="36" t="b">
        <v>0</v>
      </c>
      <c r="B9326" s="56" t="b">
        <v>0</v>
      </c>
      <c r="C9326" s="56" t="b">
        <v>0</v>
      </c>
      <c r="D9326" s="56" t="b">
        <v>0</v>
      </c>
      <c r="E9326" s="56">
        <f ca="1">IF(PV[[#This Row],[Business Date]]=Control!$C$6, PV[[#This Row],[Notional Value Local Cur]], -PV[[#This Row],[Notional Value Local Cur]])</f>
        <v>0</v>
      </c>
    </row>
    <row r="9327" spans="1:5" x14ac:dyDescent="0.25">
      <c r="A9327" s="36" t="b">
        <v>0</v>
      </c>
      <c r="B9327" s="56" t="b">
        <v>0</v>
      </c>
      <c r="C9327" s="56" t="b">
        <v>0</v>
      </c>
      <c r="D9327" s="56" t="b">
        <v>0</v>
      </c>
      <c r="E9327" s="56">
        <f ca="1">IF(PV[[#This Row],[Business Date]]=Control!$C$6, PV[[#This Row],[Notional Value Local Cur]], -PV[[#This Row],[Notional Value Local Cur]])</f>
        <v>0</v>
      </c>
    </row>
    <row r="9328" spans="1:5" x14ac:dyDescent="0.25">
      <c r="A9328" s="36" t="b">
        <v>0</v>
      </c>
      <c r="B9328" s="56" t="b">
        <v>0</v>
      </c>
      <c r="C9328" s="56" t="b">
        <v>0</v>
      </c>
      <c r="D9328" s="56" t="b">
        <v>0</v>
      </c>
      <c r="E9328" s="56">
        <f ca="1">IF(PV[[#This Row],[Business Date]]=Control!$C$6, PV[[#This Row],[Notional Value Local Cur]], -PV[[#This Row],[Notional Value Local Cur]])</f>
        <v>0</v>
      </c>
    </row>
    <row r="9329" spans="1:5" x14ac:dyDescent="0.25">
      <c r="A9329" s="36" t="b">
        <v>0</v>
      </c>
      <c r="B9329" s="56" t="b">
        <v>0</v>
      </c>
      <c r="C9329" s="56" t="b">
        <v>0</v>
      </c>
      <c r="D9329" s="56" t="b">
        <v>0</v>
      </c>
      <c r="E9329" s="56">
        <f ca="1">IF(PV[[#This Row],[Business Date]]=Control!$C$6, PV[[#This Row],[Notional Value Local Cur]], -PV[[#This Row],[Notional Value Local Cur]])</f>
        <v>0</v>
      </c>
    </row>
    <row r="9330" spans="1:5" x14ac:dyDescent="0.25">
      <c r="A9330" s="36" t="b">
        <v>0</v>
      </c>
      <c r="B9330" s="56" t="b">
        <v>0</v>
      </c>
      <c r="C9330" s="56" t="b">
        <v>0</v>
      </c>
      <c r="D9330" s="56" t="b">
        <v>0</v>
      </c>
      <c r="E9330" s="56">
        <f ca="1">IF(PV[[#This Row],[Business Date]]=Control!$C$6, PV[[#This Row],[Notional Value Local Cur]], -PV[[#This Row],[Notional Value Local Cur]])</f>
        <v>0</v>
      </c>
    </row>
    <row r="9331" spans="1:5" x14ac:dyDescent="0.25">
      <c r="A9331" s="36" t="b">
        <v>0</v>
      </c>
      <c r="B9331" s="56" t="b">
        <v>0</v>
      </c>
      <c r="C9331" s="56" t="b">
        <v>0</v>
      </c>
      <c r="D9331" s="56" t="b">
        <v>0</v>
      </c>
      <c r="E9331" s="56">
        <f ca="1">IF(PV[[#This Row],[Business Date]]=Control!$C$6, PV[[#This Row],[Notional Value Local Cur]], -PV[[#This Row],[Notional Value Local Cur]])</f>
        <v>0</v>
      </c>
    </row>
    <row r="9332" spans="1:5" x14ac:dyDescent="0.25">
      <c r="A9332" s="36" t="b">
        <v>0</v>
      </c>
      <c r="B9332" s="56" t="b">
        <v>0</v>
      </c>
      <c r="C9332" s="56" t="b">
        <v>0</v>
      </c>
      <c r="D9332" s="56" t="b">
        <v>0</v>
      </c>
      <c r="E9332" s="56">
        <f ca="1">IF(PV[[#This Row],[Business Date]]=Control!$C$6, PV[[#This Row],[Notional Value Local Cur]], -PV[[#This Row],[Notional Value Local Cur]])</f>
        <v>0</v>
      </c>
    </row>
    <row r="9333" spans="1:5" x14ac:dyDescent="0.25">
      <c r="A9333" s="36" t="b">
        <v>0</v>
      </c>
      <c r="B9333" s="56" t="b">
        <v>0</v>
      </c>
      <c r="C9333" s="56" t="b">
        <v>0</v>
      </c>
      <c r="D9333" s="56" t="b">
        <v>0</v>
      </c>
      <c r="E9333" s="56">
        <f ca="1">IF(PV[[#This Row],[Business Date]]=Control!$C$6, PV[[#This Row],[Notional Value Local Cur]], -PV[[#This Row],[Notional Value Local Cur]])</f>
        <v>0</v>
      </c>
    </row>
    <row r="9334" spans="1:5" x14ac:dyDescent="0.25">
      <c r="A9334" s="36" t="b">
        <v>0</v>
      </c>
      <c r="B9334" s="56" t="b">
        <v>0</v>
      </c>
      <c r="C9334" s="56" t="b">
        <v>0</v>
      </c>
      <c r="D9334" s="56" t="b">
        <v>0</v>
      </c>
      <c r="E9334" s="56">
        <f ca="1">IF(PV[[#This Row],[Business Date]]=Control!$C$6, PV[[#This Row],[Notional Value Local Cur]], -PV[[#This Row],[Notional Value Local Cur]])</f>
        <v>0</v>
      </c>
    </row>
    <row r="9335" spans="1:5" x14ac:dyDescent="0.25">
      <c r="A9335" s="36" t="b">
        <v>0</v>
      </c>
      <c r="B9335" s="56" t="b">
        <v>0</v>
      </c>
      <c r="C9335" s="56" t="b">
        <v>0</v>
      </c>
      <c r="D9335" s="56" t="b">
        <v>0</v>
      </c>
      <c r="E9335" s="56">
        <f ca="1">IF(PV[[#This Row],[Business Date]]=Control!$C$6, PV[[#This Row],[Notional Value Local Cur]], -PV[[#This Row],[Notional Value Local Cur]])</f>
        <v>0</v>
      </c>
    </row>
    <row r="9336" spans="1:5" x14ac:dyDescent="0.25">
      <c r="A9336" s="36" t="b">
        <v>0</v>
      </c>
      <c r="B9336" s="56" t="b">
        <v>0</v>
      </c>
      <c r="C9336" s="56" t="b">
        <v>0</v>
      </c>
      <c r="D9336" s="56" t="b">
        <v>0</v>
      </c>
      <c r="E9336" s="56">
        <f ca="1">IF(PV[[#This Row],[Business Date]]=Control!$C$6, PV[[#This Row],[Notional Value Local Cur]], -PV[[#This Row],[Notional Value Local Cur]])</f>
        <v>0</v>
      </c>
    </row>
    <row r="9337" spans="1:5" x14ac:dyDescent="0.25">
      <c r="A9337" s="36" t="b">
        <v>0</v>
      </c>
      <c r="B9337" s="56" t="b">
        <v>0</v>
      </c>
      <c r="C9337" s="56" t="b">
        <v>0</v>
      </c>
      <c r="D9337" s="56" t="b">
        <v>0</v>
      </c>
      <c r="E9337" s="56">
        <f ca="1">IF(PV[[#This Row],[Business Date]]=Control!$C$6, PV[[#This Row],[Notional Value Local Cur]], -PV[[#This Row],[Notional Value Local Cur]])</f>
        <v>0</v>
      </c>
    </row>
    <row r="9338" spans="1:5" x14ac:dyDescent="0.25">
      <c r="A9338" s="36" t="b">
        <v>0</v>
      </c>
      <c r="B9338" s="56" t="b">
        <v>0</v>
      </c>
      <c r="C9338" s="56" t="b">
        <v>0</v>
      </c>
      <c r="D9338" s="56" t="b">
        <v>0</v>
      </c>
      <c r="E9338" s="56">
        <f ca="1">IF(PV[[#This Row],[Business Date]]=Control!$C$6, PV[[#This Row],[Notional Value Local Cur]], -PV[[#This Row],[Notional Value Local Cur]])</f>
        <v>0</v>
      </c>
    </row>
    <row r="9339" spans="1:5" x14ac:dyDescent="0.25">
      <c r="A9339" s="36" t="b">
        <v>0</v>
      </c>
      <c r="B9339" s="56" t="b">
        <v>0</v>
      </c>
      <c r="C9339" s="56" t="b">
        <v>0</v>
      </c>
      <c r="D9339" s="56" t="b">
        <v>0</v>
      </c>
      <c r="E9339" s="56">
        <f ca="1">IF(PV[[#This Row],[Business Date]]=Control!$C$6, PV[[#This Row],[Notional Value Local Cur]], -PV[[#This Row],[Notional Value Local Cur]])</f>
        <v>0</v>
      </c>
    </row>
    <row r="9340" spans="1:5" x14ac:dyDescent="0.25">
      <c r="A9340" s="36" t="b">
        <v>0</v>
      </c>
      <c r="B9340" s="56" t="b">
        <v>0</v>
      </c>
      <c r="C9340" s="56" t="b">
        <v>0</v>
      </c>
      <c r="D9340" s="56" t="b">
        <v>0</v>
      </c>
      <c r="E9340" s="56">
        <f ca="1">IF(PV[[#This Row],[Business Date]]=Control!$C$6, PV[[#This Row],[Notional Value Local Cur]], -PV[[#This Row],[Notional Value Local Cur]])</f>
        <v>0</v>
      </c>
    </row>
    <row r="9341" spans="1:5" x14ac:dyDescent="0.25">
      <c r="A9341" s="36" t="b">
        <v>0</v>
      </c>
      <c r="B9341" s="56" t="b">
        <v>0</v>
      </c>
      <c r="C9341" s="56" t="b">
        <v>0</v>
      </c>
      <c r="D9341" s="56" t="b">
        <v>0</v>
      </c>
      <c r="E9341" s="56">
        <f ca="1">IF(PV[[#This Row],[Business Date]]=Control!$C$6, PV[[#This Row],[Notional Value Local Cur]], -PV[[#This Row],[Notional Value Local Cur]])</f>
        <v>0</v>
      </c>
    </row>
    <row r="9342" spans="1:5" x14ac:dyDescent="0.25">
      <c r="A9342" s="36" t="b">
        <v>0</v>
      </c>
      <c r="B9342" s="56" t="b">
        <v>0</v>
      </c>
      <c r="C9342" s="56" t="b">
        <v>0</v>
      </c>
      <c r="D9342" s="56" t="b">
        <v>0</v>
      </c>
      <c r="E9342" s="56">
        <f ca="1">IF(PV[[#This Row],[Business Date]]=Control!$C$6, PV[[#This Row],[Notional Value Local Cur]], -PV[[#This Row],[Notional Value Local Cur]])</f>
        <v>0</v>
      </c>
    </row>
    <row r="9343" spans="1:5" x14ac:dyDescent="0.25">
      <c r="A9343" s="36" t="b">
        <v>0</v>
      </c>
      <c r="B9343" s="56" t="b">
        <v>0</v>
      </c>
      <c r="C9343" s="56" t="b">
        <v>0</v>
      </c>
      <c r="D9343" s="56" t="b">
        <v>0</v>
      </c>
      <c r="E9343" s="56">
        <f ca="1">IF(PV[[#This Row],[Business Date]]=Control!$C$6, PV[[#This Row],[Notional Value Local Cur]], -PV[[#This Row],[Notional Value Local Cur]])</f>
        <v>0</v>
      </c>
    </row>
    <row r="9344" spans="1:5" x14ac:dyDescent="0.25">
      <c r="A9344" s="36" t="b">
        <v>0</v>
      </c>
      <c r="B9344" s="56" t="b">
        <v>0</v>
      </c>
      <c r="C9344" s="56" t="b">
        <v>0</v>
      </c>
      <c r="D9344" s="56" t="b">
        <v>0</v>
      </c>
      <c r="E9344" s="56">
        <f ca="1">IF(PV[[#This Row],[Business Date]]=Control!$C$6, PV[[#This Row],[Notional Value Local Cur]], -PV[[#This Row],[Notional Value Local Cur]])</f>
        <v>0</v>
      </c>
    </row>
    <row r="9345" spans="1:5" x14ac:dyDescent="0.25">
      <c r="A9345" s="36" t="b">
        <v>0</v>
      </c>
      <c r="B9345" s="56" t="b">
        <v>0</v>
      </c>
      <c r="C9345" s="56" t="b">
        <v>0</v>
      </c>
      <c r="D9345" s="56" t="b">
        <v>0</v>
      </c>
      <c r="E9345" s="56">
        <f ca="1">IF(PV[[#This Row],[Business Date]]=Control!$C$6, PV[[#This Row],[Notional Value Local Cur]], -PV[[#This Row],[Notional Value Local Cur]])</f>
        <v>0</v>
      </c>
    </row>
    <row r="9346" spans="1:5" x14ac:dyDescent="0.25">
      <c r="A9346" s="36" t="b">
        <v>0</v>
      </c>
      <c r="B9346" s="56" t="b">
        <v>0</v>
      </c>
      <c r="C9346" s="56" t="b">
        <v>0</v>
      </c>
      <c r="D9346" s="56" t="b">
        <v>0</v>
      </c>
      <c r="E9346" s="56">
        <f ca="1">IF(PV[[#This Row],[Business Date]]=Control!$C$6, PV[[#This Row],[Notional Value Local Cur]], -PV[[#This Row],[Notional Value Local Cur]])</f>
        <v>0</v>
      </c>
    </row>
    <row r="9347" spans="1:5" x14ac:dyDescent="0.25">
      <c r="A9347" s="36" t="b">
        <v>0</v>
      </c>
      <c r="B9347" s="56" t="b">
        <v>0</v>
      </c>
      <c r="C9347" s="56" t="b">
        <v>0</v>
      </c>
      <c r="D9347" s="56" t="b">
        <v>0</v>
      </c>
      <c r="E9347" s="56">
        <f ca="1">IF(PV[[#This Row],[Business Date]]=Control!$C$6, PV[[#This Row],[Notional Value Local Cur]], -PV[[#This Row],[Notional Value Local Cur]])</f>
        <v>0</v>
      </c>
    </row>
    <row r="9348" spans="1:5" x14ac:dyDescent="0.25">
      <c r="A9348" s="36" t="b">
        <v>0</v>
      </c>
      <c r="B9348" s="56" t="b">
        <v>0</v>
      </c>
      <c r="C9348" s="56" t="b">
        <v>0</v>
      </c>
      <c r="D9348" s="56" t="b">
        <v>0</v>
      </c>
      <c r="E9348" s="56">
        <f ca="1">IF(PV[[#This Row],[Business Date]]=Control!$C$6, PV[[#This Row],[Notional Value Local Cur]], -PV[[#This Row],[Notional Value Local Cur]])</f>
        <v>0</v>
      </c>
    </row>
    <row r="9349" spans="1:5" x14ac:dyDescent="0.25">
      <c r="A9349" s="36" t="b">
        <v>0</v>
      </c>
      <c r="B9349" s="56" t="b">
        <v>0</v>
      </c>
      <c r="C9349" s="56" t="b">
        <v>0</v>
      </c>
      <c r="D9349" s="56" t="b">
        <v>0</v>
      </c>
      <c r="E9349" s="56">
        <f ca="1">IF(PV[[#This Row],[Business Date]]=Control!$C$6, PV[[#This Row],[Notional Value Local Cur]], -PV[[#This Row],[Notional Value Local Cur]])</f>
        <v>0</v>
      </c>
    </row>
    <row r="9350" spans="1:5" x14ac:dyDescent="0.25">
      <c r="A9350" s="36" t="b">
        <v>0</v>
      </c>
      <c r="B9350" s="56" t="b">
        <v>0</v>
      </c>
      <c r="C9350" s="56" t="b">
        <v>0</v>
      </c>
      <c r="D9350" s="56" t="b">
        <v>0</v>
      </c>
      <c r="E9350" s="56">
        <f ca="1">IF(PV[[#This Row],[Business Date]]=Control!$C$6, PV[[#This Row],[Notional Value Local Cur]], -PV[[#This Row],[Notional Value Local Cur]])</f>
        <v>0</v>
      </c>
    </row>
    <row r="9351" spans="1:5" x14ac:dyDescent="0.25">
      <c r="A9351" s="36" t="b">
        <v>0</v>
      </c>
      <c r="B9351" s="56" t="b">
        <v>0</v>
      </c>
      <c r="C9351" s="56" t="b">
        <v>0</v>
      </c>
      <c r="D9351" s="56" t="b">
        <v>0</v>
      </c>
      <c r="E9351" s="56">
        <f ca="1">IF(PV[[#This Row],[Business Date]]=Control!$C$6, PV[[#This Row],[Notional Value Local Cur]], -PV[[#This Row],[Notional Value Local Cur]])</f>
        <v>0</v>
      </c>
    </row>
    <row r="9352" spans="1:5" x14ac:dyDescent="0.25">
      <c r="A9352" s="36" t="b">
        <v>0</v>
      </c>
      <c r="B9352" s="56" t="b">
        <v>0</v>
      </c>
      <c r="C9352" s="56" t="b">
        <v>0</v>
      </c>
      <c r="D9352" s="56" t="b">
        <v>0</v>
      </c>
      <c r="E9352" s="56">
        <f ca="1">IF(PV[[#This Row],[Business Date]]=Control!$C$6, PV[[#This Row],[Notional Value Local Cur]], -PV[[#This Row],[Notional Value Local Cur]])</f>
        <v>0</v>
      </c>
    </row>
    <row r="9353" spans="1:5" x14ac:dyDescent="0.25">
      <c r="A9353" s="36" t="b">
        <v>0</v>
      </c>
      <c r="B9353" s="56" t="b">
        <v>0</v>
      </c>
      <c r="C9353" s="56" t="b">
        <v>0</v>
      </c>
      <c r="D9353" s="56" t="b">
        <v>0</v>
      </c>
      <c r="E9353" s="56">
        <f ca="1">IF(PV[[#This Row],[Business Date]]=Control!$C$6, PV[[#This Row],[Notional Value Local Cur]], -PV[[#This Row],[Notional Value Local Cur]])</f>
        <v>0</v>
      </c>
    </row>
    <row r="9354" spans="1:5" x14ac:dyDescent="0.25">
      <c r="A9354" s="36" t="b">
        <v>0</v>
      </c>
      <c r="B9354" s="56" t="b">
        <v>0</v>
      </c>
      <c r="C9354" s="56" t="b">
        <v>0</v>
      </c>
      <c r="D9354" s="56" t="b">
        <v>0</v>
      </c>
      <c r="E9354" s="56">
        <f ca="1">IF(PV[[#This Row],[Business Date]]=Control!$C$6, PV[[#This Row],[Notional Value Local Cur]], -PV[[#This Row],[Notional Value Local Cur]])</f>
        <v>0</v>
      </c>
    </row>
    <row r="9355" spans="1:5" x14ac:dyDescent="0.25">
      <c r="A9355" s="36" t="b">
        <v>0</v>
      </c>
      <c r="B9355" s="56" t="b">
        <v>0</v>
      </c>
      <c r="C9355" s="56" t="b">
        <v>0</v>
      </c>
      <c r="D9355" s="56" t="b">
        <v>0</v>
      </c>
      <c r="E9355" s="56">
        <f ca="1">IF(PV[[#This Row],[Business Date]]=Control!$C$6, PV[[#This Row],[Notional Value Local Cur]], -PV[[#This Row],[Notional Value Local Cur]])</f>
        <v>0</v>
      </c>
    </row>
    <row r="9356" spans="1:5" x14ac:dyDescent="0.25">
      <c r="A9356" s="36" t="b">
        <v>0</v>
      </c>
      <c r="B9356" s="56" t="b">
        <v>0</v>
      </c>
      <c r="C9356" s="56" t="b">
        <v>0</v>
      </c>
      <c r="D9356" s="56" t="b">
        <v>0</v>
      </c>
      <c r="E9356" s="56">
        <f ca="1">IF(PV[[#This Row],[Business Date]]=Control!$C$6, PV[[#This Row],[Notional Value Local Cur]], -PV[[#This Row],[Notional Value Local Cur]])</f>
        <v>0</v>
      </c>
    </row>
    <row r="9357" spans="1:5" x14ac:dyDescent="0.25">
      <c r="A9357" s="36" t="b">
        <v>0</v>
      </c>
      <c r="B9357" s="56" t="b">
        <v>0</v>
      </c>
      <c r="C9357" s="56" t="b">
        <v>0</v>
      </c>
      <c r="D9357" s="56" t="b">
        <v>0</v>
      </c>
      <c r="E9357" s="56">
        <f ca="1">IF(PV[[#This Row],[Business Date]]=Control!$C$6, PV[[#This Row],[Notional Value Local Cur]], -PV[[#This Row],[Notional Value Local Cur]])</f>
        <v>0</v>
      </c>
    </row>
    <row r="9358" spans="1:5" x14ac:dyDescent="0.25">
      <c r="A9358" s="36" t="b">
        <v>0</v>
      </c>
      <c r="B9358" s="56" t="b">
        <v>0</v>
      </c>
      <c r="C9358" s="56" t="b">
        <v>0</v>
      </c>
      <c r="D9358" s="56" t="b">
        <v>0</v>
      </c>
      <c r="E9358" s="56">
        <f ca="1">IF(PV[[#This Row],[Business Date]]=Control!$C$6, PV[[#This Row],[Notional Value Local Cur]], -PV[[#This Row],[Notional Value Local Cur]])</f>
        <v>0</v>
      </c>
    </row>
    <row r="9359" spans="1:5" x14ac:dyDescent="0.25">
      <c r="A9359" s="36" t="b">
        <v>0</v>
      </c>
      <c r="B9359" s="56" t="b">
        <v>0</v>
      </c>
      <c r="C9359" s="56" t="b">
        <v>0</v>
      </c>
      <c r="D9359" s="56" t="b">
        <v>0</v>
      </c>
      <c r="E9359" s="56">
        <f ca="1">IF(PV[[#This Row],[Business Date]]=Control!$C$6, PV[[#This Row],[Notional Value Local Cur]], -PV[[#This Row],[Notional Value Local Cur]])</f>
        <v>0</v>
      </c>
    </row>
    <row r="9360" spans="1:5" x14ac:dyDescent="0.25">
      <c r="A9360" s="36" t="b">
        <v>0</v>
      </c>
      <c r="B9360" s="56" t="b">
        <v>0</v>
      </c>
      <c r="C9360" s="56" t="b">
        <v>0</v>
      </c>
      <c r="D9360" s="56" t="b">
        <v>0</v>
      </c>
      <c r="E9360" s="56">
        <f ca="1">IF(PV[[#This Row],[Business Date]]=Control!$C$6, PV[[#This Row],[Notional Value Local Cur]], -PV[[#This Row],[Notional Value Local Cur]])</f>
        <v>0</v>
      </c>
    </row>
    <row r="9361" spans="1:5" x14ac:dyDescent="0.25">
      <c r="A9361" s="36" t="b">
        <v>0</v>
      </c>
      <c r="B9361" s="56" t="b">
        <v>0</v>
      </c>
      <c r="C9361" s="56" t="b">
        <v>0</v>
      </c>
      <c r="D9361" s="56" t="b">
        <v>0</v>
      </c>
      <c r="E9361" s="56">
        <f ca="1">IF(PV[[#This Row],[Business Date]]=Control!$C$6, PV[[#This Row],[Notional Value Local Cur]], -PV[[#This Row],[Notional Value Local Cur]])</f>
        <v>0</v>
      </c>
    </row>
    <row r="9362" spans="1:5" x14ac:dyDescent="0.25">
      <c r="A9362" s="36" t="b">
        <v>0</v>
      </c>
      <c r="B9362" s="56" t="b">
        <v>0</v>
      </c>
      <c r="C9362" s="56" t="b">
        <v>0</v>
      </c>
      <c r="D9362" s="56" t="b">
        <v>0</v>
      </c>
      <c r="E9362" s="56">
        <f ca="1">IF(PV[[#This Row],[Business Date]]=Control!$C$6, PV[[#This Row],[Notional Value Local Cur]], -PV[[#This Row],[Notional Value Local Cur]])</f>
        <v>0</v>
      </c>
    </row>
    <row r="9363" spans="1:5" x14ac:dyDescent="0.25">
      <c r="A9363" s="36" t="b">
        <v>0</v>
      </c>
      <c r="B9363" s="56" t="b">
        <v>0</v>
      </c>
      <c r="C9363" s="56" t="b">
        <v>0</v>
      </c>
      <c r="D9363" s="56" t="b">
        <v>0</v>
      </c>
      <c r="E9363" s="56">
        <f ca="1">IF(PV[[#This Row],[Business Date]]=Control!$C$6, PV[[#This Row],[Notional Value Local Cur]], -PV[[#This Row],[Notional Value Local Cur]])</f>
        <v>0</v>
      </c>
    </row>
    <row r="9364" spans="1:5" x14ac:dyDescent="0.25">
      <c r="A9364" s="36" t="b">
        <v>0</v>
      </c>
      <c r="B9364" s="56" t="b">
        <v>0</v>
      </c>
      <c r="C9364" s="56" t="b">
        <v>0</v>
      </c>
      <c r="D9364" s="56" t="b">
        <v>0</v>
      </c>
      <c r="E9364" s="56">
        <f ca="1">IF(PV[[#This Row],[Business Date]]=Control!$C$6, PV[[#This Row],[Notional Value Local Cur]], -PV[[#This Row],[Notional Value Local Cur]])</f>
        <v>0</v>
      </c>
    </row>
    <row r="9365" spans="1:5" x14ac:dyDescent="0.25">
      <c r="A9365" s="36" t="b">
        <v>0</v>
      </c>
      <c r="B9365" s="56" t="b">
        <v>0</v>
      </c>
      <c r="C9365" s="56" t="b">
        <v>0</v>
      </c>
      <c r="D9365" s="56" t="b">
        <v>0</v>
      </c>
      <c r="E9365" s="56">
        <f ca="1">IF(PV[[#This Row],[Business Date]]=Control!$C$6, PV[[#This Row],[Notional Value Local Cur]], -PV[[#This Row],[Notional Value Local Cur]])</f>
        <v>0</v>
      </c>
    </row>
    <row r="9366" spans="1:5" x14ac:dyDescent="0.25">
      <c r="A9366" s="36" t="b">
        <v>0</v>
      </c>
      <c r="B9366" s="56" t="b">
        <v>0</v>
      </c>
      <c r="C9366" s="56" t="b">
        <v>0</v>
      </c>
      <c r="D9366" s="56" t="b">
        <v>0</v>
      </c>
      <c r="E9366" s="56">
        <f ca="1">IF(PV[[#This Row],[Business Date]]=Control!$C$6, PV[[#This Row],[Notional Value Local Cur]], -PV[[#This Row],[Notional Value Local Cur]])</f>
        <v>0</v>
      </c>
    </row>
    <row r="9367" spans="1:5" x14ac:dyDescent="0.25">
      <c r="A9367" s="36" t="b">
        <v>0</v>
      </c>
      <c r="B9367" s="56" t="b">
        <v>0</v>
      </c>
      <c r="C9367" s="56" t="b">
        <v>0</v>
      </c>
      <c r="D9367" s="56" t="b">
        <v>0</v>
      </c>
      <c r="E9367" s="56">
        <f ca="1">IF(PV[[#This Row],[Business Date]]=Control!$C$6, PV[[#This Row],[Notional Value Local Cur]], -PV[[#This Row],[Notional Value Local Cur]])</f>
        <v>0</v>
      </c>
    </row>
    <row r="9368" spans="1:5" x14ac:dyDescent="0.25">
      <c r="A9368" s="36" t="b">
        <v>0</v>
      </c>
      <c r="B9368" s="56" t="b">
        <v>0</v>
      </c>
      <c r="C9368" s="56" t="b">
        <v>0</v>
      </c>
      <c r="D9368" s="56" t="b">
        <v>0</v>
      </c>
      <c r="E9368" s="56">
        <f ca="1">IF(PV[[#This Row],[Business Date]]=Control!$C$6, PV[[#This Row],[Notional Value Local Cur]], -PV[[#This Row],[Notional Value Local Cur]])</f>
        <v>0</v>
      </c>
    </row>
    <row r="9369" spans="1:5" x14ac:dyDescent="0.25">
      <c r="A9369" s="36" t="b">
        <v>0</v>
      </c>
      <c r="B9369" s="56" t="b">
        <v>0</v>
      </c>
      <c r="C9369" s="56" t="b">
        <v>0</v>
      </c>
      <c r="D9369" s="56" t="b">
        <v>0</v>
      </c>
      <c r="E9369" s="56">
        <f ca="1">IF(PV[[#This Row],[Business Date]]=Control!$C$6, PV[[#This Row],[Notional Value Local Cur]], -PV[[#This Row],[Notional Value Local Cur]])</f>
        <v>0</v>
      </c>
    </row>
    <row r="9370" spans="1:5" x14ac:dyDescent="0.25">
      <c r="A9370" s="36" t="b">
        <v>0</v>
      </c>
      <c r="B9370" s="56" t="b">
        <v>0</v>
      </c>
      <c r="C9370" s="56" t="b">
        <v>0</v>
      </c>
      <c r="D9370" s="56" t="b">
        <v>0</v>
      </c>
      <c r="E9370" s="56">
        <f ca="1">IF(PV[[#This Row],[Business Date]]=Control!$C$6, PV[[#This Row],[Notional Value Local Cur]], -PV[[#This Row],[Notional Value Local Cur]])</f>
        <v>0</v>
      </c>
    </row>
    <row r="9371" spans="1:5" x14ac:dyDescent="0.25">
      <c r="A9371" s="36" t="b">
        <v>0</v>
      </c>
      <c r="B9371" s="56" t="b">
        <v>0</v>
      </c>
      <c r="C9371" s="56" t="b">
        <v>0</v>
      </c>
      <c r="D9371" s="56" t="b">
        <v>0</v>
      </c>
      <c r="E9371" s="56">
        <f ca="1">IF(PV[[#This Row],[Business Date]]=Control!$C$6, PV[[#This Row],[Notional Value Local Cur]], -PV[[#This Row],[Notional Value Local Cur]])</f>
        <v>0</v>
      </c>
    </row>
    <row r="9372" spans="1:5" x14ac:dyDescent="0.25">
      <c r="A9372" s="36" t="b">
        <v>0</v>
      </c>
      <c r="B9372" s="56" t="b">
        <v>0</v>
      </c>
      <c r="C9372" s="56" t="b">
        <v>0</v>
      </c>
      <c r="D9372" s="56" t="b">
        <v>0</v>
      </c>
      <c r="E9372" s="56">
        <f ca="1">IF(PV[[#This Row],[Business Date]]=Control!$C$6, PV[[#This Row],[Notional Value Local Cur]], -PV[[#This Row],[Notional Value Local Cur]])</f>
        <v>0</v>
      </c>
    </row>
    <row r="9373" spans="1:5" x14ac:dyDescent="0.25">
      <c r="A9373" s="36" t="b">
        <v>0</v>
      </c>
      <c r="B9373" s="56" t="b">
        <v>0</v>
      </c>
      <c r="C9373" s="56" t="b">
        <v>0</v>
      </c>
      <c r="D9373" s="56" t="b">
        <v>0</v>
      </c>
      <c r="E9373" s="56">
        <f ca="1">IF(PV[[#This Row],[Business Date]]=Control!$C$6, PV[[#This Row],[Notional Value Local Cur]], -PV[[#This Row],[Notional Value Local Cur]])</f>
        <v>0</v>
      </c>
    </row>
    <row r="9374" spans="1:5" x14ac:dyDescent="0.25">
      <c r="A9374" s="36" t="b">
        <v>0</v>
      </c>
      <c r="B9374" s="56" t="b">
        <v>0</v>
      </c>
      <c r="C9374" s="56" t="b">
        <v>0</v>
      </c>
      <c r="D9374" s="56" t="b">
        <v>0</v>
      </c>
      <c r="E9374" s="56">
        <f ca="1">IF(PV[[#This Row],[Business Date]]=Control!$C$6, PV[[#This Row],[Notional Value Local Cur]], -PV[[#This Row],[Notional Value Local Cur]])</f>
        <v>0</v>
      </c>
    </row>
    <row r="9375" spans="1:5" x14ac:dyDescent="0.25">
      <c r="A9375" s="36" t="b">
        <v>0</v>
      </c>
      <c r="B9375" s="56" t="b">
        <v>0</v>
      </c>
      <c r="C9375" s="56" t="b">
        <v>0</v>
      </c>
      <c r="D9375" s="56" t="b">
        <v>0</v>
      </c>
      <c r="E9375" s="56">
        <f ca="1">IF(PV[[#This Row],[Business Date]]=Control!$C$6, PV[[#This Row],[Notional Value Local Cur]], -PV[[#This Row],[Notional Value Local Cur]])</f>
        <v>0</v>
      </c>
    </row>
    <row r="9376" spans="1:5" x14ac:dyDescent="0.25">
      <c r="A9376" s="36" t="b">
        <v>0</v>
      </c>
      <c r="B9376" s="56" t="b">
        <v>0</v>
      </c>
      <c r="C9376" s="56" t="b">
        <v>0</v>
      </c>
      <c r="D9376" s="56" t="b">
        <v>0</v>
      </c>
      <c r="E9376" s="56">
        <f ca="1">IF(PV[[#This Row],[Business Date]]=Control!$C$6, PV[[#This Row],[Notional Value Local Cur]], -PV[[#This Row],[Notional Value Local Cur]])</f>
        <v>0</v>
      </c>
    </row>
    <row r="9377" spans="1:5" x14ac:dyDescent="0.25">
      <c r="A9377" s="36" t="b">
        <v>0</v>
      </c>
      <c r="B9377" s="56" t="b">
        <v>0</v>
      </c>
      <c r="C9377" s="56" t="b">
        <v>0</v>
      </c>
      <c r="D9377" s="56" t="b">
        <v>0</v>
      </c>
      <c r="E9377" s="56">
        <f ca="1">IF(PV[[#This Row],[Business Date]]=Control!$C$6, PV[[#This Row],[Notional Value Local Cur]], -PV[[#This Row],[Notional Value Local Cur]])</f>
        <v>0</v>
      </c>
    </row>
    <row r="9378" spans="1:5" x14ac:dyDescent="0.25">
      <c r="A9378" s="36" t="b">
        <v>0</v>
      </c>
      <c r="B9378" s="56" t="b">
        <v>0</v>
      </c>
      <c r="C9378" s="56" t="b">
        <v>0</v>
      </c>
      <c r="D9378" s="56" t="b">
        <v>0</v>
      </c>
      <c r="E9378" s="56">
        <f ca="1">IF(PV[[#This Row],[Business Date]]=Control!$C$6, PV[[#This Row],[Notional Value Local Cur]], -PV[[#This Row],[Notional Value Local Cur]])</f>
        <v>0</v>
      </c>
    </row>
    <row r="9379" spans="1:5" x14ac:dyDescent="0.25">
      <c r="A9379" s="36" t="b">
        <v>0</v>
      </c>
      <c r="B9379" s="56" t="b">
        <v>0</v>
      </c>
      <c r="C9379" s="56" t="b">
        <v>0</v>
      </c>
      <c r="D9379" s="56" t="b">
        <v>0</v>
      </c>
      <c r="E9379" s="56">
        <f ca="1">IF(PV[[#This Row],[Business Date]]=Control!$C$6, PV[[#This Row],[Notional Value Local Cur]], -PV[[#This Row],[Notional Value Local Cur]])</f>
        <v>0</v>
      </c>
    </row>
    <row r="9380" spans="1:5" x14ac:dyDescent="0.25">
      <c r="A9380" s="36" t="b">
        <v>0</v>
      </c>
      <c r="B9380" s="56" t="b">
        <v>0</v>
      </c>
      <c r="C9380" s="56" t="b">
        <v>0</v>
      </c>
      <c r="D9380" s="56" t="b">
        <v>0</v>
      </c>
      <c r="E9380" s="56">
        <f ca="1">IF(PV[[#This Row],[Business Date]]=Control!$C$6, PV[[#This Row],[Notional Value Local Cur]], -PV[[#This Row],[Notional Value Local Cur]])</f>
        <v>0</v>
      </c>
    </row>
    <row r="9381" spans="1:5" x14ac:dyDescent="0.25">
      <c r="A9381" s="36" t="b">
        <v>0</v>
      </c>
      <c r="B9381" s="56" t="b">
        <v>0</v>
      </c>
      <c r="C9381" s="56" t="b">
        <v>0</v>
      </c>
      <c r="D9381" s="56" t="b">
        <v>0</v>
      </c>
      <c r="E9381" s="56">
        <f ca="1">IF(PV[[#This Row],[Business Date]]=Control!$C$6, PV[[#This Row],[Notional Value Local Cur]], -PV[[#This Row],[Notional Value Local Cur]])</f>
        <v>0</v>
      </c>
    </row>
    <row r="9382" spans="1:5" x14ac:dyDescent="0.25">
      <c r="A9382" s="36" t="b">
        <v>0</v>
      </c>
      <c r="B9382" s="56" t="b">
        <v>0</v>
      </c>
      <c r="C9382" s="56" t="b">
        <v>0</v>
      </c>
      <c r="D9382" s="56" t="b">
        <v>0</v>
      </c>
      <c r="E9382" s="56">
        <f ca="1">IF(PV[[#This Row],[Business Date]]=Control!$C$6, PV[[#This Row],[Notional Value Local Cur]], -PV[[#This Row],[Notional Value Local Cur]])</f>
        <v>0</v>
      </c>
    </row>
    <row r="9383" spans="1:5" x14ac:dyDescent="0.25">
      <c r="A9383" s="36" t="b">
        <v>0</v>
      </c>
      <c r="B9383" s="56" t="b">
        <v>0</v>
      </c>
      <c r="C9383" s="56" t="b">
        <v>0</v>
      </c>
      <c r="D9383" s="56" t="b">
        <v>0</v>
      </c>
      <c r="E9383" s="56">
        <f ca="1">IF(PV[[#This Row],[Business Date]]=Control!$C$6, PV[[#This Row],[Notional Value Local Cur]], -PV[[#This Row],[Notional Value Local Cur]])</f>
        <v>0</v>
      </c>
    </row>
    <row r="9384" spans="1:5" x14ac:dyDescent="0.25">
      <c r="A9384" s="36" t="b">
        <v>0</v>
      </c>
      <c r="B9384" s="56" t="b">
        <v>0</v>
      </c>
      <c r="C9384" s="56" t="b">
        <v>0</v>
      </c>
      <c r="D9384" s="56" t="b">
        <v>0</v>
      </c>
      <c r="E9384" s="56">
        <f ca="1">IF(PV[[#This Row],[Business Date]]=Control!$C$6, PV[[#This Row],[Notional Value Local Cur]], -PV[[#This Row],[Notional Value Local Cur]])</f>
        <v>0</v>
      </c>
    </row>
    <row r="9385" spans="1:5" x14ac:dyDescent="0.25">
      <c r="A9385" s="36" t="b">
        <v>0</v>
      </c>
      <c r="B9385" s="56" t="b">
        <v>0</v>
      </c>
      <c r="C9385" s="56" t="b">
        <v>0</v>
      </c>
      <c r="D9385" s="56" t="b">
        <v>0</v>
      </c>
      <c r="E9385" s="56">
        <f ca="1">IF(PV[[#This Row],[Business Date]]=Control!$C$6, PV[[#This Row],[Notional Value Local Cur]], -PV[[#This Row],[Notional Value Local Cur]])</f>
        <v>0</v>
      </c>
    </row>
    <row r="9386" spans="1:5" x14ac:dyDescent="0.25">
      <c r="A9386" s="36" t="b">
        <v>0</v>
      </c>
      <c r="B9386" s="56" t="b">
        <v>0</v>
      </c>
      <c r="C9386" s="56" t="b">
        <v>0</v>
      </c>
      <c r="D9386" s="56" t="b">
        <v>0</v>
      </c>
      <c r="E9386" s="56">
        <f ca="1">IF(PV[[#This Row],[Business Date]]=Control!$C$6, PV[[#This Row],[Notional Value Local Cur]], -PV[[#This Row],[Notional Value Local Cur]])</f>
        <v>0</v>
      </c>
    </row>
    <row r="9387" spans="1:5" x14ac:dyDescent="0.25">
      <c r="A9387" s="36" t="b">
        <v>0</v>
      </c>
      <c r="B9387" s="56" t="b">
        <v>0</v>
      </c>
      <c r="C9387" s="56" t="b">
        <v>0</v>
      </c>
      <c r="D9387" s="56" t="b">
        <v>0</v>
      </c>
      <c r="E9387" s="56">
        <f ca="1">IF(PV[[#This Row],[Business Date]]=Control!$C$6, PV[[#This Row],[Notional Value Local Cur]], -PV[[#This Row],[Notional Value Local Cur]])</f>
        <v>0</v>
      </c>
    </row>
    <row r="9388" spans="1:5" x14ac:dyDescent="0.25">
      <c r="A9388" s="36" t="b">
        <v>0</v>
      </c>
      <c r="B9388" s="56" t="b">
        <v>0</v>
      </c>
      <c r="C9388" s="56" t="b">
        <v>0</v>
      </c>
      <c r="D9388" s="56" t="b">
        <v>0</v>
      </c>
      <c r="E9388" s="56">
        <f ca="1">IF(PV[[#This Row],[Business Date]]=Control!$C$6, PV[[#This Row],[Notional Value Local Cur]], -PV[[#This Row],[Notional Value Local Cur]])</f>
        <v>0</v>
      </c>
    </row>
    <row r="9389" spans="1:5" x14ac:dyDescent="0.25">
      <c r="A9389" s="36" t="b">
        <v>0</v>
      </c>
      <c r="B9389" s="56" t="b">
        <v>0</v>
      </c>
      <c r="C9389" s="56" t="b">
        <v>0</v>
      </c>
      <c r="D9389" s="56" t="b">
        <v>0</v>
      </c>
      <c r="E9389" s="56">
        <f ca="1">IF(PV[[#This Row],[Business Date]]=Control!$C$6, PV[[#This Row],[Notional Value Local Cur]], -PV[[#This Row],[Notional Value Local Cur]])</f>
        <v>0</v>
      </c>
    </row>
    <row r="9390" spans="1:5" x14ac:dyDescent="0.25">
      <c r="A9390" s="36" t="b">
        <v>0</v>
      </c>
      <c r="B9390" s="56" t="b">
        <v>0</v>
      </c>
      <c r="C9390" s="56" t="b">
        <v>0</v>
      </c>
      <c r="D9390" s="56" t="b">
        <v>0</v>
      </c>
      <c r="E9390" s="56">
        <f ca="1">IF(PV[[#This Row],[Business Date]]=Control!$C$6, PV[[#This Row],[Notional Value Local Cur]], -PV[[#This Row],[Notional Value Local Cur]])</f>
        <v>0</v>
      </c>
    </row>
    <row r="9391" spans="1:5" x14ac:dyDescent="0.25">
      <c r="A9391" s="36" t="b">
        <v>0</v>
      </c>
      <c r="B9391" s="56" t="b">
        <v>0</v>
      </c>
      <c r="C9391" s="56" t="b">
        <v>0</v>
      </c>
      <c r="D9391" s="56" t="b">
        <v>0</v>
      </c>
      <c r="E9391" s="56">
        <f ca="1">IF(PV[[#This Row],[Business Date]]=Control!$C$6, PV[[#This Row],[Notional Value Local Cur]], -PV[[#This Row],[Notional Value Local Cur]])</f>
        <v>0</v>
      </c>
    </row>
    <row r="9392" spans="1:5" x14ac:dyDescent="0.25">
      <c r="A9392" s="36" t="b">
        <v>0</v>
      </c>
      <c r="B9392" s="56" t="b">
        <v>0</v>
      </c>
      <c r="C9392" s="56" t="b">
        <v>0</v>
      </c>
      <c r="D9392" s="56" t="b">
        <v>0</v>
      </c>
      <c r="E9392" s="56">
        <f ca="1">IF(PV[[#This Row],[Business Date]]=Control!$C$6, PV[[#This Row],[Notional Value Local Cur]], -PV[[#This Row],[Notional Value Local Cur]])</f>
        <v>0</v>
      </c>
    </row>
    <row r="9393" spans="1:5" x14ac:dyDescent="0.25">
      <c r="A9393" s="36" t="b">
        <v>0</v>
      </c>
      <c r="B9393" s="56" t="b">
        <v>0</v>
      </c>
      <c r="C9393" s="56" t="b">
        <v>0</v>
      </c>
      <c r="D9393" s="56" t="b">
        <v>0</v>
      </c>
      <c r="E9393" s="56">
        <f ca="1">IF(PV[[#This Row],[Business Date]]=Control!$C$6, PV[[#This Row],[Notional Value Local Cur]], -PV[[#This Row],[Notional Value Local Cur]])</f>
        <v>0</v>
      </c>
    </row>
    <row r="9394" spans="1:5" x14ac:dyDescent="0.25">
      <c r="A9394" s="36" t="b">
        <v>0</v>
      </c>
      <c r="B9394" s="56" t="b">
        <v>0</v>
      </c>
      <c r="C9394" s="56" t="b">
        <v>0</v>
      </c>
      <c r="D9394" s="56" t="b">
        <v>0</v>
      </c>
      <c r="E9394" s="56">
        <f ca="1">IF(PV[[#This Row],[Business Date]]=Control!$C$6, PV[[#This Row],[Notional Value Local Cur]], -PV[[#This Row],[Notional Value Local Cur]])</f>
        <v>0</v>
      </c>
    </row>
    <row r="9395" spans="1:5" x14ac:dyDescent="0.25">
      <c r="A9395" s="36" t="b">
        <v>0</v>
      </c>
      <c r="B9395" s="56" t="b">
        <v>0</v>
      </c>
      <c r="C9395" s="56" t="b">
        <v>0</v>
      </c>
      <c r="D9395" s="56" t="b">
        <v>0</v>
      </c>
      <c r="E9395" s="56">
        <f ca="1">IF(PV[[#This Row],[Business Date]]=Control!$C$6, PV[[#This Row],[Notional Value Local Cur]], -PV[[#This Row],[Notional Value Local Cur]])</f>
        <v>0</v>
      </c>
    </row>
    <row r="9396" spans="1:5" x14ac:dyDescent="0.25">
      <c r="A9396" s="36" t="b">
        <v>0</v>
      </c>
      <c r="B9396" s="56" t="b">
        <v>0</v>
      </c>
      <c r="C9396" s="56" t="b">
        <v>0</v>
      </c>
      <c r="D9396" s="56" t="b">
        <v>0</v>
      </c>
      <c r="E9396" s="56">
        <f ca="1">IF(PV[[#This Row],[Business Date]]=Control!$C$6, PV[[#This Row],[Notional Value Local Cur]], -PV[[#This Row],[Notional Value Local Cur]])</f>
        <v>0</v>
      </c>
    </row>
    <row r="9397" spans="1:5" x14ac:dyDescent="0.25">
      <c r="A9397" s="36" t="b">
        <v>0</v>
      </c>
      <c r="B9397" s="56" t="b">
        <v>0</v>
      </c>
      <c r="C9397" s="56" t="b">
        <v>0</v>
      </c>
      <c r="D9397" s="56" t="b">
        <v>0</v>
      </c>
      <c r="E9397" s="56">
        <f ca="1">IF(PV[[#This Row],[Business Date]]=Control!$C$6, PV[[#This Row],[Notional Value Local Cur]], -PV[[#This Row],[Notional Value Local Cur]])</f>
        <v>0</v>
      </c>
    </row>
    <row r="9398" spans="1:5" x14ac:dyDescent="0.25">
      <c r="A9398" s="36" t="b">
        <v>0</v>
      </c>
      <c r="B9398" s="56" t="b">
        <v>0</v>
      </c>
      <c r="C9398" s="56" t="b">
        <v>0</v>
      </c>
      <c r="D9398" s="56" t="b">
        <v>0</v>
      </c>
      <c r="E9398" s="56">
        <f ca="1">IF(PV[[#This Row],[Business Date]]=Control!$C$6, PV[[#This Row],[Notional Value Local Cur]], -PV[[#This Row],[Notional Value Local Cur]])</f>
        <v>0</v>
      </c>
    </row>
    <row r="9399" spans="1:5" x14ac:dyDescent="0.25">
      <c r="A9399" s="36" t="b">
        <v>0</v>
      </c>
      <c r="B9399" s="56" t="b">
        <v>0</v>
      </c>
      <c r="C9399" s="56" t="b">
        <v>0</v>
      </c>
      <c r="D9399" s="56" t="b">
        <v>0</v>
      </c>
      <c r="E9399" s="56">
        <f ca="1">IF(PV[[#This Row],[Business Date]]=Control!$C$6, PV[[#This Row],[Notional Value Local Cur]], -PV[[#This Row],[Notional Value Local Cur]])</f>
        <v>0</v>
      </c>
    </row>
    <row r="9400" spans="1:5" x14ac:dyDescent="0.25">
      <c r="A9400" s="36" t="b">
        <v>0</v>
      </c>
      <c r="B9400" s="56" t="b">
        <v>0</v>
      </c>
      <c r="C9400" s="56" t="b">
        <v>0</v>
      </c>
      <c r="D9400" s="56" t="b">
        <v>0</v>
      </c>
      <c r="E9400" s="56">
        <f ca="1">IF(PV[[#This Row],[Business Date]]=Control!$C$6, PV[[#This Row],[Notional Value Local Cur]], -PV[[#This Row],[Notional Value Local Cur]])</f>
        <v>0</v>
      </c>
    </row>
    <row r="9401" spans="1:5" x14ac:dyDescent="0.25">
      <c r="A9401" s="36" t="b">
        <v>0</v>
      </c>
      <c r="B9401" s="56" t="b">
        <v>0</v>
      </c>
      <c r="C9401" s="56" t="b">
        <v>0</v>
      </c>
      <c r="D9401" s="56" t="b">
        <v>0</v>
      </c>
      <c r="E9401" s="56">
        <f ca="1">IF(PV[[#This Row],[Business Date]]=Control!$C$6, PV[[#This Row],[Notional Value Local Cur]], -PV[[#This Row],[Notional Value Local Cur]])</f>
        <v>0</v>
      </c>
    </row>
    <row r="9402" spans="1:5" x14ac:dyDescent="0.25">
      <c r="A9402" s="36" t="b">
        <v>0</v>
      </c>
      <c r="B9402" s="56" t="b">
        <v>0</v>
      </c>
      <c r="C9402" s="56" t="b">
        <v>0</v>
      </c>
      <c r="D9402" s="56" t="b">
        <v>0</v>
      </c>
      <c r="E9402" s="56">
        <f ca="1">IF(PV[[#This Row],[Business Date]]=Control!$C$6, PV[[#This Row],[Notional Value Local Cur]], -PV[[#This Row],[Notional Value Local Cur]])</f>
        <v>0</v>
      </c>
    </row>
    <row r="9403" spans="1:5" x14ac:dyDescent="0.25">
      <c r="A9403" s="36" t="b">
        <v>0</v>
      </c>
      <c r="B9403" s="56" t="b">
        <v>0</v>
      </c>
      <c r="C9403" s="56" t="b">
        <v>0</v>
      </c>
      <c r="D9403" s="56" t="b">
        <v>0</v>
      </c>
      <c r="E9403" s="56">
        <f ca="1">IF(PV[[#This Row],[Business Date]]=Control!$C$6, PV[[#This Row],[Notional Value Local Cur]], -PV[[#This Row],[Notional Value Local Cur]])</f>
        <v>0</v>
      </c>
    </row>
    <row r="9404" spans="1:5" x14ac:dyDescent="0.25">
      <c r="A9404" s="36" t="b">
        <v>0</v>
      </c>
      <c r="B9404" s="56" t="b">
        <v>0</v>
      </c>
      <c r="C9404" s="56" t="b">
        <v>0</v>
      </c>
      <c r="D9404" s="56" t="b">
        <v>0</v>
      </c>
      <c r="E9404" s="56">
        <f ca="1">IF(PV[[#This Row],[Business Date]]=Control!$C$6, PV[[#This Row],[Notional Value Local Cur]], -PV[[#This Row],[Notional Value Local Cur]])</f>
        <v>0</v>
      </c>
    </row>
    <row r="9405" spans="1:5" x14ac:dyDescent="0.25">
      <c r="A9405" s="36" t="b">
        <v>0</v>
      </c>
      <c r="B9405" s="56" t="b">
        <v>0</v>
      </c>
      <c r="C9405" s="56" t="b">
        <v>0</v>
      </c>
      <c r="D9405" s="56" t="b">
        <v>0</v>
      </c>
      <c r="E9405" s="56">
        <f ca="1">IF(PV[[#This Row],[Business Date]]=Control!$C$6, PV[[#This Row],[Notional Value Local Cur]], -PV[[#This Row],[Notional Value Local Cur]])</f>
        <v>0</v>
      </c>
    </row>
    <row r="9406" spans="1:5" x14ac:dyDescent="0.25">
      <c r="A9406" s="36" t="b">
        <v>0</v>
      </c>
      <c r="B9406" s="56" t="b">
        <v>0</v>
      </c>
      <c r="C9406" s="56" t="b">
        <v>0</v>
      </c>
      <c r="D9406" s="56" t="b">
        <v>0</v>
      </c>
      <c r="E9406" s="56">
        <f ca="1">IF(PV[[#This Row],[Business Date]]=Control!$C$6, PV[[#This Row],[Notional Value Local Cur]], -PV[[#This Row],[Notional Value Local Cur]])</f>
        <v>0</v>
      </c>
    </row>
    <row r="9407" spans="1:5" x14ac:dyDescent="0.25">
      <c r="A9407" s="36" t="b">
        <v>0</v>
      </c>
      <c r="B9407" s="56" t="b">
        <v>0</v>
      </c>
      <c r="C9407" s="56" t="b">
        <v>0</v>
      </c>
      <c r="D9407" s="56" t="b">
        <v>0</v>
      </c>
      <c r="E9407" s="56">
        <f ca="1">IF(PV[[#This Row],[Business Date]]=Control!$C$6, PV[[#This Row],[Notional Value Local Cur]], -PV[[#This Row],[Notional Value Local Cur]])</f>
        <v>0</v>
      </c>
    </row>
    <row r="9408" spans="1:5" x14ac:dyDescent="0.25">
      <c r="A9408" s="36" t="b">
        <v>0</v>
      </c>
      <c r="B9408" s="56" t="b">
        <v>0</v>
      </c>
      <c r="C9408" s="56" t="b">
        <v>0</v>
      </c>
      <c r="D9408" s="56" t="b">
        <v>0</v>
      </c>
      <c r="E9408" s="56">
        <f ca="1">IF(PV[[#This Row],[Business Date]]=Control!$C$6, PV[[#This Row],[Notional Value Local Cur]], -PV[[#This Row],[Notional Value Local Cur]])</f>
        <v>0</v>
      </c>
    </row>
    <row r="9409" spans="1:5" x14ac:dyDescent="0.25">
      <c r="A9409" s="36" t="b">
        <v>0</v>
      </c>
      <c r="B9409" s="56" t="b">
        <v>0</v>
      </c>
      <c r="C9409" s="56" t="b">
        <v>0</v>
      </c>
      <c r="D9409" s="56" t="b">
        <v>0</v>
      </c>
      <c r="E9409" s="56">
        <f ca="1">IF(PV[[#This Row],[Business Date]]=Control!$C$6, PV[[#This Row],[Notional Value Local Cur]], -PV[[#This Row],[Notional Value Local Cur]])</f>
        <v>0</v>
      </c>
    </row>
    <row r="9410" spans="1:5" x14ac:dyDescent="0.25">
      <c r="A9410" s="36" t="b">
        <v>0</v>
      </c>
      <c r="B9410" s="56" t="b">
        <v>0</v>
      </c>
      <c r="C9410" s="56" t="b">
        <v>0</v>
      </c>
      <c r="D9410" s="56" t="b">
        <v>0</v>
      </c>
      <c r="E9410" s="56">
        <f ca="1">IF(PV[[#This Row],[Business Date]]=Control!$C$6, PV[[#This Row],[Notional Value Local Cur]], -PV[[#This Row],[Notional Value Local Cur]])</f>
        <v>0</v>
      </c>
    </row>
    <row r="9411" spans="1:5" x14ac:dyDescent="0.25">
      <c r="A9411" s="36" t="b">
        <v>0</v>
      </c>
      <c r="B9411" s="56" t="b">
        <v>0</v>
      </c>
      <c r="C9411" s="56" t="b">
        <v>0</v>
      </c>
      <c r="D9411" s="56" t="b">
        <v>0</v>
      </c>
      <c r="E9411" s="56">
        <f ca="1">IF(PV[[#This Row],[Business Date]]=Control!$C$6, PV[[#This Row],[Notional Value Local Cur]], -PV[[#This Row],[Notional Value Local Cur]])</f>
        <v>0</v>
      </c>
    </row>
    <row r="9412" spans="1:5" x14ac:dyDescent="0.25">
      <c r="A9412" s="36" t="b">
        <v>0</v>
      </c>
      <c r="B9412" s="56" t="b">
        <v>0</v>
      </c>
      <c r="C9412" s="56" t="b">
        <v>0</v>
      </c>
      <c r="D9412" s="56" t="b">
        <v>0</v>
      </c>
      <c r="E9412" s="56">
        <f ca="1">IF(PV[[#This Row],[Business Date]]=Control!$C$6, PV[[#This Row],[Notional Value Local Cur]], -PV[[#This Row],[Notional Value Local Cur]])</f>
        <v>0</v>
      </c>
    </row>
    <row r="9413" spans="1:5" x14ac:dyDescent="0.25">
      <c r="A9413" s="36" t="b">
        <v>0</v>
      </c>
      <c r="B9413" s="56" t="b">
        <v>0</v>
      </c>
      <c r="C9413" s="56" t="b">
        <v>0</v>
      </c>
      <c r="D9413" s="56" t="b">
        <v>0</v>
      </c>
      <c r="E9413" s="56">
        <f ca="1">IF(PV[[#This Row],[Business Date]]=Control!$C$6, PV[[#This Row],[Notional Value Local Cur]], -PV[[#This Row],[Notional Value Local Cur]])</f>
        <v>0</v>
      </c>
    </row>
    <row r="9414" spans="1:5" x14ac:dyDescent="0.25">
      <c r="A9414" s="36" t="b">
        <v>0</v>
      </c>
      <c r="B9414" s="56" t="b">
        <v>0</v>
      </c>
      <c r="C9414" s="56" t="b">
        <v>0</v>
      </c>
      <c r="D9414" s="56" t="b">
        <v>0</v>
      </c>
      <c r="E9414" s="56">
        <f ca="1">IF(PV[[#This Row],[Business Date]]=Control!$C$6, PV[[#This Row],[Notional Value Local Cur]], -PV[[#This Row],[Notional Value Local Cur]])</f>
        <v>0</v>
      </c>
    </row>
    <row r="9415" spans="1:5" x14ac:dyDescent="0.25">
      <c r="A9415" s="36" t="b">
        <v>0</v>
      </c>
      <c r="B9415" s="56" t="b">
        <v>0</v>
      </c>
      <c r="C9415" s="56" t="b">
        <v>0</v>
      </c>
      <c r="D9415" s="56" t="b">
        <v>0</v>
      </c>
      <c r="E9415" s="56">
        <f ca="1">IF(PV[[#This Row],[Business Date]]=Control!$C$6, PV[[#This Row],[Notional Value Local Cur]], -PV[[#This Row],[Notional Value Local Cur]])</f>
        <v>0</v>
      </c>
    </row>
    <row r="9416" spans="1:5" x14ac:dyDescent="0.25">
      <c r="A9416" s="36" t="b">
        <v>0</v>
      </c>
      <c r="B9416" s="56" t="b">
        <v>0</v>
      </c>
      <c r="C9416" s="56" t="b">
        <v>0</v>
      </c>
      <c r="D9416" s="56" t="b">
        <v>0</v>
      </c>
      <c r="E9416" s="56">
        <f ca="1">IF(PV[[#This Row],[Business Date]]=Control!$C$6, PV[[#This Row],[Notional Value Local Cur]], -PV[[#This Row],[Notional Value Local Cur]])</f>
        <v>0</v>
      </c>
    </row>
    <row r="9417" spans="1:5" x14ac:dyDescent="0.25">
      <c r="A9417" s="36" t="b">
        <v>0</v>
      </c>
      <c r="B9417" s="56" t="b">
        <v>0</v>
      </c>
      <c r="C9417" s="56" t="b">
        <v>0</v>
      </c>
      <c r="D9417" s="56" t="b">
        <v>0</v>
      </c>
      <c r="E9417" s="56">
        <f ca="1">IF(PV[[#This Row],[Business Date]]=Control!$C$6, PV[[#This Row],[Notional Value Local Cur]], -PV[[#This Row],[Notional Value Local Cur]])</f>
        <v>0</v>
      </c>
    </row>
    <row r="9418" spans="1:5" x14ac:dyDescent="0.25">
      <c r="A9418" s="36" t="b">
        <v>0</v>
      </c>
      <c r="B9418" s="56" t="b">
        <v>0</v>
      </c>
      <c r="C9418" s="56" t="b">
        <v>0</v>
      </c>
      <c r="D9418" s="56" t="b">
        <v>0</v>
      </c>
      <c r="E9418" s="56">
        <f ca="1">IF(PV[[#This Row],[Business Date]]=Control!$C$6, PV[[#This Row],[Notional Value Local Cur]], -PV[[#This Row],[Notional Value Local Cur]])</f>
        <v>0</v>
      </c>
    </row>
    <row r="9419" spans="1:5" x14ac:dyDescent="0.25">
      <c r="A9419" s="36" t="b">
        <v>0</v>
      </c>
      <c r="B9419" s="56" t="b">
        <v>0</v>
      </c>
      <c r="C9419" s="56" t="b">
        <v>0</v>
      </c>
      <c r="D9419" s="56" t="b">
        <v>0</v>
      </c>
      <c r="E9419" s="56">
        <f ca="1">IF(PV[[#This Row],[Business Date]]=Control!$C$6, PV[[#This Row],[Notional Value Local Cur]], -PV[[#This Row],[Notional Value Local Cur]])</f>
        <v>0</v>
      </c>
    </row>
    <row r="9420" spans="1:5" x14ac:dyDescent="0.25">
      <c r="A9420" s="36" t="b">
        <v>0</v>
      </c>
      <c r="B9420" s="56" t="b">
        <v>0</v>
      </c>
      <c r="C9420" s="56" t="b">
        <v>0</v>
      </c>
      <c r="D9420" s="56" t="b">
        <v>0</v>
      </c>
      <c r="E9420" s="56">
        <f ca="1">IF(PV[[#This Row],[Business Date]]=Control!$C$6, PV[[#This Row],[Notional Value Local Cur]], -PV[[#This Row],[Notional Value Local Cur]])</f>
        <v>0</v>
      </c>
    </row>
    <row r="9421" spans="1:5" x14ac:dyDescent="0.25">
      <c r="A9421" s="36" t="b">
        <v>0</v>
      </c>
      <c r="B9421" s="56" t="b">
        <v>0</v>
      </c>
      <c r="C9421" s="56" t="b">
        <v>0</v>
      </c>
      <c r="D9421" s="56" t="b">
        <v>0</v>
      </c>
      <c r="E9421" s="56">
        <f ca="1">IF(PV[[#This Row],[Business Date]]=Control!$C$6, PV[[#This Row],[Notional Value Local Cur]], -PV[[#This Row],[Notional Value Local Cur]])</f>
        <v>0</v>
      </c>
    </row>
    <row r="9422" spans="1:5" x14ac:dyDescent="0.25">
      <c r="A9422" s="36" t="b">
        <v>0</v>
      </c>
      <c r="B9422" s="56" t="b">
        <v>0</v>
      </c>
      <c r="C9422" s="56" t="b">
        <v>0</v>
      </c>
      <c r="D9422" s="56" t="b">
        <v>0</v>
      </c>
      <c r="E9422" s="56">
        <f ca="1">IF(PV[[#This Row],[Business Date]]=Control!$C$6, PV[[#This Row],[Notional Value Local Cur]], -PV[[#This Row],[Notional Value Local Cur]])</f>
        <v>0</v>
      </c>
    </row>
    <row r="9423" spans="1:5" x14ac:dyDescent="0.25">
      <c r="A9423" s="36" t="b">
        <v>0</v>
      </c>
      <c r="B9423" s="56" t="b">
        <v>0</v>
      </c>
      <c r="C9423" s="56" t="b">
        <v>0</v>
      </c>
      <c r="D9423" s="56" t="b">
        <v>0</v>
      </c>
      <c r="E9423" s="56">
        <f ca="1">IF(PV[[#This Row],[Business Date]]=Control!$C$6, PV[[#This Row],[Notional Value Local Cur]], -PV[[#This Row],[Notional Value Local Cur]])</f>
        <v>0</v>
      </c>
    </row>
    <row r="9424" spans="1:5" x14ac:dyDescent="0.25">
      <c r="A9424" s="36" t="b">
        <v>0</v>
      </c>
      <c r="B9424" s="56" t="b">
        <v>0</v>
      </c>
      <c r="C9424" s="56" t="b">
        <v>0</v>
      </c>
      <c r="D9424" s="56" t="b">
        <v>0</v>
      </c>
      <c r="E9424" s="56">
        <f ca="1">IF(PV[[#This Row],[Business Date]]=Control!$C$6, PV[[#This Row],[Notional Value Local Cur]], -PV[[#This Row],[Notional Value Local Cur]])</f>
        <v>0</v>
      </c>
    </row>
    <row r="9425" spans="1:5" x14ac:dyDescent="0.25">
      <c r="A9425" s="36" t="b">
        <v>0</v>
      </c>
      <c r="B9425" s="56" t="b">
        <v>0</v>
      </c>
      <c r="C9425" s="56" t="b">
        <v>0</v>
      </c>
      <c r="D9425" s="56" t="b">
        <v>0</v>
      </c>
      <c r="E9425" s="56">
        <f ca="1">IF(PV[[#This Row],[Business Date]]=Control!$C$6, PV[[#This Row],[Notional Value Local Cur]], -PV[[#This Row],[Notional Value Local Cur]])</f>
        <v>0</v>
      </c>
    </row>
    <row r="9426" spans="1:5" x14ac:dyDescent="0.25">
      <c r="A9426" s="36" t="b">
        <v>0</v>
      </c>
      <c r="B9426" s="56" t="b">
        <v>0</v>
      </c>
      <c r="C9426" s="56" t="b">
        <v>0</v>
      </c>
      <c r="D9426" s="56" t="b">
        <v>0</v>
      </c>
      <c r="E9426" s="56">
        <f ca="1">IF(PV[[#This Row],[Business Date]]=Control!$C$6, PV[[#This Row],[Notional Value Local Cur]], -PV[[#This Row],[Notional Value Local Cur]])</f>
        <v>0</v>
      </c>
    </row>
    <row r="9427" spans="1:5" x14ac:dyDescent="0.25">
      <c r="A9427" s="36" t="b">
        <v>0</v>
      </c>
      <c r="B9427" s="56" t="b">
        <v>0</v>
      </c>
      <c r="C9427" s="56" t="b">
        <v>0</v>
      </c>
      <c r="D9427" s="56" t="b">
        <v>0</v>
      </c>
      <c r="E9427" s="56">
        <f ca="1">IF(PV[[#This Row],[Business Date]]=Control!$C$6, PV[[#This Row],[Notional Value Local Cur]], -PV[[#This Row],[Notional Value Local Cur]])</f>
        <v>0</v>
      </c>
    </row>
    <row r="9428" spans="1:5" x14ac:dyDescent="0.25">
      <c r="A9428" s="36" t="b">
        <v>0</v>
      </c>
      <c r="B9428" s="56" t="b">
        <v>0</v>
      </c>
      <c r="C9428" s="56" t="b">
        <v>0</v>
      </c>
      <c r="D9428" s="56" t="b">
        <v>0</v>
      </c>
      <c r="E9428" s="56">
        <f ca="1">IF(PV[[#This Row],[Business Date]]=Control!$C$6, PV[[#This Row],[Notional Value Local Cur]], -PV[[#This Row],[Notional Value Local Cur]])</f>
        <v>0</v>
      </c>
    </row>
    <row r="9429" spans="1:5" x14ac:dyDescent="0.25">
      <c r="A9429" s="36" t="b">
        <v>0</v>
      </c>
      <c r="B9429" s="56" t="b">
        <v>0</v>
      </c>
      <c r="C9429" s="56" t="b">
        <v>0</v>
      </c>
      <c r="D9429" s="56" t="b">
        <v>0</v>
      </c>
      <c r="E9429" s="56">
        <f ca="1">IF(PV[[#This Row],[Business Date]]=Control!$C$6, PV[[#This Row],[Notional Value Local Cur]], -PV[[#This Row],[Notional Value Local Cur]])</f>
        <v>0</v>
      </c>
    </row>
    <row r="9430" spans="1:5" x14ac:dyDescent="0.25">
      <c r="A9430" s="36" t="b">
        <v>0</v>
      </c>
      <c r="B9430" s="56" t="b">
        <v>0</v>
      </c>
      <c r="C9430" s="56" t="b">
        <v>0</v>
      </c>
      <c r="D9430" s="56" t="b">
        <v>0</v>
      </c>
      <c r="E9430" s="56">
        <f ca="1">IF(PV[[#This Row],[Business Date]]=Control!$C$6, PV[[#This Row],[Notional Value Local Cur]], -PV[[#This Row],[Notional Value Local Cur]])</f>
        <v>0</v>
      </c>
    </row>
    <row r="9431" spans="1:5" x14ac:dyDescent="0.25">
      <c r="A9431" s="36" t="b">
        <v>0</v>
      </c>
      <c r="B9431" s="56" t="b">
        <v>0</v>
      </c>
      <c r="C9431" s="56" t="b">
        <v>0</v>
      </c>
      <c r="D9431" s="56" t="b">
        <v>0</v>
      </c>
      <c r="E9431" s="56">
        <f ca="1">IF(PV[[#This Row],[Business Date]]=Control!$C$6, PV[[#This Row],[Notional Value Local Cur]], -PV[[#This Row],[Notional Value Local Cur]])</f>
        <v>0</v>
      </c>
    </row>
    <row r="9432" spans="1:5" x14ac:dyDescent="0.25">
      <c r="A9432" s="36" t="b">
        <v>0</v>
      </c>
      <c r="B9432" s="56" t="b">
        <v>0</v>
      </c>
      <c r="C9432" s="56" t="b">
        <v>0</v>
      </c>
      <c r="D9432" s="56" t="b">
        <v>0</v>
      </c>
      <c r="E9432" s="56">
        <f ca="1">IF(PV[[#This Row],[Business Date]]=Control!$C$6, PV[[#This Row],[Notional Value Local Cur]], -PV[[#This Row],[Notional Value Local Cur]])</f>
        <v>0</v>
      </c>
    </row>
    <row r="9433" spans="1:5" x14ac:dyDescent="0.25">
      <c r="A9433" s="36" t="b">
        <v>0</v>
      </c>
      <c r="B9433" s="56" t="b">
        <v>0</v>
      </c>
      <c r="C9433" s="56" t="b">
        <v>0</v>
      </c>
      <c r="D9433" s="56" t="b">
        <v>0</v>
      </c>
      <c r="E9433" s="56">
        <f ca="1">IF(PV[[#This Row],[Business Date]]=Control!$C$6, PV[[#This Row],[Notional Value Local Cur]], -PV[[#This Row],[Notional Value Local Cur]])</f>
        <v>0</v>
      </c>
    </row>
    <row r="9434" spans="1:5" x14ac:dyDescent="0.25">
      <c r="A9434" s="36" t="b">
        <v>0</v>
      </c>
      <c r="B9434" s="56" t="b">
        <v>0</v>
      </c>
      <c r="C9434" s="56" t="b">
        <v>0</v>
      </c>
      <c r="D9434" s="56" t="b">
        <v>0</v>
      </c>
      <c r="E9434" s="56">
        <f ca="1">IF(PV[[#This Row],[Business Date]]=Control!$C$6, PV[[#This Row],[Notional Value Local Cur]], -PV[[#This Row],[Notional Value Local Cur]])</f>
        <v>0</v>
      </c>
    </row>
    <row r="9435" spans="1:5" x14ac:dyDescent="0.25">
      <c r="A9435" s="36" t="b">
        <v>0</v>
      </c>
      <c r="B9435" s="56" t="b">
        <v>0</v>
      </c>
      <c r="C9435" s="56" t="b">
        <v>0</v>
      </c>
      <c r="D9435" s="56" t="b">
        <v>0</v>
      </c>
      <c r="E9435" s="56">
        <f ca="1">IF(PV[[#This Row],[Business Date]]=Control!$C$6, PV[[#This Row],[Notional Value Local Cur]], -PV[[#This Row],[Notional Value Local Cur]])</f>
        <v>0</v>
      </c>
    </row>
    <row r="9436" spans="1:5" x14ac:dyDescent="0.25">
      <c r="A9436" s="36" t="b">
        <v>0</v>
      </c>
      <c r="B9436" s="56" t="b">
        <v>0</v>
      </c>
      <c r="C9436" s="56" t="b">
        <v>0</v>
      </c>
      <c r="D9436" s="56" t="b">
        <v>0</v>
      </c>
      <c r="E9436" s="56">
        <f ca="1">IF(PV[[#This Row],[Business Date]]=Control!$C$6, PV[[#This Row],[Notional Value Local Cur]], -PV[[#This Row],[Notional Value Local Cur]])</f>
        <v>0</v>
      </c>
    </row>
    <row r="9437" spans="1:5" x14ac:dyDescent="0.25">
      <c r="A9437" s="36" t="b">
        <v>0</v>
      </c>
      <c r="B9437" s="56" t="b">
        <v>0</v>
      </c>
      <c r="C9437" s="56" t="b">
        <v>0</v>
      </c>
      <c r="D9437" s="56" t="b">
        <v>0</v>
      </c>
      <c r="E9437" s="56">
        <f ca="1">IF(PV[[#This Row],[Business Date]]=Control!$C$6, PV[[#This Row],[Notional Value Local Cur]], -PV[[#This Row],[Notional Value Local Cur]])</f>
        <v>0</v>
      </c>
    </row>
    <row r="9438" spans="1:5" x14ac:dyDescent="0.25">
      <c r="A9438" s="36" t="b">
        <v>0</v>
      </c>
      <c r="B9438" s="56" t="b">
        <v>0</v>
      </c>
      <c r="C9438" s="56" t="b">
        <v>0</v>
      </c>
      <c r="D9438" s="56" t="b">
        <v>0</v>
      </c>
      <c r="E9438" s="56">
        <f ca="1">IF(PV[[#This Row],[Business Date]]=Control!$C$6, PV[[#This Row],[Notional Value Local Cur]], -PV[[#This Row],[Notional Value Local Cur]])</f>
        <v>0</v>
      </c>
    </row>
    <row r="9439" spans="1:5" x14ac:dyDescent="0.25">
      <c r="A9439" s="36" t="b">
        <v>0</v>
      </c>
      <c r="B9439" s="56" t="b">
        <v>0</v>
      </c>
      <c r="C9439" s="56" t="b">
        <v>0</v>
      </c>
      <c r="D9439" s="56" t="b">
        <v>0</v>
      </c>
      <c r="E9439" s="56">
        <f ca="1">IF(PV[[#This Row],[Business Date]]=Control!$C$6, PV[[#This Row],[Notional Value Local Cur]], -PV[[#This Row],[Notional Value Local Cur]])</f>
        <v>0</v>
      </c>
    </row>
    <row r="9440" spans="1:5" x14ac:dyDescent="0.25">
      <c r="A9440" s="36" t="b">
        <v>0</v>
      </c>
      <c r="B9440" s="56" t="b">
        <v>0</v>
      </c>
      <c r="C9440" s="56" t="b">
        <v>0</v>
      </c>
      <c r="D9440" s="56" t="b">
        <v>0</v>
      </c>
      <c r="E9440" s="56">
        <f ca="1">IF(PV[[#This Row],[Business Date]]=Control!$C$6, PV[[#This Row],[Notional Value Local Cur]], -PV[[#This Row],[Notional Value Local Cur]])</f>
        <v>0</v>
      </c>
    </row>
    <row r="9441" spans="1:5" x14ac:dyDescent="0.25">
      <c r="A9441" s="36" t="b">
        <v>0</v>
      </c>
      <c r="B9441" s="56" t="b">
        <v>0</v>
      </c>
      <c r="C9441" s="56" t="b">
        <v>0</v>
      </c>
      <c r="D9441" s="56" t="b">
        <v>0</v>
      </c>
      <c r="E9441" s="56">
        <f ca="1">IF(PV[[#This Row],[Business Date]]=Control!$C$6, PV[[#This Row],[Notional Value Local Cur]], -PV[[#This Row],[Notional Value Local Cur]])</f>
        <v>0</v>
      </c>
    </row>
    <row r="9442" spans="1:5" x14ac:dyDescent="0.25">
      <c r="A9442" s="36" t="b">
        <v>0</v>
      </c>
      <c r="B9442" s="56" t="b">
        <v>0</v>
      </c>
      <c r="C9442" s="56" t="b">
        <v>0</v>
      </c>
      <c r="D9442" s="56" t="b">
        <v>0</v>
      </c>
      <c r="E9442" s="56">
        <f ca="1">IF(PV[[#This Row],[Business Date]]=Control!$C$6, PV[[#This Row],[Notional Value Local Cur]], -PV[[#This Row],[Notional Value Local Cur]])</f>
        <v>0</v>
      </c>
    </row>
    <row r="9443" spans="1:5" x14ac:dyDescent="0.25">
      <c r="A9443" s="36" t="b">
        <v>0</v>
      </c>
      <c r="B9443" s="56" t="b">
        <v>0</v>
      </c>
      <c r="C9443" s="56" t="b">
        <v>0</v>
      </c>
      <c r="D9443" s="56" t="b">
        <v>0</v>
      </c>
      <c r="E9443" s="56">
        <f ca="1">IF(PV[[#This Row],[Business Date]]=Control!$C$6, PV[[#This Row],[Notional Value Local Cur]], -PV[[#This Row],[Notional Value Local Cur]])</f>
        <v>0</v>
      </c>
    </row>
    <row r="9444" spans="1:5" x14ac:dyDescent="0.25">
      <c r="A9444" s="36" t="b">
        <v>0</v>
      </c>
      <c r="B9444" s="56" t="b">
        <v>0</v>
      </c>
      <c r="C9444" s="56" t="b">
        <v>0</v>
      </c>
      <c r="D9444" s="56" t="b">
        <v>0</v>
      </c>
      <c r="E9444" s="56">
        <f ca="1">IF(PV[[#This Row],[Business Date]]=Control!$C$6, PV[[#This Row],[Notional Value Local Cur]], -PV[[#This Row],[Notional Value Local Cur]])</f>
        <v>0</v>
      </c>
    </row>
    <row r="9445" spans="1:5" x14ac:dyDescent="0.25">
      <c r="A9445" s="36" t="b">
        <v>0</v>
      </c>
      <c r="B9445" s="56" t="b">
        <v>0</v>
      </c>
      <c r="C9445" s="56" t="b">
        <v>0</v>
      </c>
      <c r="D9445" s="56" t="b">
        <v>0</v>
      </c>
      <c r="E9445" s="56">
        <f ca="1">IF(PV[[#This Row],[Business Date]]=Control!$C$6, PV[[#This Row],[Notional Value Local Cur]], -PV[[#This Row],[Notional Value Local Cur]])</f>
        <v>0</v>
      </c>
    </row>
    <row r="9446" spans="1:5" x14ac:dyDescent="0.25">
      <c r="A9446" s="36" t="b">
        <v>0</v>
      </c>
      <c r="B9446" s="56" t="b">
        <v>0</v>
      </c>
      <c r="C9446" s="56" t="b">
        <v>0</v>
      </c>
      <c r="D9446" s="56" t="b">
        <v>0</v>
      </c>
      <c r="E9446" s="56">
        <f ca="1">IF(PV[[#This Row],[Business Date]]=Control!$C$6, PV[[#This Row],[Notional Value Local Cur]], -PV[[#This Row],[Notional Value Local Cur]])</f>
        <v>0</v>
      </c>
    </row>
    <row r="9447" spans="1:5" x14ac:dyDescent="0.25">
      <c r="A9447" s="36" t="b">
        <v>0</v>
      </c>
      <c r="B9447" s="56" t="b">
        <v>0</v>
      </c>
      <c r="C9447" s="56" t="b">
        <v>0</v>
      </c>
      <c r="D9447" s="56" t="b">
        <v>0</v>
      </c>
      <c r="E9447" s="56">
        <f ca="1">IF(PV[[#This Row],[Business Date]]=Control!$C$6, PV[[#This Row],[Notional Value Local Cur]], -PV[[#This Row],[Notional Value Local Cur]])</f>
        <v>0</v>
      </c>
    </row>
    <row r="9448" spans="1:5" x14ac:dyDescent="0.25">
      <c r="A9448" s="36" t="b">
        <v>0</v>
      </c>
      <c r="B9448" s="56" t="b">
        <v>0</v>
      </c>
      <c r="C9448" s="56" t="b">
        <v>0</v>
      </c>
      <c r="D9448" s="56" t="b">
        <v>0</v>
      </c>
      <c r="E9448" s="56">
        <f ca="1">IF(PV[[#This Row],[Business Date]]=Control!$C$6, PV[[#This Row],[Notional Value Local Cur]], -PV[[#This Row],[Notional Value Local Cur]])</f>
        <v>0</v>
      </c>
    </row>
    <row r="9449" spans="1:5" x14ac:dyDescent="0.25">
      <c r="A9449" s="36" t="b">
        <v>0</v>
      </c>
      <c r="B9449" s="56" t="b">
        <v>0</v>
      </c>
      <c r="C9449" s="56" t="b">
        <v>0</v>
      </c>
      <c r="D9449" s="56" t="b">
        <v>0</v>
      </c>
      <c r="E9449" s="56">
        <f ca="1">IF(PV[[#This Row],[Business Date]]=Control!$C$6, PV[[#This Row],[Notional Value Local Cur]], -PV[[#This Row],[Notional Value Local Cur]])</f>
        <v>0</v>
      </c>
    </row>
    <row r="9450" spans="1:5" x14ac:dyDescent="0.25">
      <c r="A9450" s="36" t="b">
        <v>0</v>
      </c>
      <c r="B9450" s="56" t="b">
        <v>0</v>
      </c>
      <c r="C9450" s="56" t="b">
        <v>0</v>
      </c>
      <c r="D9450" s="56" t="b">
        <v>0</v>
      </c>
      <c r="E9450" s="56">
        <f ca="1">IF(PV[[#This Row],[Business Date]]=Control!$C$6, PV[[#This Row],[Notional Value Local Cur]], -PV[[#This Row],[Notional Value Local Cur]])</f>
        <v>0</v>
      </c>
    </row>
    <row r="9451" spans="1:5" x14ac:dyDescent="0.25">
      <c r="A9451" s="36" t="b">
        <v>0</v>
      </c>
      <c r="B9451" s="56" t="b">
        <v>0</v>
      </c>
      <c r="C9451" s="56" t="b">
        <v>0</v>
      </c>
      <c r="D9451" s="56" t="b">
        <v>0</v>
      </c>
      <c r="E9451" s="56">
        <f ca="1">IF(PV[[#This Row],[Business Date]]=Control!$C$6, PV[[#This Row],[Notional Value Local Cur]], -PV[[#This Row],[Notional Value Local Cur]])</f>
        <v>0</v>
      </c>
    </row>
    <row r="9452" spans="1:5" x14ac:dyDescent="0.25">
      <c r="A9452" s="36" t="b">
        <v>0</v>
      </c>
      <c r="B9452" s="56" t="b">
        <v>0</v>
      </c>
      <c r="C9452" s="56" t="b">
        <v>0</v>
      </c>
      <c r="D9452" s="56" t="b">
        <v>0</v>
      </c>
      <c r="E9452" s="56">
        <f ca="1">IF(PV[[#This Row],[Business Date]]=Control!$C$6, PV[[#This Row],[Notional Value Local Cur]], -PV[[#This Row],[Notional Value Local Cur]])</f>
        <v>0</v>
      </c>
    </row>
    <row r="9453" spans="1:5" x14ac:dyDescent="0.25">
      <c r="A9453" s="36" t="b">
        <v>0</v>
      </c>
      <c r="B9453" s="56" t="b">
        <v>0</v>
      </c>
      <c r="C9453" s="56" t="b">
        <v>0</v>
      </c>
      <c r="D9453" s="56" t="b">
        <v>0</v>
      </c>
      <c r="E9453" s="56">
        <f ca="1">IF(PV[[#This Row],[Business Date]]=Control!$C$6, PV[[#This Row],[Notional Value Local Cur]], -PV[[#This Row],[Notional Value Local Cur]])</f>
        <v>0</v>
      </c>
    </row>
    <row r="9454" spans="1:5" x14ac:dyDescent="0.25">
      <c r="A9454" s="36" t="b">
        <v>0</v>
      </c>
      <c r="B9454" s="56" t="b">
        <v>0</v>
      </c>
      <c r="C9454" s="56" t="b">
        <v>0</v>
      </c>
      <c r="D9454" s="56" t="b">
        <v>0</v>
      </c>
      <c r="E9454" s="56">
        <f ca="1">IF(PV[[#This Row],[Business Date]]=Control!$C$6, PV[[#This Row],[Notional Value Local Cur]], -PV[[#This Row],[Notional Value Local Cur]])</f>
        <v>0</v>
      </c>
    </row>
    <row r="9455" spans="1:5" x14ac:dyDescent="0.25">
      <c r="A9455" s="36" t="b">
        <v>0</v>
      </c>
      <c r="B9455" s="56" t="b">
        <v>0</v>
      </c>
      <c r="C9455" s="56" t="b">
        <v>0</v>
      </c>
      <c r="D9455" s="56" t="b">
        <v>0</v>
      </c>
      <c r="E9455" s="56">
        <f ca="1">IF(PV[[#This Row],[Business Date]]=Control!$C$6, PV[[#This Row],[Notional Value Local Cur]], -PV[[#This Row],[Notional Value Local Cur]])</f>
        <v>0</v>
      </c>
    </row>
    <row r="9456" spans="1:5" x14ac:dyDescent="0.25">
      <c r="A9456" s="36" t="b">
        <v>0</v>
      </c>
      <c r="B9456" s="56" t="b">
        <v>0</v>
      </c>
      <c r="C9456" s="56" t="b">
        <v>0</v>
      </c>
      <c r="D9456" s="56" t="b">
        <v>0</v>
      </c>
      <c r="E9456" s="56">
        <f ca="1">IF(PV[[#This Row],[Business Date]]=Control!$C$6, PV[[#This Row],[Notional Value Local Cur]], -PV[[#This Row],[Notional Value Local Cur]])</f>
        <v>0</v>
      </c>
    </row>
    <row r="9457" spans="1:5" x14ac:dyDescent="0.25">
      <c r="A9457" s="36" t="b">
        <v>0</v>
      </c>
      <c r="B9457" s="56" t="b">
        <v>0</v>
      </c>
      <c r="C9457" s="56" t="b">
        <v>0</v>
      </c>
      <c r="D9457" s="56" t="b">
        <v>0</v>
      </c>
      <c r="E9457" s="56">
        <f ca="1">IF(PV[[#This Row],[Business Date]]=Control!$C$6, PV[[#This Row],[Notional Value Local Cur]], -PV[[#This Row],[Notional Value Local Cur]])</f>
        <v>0</v>
      </c>
    </row>
    <row r="9458" spans="1:5" x14ac:dyDescent="0.25">
      <c r="A9458" s="36" t="b">
        <v>0</v>
      </c>
      <c r="B9458" s="56" t="b">
        <v>0</v>
      </c>
      <c r="C9458" s="56" t="b">
        <v>0</v>
      </c>
      <c r="D9458" s="56" t="b">
        <v>0</v>
      </c>
      <c r="E9458" s="56">
        <f ca="1">IF(PV[[#This Row],[Business Date]]=Control!$C$6, PV[[#This Row],[Notional Value Local Cur]], -PV[[#This Row],[Notional Value Local Cur]])</f>
        <v>0</v>
      </c>
    </row>
    <row r="9459" spans="1:5" x14ac:dyDescent="0.25">
      <c r="A9459" s="36" t="b">
        <v>0</v>
      </c>
      <c r="B9459" s="56" t="b">
        <v>0</v>
      </c>
      <c r="C9459" s="56" t="b">
        <v>0</v>
      </c>
      <c r="D9459" s="56" t="b">
        <v>0</v>
      </c>
      <c r="E9459" s="56">
        <f ca="1">IF(PV[[#This Row],[Business Date]]=Control!$C$6, PV[[#This Row],[Notional Value Local Cur]], -PV[[#This Row],[Notional Value Local Cur]])</f>
        <v>0</v>
      </c>
    </row>
    <row r="9460" spans="1:5" x14ac:dyDescent="0.25">
      <c r="A9460" s="36" t="b">
        <v>0</v>
      </c>
      <c r="B9460" s="56" t="b">
        <v>0</v>
      </c>
      <c r="C9460" s="56" t="b">
        <v>0</v>
      </c>
      <c r="D9460" s="56" t="b">
        <v>0</v>
      </c>
      <c r="E9460" s="56">
        <f ca="1">IF(PV[[#This Row],[Business Date]]=Control!$C$6, PV[[#This Row],[Notional Value Local Cur]], -PV[[#This Row],[Notional Value Local Cur]])</f>
        <v>0</v>
      </c>
    </row>
    <row r="9461" spans="1:5" x14ac:dyDescent="0.25">
      <c r="A9461" s="36" t="b">
        <v>0</v>
      </c>
      <c r="B9461" s="56" t="b">
        <v>0</v>
      </c>
      <c r="C9461" s="56" t="b">
        <v>0</v>
      </c>
      <c r="D9461" s="56" t="b">
        <v>0</v>
      </c>
      <c r="E9461" s="56">
        <f ca="1">IF(PV[[#This Row],[Business Date]]=Control!$C$6, PV[[#This Row],[Notional Value Local Cur]], -PV[[#This Row],[Notional Value Local Cur]])</f>
        <v>0</v>
      </c>
    </row>
    <row r="9462" spans="1:5" x14ac:dyDescent="0.25">
      <c r="A9462" s="36" t="b">
        <v>0</v>
      </c>
      <c r="B9462" s="56" t="b">
        <v>0</v>
      </c>
      <c r="C9462" s="56" t="b">
        <v>0</v>
      </c>
      <c r="D9462" s="56" t="b">
        <v>0</v>
      </c>
      <c r="E9462" s="56">
        <f ca="1">IF(PV[[#This Row],[Business Date]]=Control!$C$6, PV[[#This Row],[Notional Value Local Cur]], -PV[[#This Row],[Notional Value Local Cur]])</f>
        <v>0</v>
      </c>
    </row>
    <row r="9463" spans="1:5" x14ac:dyDescent="0.25">
      <c r="A9463" s="36" t="b">
        <v>0</v>
      </c>
      <c r="B9463" s="56" t="b">
        <v>0</v>
      </c>
      <c r="C9463" s="56" t="b">
        <v>0</v>
      </c>
      <c r="D9463" s="56" t="b">
        <v>0</v>
      </c>
      <c r="E9463" s="56">
        <f ca="1">IF(PV[[#This Row],[Business Date]]=Control!$C$6, PV[[#This Row],[Notional Value Local Cur]], -PV[[#This Row],[Notional Value Local Cur]])</f>
        <v>0</v>
      </c>
    </row>
    <row r="9464" spans="1:5" x14ac:dyDescent="0.25">
      <c r="A9464" s="36" t="b">
        <v>0</v>
      </c>
      <c r="B9464" s="56" t="b">
        <v>0</v>
      </c>
      <c r="C9464" s="56" t="b">
        <v>0</v>
      </c>
      <c r="D9464" s="56" t="b">
        <v>0</v>
      </c>
      <c r="E9464" s="56">
        <f ca="1">IF(PV[[#This Row],[Business Date]]=Control!$C$6, PV[[#This Row],[Notional Value Local Cur]], -PV[[#This Row],[Notional Value Local Cur]])</f>
        <v>0</v>
      </c>
    </row>
    <row r="9465" spans="1:5" x14ac:dyDescent="0.25">
      <c r="A9465" s="36" t="b">
        <v>0</v>
      </c>
      <c r="B9465" s="56" t="b">
        <v>0</v>
      </c>
      <c r="C9465" s="56" t="b">
        <v>0</v>
      </c>
      <c r="D9465" s="56" t="b">
        <v>0</v>
      </c>
      <c r="E9465" s="56">
        <f ca="1">IF(PV[[#This Row],[Business Date]]=Control!$C$6, PV[[#This Row],[Notional Value Local Cur]], -PV[[#This Row],[Notional Value Local Cur]])</f>
        <v>0</v>
      </c>
    </row>
    <row r="9466" spans="1:5" x14ac:dyDescent="0.25">
      <c r="A9466" s="36" t="b">
        <v>0</v>
      </c>
      <c r="B9466" s="56" t="b">
        <v>0</v>
      </c>
      <c r="C9466" s="56" t="b">
        <v>0</v>
      </c>
      <c r="D9466" s="56" t="b">
        <v>0</v>
      </c>
      <c r="E9466" s="56">
        <f ca="1">IF(PV[[#This Row],[Business Date]]=Control!$C$6, PV[[#This Row],[Notional Value Local Cur]], -PV[[#This Row],[Notional Value Local Cur]])</f>
        <v>0</v>
      </c>
    </row>
    <row r="9467" spans="1:5" x14ac:dyDescent="0.25">
      <c r="A9467" s="36" t="b">
        <v>0</v>
      </c>
      <c r="B9467" s="56" t="b">
        <v>0</v>
      </c>
      <c r="C9467" s="56" t="b">
        <v>0</v>
      </c>
      <c r="D9467" s="56" t="b">
        <v>0</v>
      </c>
      <c r="E9467" s="56">
        <f ca="1">IF(PV[[#This Row],[Business Date]]=Control!$C$6, PV[[#This Row],[Notional Value Local Cur]], -PV[[#This Row],[Notional Value Local Cur]])</f>
        <v>0</v>
      </c>
    </row>
    <row r="9468" spans="1:5" x14ac:dyDescent="0.25">
      <c r="A9468" s="36" t="b">
        <v>0</v>
      </c>
      <c r="B9468" s="56" t="b">
        <v>0</v>
      </c>
      <c r="C9468" s="56" t="b">
        <v>0</v>
      </c>
      <c r="D9468" s="56" t="b">
        <v>0</v>
      </c>
      <c r="E9468" s="56">
        <f ca="1">IF(PV[[#This Row],[Business Date]]=Control!$C$6, PV[[#This Row],[Notional Value Local Cur]], -PV[[#This Row],[Notional Value Local Cur]])</f>
        <v>0</v>
      </c>
    </row>
    <row r="9469" spans="1:5" x14ac:dyDescent="0.25">
      <c r="A9469" s="36" t="b">
        <v>0</v>
      </c>
      <c r="B9469" s="56" t="b">
        <v>0</v>
      </c>
      <c r="C9469" s="56" t="b">
        <v>0</v>
      </c>
      <c r="D9469" s="56" t="b">
        <v>0</v>
      </c>
      <c r="E9469" s="56">
        <f ca="1">IF(PV[[#This Row],[Business Date]]=Control!$C$6, PV[[#This Row],[Notional Value Local Cur]], -PV[[#This Row],[Notional Value Local Cur]])</f>
        <v>0</v>
      </c>
    </row>
    <row r="9470" spans="1:5" x14ac:dyDescent="0.25">
      <c r="A9470" s="36" t="b">
        <v>0</v>
      </c>
      <c r="B9470" s="56" t="b">
        <v>0</v>
      </c>
      <c r="C9470" s="56" t="b">
        <v>0</v>
      </c>
      <c r="D9470" s="56" t="b">
        <v>0</v>
      </c>
      <c r="E9470" s="56">
        <f ca="1">IF(PV[[#This Row],[Business Date]]=Control!$C$6, PV[[#This Row],[Notional Value Local Cur]], -PV[[#This Row],[Notional Value Local Cur]])</f>
        <v>0</v>
      </c>
    </row>
    <row r="9471" spans="1:5" x14ac:dyDescent="0.25">
      <c r="A9471" s="36" t="b">
        <v>0</v>
      </c>
      <c r="B9471" s="56" t="b">
        <v>0</v>
      </c>
      <c r="C9471" s="56" t="b">
        <v>0</v>
      </c>
      <c r="D9471" s="56" t="b">
        <v>0</v>
      </c>
      <c r="E9471" s="56">
        <f ca="1">IF(PV[[#This Row],[Business Date]]=Control!$C$6, PV[[#This Row],[Notional Value Local Cur]], -PV[[#This Row],[Notional Value Local Cur]])</f>
        <v>0</v>
      </c>
    </row>
    <row r="9472" spans="1:5" x14ac:dyDescent="0.25">
      <c r="A9472" s="36" t="b">
        <v>0</v>
      </c>
      <c r="B9472" s="56" t="b">
        <v>0</v>
      </c>
      <c r="C9472" s="56" t="b">
        <v>0</v>
      </c>
      <c r="D9472" s="56" t="b">
        <v>0</v>
      </c>
      <c r="E9472" s="56">
        <f ca="1">IF(PV[[#This Row],[Business Date]]=Control!$C$6, PV[[#This Row],[Notional Value Local Cur]], -PV[[#This Row],[Notional Value Local Cur]])</f>
        <v>0</v>
      </c>
    </row>
    <row r="9473" spans="1:5" x14ac:dyDescent="0.25">
      <c r="A9473" s="36" t="b">
        <v>0</v>
      </c>
      <c r="B9473" s="56" t="b">
        <v>0</v>
      </c>
      <c r="C9473" s="56" t="b">
        <v>0</v>
      </c>
      <c r="D9473" s="56" t="b">
        <v>0</v>
      </c>
      <c r="E9473" s="56">
        <f ca="1">IF(PV[[#This Row],[Business Date]]=Control!$C$6, PV[[#This Row],[Notional Value Local Cur]], -PV[[#This Row],[Notional Value Local Cur]])</f>
        <v>0</v>
      </c>
    </row>
    <row r="9474" spans="1:5" x14ac:dyDescent="0.25">
      <c r="A9474" s="36" t="b">
        <v>0</v>
      </c>
      <c r="B9474" s="56" t="b">
        <v>0</v>
      </c>
      <c r="C9474" s="56" t="b">
        <v>0</v>
      </c>
      <c r="D9474" s="56" t="b">
        <v>0</v>
      </c>
      <c r="E9474" s="56">
        <f ca="1">IF(PV[[#This Row],[Business Date]]=Control!$C$6, PV[[#This Row],[Notional Value Local Cur]], -PV[[#This Row],[Notional Value Local Cur]])</f>
        <v>0</v>
      </c>
    </row>
    <row r="9475" spans="1:5" x14ac:dyDescent="0.25">
      <c r="A9475" s="36" t="b">
        <v>0</v>
      </c>
      <c r="B9475" s="56" t="b">
        <v>0</v>
      </c>
      <c r="C9475" s="56" t="b">
        <v>0</v>
      </c>
      <c r="D9475" s="56" t="b">
        <v>0</v>
      </c>
      <c r="E9475" s="56">
        <f ca="1">IF(PV[[#This Row],[Business Date]]=Control!$C$6, PV[[#This Row],[Notional Value Local Cur]], -PV[[#This Row],[Notional Value Local Cur]])</f>
        <v>0</v>
      </c>
    </row>
    <row r="9476" spans="1:5" x14ac:dyDescent="0.25">
      <c r="A9476" s="36" t="b">
        <v>0</v>
      </c>
      <c r="B9476" s="56" t="b">
        <v>0</v>
      </c>
      <c r="C9476" s="56" t="b">
        <v>0</v>
      </c>
      <c r="D9476" s="56" t="b">
        <v>0</v>
      </c>
      <c r="E9476" s="56">
        <f ca="1">IF(PV[[#This Row],[Business Date]]=Control!$C$6, PV[[#This Row],[Notional Value Local Cur]], -PV[[#This Row],[Notional Value Local Cur]])</f>
        <v>0</v>
      </c>
    </row>
    <row r="9477" spans="1:5" x14ac:dyDescent="0.25">
      <c r="A9477" s="36" t="b">
        <v>0</v>
      </c>
      <c r="B9477" s="56" t="b">
        <v>0</v>
      </c>
      <c r="C9477" s="56" t="b">
        <v>0</v>
      </c>
      <c r="D9477" s="56" t="b">
        <v>0</v>
      </c>
      <c r="E9477" s="56">
        <f ca="1">IF(PV[[#This Row],[Business Date]]=Control!$C$6, PV[[#This Row],[Notional Value Local Cur]], -PV[[#This Row],[Notional Value Local Cur]])</f>
        <v>0</v>
      </c>
    </row>
    <row r="9478" spans="1:5" x14ac:dyDescent="0.25">
      <c r="A9478" s="36" t="b">
        <v>0</v>
      </c>
      <c r="B9478" s="56" t="b">
        <v>0</v>
      </c>
      <c r="C9478" s="56" t="b">
        <v>0</v>
      </c>
      <c r="D9478" s="56" t="b">
        <v>0</v>
      </c>
      <c r="E9478" s="56">
        <f ca="1">IF(PV[[#This Row],[Business Date]]=Control!$C$6, PV[[#This Row],[Notional Value Local Cur]], -PV[[#This Row],[Notional Value Local Cur]])</f>
        <v>0</v>
      </c>
    </row>
    <row r="9479" spans="1:5" x14ac:dyDescent="0.25">
      <c r="A9479" s="36" t="b">
        <v>0</v>
      </c>
      <c r="B9479" s="56" t="b">
        <v>0</v>
      </c>
      <c r="C9479" s="56" t="b">
        <v>0</v>
      </c>
      <c r="D9479" s="56" t="b">
        <v>0</v>
      </c>
      <c r="E9479" s="56">
        <f ca="1">IF(PV[[#This Row],[Business Date]]=Control!$C$6, PV[[#This Row],[Notional Value Local Cur]], -PV[[#This Row],[Notional Value Local Cur]])</f>
        <v>0</v>
      </c>
    </row>
    <row r="9480" spans="1:5" x14ac:dyDescent="0.25">
      <c r="A9480" s="36" t="b">
        <v>0</v>
      </c>
      <c r="B9480" s="56" t="b">
        <v>0</v>
      </c>
      <c r="C9480" s="56" t="b">
        <v>0</v>
      </c>
      <c r="D9480" s="56" t="b">
        <v>0</v>
      </c>
      <c r="E9480" s="56">
        <f ca="1">IF(PV[[#This Row],[Business Date]]=Control!$C$6, PV[[#This Row],[Notional Value Local Cur]], -PV[[#This Row],[Notional Value Local Cur]])</f>
        <v>0</v>
      </c>
    </row>
    <row r="9481" spans="1:5" x14ac:dyDescent="0.25">
      <c r="A9481" s="36" t="b">
        <v>0</v>
      </c>
      <c r="B9481" s="56" t="b">
        <v>0</v>
      </c>
      <c r="C9481" s="56" t="b">
        <v>0</v>
      </c>
      <c r="D9481" s="56" t="b">
        <v>0</v>
      </c>
      <c r="E9481" s="56">
        <f ca="1">IF(PV[[#This Row],[Business Date]]=Control!$C$6, PV[[#This Row],[Notional Value Local Cur]], -PV[[#This Row],[Notional Value Local Cur]])</f>
        <v>0</v>
      </c>
    </row>
    <row r="9482" spans="1:5" x14ac:dyDescent="0.25">
      <c r="A9482" s="36" t="b">
        <v>0</v>
      </c>
      <c r="B9482" s="56" t="b">
        <v>0</v>
      </c>
      <c r="C9482" s="56" t="b">
        <v>0</v>
      </c>
      <c r="D9482" s="56" t="b">
        <v>0</v>
      </c>
      <c r="E9482" s="56">
        <f ca="1">IF(PV[[#This Row],[Business Date]]=Control!$C$6, PV[[#This Row],[Notional Value Local Cur]], -PV[[#This Row],[Notional Value Local Cur]])</f>
        <v>0</v>
      </c>
    </row>
    <row r="9483" spans="1:5" x14ac:dyDescent="0.25">
      <c r="A9483" s="36" t="b">
        <v>0</v>
      </c>
      <c r="B9483" s="56" t="b">
        <v>0</v>
      </c>
      <c r="C9483" s="56" t="b">
        <v>0</v>
      </c>
      <c r="D9483" s="56" t="b">
        <v>0</v>
      </c>
      <c r="E9483" s="56">
        <f ca="1">IF(PV[[#This Row],[Business Date]]=Control!$C$6, PV[[#This Row],[Notional Value Local Cur]], -PV[[#This Row],[Notional Value Local Cur]])</f>
        <v>0</v>
      </c>
    </row>
    <row r="9484" spans="1:5" x14ac:dyDescent="0.25">
      <c r="A9484" s="36" t="b">
        <v>0</v>
      </c>
      <c r="B9484" s="56" t="b">
        <v>0</v>
      </c>
      <c r="C9484" s="56" t="b">
        <v>0</v>
      </c>
      <c r="D9484" s="56" t="b">
        <v>0</v>
      </c>
      <c r="E9484" s="56">
        <f ca="1">IF(PV[[#This Row],[Business Date]]=Control!$C$6, PV[[#This Row],[Notional Value Local Cur]], -PV[[#This Row],[Notional Value Local Cur]])</f>
        <v>0</v>
      </c>
    </row>
    <row r="9485" spans="1:5" x14ac:dyDescent="0.25">
      <c r="A9485" s="36" t="b">
        <v>0</v>
      </c>
      <c r="B9485" s="56" t="b">
        <v>0</v>
      </c>
      <c r="C9485" s="56" t="b">
        <v>0</v>
      </c>
      <c r="D9485" s="56" t="b">
        <v>0</v>
      </c>
      <c r="E9485" s="56">
        <f ca="1">IF(PV[[#This Row],[Business Date]]=Control!$C$6, PV[[#This Row],[Notional Value Local Cur]], -PV[[#This Row],[Notional Value Local Cur]])</f>
        <v>0</v>
      </c>
    </row>
    <row r="9486" spans="1:5" x14ac:dyDescent="0.25">
      <c r="A9486" s="36" t="b">
        <v>0</v>
      </c>
      <c r="B9486" s="56" t="b">
        <v>0</v>
      </c>
      <c r="C9486" s="56" t="b">
        <v>0</v>
      </c>
      <c r="D9486" s="56" t="b">
        <v>0</v>
      </c>
      <c r="E9486" s="56">
        <f ca="1">IF(PV[[#This Row],[Business Date]]=Control!$C$6, PV[[#This Row],[Notional Value Local Cur]], -PV[[#This Row],[Notional Value Local Cur]])</f>
        <v>0</v>
      </c>
    </row>
    <row r="9487" spans="1:5" x14ac:dyDescent="0.25">
      <c r="A9487" s="36" t="b">
        <v>0</v>
      </c>
      <c r="B9487" s="56" t="b">
        <v>0</v>
      </c>
      <c r="C9487" s="56" t="b">
        <v>0</v>
      </c>
      <c r="D9487" s="56" t="b">
        <v>0</v>
      </c>
      <c r="E9487" s="56">
        <f ca="1">IF(PV[[#This Row],[Business Date]]=Control!$C$6, PV[[#This Row],[Notional Value Local Cur]], -PV[[#This Row],[Notional Value Local Cur]])</f>
        <v>0</v>
      </c>
    </row>
    <row r="9488" spans="1:5" x14ac:dyDescent="0.25">
      <c r="A9488" s="36" t="b">
        <v>0</v>
      </c>
      <c r="B9488" s="56" t="b">
        <v>0</v>
      </c>
      <c r="C9488" s="56" t="b">
        <v>0</v>
      </c>
      <c r="D9488" s="56" t="b">
        <v>0</v>
      </c>
      <c r="E9488" s="56">
        <f ca="1">IF(PV[[#This Row],[Business Date]]=Control!$C$6, PV[[#This Row],[Notional Value Local Cur]], -PV[[#This Row],[Notional Value Local Cur]])</f>
        <v>0</v>
      </c>
    </row>
    <row r="9489" spans="1:5" x14ac:dyDescent="0.25">
      <c r="A9489" s="36" t="b">
        <v>0</v>
      </c>
      <c r="B9489" s="56" t="b">
        <v>0</v>
      </c>
      <c r="C9489" s="56" t="b">
        <v>0</v>
      </c>
      <c r="D9489" s="56" t="b">
        <v>0</v>
      </c>
      <c r="E9489" s="56">
        <f ca="1">IF(PV[[#This Row],[Business Date]]=Control!$C$6, PV[[#This Row],[Notional Value Local Cur]], -PV[[#This Row],[Notional Value Local Cur]])</f>
        <v>0</v>
      </c>
    </row>
    <row r="9490" spans="1:5" x14ac:dyDescent="0.25">
      <c r="A9490" s="36" t="b">
        <v>0</v>
      </c>
      <c r="B9490" s="56" t="b">
        <v>0</v>
      </c>
      <c r="C9490" s="56" t="b">
        <v>0</v>
      </c>
      <c r="D9490" s="56" t="b">
        <v>0</v>
      </c>
      <c r="E9490" s="56">
        <f ca="1">IF(PV[[#This Row],[Business Date]]=Control!$C$6, PV[[#This Row],[Notional Value Local Cur]], -PV[[#This Row],[Notional Value Local Cur]])</f>
        <v>0</v>
      </c>
    </row>
    <row r="9491" spans="1:5" x14ac:dyDescent="0.25">
      <c r="A9491" s="36" t="b">
        <v>0</v>
      </c>
      <c r="B9491" s="56" t="b">
        <v>0</v>
      </c>
      <c r="C9491" s="56" t="b">
        <v>0</v>
      </c>
      <c r="D9491" s="56" t="b">
        <v>0</v>
      </c>
      <c r="E9491" s="56">
        <f ca="1">IF(PV[[#This Row],[Business Date]]=Control!$C$6, PV[[#This Row],[Notional Value Local Cur]], -PV[[#This Row],[Notional Value Local Cur]])</f>
        <v>0</v>
      </c>
    </row>
    <row r="9492" spans="1:5" x14ac:dyDescent="0.25">
      <c r="A9492" s="36" t="b">
        <v>0</v>
      </c>
      <c r="B9492" s="56" t="b">
        <v>0</v>
      </c>
      <c r="C9492" s="56" t="b">
        <v>0</v>
      </c>
      <c r="D9492" s="56" t="b">
        <v>0</v>
      </c>
      <c r="E9492" s="56">
        <f ca="1">IF(PV[[#This Row],[Business Date]]=Control!$C$6, PV[[#This Row],[Notional Value Local Cur]], -PV[[#This Row],[Notional Value Local Cur]])</f>
        <v>0</v>
      </c>
    </row>
    <row r="9493" spans="1:5" x14ac:dyDescent="0.25">
      <c r="A9493" s="36" t="b">
        <v>0</v>
      </c>
      <c r="B9493" s="56" t="b">
        <v>0</v>
      </c>
      <c r="C9493" s="56" t="b">
        <v>0</v>
      </c>
      <c r="D9493" s="56" t="b">
        <v>0</v>
      </c>
      <c r="E9493" s="56">
        <f ca="1">IF(PV[[#This Row],[Business Date]]=Control!$C$6, PV[[#This Row],[Notional Value Local Cur]], -PV[[#This Row],[Notional Value Local Cur]])</f>
        <v>0</v>
      </c>
    </row>
    <row r="9494" spans="1:5" x14ac:dyDescent="0.25">
      <c r="A9494" s="36" t="b">
        <v>0</v>
      </c>
      <c r="B9494" s="56" t="b">
        <v>0</v>
      </c>
      <c r="C9494" s="56" t="b">
        <v>0</v>
      </c>
      <c r="D9494" s="56" t="b">
        <v>0</v>
      </c>
      <c r="E9494" s="56">
        <f ca="1">IF(PV[[#This Row],[Business Date]]=Control!$C$6, PV[[#This Row],[Notional Value Local Cur]], -PV[[#This Row],[Notional Value Local Cur]])</f>
        <v>0</v>
      </c>
    </row>
    <row r="9495" spans="1:5" x14ac:dyDescent="0.25">
      <c r="A9495" s="36" t="b">
        <v>0</v>
      </c>
      <c r="B9495" s="56" t="b">
        <v>0</v>
      </c>
      <c r="C9495" s="56" t="b">
        <v>0</v>
      </c>
      <c r="D9495" s="56" t="b">
        <v>0</v>
      </c>
      <c r="E9495" s="56">
        <f ca="1">IF(PV[[#This Row],[Business Date]]=Control!$C$6, PV[[#This Row],[Notional Value Local Cur]], -PV[[#This Row],[Notional Value Local Cur]])</f>
        <v>0</v>
      </c>
    </row>
    <row r="9496" spans="1:5" x14ac:dyDescent="0.25">
      <c r="A9496" s="36" t="b">
        <v>0</v>
      </c>
      <c r="B9496" s="56" t="b">
        <v>0</v>
      </c>
      <c r="C9496" s="56" t="b">
        <v>0</v>
      </c>
      <c r="D9496" s="56" t="b">
        <v>0</v>
      </c>
      <c r="E9496" s="56">
        <f ca="1">IF(PV[[#This Row],[Business Date]]=Control!$C$6, PV[[#This Row],[Notional Value Local Cur]], -PV[[#This Row],[Notional Value Local Cur]])</f>
        <v>0</v>
      </c>
    </row>
    <row r="9497" spans="1:5" x14ac:dyDescent="0.25">
      <c r="A9497" s="36" t="b">
        <v>0</v>
      </c>
      <c r="B9497" s="56" t="b">
        <v>0</v>
      </c>
      <c r="C9497" s="56" t="b">
        <v>0</v>
      </c>
      <c r="D9497" s="56" t="b">
        <v>0</v>
      </c>
      <c r="E9497" s="56">
        <f ca="1">IF(PV[[#This Row],[Business Date]]=Control!$C$6, PV[[#This Row],[Notional Value Local Cur]], -PV[[#This Row],[Notional Value Local Cur]])</f>
        <v>0</v>
      </c>
    </row>
    <row r="9498" spans="1:5" x14ac:dyDescent="0.25">
      <c r="A9498" s="36" t="b">
        <v>0</v>
      </c>
      <c r="B9498" s="56" t="b">
        <v>0</v>
      </c>
      <c r="C9498" s="56" t="b">
        <v>0</v>
      </c>
      <c r="D9498" s="56" t="b">
        <v>0</v>
      </c>
      <c r="E9498" s="56">
        <f ca="1">IF(PV[[#This Row],[Business Date]]=Control!$C$6, PV[[#This Row],[Notional Value Local Cur]], -PV[[#This Row],[Notional Value Local Cur]])</f>
        <v>0</v>
      </c>
    </row>
    <row r="9499" spans="1:5" x14ac:dyDescent="0.25">
      <c r="A9499" s="36" t="b">
        <v>0</v>
      </c>
      <c r="B9499" s="56" t="b">
        <v>0</v>
      </c>
      <c r="C9499" s="56" t="b">
        <v>0</v>
      </c>
      <c r="D9499" s="56" t="b">
        <v>0</v>
      </c>
      <c r="E9499" s="56">
        <f ca="1">IF(PV[[#This Row],[Business Date]]=Control!$C$6, PV[[#This Row],[Notional Value Local Cur]], -PV[[#This Row],[Notional Value Local Cur]])</f>
        <v>0</v>
      </c>
    </row>
    <row r="9500" spans="1:5" x14ac:dyDescent="0.25">
      <c r="A9500" s="36" t="b">
        <v>0</v>
      </c>
      <c r="B9500" s="56" t="b">
        <v>0</v>
      </c>
      <c r="C9500" s="56" t="b">
        <v>0</v>
      </c>
      <c r="D9500" s="56" t="b">
        <v>0</v>
      </c>
      <c r="E9500" s="56">
        <f ca="1">IF(PV[[#This Row],[Business Date]]=Control!$C$6, PV[[#This Row],[Notional Value Local Cur]], -PV[[#This Row],[Notional Value Local Cur]])</f>
        <v>0</v>
      </c>
    </row>
    <row r="9501" spans="1:5" x14ac:dyDescent="0.25">
      <c r="A9501" s="36" t="b">
        <v>0</v>
      </c>
      <c r="B9501" s="56" t="b">
        <v>0</v>
      </c>
      <c r="C9501" s="56" t="b">
        <v>0</v>
      </c>
      <c r="D9501" s="56" t="b">
        <v>0</v>
      </c>
      <c r="E9501" s="56">
        <f ca="1">IF(PV[[#This Row],[Business Date]]=Control!$C$6, PV[[#This Row],[Notional Value Local Cur]], -PV[[#This Row],[Notional Value Local Cur]])</f>
        <v>0</v>
      </c>
    </row>
    <row r="9502" spans="1:5" x14ac:dyDescent="0.25">
      <c r="A9502" s="36" t="b">
        <v>0</v>
      </c>
      <c r="B9502" s="56" t="b">
        <v>0</v>
      </c>
      <c r="C9502" s="56" t="b">
        <v>0</v>
      </c>
      <c r="D9502" s="56" t="b">
        <v>0</v>
      </c>
      <c r="E9502" s="56">
        <f ca="1">IF(PV[[#This Row],[Business Date]]=Control!$C$6, PV[[#This Row],[Notional Value Local Cur]], -PV[[#This Row],[Notional Value Local Cur]])</f>
        <v>0</v>
      </c>
    </row>
    <row r="9503" spans="1:5" x14ac:dyDescent="0.25">
      <c r="A9503" s="36" t="b">
        <v>0</v>
      </c>
      <c r="B9503" s="56" t="b">
        <v>0</v>
      </c>
      <c r="C9503" s="56" t="b">
        <v>0</v>
      </c>
      <c r="D9503" s="56" t="b">
        <v>0</v>
      </c>
      <c r="E9503" s="56">
        <f ca="1">IF(PV[[#This Row],[Business Date]]=Control!$C$6, PV[[#This Row],[Notional Value Local Cur]], -PV[[#This Row],[Notional Value Local Cur]])</f>
        <v>0</v>
      </c>
    </row>
    <row r="9504" spans="1:5" x14ac:dyDescent="0.25">
      <c r="A9504" s="36" t="b">
        <v>0</v>
      </c>
      <c r="B9504" s="56" t="b">
        <v>0</v>
      </c>
      <c r="C9504" s="56" t="b">
        <v>0</v>
      </c>
      <c r="D9504" s="56" t="b">
        <v>0</v>
      </c>
      <c r="E9504" s="56">
        <f ca="1">IF(PV[[#This Row],[Business Date]]=Control!$C$6, PV[[#This Row],[Notional Value Local Cur]], -PV[[#This Row],[Notional Value Local Cur]])</f>
        <v>0</v>
      </c>
    </row>
    <row r="9505" spans="1:5" x14ac:dyDescent="0.25">
      <c r="A9505" s="36" t="b">
        <v>0</v>
      </c>
      <c r="B9505" s="56" t="b">
        <v>0</v>
      </c>
      <c r="C9505" s="56" t="b">
        <v>0</v>
      </c>
      <c r="D9505" s="56" t="b">
        <v>0</v>
      </c>
      <c r="E9505" s="56">
        <f ca="1">IF(PV[[#This Row],[Business Date]]=Control!$C$6, PV[[#This Row],[Notional Value Local Cur]], -PV[[#This Row],[Notional Value Local Cur]])</f>
        <v>0</v>
      </c>
    </row>
    <row r="9506" spans="1:5" x14ac:dyDescent="0.25">
      <c r="A9506" s="36" t="b">
        <v>0</v>
      </c>
      <c r="B9506" s="56" t="b">
        <v>0</v>
      </c>
      <c r="C9506" s="56" t="b">
        <v>0</v>
      </c>
      <c r="D9506" s="56" t="b">
        <v>0</v>
      </c>
      <c r="E9506" s="56">
        <f ca="1">IF(PV[[#This Row],[Business Date]]=Control!$C$6, PV[[#This Row],[Notional Value Local Cur]], -PV[[#This Row],[Notional Value Local Cur]])</f>
        <v>0</v>
      </c>
    </row>
    <row r="9507" spans="1:5" x14ac:dyDescent="0.25">
      <c r="A9507" s="36" t="b">
        <v>0</v>
      </c>
      <c r="B9507" s="56" t="b">
        <v>0</v>
      </c>
      <c r="C9507" s="56" t="b">
        <v>0</v>
      </c>
      <c r="D9507" s="56" t="b">
        <v>0</v>
      </c>
      <c r="E9507" s="56">
        <f ca="1">IF(PV[[#This Row],[Business Date]]=Control!$C$6, PV[[#This Row],[Notional Value Local Cur]], -PV[[#This Row],[Notional Value Local Cur]])</f>
        <v>0</v>
      </c>
    </row>
    <row r="9508" spans="1:5" x14ac:dyDescent="0.25">
      <c r="A9508" s="36" t="b">
        <v>0</v>
      </c>
      <c r="B9508" s="56" t="b">
        <v>0</v>
      </c>
      <c r="C9508" s="56" t="b">
        <v>0</v>
      </c>
      <c r="D9508" s="56" t="b">
        <v>0</v>
      </c>
      <c r="E9508" s="56">
        <f ca="1">IF(PV[[#This Row],[Business Date]]=Control!$C$6, PV[[#This Row],[Notional Value Local Cur]], -PV[[#This Row],[Notional Value Local Cur]])</f>
        <v>0</v>
      </c>
    </row>
    <row r="9509" spans="1:5" x14ac:dyDescent="0.25">
      <c r="A9509" s="36" t="b">
        <v>0</v>
      </c>
      <c r="B9509" s="56" t="b">
        <v>0</v>
      </c>
      <c r="C9509" s="56" t="b">
        <v>0</v>
      </c>
      <c r="D9509" s="56" t="b">
        <v>0</v>
      </c>
      <c r="E9509" s="56">
        <f ca="1">IF(PV[[#This Row],[Business Date]]=Control!$C$6, PV[[#This Row],[Notional Value Local Cur]], -PV[[#This Row],[Notional Value Local Cur]])</f>
        <v>0</v>
      </c>
    </row>
    <row r="9510" spans="1:5" x14ac:dyDescent="0.25">
      <c r="A9510" s="36" t="b">
        <v>0</v>
      </c>
      <c r="B9510" s="56" t="b">
        <v>0</v>
      </c>
      <c r="C9510" s="56" t="b">
        <v>0</v>
      </c>
      <c r="D9510" s="56" t="b">
        <v>0</v>
      </c>
      <c r="E9510" s="56">
        <f ca="1">IF(PV[[#This Row],[Business Date]]=Control!$C$6, PV[[#This Row],[Notional Value Local Cur]], -PV[[#This Row],[Notional Value Local Cur]])</f>
        <v>0</v>
      </c>
    </row>
    <row r="9511" spans="1:5" x14ac:dyDescent="0.25">
      <c r="A9511" s="36" t="b">
        <v>0</v>
      </c>
      <c r="B9511" s="56" t="b">
        <v>0</v>
      </c>
      <c r="C9511" s="56" t="b">
        <v>0</v>
      </c>
      <c r="D9511" s="56" t="b">
        <v>0</v>
      </c>
      <c r="E9511" s="56">
        <f ca="1">IF(PV[[#This Row],[Business Date]]=Control!$C$6, PV[[#This Row],[Notional Value Local Cur]], -PV[[#This Row],[Notional Value Local Cur]])</f>
        <v>0</v>
      </c>
    </row>
    <row r="9512" spans="1:5" x14ac:dyDescent="0.25">
      <c r="A9512" s="36" t="b">
        <v>0</v>
      </c>
      <c r="B9512" s="56" t="b">
        <v>0</v>
      </c>
      <c r="C9512" s="56" t="b">
        <v>0</v>
      </c>
      <c r="D9512" s="56" t="b">
        <v>0</v>
      </c>
      <c r="E9512" s="56">
        <f ca="1">IF(PV[[#This Row],[Business Date]]=Control!$C$6, PV[[#This Row],[Notional Value Local Cur]], -PV[[#This Row],[Notional Value Local Cur]])</f>
        <v>0</v>
      </c>
    </row>
    <row r="9513" spans="1:5" x14ac:dyDescent="0.25">
      <c r="A9513" s="36" t="b">
        <v>0</v>
      </c>
      <c r="B9513" s="56" t="b">
        <v>0</v>
      </c>
      <c r="C9513" s="56" t="b">
        <v>0</v>
      </c>
      <c r="D9513" s="56" t="b">
        <v>0</v>
      </c>
      <c r="E9513" s="56">
        <f ca="1">IF(PV[[#This Row],[Business Date]]=Control!$C$6, PV[[#This Row],[Notional Value Local Cur]], -PV[[#This Row],[Notional Value Local Cur]])</f>
        <v>0</v>
      </c>
    </row>
    <row r="9514" spans="1:5" x14ac:dyDescent="0.25">
      <c r="A9514" s="36" t="b">
        <v>0</v>
      </c>
      <c r="B9514" s="56" t="b">
        <v>0</v>
      </c>
      <c r="C9514" s="56" t="b">
        <v>0</v>
      </c>
      <c r="D9514" s="56" t="b">
        <v>0</v>
      </c>
      <c r="E9514" s="56">
        <f ca="1">IF(PV[[#This Row],[Business Date]]=Control!$C$6, PV[[#This Row],[Notional Value Local Cur]], -PV[[#This Row],[Notional Value Local Cur]])</f>
        <v>0</v>
      </c>
    </row>
    <row r="9515" spans="1:5" x14ac:dyDescent="0.25">
      <c r="A9515" s="36" t="b">
        <v>0</v>
      </c>
      <c r="B9515" s="56" t="b">
        <v>0</v>
      </c>
      <c r="C9515" s="56" t="b">
        <v>0</v>
      </c>
      <c r="D9515" s="56" t="b">
        <v>0</v>
      </c>
      <c r="E9515" s="56">
        <f ca="1">IF(PV[[#This Row],[Business Date]]=Control!$C$6, PV[[#This Row],[Notional Value Local Cur]], -PV[[#This Row],[Notional Value Local Cur]])</f>
        <v>0</v>
      </c>
    </row>
    <row r="9516" spans="1:5" x14ac:dyDescent="0.25">
      <c r="A9516" s="36" t="b">
        <v>0</v>
      </c>
      <c r="B9516" s="56" t="b">
        <v>0</v>
      </c>
      <c r="C9516" s="56" t="b">
        <v>0</v>
      </c>
      <c r="D9516" s="56" t="b">
        <v>0</v>
      </c>
      <c r="E9516" s="56">
        <f ca="1">IF(PV[[#This Row],[Business Date]]=Control!$C$6, PV[[#This Row],[Notional Value Local Cur]], -PV[[#This Row],[Notional Value Local Cur]])</f>
        <v>0</v>
      </c>
    </row>
    <row r="9517" spans="1:5" x14ac:dyDescent="0.25">
      <c r="A9517" s="36" t="b">
        <v>0</v>
      </c>
      <c r="B9517" s="56" t="b">
        <v>0</v>
      </c>
      <c r="C9517" s="56" t="b">
        <v>0</v>
      </c>
      <c r="D9517" s="56" t="b">
        <v>0</v>
      </c>
      <c r="E9517" s="56">
        <f ca="1">IF(PV[[#This Row],[Business Date]]=Control!$C$6, PV[[#This Row],[Notional Value Local Cur]], -PV[[#This Row],[Notional Value Local Cur]])</f>
        <v>0</v>
      </c>
    </row>
    <row r="9518" spans="1:5" x14ac:dyDescent="0.25">
      <c r="A9518" s="36" t="b">
        <v>0</v>
      </c>
      <c r="B9518" s="56" t="b">
        <v>0</v>
      </c>
      <c r="C9518" s="56" t="b">
        <v>0</v>
      </c>
      <c r="D9518" s="56" t="b">
        <v>0</v>
      </c>
      <c r="E9518" s="56">
        <f ca="1">IF(PV[[#This Row],[Business Date]]=Control!$C$6, PV[[#This Row],[Notional Value Local Cur]], -PV[[#This Row],[Notional Value Local Cur]])</f>
        <v>0</v>
      </c>
    </row>
    <row r="9519" spans="1:5" x14ac:dyDescent="0.25">
      <c r="A9519" s="36" t="b">
        <v>0</v>
      </c>
      <c r="B9519" s="56" t="b">
        <v>0</v>
      </c>
      <c r="C9519" s="56" t="b">
        <v>0</v>
      </c>
      <c r="D9519" s="56" t="b">
        <v>0</v>
      </c>
      <c r="E9519" s="56">
        <f ca="1">IF(PV[[#This Row],[Business Date]]=Control!$C$6, PV[[#This Row],[Notional Value Local Cur]], -PV[[#This Row],[Notional Value Local Cur]])</f>
        <v>0</v>
      </c>
    </row>
    <row r="9520" spans="1:5" x14ac:dyDescent="0.25">
      <c r="A9520" s="36" t="b">
        <v>0</v>
      </c>
      <c r="B9520" s="56" t="b">
        <v>0</v>
      </c>
      <c r="C9520" s="56" t="b">
        <v>0</v>
      </c>
      <c r="D9520" s="56" t="b">
        <v>0</v>
      </c>
      <c r="E9520" s="56">
        <f ca="1">IF(PV[[#This Row],[Business Date]]=Control!$C$6, PV[[#This Row],[Notional Value Local Cur]], -PV[[#This Row],[Notional Value Local Cur]])</f>
        <v>0</v>
      </c>
    </row>
    <row r="9521" spans="1:5" x14ac:dyDescent="0.25">
      <c r="A9521" s="36" t="b">
        <v>0</v>
      </c>
      <c r="B9521" s="56" t="b">
        <v>0</v>
      </c>
      <c r="C9521" s="56" t="b">
        <v>0</v>
      </c>
      <c r="D9521" s="56" t="b">
        <v>0</v>
      </c>
      <c r="E9521" s="56">
        <f ca="1">IF(PV[[#This Row],[Business Date]]=Control!$C$6, PV[[#This Row],[Notional Value Local Cur]], -PV[[#This Row],[Notional Value Local Cur]])</f>
        <v>0</v>
      </c>
    </row>
    <row r="9522" spans="1:5" x14ac:dyDescent="0.25">
      <c r="A9522" s="36" t="b">
        <v>0</v>
      </c>
      <c r="B9522" s="56" t="b">
        <v>0</v>
      </c>
      <c r="C9522" s="56" t="b">
        <v>0</v>
      </c>
      <c r="D9522" s="56" t="b">
        <v>0</v>
      </c>
      <c r="E9522" s="56">
        <f ca="1">IF(PV[[#This Row],[Business Date]]=Control!$C$6, PV[[#This Row],[Notional Value Local Cur]], -PV[[#This Row],[Notional Value Local Cur]])</f>
        <v>0</v>
      </c>
    </row>
    <row r="9523" spans="1:5" x14ac:dyDescent="0.25">
      <c r="A9523" s="36" t="b">
        <v>0</v>
      </c>
      <c r="B9523" s="56" t="b">
        <v>0</v>
      </c>
      <c r="C9523" s="56" t="b">
        <v>0</v>
      </c>
      <c r="D9523" s="56" t="b">
        <v>0</v>
      </c>
      <c r="E9523" s="56">
        <f ca="1">IF(PV[[#This Row],[Business Date]]=Control!$C$6, PV[[#This Row],[Notional Value Local Cur]], -PV[[#This Row],[Notional Value Local Cur]])</f>
        <v>0</v>
      </c>
    </row>
    <row r="9524" spans="1:5" x14ac:dyDescent="0.25">
      <c r="A9524" s="36" t="b">
        <v>0</v>
      </c>
      <c r="B9524" s="56" t="b">
        <v>0</v>
      </c>
      <c r="C9524" s="56" t="b">
        <v>0</v>
      </c>
      <c r="D9524" s="56" t="b">
        <v>0</v>
      </c>
      <c r="E9524" s="56">
        <f ca="1">IF(PV[[#This Row],[Business Date]]=Control!$C$6, PV[[#This Row],[Notional Value Local Cur]], -PV[[#This Row],[Notional Value Local Cur]])</f>
        <v>0</v>
      </c>
    </row>
    <row r="9525" spans="1:5" x14ac:dyDescent="0.25">
      <c r="A9525" s="36" t="b">
        <v>0</v>
      </c>
      <c r="B9525" s="56" t="b">
        <v>0</v>
      </c>
      <c r="C9525" s="56" t="b">
        <v>0</v>
      </c>
      <c r="D9525" s="56" t="b">
        <v>0</v>
      </c>
      <c r="E9525" s="56">
        <f ca="1">IF(PV[[#This Row],[Business Date]]=Control!$C$6, PV[[#This Row],[Notional Value Local Cur]], -PV[[#This Row],[Notional Value Local Cur]])</f>
        <v>0</v>
      </c>
    </row>
    <row r="9526" spans="1:5" x14ac:dyDescent="0.25">
      <c r="A9526" s="36" t="b">
        <v>0</v>
      </c>
      <c r="B9526" s="56" t="b">
        <v>0</v>
      </c>
      <c r="C9526" s="56" t="b">
        <v>0</v>
      </c>
      <c r="D9526" s="56" t="b">
        <v>0</v>
      </c>
      <c r="E9526" s="56">
        <f ca="1">IF(PV[[#This Row],[Business Date]]=Control!$C$6, PV[[#This Row],[Notional Value Local Cur]], -PV[[#This Row],[Notional Value Local Cur]])</f>
        <v>0</v>
      </c>
    </row>
    <row r="9527" spans="1:5" x14ac:dyDescent="0.25">
      <c r="A9527" s="36" t="b">
        <v>0</v>
      </c>
      <c r="B9527" s="56" t="b">
        <v>0</v>
      </c>
      <c r="C9527" s="56" t="b">
        <v>0</v>
      </c>
      <c r="D9527" s="56" t="b">
        <v>0</v>
      </c>
      <c r="E9527" s="56">
        <f ca="1">IF(PV[[#This Row],[Business Date]]=Control!$C$6, PV[[#This Row],[Notional Value Local Cur]], -PV[[#This Row],[Notional Value Local Cur]])</f>
        <v>0</v>
      </c>
    </row>
    <row r="9528" spans="1:5" x14ac:dyDescent="0.25">
      <c r="A9528" s="36" t="b">
        <v>0</v>
      </c>
      <c r="B9528" s="56" t="b">
        <v>0</v>
      </c>
      <c r="C9528" s="56" t="b">
        <v>0</v>
      </c>
      <c r="D9528" s="56" t="b">
        <v>0</v>
      </c>
      <c r="E9528" s="56">
        <f ca="1">IF(PV[[#This Row],[Business Date]]=Control!$C$6, PV[[#This Row],[Notional Value Local Cur]], -PV[[#This Row],[Notional Value Local Cur]])</f>
        <v>0</v>
      </c>
    </row>
    <row r="9529" spans="1:5" x14ac:dyDescent="0.25">
      <c r="A9529" s="36" t="b">
        <v>0</v>
      </c>
      <c r="B9529" s="56" t="b">
        <v>0</v>
      </c>
      <c r="C9529" s="56" t="b">
        <v>0</v>
      </c>
      <c r="D9529" s="56" t="b">
        <v>0</v>
      </c>
      <c r="E9529" s="56">
        <f ca="1">IF(PV[[#This Row],[Business Date]]=Control!$C$6, PV[[#This Row],[Notional Value Local Cur]], -PV[[#This Row],[Notional Value Local Cur]])</f>
        <v>0</v>
      </c>
    </row>
    <row r="9530" spans="1:5" x14ac:dyDescent="0.25">
      <c r="A9530" s="36" t="b">
        <v>0</v>
      </c>
      <c r="B9530" s="56" t="b">
        <v>0</v>
      </c>
      <c r="C9530" s="56" t="b">
        <v>0</v>
      </c>
      <c r="D9530" s="56" t="b">
        <v>0</v>
      </c>
      <c r="E9530" s="56">
        <f ca="1">IF(PV[[#This Row],[Business Date]]=Control!$C$6, PV[[#This Row],[Notional Value Local Cur]], -PV[[#This Row],[Notional Value Local Cur]])</f>
        <v>0</v>
      </c>
    </row>
    <row r="9531" spans="1:5" x14ac:dyDescent="0.25">
      <c r="A9531" s="36" t="b">
        <v>0</v>
      </c>
      <c r="B9531" s="56" t="b">
        <v>0</v>
      </c>
      <c r="C9531" s="56" t="b">
        <v>0</v>
      </c>
      <c r="D9531" s="56" t="b">
        <v>0</v>
      </c>
      <c r="E9531" s="56">
        <f ca="1">IF(PV[[#This Row],[Business Date]]=Control!$C$6, PV[[#This Row],[Notional Value Local Cur]], -PV[[#This Row],[Notional Value Local Cur]])</f>
        <v>0</v>
      </c>
    </row>
    <row r="9532" spans="1:5" x14ac:dyDescent="0.25">
      <c r="A9532" s="36" t="b">
        <v>0</v>
      </c>
      <c r="B9532" s="56" t="b">
        <v>0</v>
      </c>
      <c r="C9532" s="56" t="b">
        <v>0</v>
      </c>
      <c r="D9532" s="56" t="b">
        <v>0</v>
      </c>
      <c r="E9532" s="56">
        <f ca="1">IF(PV[[#This Row],[Business Date]]=Control!$C$6, PV[[#This Row],[Notional Value Local Cur]], -PV[[#This Row],[Notional Value Local Cur]])</f>
        <v>0</v>
      </c>
    </row>
    <row r="9533" spans="1:5" x14ac:dyDescent="0.25">
      <c r="A9533" s="36" t="b">
        <v>0</v>
      </c>
      <c r="B9533" s="56" t="b">
        <v>0</v>
      </c>
      <c r="C9533" s="56" t="b">
        <v>0</v>
      </c>
      <c r="D9533" s="56" t="b">
        <v>0</v>
      </c>
      <c r="E9533" s="56">
        <f ca="1">IF(PV[[#This Row],[Business Date]]=Control!$C$6, PV[[#This Row],[Notional Value Local Cur]], -PV[[#This Row],[Notional Value Local Cur]])</f>
        <v>0</v>
      </c>
    </row>
    <row r="9534" spans="1:5" x14ac:dyDescent="0.25">
      <c r="A9534" s="36" t="b">
        <v>0</v>
      </c>
      <c r="B9534" s="56" t="b">
        <v>0</v>
      </c>
      <c r="C9534" s="56" t="b">
        <v>0</v>
      </c>
      <c r="D9534" s="56" t="b">
        <v>0</v>
      </c>
      <c r="E9534" s="56">
        <f ca="1">IF(PV[[#This Row],[Business Date]]=Control!$C$6, PV[[#This Row],[Notional Value Local Cur]], -PV[[#This Row],[Notional Value Local Cur]])</f>
        <v>0</v>
      </c>
    </row>
    <row r="9535" spans="1:5" x14ac:dyDescent="0.25">
      <c r="A9535" s="36" t="b">
        <v>0</v>
      </c>
      <c r="B9535" s="56" t="b">
        <v>0</v>
      </c>
      <c r="C9535" s="56" t="b">
        <v>0</v>
      </c>
      <c r="D9535" s="56" t="b">
        <v>0</v>
      </c>
      <c r="E9535" s="56">
        <f ca="1">IF(PV[[#This Row],[Business Date]]=Control!$C$6, PV[[#This Row],[Notional Value Local Cur]], -PV[[#This Row],[Notional Value Local Cur]])</f>
        <v>0</v>
      </c>
    </row>
    <row r="9536" spans="1:5" x14ac:dyDescent="0.25">
      <c r="A9536" s="36" t="b">
        <v>0</v>
      </c>
      <c r="B9536" s="56" t="b">
        <v>0</v>
      </c>
      <c r="C9536" s="56" t="b">
        <v>0</v>
      </c>
      <c r="D9536" s="56" t="b">
        <v>0</v>
      </c>
      <c r="E9536" s="56">
        <f ca="1">IF(PV[[#This Row],[Business Date]]=Control!$C$6, PV[[#This Row],[Notional Value Local Cur]], -PV[[#This Row],[Notional Value Local Cur]])</f>
        <v>0</v>
      </c>
    </row>
    <row r="9537" spans="1:5" x14ac:dyDescent="0.25">
      <c r="A9537" s="36" t="b">
        <v>0</v>
      </c>
      <c r="B9537" s="56" t="b">
        <v>0</v>
      </c>
      <c r="C9537" s="56" t="b">
        <v>0</v>
      </c>
      <c r="D9537" s="56" t="b">
        <v>0</v>
      </c>
      <c r="E9537" s="56">
        <f ca="1">IF(PV[[#This Row],[Business Date]]=Control!$C$6, PV[[#This Row],[Notional Value Local Cur]], -PV[[#This Row],[Notional Value Local Cur]])</f>
        <v>0</v>
      </c>
    </row>
    <row r="9538" spans="1:5" x14ac:dyDescent="0.25">
      <c r="A9538" s="36" t="b">
        <v>0</v>
      </c>
      <c r="B9538" s="56" t="b">
        <v>0</v>
      </c>
      <c r="C9538" s="56" t="b">
        <v>0</v>
      </c>
      <c r="D9538" s="56" t="b">
        <v>0</v>
      </c>
      <c r="E9538" s="56">
        <f ca="1">IF(PV[[#This Row],[Business Date]]=Control!$C$6, PV[[#This Row],[Notional Value Local Cur]], -PV[[#This Row],[Notional Value Local Cur]])</f>
        <v>0</v>
      </c>
    </row>
    <row r="9539" spans="1:5" x14ac:dyDescent="0.25">
      <c r="A9539" s="36" t="b">
        <v>0</v>
      </c>
      <c r="B9539" s="56" t="b">
        <v>0</v>
      </c>
      <c r="C9539" s="56" t="b">
        <v>0</v>
      </c>
      <c r="D9539" s="56" t="b">
        <v>0</v>
      </c>
      <c r="E9539" s="56">
        <f ca="1">IF(PV[[#This Row],[Business Date]]=Control!$C$6, PV[[#This Row],[Notional Value Local Cur]], -PV[[#This Row],[Notional Value Local Cur]])</f>
        <v>0</v>
      </c>
    </row>
    <row r="9540" spans="1:5" x14ac:dyDescent="0.25">
      <c r="A9540" s="36" t="b">
        <v>0</v>
      </c>
      <c r="B9540" s="56" t="b">
        <v>0</v>
      </c>
      <c r="C9540" s="56" t="b">
        <v>0</v>
      </c>
      <c r="D9540" s="56" t="b">
        <v>0</v>
      </c>
      <c r="E9540" s="56">
        <f ca="1">IF(PV[[#This Row],[Business Date]]=Control!$C$6, PV[[#This Row],[Notional Value Local Cur]], -PV[[#This Row],[Notional Value Local Cur]])</f>
        <v>0</v>
      </c>
    </row>
    <row r="9541" spans="1:5" x14ac:dyDescent="0.25">
      <c r="A9541" s="36" t="b">
        <v>0</v>
      </c>
      <c r="B9541" s="56" t="b">
        <v>0</v>
      </c>
      <c r="C9541" s="56" t="b">
        <v>0</v>
      </c>
      <c r="D9541" s="56" t="b">
        <v>0</v>
      </c>
      <c r="E9541" s="56">
        <f ca="1">IF(PV[[#This Row],[Business Date]]=Control!$C$6, PV[[#This Row],[Notional Value Local Cur]], -PV[[#This Row],[Notional Value Local Cur]])</f>
        <v>0</v>
      </c>
    </row>
    <row r="9542" spans="1:5" x14ac:dyDescent="0.25">
      <c r="A9542" s="36" t="b">
        <v>0</v>
      </c>
      <c r="B9542" s="56" t="b">
        <v>0</v>
      </c>
      <c r="C9542" s="56" t="b">
        <v>0</v>
      </c>
      <c r="D9542" s="56" t="b">
        <v>0</v>
      </c>
      <c r="E9542" s="56">
        <f ca="1">IF(PV[[#This Row],[Business Date]]=Control!$C$6, PV[[#This Row],[Notional Value Local Cur]], -PV[[#This Row],[Notional Value Local Cur]])</f>
        <v>0</v>
      </c>
    </row>
    <row r="9543" spans="1:5" x14ac:dyDescent="0.25">
      <c r="A9543" s="36" t="b">
        <v>0</v>
      </c>
      <c r="B9543" s="56" t="b">
        <v>0</v>
      </c>
      <c r="C9543" s="56" t="b">
        <v>0</v>
      </c>
      <c r="D9543" s="56" t="b">
        <v>0</v>
      </c>
      <c r="E9543" s="56">
        <f ca="1">IF(PV[[#This Row],[Business Date]]=Control!$C$6, PV[[#This Row],[Notional Value Local Cur]], -PV[[#This Row],[Notional Value Local Cur]])</f>
        <v>0</v>
      </c>
    </row>
    <row r="9544" spans="1:5" x14ac:dyDescent="0.25">
      <c r="A9544" s="36" t="b">
        <v>0</v>
      </c>
      <c r="B9544" s="56" t="b">
        <v>0</v>
      </c>
      <c r="C9544" s="56" t="b">
        <v>0</v>
      </c>
      <c r="D9544" s="56" t="b">
        <v>0</v>
      </c>
      <c r="E9544" s="56">
        <f ca="1">IF(PV[[#This Row],[Business Date]]=Control!$C$6, PV[[#This Row],[Notional Value Local Cur]], -PV[[#This Row],[Notional Value Local Cur]])</f>
        <v>0</v>
      </c>
    </row>
    <row r="9545" spans="1:5" x14ac:dyDescent="0.25">
      <c r="A9545" s="36" t="b">
        <v>0</v>
      </c>
      <c r="B9545" s="56" t="b">
        <v>0</v>
      </c>
      <c r="C9545" s="56" t="b">
        <v>0</v>
      </c>
      <c r="D9545" s="56" t="b">
        <v>0</v>
      </c>
      <c r="E9545" s="56">
        <f ca="1">IF(PV[[#This Row],[Business Date]]=Control!$C$6, PV[[#This Row],[Notional Value Local Cur]], -PV[[#This Row],[Notional Value Local Cur]])</f>
        <v>0</v>
      </c>
    </row>
    <row r="9546" spans="1:5" x14ac:dyDescent="0.25">
      <c r="A9546" s="36" t="b">
        <v>0</v>
      </c>
      <c r="B9546" s="56" t="b">
        <v>0</v>
      </c>
      <c r="C9546" s="56" t="b">
        <v>0</v>
      </c>
      <c r="D9546" s="56" t="b">
        <v>0</v>
      </c>
      <c r="E9546" s="56">
        <f ca="1">IF(PV[[#This Row],[Business Date]]=Control!$C$6, PV[[#This Row],[Notional Value Local Cur]], -PV[[#This Row],[Notional Value Local Cur]])</f>
        <v>0</v>
      </c>
    </row>
    <row r="9547" spans="1:5" x14ac:dyDescent="0.25">
      <c r="A9547" s="36" t="b">
        <v>0</v>
      </c>
      <c r="B9547" s="56" t="b">
        <v>0</v>
      </c>
      <c r="C9547" s="56" t="b">
        <v>0</v>
      </c>
      <c r="D9547" s="56" t="b">
        <v>0</v>
      </c>
      <c r="E9547" s="56">
        <f ca="1">IF(PV[[#This Row],[Business Date]]=Control!$C$6, PV[[#This Row],[Notional Value Local Cur]], -PV[[#This Row],[Notional Value Local Cur]])</f>
        <v>0</v>
      </c>
    </row>
    <row r="9548" spans="1:5" x14ac:dyDescent="0.25">
      <c r="A9548" s="36" t="b">
        <v>0</v>
      </c>
      <c r="B9548" s="56" t="b">
        <v>0</v>
      </c>
      <c r="C9548" s="56" t="b">
        <v>0</v>
      </c>
      <c r="D9548" s="56" t="b">
        <v>0</v>
      </c>
      <c r="E9548" s="56">
        <f ca="1">IF(PV[[#This Row],[Business Date]]=Control!$C$6, PV[[#This Row],[Notional Value Local Cur]], -PV[[#This Row],[Notional Value Local Cur]])</f>
        <v>0</v>
      </c>
    </row>
    <row r="9549" spans="1:5" x14ac:dyDescent="0.25">
      <c r="A9549" s="36" t="b">
        <v>0</v>
      </c>
      <c r="B9549" s="56" t="b">
        <v>0</v>
      </c>
      <c r="C9549" s="56" t="b">
        <v>0</v>
      </c>
      <c r="D9549" s="56" t="b">
        <v>0</v>
      </c>
      <c r="E9549" s="56">
        <f ca="1">IF(PV[[#This Row],[Business Date]]=Control!$C$6, PV[[#This Row],[Notional Value Local Cur]], -PV[[#This Row],[Notional Value Local Cur]])</f>
        <v>0</v>
      </c>
    </row>
    <row r="9550" spans="1:5" x14ac:dyDescent="0.25">
      <c r="A9550" s="36" t="b">
        <v>0</v>
      </c>
      <c r="B9550" s="56" t="b">
        <v>0</v>
      </c>
      <c r="C9550" s="56" t="b">
        <v>0</v>
      </c>
      <c r="D9550" s="56" t="b">
        <v>0</v>
      </c>
      <c r="E9550" s="56">
        <f ca="1">IF(PV[[#This Row],[Business Date]]=Control!$C$6, PV[[#This Row],[Notional Value Local Cur]], -PV[[#This Row],[Notional Value Local Cur]])</f>
        <v>0</v>
      </c>
    </row>
    <row r="9551" spans="1:5" x14ac:dyDescent="0.25">
      <c r="A9551" s="36" t="b">
        <v>0</v>
      </c>
      <c r="B9551" s="56" t="b">
        <v>0</v>
      </c>
      <c r="C9551" s="56" t="b">
        <v>0</v>
      </c>
      <c r="D9551" s="56" t="b">
        <v>0</v>
      </c>
      <c r="E9551" s="56">
        <f ca="1">IF(PV[[#This Row],[Business Date]]=Control!$C$6, PV[[#This Row],[Notional Value Local Cur]], -PV[[#This Row],[Notional Value Local Cur]])</f>
        <v>0</v>
      </c>
    </row>
    <row r="9552" spans="1:5" x14ac:dyDescent="0.25">
      <c r="A9552" s="36" t="b">
        <v>0</v>
      </c>
      <c r="B9552" s="56" t="b">
        <v>0</v>
      </c>
      <c r="C9552" s="56" t="b">
        <v>0</v>
      </c>
      <c r="D9552" s="56" t="b">
        <v>0</v>
      </c>
      <c r="E9552" s="56">
        <f ca="1">IF(PV[[#This Row],[Business Date]]=Control!$C$6, PV[[#This Row],[Notional Value Local Cur]], -PV[[#This Row],[Notional Value Local Cur]])</f>
        <v>0</v>
      </c>
    </row>
    <row r="9553" spans="1:5" x14ac:dyDescent="0.25">
      <c r="A9553" s="36" t="b">
        <v>0</v>
      </c>
      <c r="B9553" s="56" t="b">
        <v>0</v>
      </c>
      <c r="C9553" s="56" t="b">
        <v>0</v>
      </c>
      <c r="D9553" s="56" t="b">
        <v>0</v>
      </c>
      <c r="E9553" s="56">
        <f ca="1">IF(PV[[#This Row],[Business Date]]=Control!$C$6, PV[[#This Row],[Notional Value Local Cur]], -PV[[#This Row],[Notional Value Local Cur]])</f>
        <v>0</v>
      </c>
    </row>
    <row r="9554" spans="1:5" x14ac:dyDescent="0.25">
      <c r="A9554" s="36" t="b">
        <v>0</v>
      </c>
      <c r="B9554" s="56" t="b">
        <v>0</v>
      </c>
      <c r="C9554" s="56" t="b">
        <v>0</v>
      </c>
      <c r="D9554" s="56" t="b">
        <v>0</v>
      </c>
      <c r="E9554" s="56">
        <f ca="1">IF(PV[[#This Row],[Business Date]]=Control!$C$6, PV[[#This Row],[Notional Value Local Cur]], -PV[[#This Row],[Notional Value Local Cur]])</f>
        <v>0</v>
      </c>
    </row>
    <row r="9555" spans="1:5" x14ac:dyDescent="0.25">
      <c r="A9555" s="36" t="b">
        <v>0</v>
      </c>
      <c r="B9555" s="56" t="b">
        <v>0</v>
      </c>
      <c r="C9555" s="56" t="b">
        <v>0</v>
      </c>
      <c r="D9555" s="56" t="b">
        <v>0</v>
      </c>
      <c r="E9555" s="56">
        <f ca="1">IF(PV[[#This Row],[Business Date]]=Control!$C$6, PV[[#This Row],[Notional Value Local Cur]], -PV[[#This Row],[Notional Value Local Cur]])</f>
        <v>0</v>
      </c>
    </row>
    <row r="9556" spans="1:5" x14ac:dyDescent="0.25">
      <c r="A9556" s="36" t="b">
        <v>0</v>
      </c>
      <c r="B9556" s="56" t="b">
        <v>0</v>
      </c>
      <c r="C9556" s="56" t="b">
        <v>0</v>
      </c>
      <c r="D9556" s="56" t="b">
        <v>0</v>
      </c>
      <c r="E9556" s="56">
        <f ca="1">IF(PV[[#This Row],[Business Date]]=Control!$C$6, PV[[#This Row],[Notional Value Local Cur]], -PV[[#This Row],[Notional Value Local Cur]])</f>
        <v>0</v>
      </c>
    </row>
    <row r="9557" spans="1:5" x14ac:dyDescent="0.25">
      <c r="A9557" s="36" t="b">
        <v>0</v>
      </c>
      <c r="B9557" s="56" t="b">
        <v>0</v>
      </c>
      <c r="C9557" s="56" t="b">
        <v>0</v>
      </c>
      <c r="D9557" s="56" t="b">
        <v>0</v>
      </c>
      <c r="E9557" s="56">
        <f ca="1">IF(PV[[#This Row],[Business Date]]=Control!$C$6, PV[[#This Row],[Notional Value Local Cur]], -PV[[#This Row],[Notional Value Local Cur]])</f>
        <v>0</v>
      </c>
    </row>
    <row r="9558" spans="1:5" x14ac:dyDescent="0.25">
      <c r="A9558" s="36" t="b">
        <v>0</v>
      </c>
      <c r="B9558" s="56" t="b">
        <v>0</v>
      </c>
      <c r="C9558" s="56" t="b">
        <v>0</v>
      </c>
      <c r="D9558" s="56" t="b">
        <v>0</v>
      </c>
      <c r="E9558" s="56">
        <f ca="1">IF(PV[[#This Row],[Business Date]]=Control!$C$6, PV[[#This Row],[Notional Value Local Cur]], -PV[[#This Row],[Notional Value Local Cur]])</f>
        <v>0</v>
      </c>
    </row>
    <row r="9559" spans="1:5" x14ac:dyDescent="0.25">
      <c r="A9559" s="36" t="b">
        <v>0</v>
      </c>
      <c r="B9559" s="56" t="b">
        <v>0</v>
      </c>
      <c r="C9559" s="56" t="b">
        <v>0</v>
      </c>
      <c r="D9559" s="56" t="b">
        <v>0</v>
      </c>
      <c r="E9559" s="56">
        <f ca="1">IF(PV[[#This Row],[Business Date]]=Control!$C$6, PV[[#This Row],[Notional Value Local Cur]], -PV[[#This Row],[Notional Value Local Cur]])</f>
        <v>0</v>
      </c>
    </row>
    <row r="9560" spans="1:5" x14ac:dyDescent="0.25">
      <c r="A9560" s="36" t="b">
        <v>0</v>
      </c>
      <c r="B9560" s="56" t="b">
        <v>0</v>
      </c>
      <c r="C9560" s="56" t="b">
        <v>0</v>
      </c>
      <c r="D9560" s="56" t="b">
        <v>0</v>
      </c>
      <c r="E9560" s="56">
        <f ca="1">IF(PV[[#This Row],[Business Date]]=Control!$C$6, PV[[#This Row],[Notional Value Local Cur]], -PV[[#This Row],[Notional Value Local Cur]])</f>
        <v>0</v>
      </c>
    </row>
    <row r="9561" spans="1:5" x14ac:dyDescent="0.25">
      <c r="A9561" s="36" t="b">
        <v>0</v>
      </c>
      <c r="B9561" s="56" t="b">
        <v>0</v>
      </c>
      <c r="C9561" s="56" t="b">
        <v>0</v>
      </c>
      <c r="D9561" s="56" t="b">
        <v>0</v>
      </c>
      <c r="E9561" s="56">
        <f ca="1">IF(PV[[#This Row],[Business Date]]=Control!$C$6, PV[[#This Row],[Notional Value Local Cur]], -PV[[#This Row],[Notional Value Local Cur]])</f>
        <v>0</v>
      </c>
    </row>
    <row r="9562" spans="1:5" x14ac:dyDescent="0.25">
      <c r="A9562" s="36" t="b">
        <v>0</v>
      </c>
      <c r="B9562" s="56" t="b">
        <v>0</v>
      </c>
      <c r="C9562" s="56" t="b">
        <v>0</v>
      </c>
      <c r="D9562" s="56" t="b">
        <v>0</v>
      </c>
      <c r="E9562" s="56">
        <f ca="1">IF(PV[[#This Row],[Business Date]]=Control!$C$6, PV[[#This Row],[Notional Value Local Cur]], -PV[[#This Row],[Notional Value Local Cur]])</f>
        <v>0</v>
      </c>
    </row>
    <row r="9563" spans="1:5" x14ac:dyDescent="0.25">
      <c r="A9563" s="36" t="b">
        <v>0</v>
      </c>
      <c r="B9563" s="56" t="b">
        <v>0</v>
      </c>
      <c r="C9563" s="56" t="b">
        <v>0</v>
      </c>
      <c r="D9563" s="56" t="b">
        <v>0</v>
      </c>
      <c r="E9563" s="56">
        <f ca="1">IF(PV[[#This Row],[Business Date]]=Control!$C$6, PV[[#This Row],[Notional Value Local Cur]], -PV[[#This Row],[Notional Value Local Cur]])</f>
        <v>0</v>
      </c>
    </row>
    <row r="9564" spans="1:5" x14ac:dyDescent="0.25">
      <c r="A9564" s="36" t="b">
        <v>0</v>
      </c>
      <c r="B9564" s="56" t="b">
        <v>0</v>
      </c>
      <c r="C9564" s="56" t="b">
        <v>0</v>
      </c>
      <c r="D9564" s="56" t="b">
        <v>0</v>
      </c>
      <c r="E9564" s="56">
        <f ca="1">IF(PV[[#This Row],[Business Date]]=Control!$C$6, PV[[#This Row],[Notional Value Local Cur]], -PV[[#This Row],[Notional Value Local Cur]])</f>
        <v>0</v>
      </c>
    </row>
    <row r="9565" spans="1:5" x14ac:dyDescent="0.25">
      <c r="A9565" s="36" t="b">
        <v>0</v>
      </c>
      <c r="B9565" s="56" t="b">
        <v>0</v>
      </c>
      <c r="C9565" s="56" t="b">
        <v>0</v>
      </c>
      <c r="D9565" s="56" t="b">
        <v>0</v>
      </c>
      <c r="E9565" s="56">
        <f ca="1">IF(PV[[#This Row],[Business Date]]=Control!$C$6, PV[[#This Row],[Notional Value Local Cur]], -PV[[#This Row],[Notional Value Local Cur]])</f>
        <v>0</v>
      </c>
    </row>
    <row r="9566" spans="1:5" x14ac:dyDescent="0.25">
      <c r="A9566" s="36" t="b">
        <v>0</v>
      </c>
      <c r="B9566" s="56" t="b">
        <v>0</v>
      </c>
      <c r="C9566" s="56" t="b">
        <v>0</v>
      </c>
      <c r="D9566" s="56" t="b">
        <v>0</v>
      </c>
      <c r="E9566" s="56">
        <f ca="1">IF(PV[[#This Row],[Business Date]]=Control!$C$6, PV[[#This Row],[Notional Value Local Cur]], -PV[[#This Row],[Notional Value Local Cur]])</f>
        <v>0</v>
      </c>
    </row>
    <row r="9567" spans="1:5" x14ac:dyDescent="0.25">
      <c r="A9567" s="36" t="b">
        <v>0</v>
      </c>
      <c r="B9567" s="56" t="b">
        <v>0</v>
      </c>
      <c r="C9567" s="56" t="b">
        <v>0</v>
      </c>
      <c r="D9567" s="56" t="b">
        <v>0</v>
      </c>
      <c r="E9567" s="56">
        <f ca="1">IF(PV[[#This Row],[Business Date]]=Control!$C$6, PV[[#This Row],[Notional Value Local Cur]], -PV[[#This Row],[Notional Value Local Cur]])</f>
        <v>0</v>
      </c>
    </row>
    <row r="9568" spans="1:5" x14ac:dyDescent="0.25">
      <c r="A9568" s="36" t="b">
        <v>0</v>
      </c>
      <c r="B9568" s="56" t="b">
        <v>0</v>
      </c>
      <c r="C9568" s="56" t="b">
        <v>0</v>
      </c>
      <c r="D9568" s="56" t="b">
        <v>0</v>
      </c>
      <c r="E9568" s="56">
        <f ca="1">IF(PV[[#This Row],[Business Date]]=Control!$C$6, PV[[#This Row],[Notional Value Local Cur]], -PV[[#This Row],[Notional Value Local Cur]])</f>
        <v>0</v>
      </c>
    </row>
    <row r="9569" spans="1:5" x14ac:dyDescent="0.25">
      <c r="A9569" s="36" t="b">
        <v>0</v>
      </c>
      <c r="B9569" s="56" t="b">
        <v>0</v>
      </c>
      <c r="C9569" s="56" t="b">
        <v>0</v>
      </c>
      <c r="D9569" s="56" t="b">
        <v>0</v>
      </c>
      <c r="E9569" s="56">
        <f ca="1">IF(PV[[#This Row],[Business Date]]=Control!$C$6, PV[[#This Row],[Notional Value Local Cur]], -PV[[#This Row],[Notional Value Local Cur]])</f>
        <v>0</v>
      </c>
    </row>
    <row r="9570" spans="1:5" x14ac:dyDescent="0.25">
      <c r="A9570" s="36" t="b">
        <v>0</v>
      </c>
      <c r="B9570" s="56" t="b">
        <v>0</v>
      </c>
      <c r="C9570" s="56" t="b">
        <v>0</v>
      </c>
      <c r="D9570" s="56" t="b">
        <v>0</v>
      </c>
      <c r="E9570" s="56">
        <f ca="1">IF(PV[[#This Row],[Business Date]]=Control!$C$6, PV[[#This Row],[Notional Value Local Cur]], -PV[[#This Row],[Notional Value Local Cur]])</f>
        <v>0</v>
      </c>
    </row>
    <row r="9571" spans="1:5" x14ac:dyDescent="0.25">
      <c r="A9571" s="36" t="b">
        <v>0</v>
      </c>
      <c r="B9571" s="56" t="b">
        <v>0</v>
      </c>
      <c r="C9571" s="56" t="b">
        <v>0</v>
      </c>
      <c r="D9571" s="56" t="b">
        <v>0</v>
      </c>
      <c r="E9571" s="56">
        <f ca="1">IF(PV[[#This Row],[Business Date]]=Control!$C$6, PV[[#This Row],[Notional Value Local Cur]], -PV[[#This Row],[Notional Value Local Cur]])</f>
        <v>0</v>
      </c>
    </row>
    <row r="9572" spans="1:5" x14ac:dyDescent="0.25">
      <c r="A9572" s="36" t="b">
        <v>0</v>
      </c>
      <c r="B9572" s="56" t="b">
        <v>0</v>
      </c>
      <c r="C9572" s="56" t="b">
        <v>0</v>
      </c>
      <c r="D9572" s="56" t="b">
        <v>0</v>
      </c>
      <c r="E9572" s="56">
        <f ca="1">IF(PV[[#This Row],[Business Date]]=Control!$C$6, PV[[#This Row],[Notional Value Local Cur]], -PV[[#This Row],[Notional Value Local Cur]])</f>
        <v>0</v>
      </c>
    </row>
    <row r="9573" spans="1:5" x14ac:dyDescent="0.25">
      <c r="A9573" s="36" t="b">
        <v>0</v>
      </c>
      <c r="B9573" s="56" t="b">
        <v>0</v>
      </c>
      <c r="C9573" s="56" t="b">
        <v>0</v>
      </c>
      <c r="D9573" s="56" t="b">
        <v>0</v>
      </c>
      <c r="E9573" s="56">
        <f ca="1">IF(PV[[#This Row],[Business Date]]=Control!$C$6, PV[[#This Row],[Notional Value Local Cur]], -PV[[#This Row],[Notional Value Local Cur]])</f>
        <v>0</v>
      </c>
    </row>
    <row r="9574" spans="1:5" x14ac:dyDescent="0.25">
      <c r="A9574" s="36" t="b">
        <v>0</v>
      </c>
      <c r="B9574" s="56" t="b">
        <v>0</v>
      </c>
      <c r="C9574" s="56" t="b">
        <v>0</v>
      </c>
      <c r="D9574" s="56" t="b">
        <v>0</v>
      </c>
      <c r="E9574" s="56">
        <f ca="1">IF(PV[[#This Row],[Business Date]]=Control!$C$6, PV[[#This Row],[Notional Value Local Cur]], -PV[[#This Row],[Notional Value Local Cur]])</f>
        <v>0</v>
      </c>
    </row>
    <row r="9575" spans="1:5" x14ac:dyDescent="0.25">
      <c r="A9575" s="36" t="b">
        <v>0</v>
      </c>
      <c r="B9575" s="56" t="b">
        <v>0</v>
      </c>
      <c r="C9575" s="56" t="b">
        <v>0</v>
      </c>
      <c r="D9575" s="56" t="b">
        <v>0</v>
      </c>
      <c r="E9575" s="56">
        <f ca="1">IF(PV[[#This Row],[Business Date]]=Control!$C$6, PV[[#This Row],[Notional Value Local Cur]], -PV[[#This Row],[Notional Value Local Cur]])</f>
        <v>0</v>
      </c>
    </row>
    <row r="9576" spans="1:5" x14ac:dyDescent="0.25">
      <c r="A9576" s="36" t="b">
        <v>0</v>
      </c>
      <c r="B9576" s="56" t="b">
        <v>0</v>
      </c>
      <c r="C9576" s="56" t="b">
        <v>0</v>
      </c>
      <c r="D9576" s="56" t="b">
        <v>0</v>
      </c>
      <c r="E9576" s="56">
        <f ca="1">IF(PV[[#This Row],[Business Date]]=Control!$C$6, PV[[#This Row],[Notional Value Local Cur]], -PV[[#This Row],[Notional Value Local Cur]])</f>
        <v>0</v>
      </c>
    </row>
    <row r="9577" spans="1:5" x14ac:dyDescent="0.25">
      <c r="A9577" s="36" t="b">
        <v>0</v>
      </c>
      <c r="B9577" s="56" t="b">
        <v>0</v>
      </c>
      <c r="C9577" s="56" t="b">
        <v>0</v>
      </c>
      <c r="D9577" s="56" t="b">
        <v>0</v>
      </c>
      <c r="E9577" s="56">
        <f ca="1">IF(PV[[#This Row],[Business Date]]=Control!$C$6, PV[[#This Row],[Notional Value Local Cur]], -PV[[#This Row],[Notional Value Local Cur]])</f>
        <v>0</v>
      </c>
    </row>
    <row r="9578" spans="1:5" x14ac:dyDescent="0.25">
      <c r="A9578" s="36" t="b">
        <v>0</v>
      </c>
      <c r="B9578" s="56" t="b">
        <v>0</v>
      </c>
      <c r="C9578" s="56" t="b">
        <v>0</v>
      </c>
      <c r="D9578" s="56" t="b">
        <v>0</v>
      </c>
      <c r="E9578" s="56">
        <f ca="1">IF(PV[[#This Row],[Business Date]]=Control!$C$6, PV[[#This Row],[Notional Value Local Cur]], -PV[[#This Row],[Notional Value Local Cur]])</f>
        <v>0</v>
      </c>
    </row>
    <row r="9579" spans="1:5" x14ac:dyDescent="0.25">
      <c r="A9579" s="36" t="b">
        <v>0</v>
      </c>
      <c r="B9579" s="56" t="b">
        <v>0</v>
      </c>
      <c r="C9579" s="56" t="b">
        <v>0</v>
      </c>
      <c r="D9579" s="56" t="b">
        <v>0</v>
      </c>
      <c r="E9579" s="56">
        <f ca="1">IF(PV[[#This Row],[Business Date]]=Control!$C$6, PV[[#This Row],[Notional Value Local Cur]], -PV[[#This Row],[Notional Value Local Cur]])</f>
        <v>0</v>
      </c>
    </row>
    <row r="9580" spans="1:5" x14ac:dyDescent="0.25">
      <c r="A9580" s="36" t="b">
        <v>0</v>
      </c>
      <c r="B9580" s="56" t="b">
        <v>0</v>
      </c>
      <c r="C9580" s="56" t="b">
        <v>0</v>
      </c>
      <c r="D9580" s="56" t="b">
        <v>0</v>
      </c>
      <c r="E9580" s="56">
        <f ca="1">IF(PV[[#This Row],[Business Date]]=Control!$C$6, PV[[#This Row],[Notional Value Local Cur]], -PV[[#This Row],[Notional Value Local Cur]])</f>
        <v>0</v>
      </c>
    </row>
    <row r="9581" spans="1:5" x14ac:dyDescent="0.25">
      <c r="A9581" s="36" t="b">
        <v>0</v>
      </c>
      <c r="B9581" s="56" t="b">
        <v>0</v>
      </c>
      <c r="C9581" s="56" t="b">
        <v>0</v>
      </c>
      <c r="D9581" s="56" t="b">
        <v>0</v>
      </c>
      <c r="E9581" s="56">
        <f ca="1">IF(PV[[#This Row],[Business Date]]=Control!$C$6, PV[[#This Row],[Notional Value Local Cur]], -PV[[#This Row],[Notional Value Local Cur]])</f>
        <v>0</v>
      </c>
    </row>
    <row r="9582" spans="1:5" x14ac:dyDescent="0.25">
      <c r="A9582" s="36" t="b">
        <v>0</v>
      </c>
      <c r="B9582" s="56" t="b">
        <v>0</v>
      </c>
      <c r="C9582" s="56" t="b">
        <v>0</v>
      </c>
      <c r="D9582" s="56" t="b">
        <v>0</v>
      </c>
      <c r="E9582" s="56">
        <f ca="1">IF(PV[[#This Row],[Business Date]]=Control!$C$6, PV[[#This Row],[Notional Value Local Cur]], -PV[[#This Row],[Notional Value Local Cur]])</f>
        <v>0</v>
      </c>
    </row>
    <row r="9583" spans="1:5" x14ac:dyDescent="0.25">
      <c r="A9583" s="36" t="b">
        <v>0</v>
      </c>
      <c r="B9583" s="56" t="b">
        <v>0</v>
      </c>
      <c r="C9583" s="56" t="b">
        <v>0</v>
      </c>
      <c r="D9583" s="56" t="b">
        <v>0</v>
      </c>
      <c r="E9583" s="56">
        <f ca="1">IF(PV[[#This Row],[Business Date]]=Control!$C$6, PV[[#This Row],[Notional Value Local Cur]], -PV[[#This Row],[Notional Value Local Cur]])</f>
        <v>0</v>
      </c>
    </row>
    <row r="9584" spans="1:5" x14ac:dyDescent="0.25">
      <c r="A9584" s="36" t="b">
        <v>0</v>
      </c>
      <c r="B9584" s="56" t="b">
        <v>0</v>
      </c>
      <c r="C9584" s="56" t="b">
        <v>0</v>
      </c>
      <c r="D9584" s="56" t="b">
        <v>0</v>
      </c>
      <c r="E9584" s="56">
        <f ca="1">IF(PV[[#This Row],[Business Date]]=Control!$C$6, PV[[#This Row],[Notional Value Local Cur]], -PV[[#This Row],[Notional Value Local Cur]])</f>
        <v>0</v>
      </c>
    </row>
    <row r="9585" spans="1:5" x14ac:dyDescent="0.25">
      <c r="A9585" s="36" t="b">
        <v>0</v>
      </c>
      <c r="B9585" s="56" t="b">
        <v>0</v>
      </c>
      <c r="C9585" s="56" t="b">
        <v>0</v>
      </c>
      <c r="D9585" s="56" t="b">
        <v>0</v>
      </c>
      <c r="E9585" s="56">
        <f ca="1">IF(PV[[#This Row],[Business Date]]=Control!$C$6, PV[[#This Row],[Notional Value Local Cur]], -PV[[#This Row],[Notional Value Local Cur]])</f>
        <v>0</v>
      </c>
    </row>
    <row r="9586" spans="1:5" x14ac:dyDescent="0.25">
      <c r="A9586" s="36" t="b">
        <v>0</v>
      </c>
      <c r="B9586" s="56" t="b">
        <v>0</v>
      </c>
      <c r="C9586" s="56" t="b">
        <v>0</v>
      </c>
      <c r="D9586" s="56" t="b">
        <v>0</v>
      </c>
      <c r="E9586" s="56">
        <f ca="1">IF(PV[[#This Row],[Business Date]]=Control!$C$6, PV[[#This Row],[Notional Value Local Cur]], -PV[[#This Row],[Notional Value Local Cur]])</f>
        <v>0</v>
      </c>
    </row>
    <row r="9587" spans="1:5" x14ac:dyDescent="0.25">
      <c r="A9587" s="36" t="b">
        <v>0</v>
      </c>
      <c r="B9587" s="56" t="b">
        <v>0</v>
      </c>
      <c r="C9587" s="56" t="b">
        <v>0</v>
      </c>
      <c r="D9587" s="56" t="b">
        <v>0</v>
      </c>
      <c r="E9587" s="56">
        <f ca="1">IF(PV[[#This Row],[Business Date]]=Control!$C$6, PV[[#This Row],[Notional Value Local Cur]], -PV[[#This Row],[Notional Value Local Cur]])</f>
        <v>0</v>
      </c>
    </row>
    <row r="9588" spans="1:5" x14ac:dyDescent="0.25">
      <c r="A9588" s="36" t="b">
        <v>0</v>
      </c>
      <c r="B9588" s="56" t="b">
        <v>0</v>
      </c>
      <c r="C9588" s="56" t="b">
        <v>0</v>
      </c>
      <c r="D9588" s="56" t="b">
        <v>0</v>
      </c>
      <c r="E9588" s="56">
        <f ca="1">IF(PV[[#This Row],[Business Date]]=Control!$C$6, PV[[#This Row],[Notional Value Local Cur]], -PV[[#This Row],[Notional Value Local Cur]])</f>
        <v>0</v>
      </c>
    </row>
    <row r="9589" spans="1:5" x14ac:dyDescent="0.25">
      <c r="A9589" s="36" t="b">
        <v>0</v>
      </c>
      <c r="B9589" s="56" t="b">
        <v>0</v>
      </c>
      <c r="C9589" s="56" t="b">
        <v>0</v>
      </c>
      <c r="D9589" s="56" t="b">
        <v>0</v>
      </c>
      <c r="E9589" s="56">
        <f ca="1">IF(PV[[#This Row],[Business Date]]=Control!$C$6, PV[[#This Row],[Notional Value Local Cur]], -PV[[#This Row],[Notional Value Local Cur]])</f>
        <v>0</v>
      </c>
    </row>
    <row r="9590" spans="1:5" x14ac:dyDescent="0.25">
      <c r="A9590" s="36" t="b">
        <v>0</v>
      </c>
      <c r="B9590" s="56" t="b">
        <v>0</v>
      </c>
      <c r="C9590" s="56" t="b">
        <v>0</v>
      </c>
      <c r="D9590" s="56" t="b">
        <v>0</v>
      </c>
      <c r="E9590" s="56">
        <f ca="1">IF(PV[[#This Row],[Business Date]]=Control!$C$6, PV[[#This Row],[Notional Value Local Cur]], -PV[[#This Row],[Notional Value Local Cur]])</f>
        <v>0</v>
      </c>
    </row>
    <row r="9591" spans="1:5" x14ac:dyDescent="0.25">
      <c r="A9591" s="36" t="b">
        <v>0</v>
      </c>
      <c r="B9591" s="56" t="b">
        <v>0</v>
      </c>
      <c r="C9591" s="56" t="b">
        <v>0</v>
      </c>
      <c r="D9591" s="56" t="b">
        <v>0</v>
      </c>
      <c r="E9591" s="56">
        <f ca="1">IF(PV[[#This Row],[Business Date]]=Control!$C$6, PV[[#This Row],[Notional Value Local Cur]], -PV[[#This Row],[Notional Value Local Cur]])</f>
        <v>0</v>
      </c>
    </row>
    <row r="9592" spans="1:5" x14ac:dyDescent="0.25">
      <c r="A9592" s="36" t="b">
        <v>0</v>
      </c>
      <c r="B9592" s="56" t="b">
        <v>0</v>
      </c>
      <c r="C9592" s="56" t="b">
        <v>0</v>
      </c>
      <c r="D9592" s="56" t="b">
        <v>0</v>
      </c>
      <c r="E9592" s="56">
        <f ca="1">IF(PV[[#This Row],[Business Date]]=Control!$C$6, PV[[#This Row],[Notional Value Local Cur]], -PV[[#This Row],[Notional Value Local Cur]])</f>
        <v>0</v>
      </c>
    </row>
    <row r="9593" spans="1:5" x14ac:dyDescent="0.25">
      <c r="A9593" s="36" t="b">
        <v>0</v>
      </c>
      <c r="B9593" s="56" t="b">
        <v>0</v>
      </c>
      <c r="C9593" s="56" t="b">
        <v>0</v>
      </c>
      <c r="D9593" s="56" t="b">
        <v>0</v>
      </c>
      <c r="E9593" s="56">
        <f ca="1">IF(PV[[#This Row],[Business Date]]=Control!$C$6, PV[[#This Row],[Notional Value Local Cur]], -PV[[#This Row],[Notional Value Local Cur]])</f>
        <v>0</v>
      </c>
    </row>
    <row r="9594" spans="1:5" x14ac:dyDescent="0.25">
      <c r="A9594" s="36" t="b">
        <v>0</v>
      </c>
      <c r="B9594" s="56" t="b">
        <v>0</v>
      </c>
      <c r="C9594" s="56" t="b">
        <v>0</v>
      </c>
      <c r="D9594" s="56" t="b">
        <v>0</v>
      </c>
      <c r="E9594" s="56">
        <f ca="1">IF(PV[[#This Row],[Business Date]]=Control!$C$6, PV[[#This Row],[Notional Value Local Cur]], -PV[[#This Row],[Notional Value Local Cur]])</f>
        <v>0</v>
      </c>
    </row>
    <row r="9595" spans="1:5" x14ac:dyDescent="0.25">
      <c r="A9595" s="36" t="b">
        <v>0</v>
      </c>
      <c r="B9595" s="56" t="b">
        <v>0</v>
      </c>
      <c r="C9595" s="56" t="b">
        <v>0</v>
      </c>
      <c r="D9595" s="56" t="b">
        <v>0</v>
      </c>
      <c r="E9595" s="56">
        <f ca="1">IF(PV[[#This Row],[Business Date]]=Control!$C$6, PV[[#This Row],[Notional Value Local Cur]], -PV[[#This Row],[Notional Value Local Cur]])</f>
        <v>0</v>
      </c>
    </row>
    <row r="9596" spans="1:5" x14ac:dyDescent="0.25">
      <c r="A9596" s="36" t="b">
        <v>0</v>
      </c>
      <c r="B9596" s="56" t="b">
        <v>0</v>
      </c>
      <c r="C9596" s="56" t="b">
        <v>0</v>
      </c>
      <c r="D9596" s="56" t="b">
        <v>0</v>
      </c>
      <c r="E9596" s="56">
        <f ca="1">IF(PV[[#This Row],[Business Date]]=Control!$C$6, PV[[#This Row],[Notional Value Local Cur]], -PV[[#This Row],[Notional Value Local Cur]])</f>
        <v>0</v>
      </c>
    </row>
    <row r="9597" spans="1:5" x14ac:dyDescent="0.25">
      <c r="A9597" s="36" t="b">
        <v>0</v>
      </c>
      <c r="B9597" s="56" t="b">
        <v>0</v>
      </c>
      <c r="C9597" s="56" t="b">
        <v>0</v>
      </c>
      <c r="D9597" s="56" t="b">
        <v>0</v>
      </c>
      <c r="E9597" s="56">
        <f ca="1">IF(PV[[#This Row],[Business Date]]=Control!$C$6, PV[[#This Row],[Notional Value Local Cur]], -PV[[#This Row],[Notional Value Local Cur]])</f>
        <v>0</v>
      </c>
    </row>
    <row r="9598" spans="1:5" x14ac:dyDescent="0.25">
      <c r="A9598" s="36" t="b">
        <v>0</v>
      </c>
      <c r="B9598" s="56" t="b">
        <v>0</v>
      </c>
      <c r="C9598" s="56" t="b">
        <v>0</v>
      </c>
      <c r="D9598" s="56" t="b">
        <v>0</v>
      </c>
      <c r="E9598" s="56">
        <f ca="1">IF(PV[[#This Row],[Business Date]]=Control!$C$6, PV[[#This Row],[Notional Value Local Cur]], -PV[[#This Row],[Notional Value Local Cur]])</f>
        <v>0</v>
      </c>
    </row>
    <row r="9599" spans="1:5" x14ac:dyDescent="0.25">
      <c r="A9599" s="36" t="b">
        <v>0</v>
      </c>
      <c r="B9599" s="56" t="b">
        <v>0</v>
      </c>
      <c r="C9599" s="56" t="b">
        <v>0</v>
      </c>
      <c r="D9599" s="56" t="b">
        <v>0</v>
      </c>
      <c r="E9599" s="56">
        <f ca="1">IF(PV[[#This Row],[Business Date]]=Control!$C$6, PV[[#This Row],[Notional Value Local Cur]], -PV[[#This Row],[Notional Value Local Cur]])</f>
        <v>0</v>
      </c>
    </row>
    <row r="9600" spans="1:5" x14ac:dyDescent="0.25">
      <c r="A9600" s="36" t="b">
        <v>0</v>
      </c>
      <c r="B9600" s="56" t="b">
        <v>0</v>
      </c>
      <c r="C9600" s="56" t="b">
        <v>0</v>
      </c>
      <c r="D9600" s="56" t="b">
        <v>0</v>
      </c>
      <c r="E9600" s="56">
        <f ca="1">IF(PV[[#This Row],[Business Date]]=Control!$C$6, PV[[#This Row],[Notional Value Local Cur]], -PV[[#This Row],[Notional Value Local Cur]])</f>
        <v>0</v>
      </c>
    </row>
    <row r="9601" spans="1:5" x14ac:dyDescent="0.25">
      <c r="A9601" s="36" t="b">
        <v>0</v>
      </c>
      <c r="B9601" s="56" t="b">
        <v>0</v>
      </c>
      <c r="C9601" s="56" t="b">
        <v>0</v>
      </c>
      <c r="D9601" s="56" t="b">
        <v>0</v>
      </c>
      <c r="E9601" s="56">
        <f ca="1">IF(PV[[#This Row],[Business Date]]=Control!$C$6, PV[[#This Row],[Notional Value Local Cur]], -PV[[#This Row],[Notional Value Local Cur]])</f>
        <v>0</v>
      </c>
    </row>
    <row r="9602" spans="1:5" x14ac:dyDescent="0.25">
      <c r="A9602" s="36" t="b">
        <v>0</v>
      </c>
      <c r="B9602" s="56" t="b">
        <v>0</v>
      </c>
      <c r="C9602" s="56" t="b">
        <v>0</v>
      </c>
      <c r="D9602" s="56" t="b">
        <v>0</v>
      </c>
      <c r="E9602" s="56">
        <f ca="1">IF(PV[[#This Row],[Business Date]]=Control!$C$6, PV[[#This Row],[Notional Value Local Cur]], -PV[[#This Row],[Notional Value Local Cur]])</f>
        <v>0</v>
      </c>
    </row>
    <row r="9603" spans="1:5" x14ac:dyDescent="0.25">
      <c r="A9603" s="36" t="b">
        <v>0</v>
      </c>
      <c r="B9603" s="56" t="b">
        <v>0</v>
      </c>
      <c r="C9603" s="56" t="b">
        <v>0</v>
      </c>
      <c r="D9603" s="56" t="b">
        <v>0</v>
      </c>
      <c r="E9603" s="56">
        <f ca="1">IF(PV[[#This Row],[Business Date]]=Control!$C$6, PV[[#This Row],[Notional Value Local Cur]], -PV[[#This Row],[Notional Value Local Cur]])</f>
        <v>0</v>
      </c>
    </row>
    <row r="9604" spans="1:5" x14ac:dyDescent="0.25">
      <c r="A9604" s="36" t="b">
        <v>0</v>
      </c>
      <c r="B9604" s="56" t="b">
        <v>0</v>
      </c>
      <c r="C9604" s="56" t="b">
        <v>0</v>
      </c>
      <c r="D9604" s="56" t="b">
        <v>0</v>
      </c>
      <c r="E9604" s="56">
        <f ca="1">IF(PV[[#This Row],[Business Date]]=Control!$C$6, PV[[#This Row],[Notional Value Local Cur]], -PV[[#This Row],[Notional Value Local Cur]])</f>
        <v>0</v>
      </c>
    </row>
    <row r="9605" spans="1:5" x14ac:dyDescent="0.25">
      <c r="A9605" s="36" t="b">
        <v>0</v>
      </c>
      <c r="B9605" s="56" t="b">
        <v>0</v>
      </c>
      <c r="C9605" s="56" t="b">
        <v>0</v>
      </c>
      <c r="D9605" s="56" t="b">
        <v>0</v>
      </c>
      <c r="E9605" s="56">
        <f ca="1">IF(PV[[#This Row],[Business Date]]=Control!$C$6, PV[[#This Row],[Notional Value Local Cur]], -PV[[#This Row],[Notional Value Local Cur]])</f>
        <v>0</v>
      </c>
    </row>
    <row r="9606" spans="1:5" x14ac:dyDescent="0.25">
      <c r="A9606" s="36" t="b">
        <v>0</v>
      </c>
      <c r="B9606" s="56" t="b">
        <v>0</v>
      </c>
      <c r="C9606" s="56" t="b">
        <v>0</v>
      </c>
      <c r="D9606" s="56" t="b">
        <v>0</v>
      </c>
      <c r="E9606" s="56">
        <f ca="1">IF(PV[[#This Row],[Business Date]]=Control!$C$6, PV[[#This Row],[Notional Value Local Cur]], -PV[[#This Row],[Notional Value Local Cur]])</f>
        <v>0</v>
      </c>
    </row>
    <row r="9607" spans="1:5" x14ac:dyDescent="0.25">
      <c r="A9607" s="36" t="b">
        <v>0</v>
      </c>
      <c r="B9607" s="56" t="b">
        <v>0</v>
      </c>
      <c r="C9607" s="56" t="b">
        <v>0</v>
      </c>
      <c r="D9607" s="56" t="b">
        <v>0</v>
      </c>
      <c r="E9607" s="56">
        <f ca="1">IF(PV[[#This Row],[Business Date]]=Control!$C$6, PV[[#This Row],[Notional Value Local Cur]], -PV[[#This Row],[Notional Value Local Cur]])</f>
        <v>0</v>
      </c>
    </row>
    <row r="9608" spans="1:5" x14ac:dyDescent="0.25">
      <c r="A9608" s="36" t="b">
        <v>0</v>
      </c>
      <c r="B9608" s="56" t="b">
        <v>0</v>
      </c>
      <c r="C9608" s="56" t="b">
        <v>0</v>
      </c>
      <c r="D9608" s="56" t="b">
        <v>0</v>
      </c>
      <c r="E9608" s="56">
        <f ca="1">IF(PV[[#This Row],[Business Date]]=Control!$C$6, PV[[#This Row],[Notional Value Local Cur]], -PV[[#This Row],[Notional Value Local Cur]])</f>
        <v>0</v>
      </c>
    </row>
    <row r="9609" spans="1:5" x14ac:dyDescent="0.25">
      <c r="A9609" s="36" t="b">
        <v>0</v>
      </c>
      <c r="B9609" s="56" t="b">
        <v>0</v>
      </c>
      <c r="C9609" s="56" t="b">
        <v>0</v>
      </c>
      <c r="D9609" s="56" t="b">
        <v>0</v>
      </c>
      <c r="E9609" s="56">
        <f ca="1">IF(PV[[#This Row],[Business Date]]=Control!$C$6, PV[[#This Row],[Notional Value Local Cur]], -PV[[#This Row],[Notional Value Local Cur]])</f>
        <v>0</v>
      </c>
    </row>
    <row r="9610" spans="1:5" x14ac:dyDescent="0.25">
      <c r="A9610" s="36" t="b">
        <v>0</v>
      </c>
      <c r="B9610" s="56" t="b">
        <v>0</v>
      </c>
      <c r="C9610" s="56" t="b">
        <v>0</v>
      </c>
      <c r="D9610" s="56" t="b">
        <v>0</v>
      </c>
      <c r="E9610" s="56">
        <f ca="1">IF(PV[[#This Row],[Business Date]]=Control!$C$6, PV[[#This Row],[Notional Value Local Cur]], -PV[[#This Row],[Notional Value Local Cur]])</f>
        <v>0</v>
      </c>
    </row>
    <row r="9611" spans="1:5" x14ac:dyDescent="0.25">
      <c r="A9611" s="36" t="b">
        <v>0</v>
      </c>
      <c r="B9611" s="56" t="b">
        <v>0</v>
      </c>
      <c r="C9611" s="56" t="b">
        <v>0</v>
      </c>
      <c r="D9611" s="56" t="b">
        <v>0</v>
      </c>
      <c r="E9611" s="56">
        <f ca="1">IF(PV[[#This Row],[Business Date]]=Control!$C$6, PV[[#This Row],[Notional Value Local Cur]], -PV[[#This Row],[Notional Value Local Cur]])</f>
        <v>0</v>
      </c>
    </row>
    <row r="9612" spans="1:5" x14ac:dyDescent="0.25">
      <c r="A9612" s="36" t="b">
        <v>0</v>
      </c>
      <c r="B9612" s="56" t="b">
        <v>0</v>
      </c>
      <c r="C9612" s="56" t="b">
        <v>0</v>
      </c>
      <c r="D9612" s="56" t="b">
        <v>0</v>
      </c>
      <c r="E9612" s="56">
        <f ca="1">IF(PV[[#This Row],[Business Date]]=Control!$C$6, PV[[#This Row],[Notional Value Local Cur]], -PV[[#This Row],[Notional Value Local Cur]])</f>
        <v>0</v>
      </c>
    </row>
    <row r="9613" spans="1:5" x14ac:dyDescent="0.25">
      <c r="A9613" s="36" t="b">
        <v>0</v>
      </c>
      <c r="B9613" s="56" t="b">
        <v>0</v>
      </c>
      <c r="C9613" s="56" t="b">
        <v>0</v>
      </c>
      <c r="D9613" s="56" t="b">
        <v>0</v>
      </c>
      <c r="E9613" s="56">
        <f ca="1">IF(PV[[#This Row],[Business Date]]=Control!$C$6, PV[[#This Row],[Notional Value Local Cur]], -PV[[#This Row],[Notional Value Local Cur]])</f>
        <v>0</v>
      </c>
    </row>
    <row r="9614" spans="1:5" x14ac:dyDescent="0.25">
      <c r="A9614" s="36" t="b">
        <v>0</v>
      </c>
      <c r="B9614" s="56" t="b">
        <v>0</v>
      </c>
      <c r="C9614" s="56" t="b">
        <v>0</v>
      </c>
      <c r="D9614" s="56" t="b">
        <v>0</v>
      </c>
      <c r="E9614" s="56">
        <f ca="1">IF(PV[[#This Row],[Business Date]]=Control!$C$6, PV[[#This Row],[Notional Value Local Cur]], -PV[[#This Row],[Notional Value Local Cur]])</f>
        <v>0</v>
      </c>
    </row>
    <row r="9615" spans="1:5" x14ac:dyDescent="0.25">
      <c r="A9615" s="36" t="b">
        <v>0</v>
      </c>
      <c r="B9615" s="56" t="b">
        <v>0</v>
      </c>
      <c r="C9615" s="56" t="b">
        <v>0</v>
      </c>
      <c r="D9615" s="56" t="b">
        <v>0</v>
      </c>
      <c r="E9615" s="56">
        <f ca="1">IF(PV[[#This Row],[Business Date]]=Control!$C$6, PV[[#This Row],[Notional Value Local Cur]], -PV[[#This Row],[Notional Value Local Cur]])</f>
        <v>0</v>
      </c>
    </row>
    <row r="9616" spans="1:5" x14ac:dyDescent="0.25">
      <c r="A9616" s="36" t="b">
        <v>0</v>
      </c>
      <c r="B9616" s="56" t="b">
        <v>0</v>
      </c>
      <c r="C9616" s="56" t="b">
        <v>0</v>
      </c>
      <c r="D9616" s="56" t="b">
        <v>0</v>
      </c>
      <c r="E9616" s="56">
        <f ca="1">IF(PV[[#This Row],[Business Date]]=Control!$C$6, PV[[#This Row],[Notional Value Local Cur]], -PV[[#This Row],[Notional Value Local Cur]])</f>
        <v>0</v>
      </c>
    </row>
    <row r="9617" spans="1:5" x14ac:dyDescent="0.25">
      <c r="A9617" s="36" t="b">
        <v>0</v>
      </c>
      <c r="B9617" s="56" t="b">
        <v>0</v>
      </c>
      <c r="C9617" s="56" t="b">
        <v>0</v>
      </c>
      <c r="D9617" s="56" t="b">
        <v>0</v>
      </c>
      <c r="E9617" s="56">
        <f ca="1">IF(PV[[#This Row],[Business Date]]=Control!$C$6, PV[[#This Row],[Notional Value Local Cur]], -PV[[#This Row],[Notional Value Local Cur]])</f>
        <v>0</v>
      </c>
    </row>
    <row r="9618" spans="1:5" x14ac:dyDescent="0.25">
      <c r="A9618" s="36" t="b">
        <v>0</v>
      </c>
      <c r="B9618" s="56" t="b">
        <v>0</v>
      </c>
      <c r="C9618" s="56" t="b">
        <v>0</v>
      </c>
      <c r="D9618" s="56" t="b">
        <v>0</v>
      </c>
      <c r="E9618" s="56">
        <f ca="1">IF(PV[[#This Row],[Business Date]]=Control!$C$6, PV[[#This Row],[Notional Value Local Cur]], -PV[[#This Row],[Notional Value Local Cur]])</f>
        <v>0</v>
      </c>
    </row>
    <row r="9619" spans="1:5" x14ac:dyDescent="0.25">
      <c r="A9619" s="36" t="b">
        <v>0</v>
      </c>
      <c r="B9619" s="56" t="b">
        <v>0</v>
      </c>
      <c r="C9619" s="56" t="b">
        <v>0</v>
      </c>
      <c r="D9619" s="56" t="b">
        <v>0</v>
      </c>
      <c r="E9619" s="56">
        <f ca="1">IF(PV[[#This Row],[Business Date]]=Control!$C$6, PV[[#This Row],[Notional Value Local Cur]], -PV[[#This Row],[Notional Value Local Cur]])</f>
        <v>0</v>
      </c>
    </row>
    <row r="9620" spans="1:5" x14ac:dyDescent="0.25">
      <c r="A9620" s="36" t="b">
        <v>0</v>
      </c>
      <c r="B9620" s="56" t="b">
        <v>0</v>
      </c>
      <c r="C9620" s="56" t="b">
        <v>0</v>
      </c>
      <c r="D9620" s="56" t="b">
        <v>0</v>
      </c>
      <c r="E9620" s="56">
        <f ca="1">IF(PV[[#This Row],[Business Date]]=Control!$C$6, PV[[#This Row],[Notional Value Local Cur]], -PV[[#This Row],[Notional Value Local Cur]])</f>
        <v>0</v>
      </c>
    </row>
    <row r="9621" spans="1:5" x14ac:dyDescent="0.25">
      <c r="A9621" s="36" t="b">
        <v>0</v>
      </c>
      <c r="B9621" s="56" t="b">
        <v>0</v>
      </c>
      <c r="C9621" s="56" t="b">
        <v>0</v>
      </c>
      <c r="D9621" s="56" t="b">
        <v>0</v>
      </c>
      <c r="E9621" s="56">
        <f ca="1">IF(PV[[#This Row],[Business Date]]=Control!$C$6, PV[[#This Row],[Notional Value Local Cur]], -PV[[#This Row],[Notional Value Local Cur]])</f>
        <v>0</v>
      </c>
    </row>
    <row r="9622" spans="1:5" x14ac:dyDescent="0.25">
      <c r="A9622" s="36" t="b">
        <v>0</v>
      </c>
      <c r="B9622" s="56" t="b">
        <v>0</v>
      </c>
      <c r="C9622" s="56" t="b">
        <v>0</v>
      </c>
      <c r="D9622" s="56" t="b">
        <v>0</v>
      </c>
      <c r="E9622" s="56">
        <f ca="1">IF(PV[[#This Row],[Business Date]]=Control!$C$6, PV[[#This Row],[Notional Value Local Cur]], -PV[[#This Row],[Notional Value Local Cur]])</f>
        <v>0</v>
      </c>
    </row>
    <row r="9623" spans="1:5" x14ac:dyDescent="0.25">
      <c r="A9623" s="36" t="b">
        <v>0</v>
      </c>
      <c r="B9623" s="56" t="b">
        <v>0</v>
      </c>
      <c r="C9623" s="56" t="b">
        <v>0</v>
      </c>
      <c r="D9623" s="56" t="b">
        <v>0</v>
      </c>
      <c r="E9623" s="56">
        <f ca="1">IF(PV[[#This Row],[Business Date]]=Control!$C$6, PV[[#This Row],[Notional Value Local Cur]], -PV[[#This Row],[Notional Value Local Cur]])</f>
        <v>0</v>
      </c>
    </row>
    <row r="9624" spans="1:5" x14ac:dyDescent="0.25">
      <c r="A9624" s="36" t="b">
        <v>0</v>
      </c>
      <c r="B9624" s="56" t="b">
        <v>0</v>
      </c>
      <c r="C9624" s="56" t="b">
        <v>0</v>
      </c>
      <c r="D9624" s="56" t="b">
        <v>0</v>
      </c>
      <c r="E9624" s="56">
        <f ca="1">IF(PV[[#This Row],[Business Date]]=Control!$C$6, PV[[#This Row],[Notional Value Local Cur]], -PV[[#This Row],[Notional Value Local Cur]])</f>
        <v>0</v>
      </c>
    </row>
    <row r="9625" spans="1:5" x14ac:dyDescent="0.25">
      <c r="A9625" s="36" t="b">
        <v>0</v>
      </c>
      <c r="B9625" s="56" t="b">
        <v>0</v>
      </c>
      <c r="C9625" s="56" t="b">
        <v>0</v>
      </c>
      <c r="D9625" s="56" t="b">
        <v>0</v>
      </c>
      <c r="E9625" s="56">
        <f ca="1">IF(PV[[#This Row],[Business Date]]=Control!$C$6, PV[[#This Row],[Notional Value Local Cur]], -PV[[#This Row],[Notional Value Local Cur]])</f>
        <v>0</v>
      </c>
    </row>
    <row r="9626" spans="1:5" x14ac:dyDescent="0.25">
      <c r="A9626" s="36" t="b">
        <v>0</v>
      </c>
      <c r="B9626" s="56" t="b">
        <v>0</v>
      </c>
      <c r="C9626" s="56" t="b">
        <v>0</v>
      </c>
      <c r="D9626" s="56" t="b">
        <v>0</v>
      </c>
      <c r="E9626" s="56">
        <f ca="1">IF(PV[[#This Row],[Business Date]]=Control!$C$6, PV[[#This Row],[Notional Value Local Cur]], -PV[[#This Row],[Notional Value Local Cur]])</f>
        <v>0</v>
      </c>
    </row>
    <row r="9627" spans="1:5" x14ac:dyDescent="0.25">
      <c r="A9627" s="36" t="b">
        <v>0</v>
      </c>
      <c r="B9627" s="56" t="b">
        <v>0</v>
      </c>
      <c r="C9627" s="56" t="b">
        <v>0</v>
      </c>
      <c r="D9627" s="56" t="b">
        <v>0</v>
      </c>
      <c r="E9627" s="56">
        <f ca="1">IF(PV[[#This Row],[Business Date]]=Control!$C$6, PV[[#This Row],[Notional Value Local Cur]], -PV[[#This Row],[Notional Value Local Cur]])</f>
        <v>0</v>
      </c>
    </row>
    <row r="9628" spans="1:5" x14ac:dyDescent="0.25">
      <c r="A9628" s="36" t="b">
        <v>0</v>
      </c>
      <c r="B9628" s="56" t="b">
        <v>0</v>
      </c>
      <c r="C9628" s="56" t="b">
        <v>0</v>
      </c>
      <c r="D9628" s="56" t="b">
        <v>0</v>
      </c>
      <c r="E9628" s="56">
        <f ca="1">IF(PV[[#This Row],[Business Date]]=Control!$C$6, PV[[#This Row],[Notional Value Local Cur]], -PV[[#This Row],[Notional Value Local Cur]])</f>
        <v>0</v>
      </c>
    </row>
    <row r="9629" spans="1:5" x14ac:dyDescent="0.25">
      <c r="A9629" s="36" t="b">
        <v>0</v>
      </c>
      <c r="B9629" s="56" t="b">
        <v>0</v>
      </c>
      <c r="C9629" s="56" t="b">
        <v>0</v>
      </c>
      <c r="D9629" s="56" t="b">
        <v>0</v>
      </c>
      <c r="E9629" s="56">
        <f ca="1">IF(PV[[#This Row],[Business Date]]=Control!$C$6, PV[[#This Row],[Notional Value Local Cur]], -PV[[#This Row],[Notional Value Local Cur]])</f>
        <v>0</v>
      </c>
    </row>
    <row r="9630" spans="1:5" x14ac:dyDescent="0.25">
      <c r="A9630" s="36" t="b">
        <v>0</v>
      </c>
      <c r="B9630" s="56" t="b">
        <v>0</v>
      </c>
      <c r="C9630" s="56" t="b">
        <v>0</v>
      </c>
      <c r="D9630" s="56" t="b">
        <v>0</v>
      </c>
      <c r="E9630" s="56">
        <f ca="1">IF(PV[[#This Row],[Business Date]]=Control!$C$6, PV[[#This Row],[Notional Value Local Cur]], -PV[[#This Row],[Notional Value Local Cur]])</f>
        <v>0</v>
      </c>
    </row>
    <row r="9631" spans="1:5" x14ac:dyDescent="0.25">
      <c r="A9631" s="36" t="b">
        <v>0</v>
      </c>
      <c r="B9631" s="56" t="b">
        <v>0</v>
      </c>
      <c r="C9631" s="56" t="b">
        <v>0</v>
      </c>
      <c r="D9631" s="56" t="b">
        <v>0</v>
      </c>
      <c r="E9631" s="56">
        <f ca="1">IF(PV[[#This Row],[Business Date]]=Control!$C$6, PV[[#This Row],[Notional Value Local Cur]], -PV[[#This Row],[Notional Value Local Cur]])</f>
        <v>0</v>
      </c>
    </row>
    <row r="9632" spans="1:5" x14ac:dyDescent="0.25">
      <c r="A9632" s="36" t="b">
        <v>0</v>
      </c>
      <c r="B9632" s="56" t="b">
        <v>0</v>
      </c>
      <c r="C9632" s="56" t="b">
        <v>0</v>
      </c>
      <c r="D9632" s="56" t="b">
        <v>0</v>
      </c>
      <c r="E9632" s="56">
        <f ca="1">IF(PV[[#This Row],[Business Date]]=Control!$C$6, PV[[#This Row],[Notional Value Local Cur]], -PV[[#This Row],[Notional Value Local Cur]])</f>
        <v>0</v>
      </c>
    </row>
    <row r="9633" spans="1:5" x14ac:dyDescent="0.25">
      <c r="A9633" s="36" t="b">
        <v>0</v>
      </c>
      <c r="B9633" s="56" t="b">
        <v>0</v>
      </c>
      <c r="C9633" s="56" t="b">
        <v>0</v>
      </c>
      <c r="D9633" s="56" t="b">
        <v>0</v>
      </c>
      <c r="E9633" s="56">
        <f ca="1">IF(PV[[#This Row],[Business Date]]=Control!$C$6, PV[[#This Row],[Notional Value Local Cur]], -PV[[#This Row],[Notional Value Local Cur]])</f>
        <v>0</v>
      </c>
    </row>
    <row r="9634" spans="1:5" x14ac:dyDescent="0.25">
      <c r="A9634" s="36" t="b">
        <v>0</v>
      </c>
      <c r="B9634" s="56" t="b">
        <v>0</v>
      </c>
      <c r="C9634" s="56" t="b">
        <v>0</v>
      </c>
      <c r="D9634" s="56" t="b">
        <v>0</v>
      </c>
      <c r="E9634" s="56">
        <f ca="1">IF(PV[[#This Row],[Business Date]]=Control!$C$6, PV[[#This Row],[Notional Value Local Cur]], -PV[[#This Row],[Notional Value Local Cur]])</f>
        <v>0</v>
      </c>
    </row>
    <row r="9635" spans="1:5" x14ac:dyDescent="0.25">
      <c r="A9635" s="36" t="b">
        <v>0</v>
      </c>
      <c r="B9635" s="56" t="b">
        <v>0</v>
      </c>
      <c r="C9635" s="56" t="b">
        <v>0</v>
      </c>
      <c r="D9635" s="56" t="b">
        <v>0</v>
      </c>
      <c r="E9635" s="56">
        <f ca="1">IF(PV[[#This Row],[Business Date]]=Control!$C$6, PV[[#This Row],[Notional Value Local Cur]], -PV[[#This Row],[Notional Value Local Cur]])</f>
        <v>0</v>
      </c>
    </row>
    <row r="9636" spans="1:5" x14ac:dyDescent="0.25">
      <c r="A9636" s="36" t="b">
        <v>0</v>
      </c>
      <c r="B9636" s="56" t="b">
        <v>0</v>
      </c>
      <c r="C9636" s="56" t="b">
        <v>0</v>
      </c>
      <c r="D9636" s="56" t="b">
        <v>0</v>
      </c>
      <c r="E9636" s="56">
        <f ca="1">IF(PV[[#This Row],[Business Date]]=Control!$C$6, PV[[#This Row],[Notional Value Local Cur]], -PV[[#This Row],[Notional Value Local Cur]])</f>
        <v>0</v>
      </c>
    </row>
    <row r="9637" spans="1:5" x14ac:dyDescent="0.25">
      <c r="A9637" s="36" t="b">
        <v>0</v>
      </c>
      <c r="B9637" s="56" t="b">
        <v>0</v>
      </c>
      <c r="C9637" s="56" t="b">
        <v>0</v>
      </c>
      <c r="D9637" s="56" t="b">
        <v>0</v>
      </c>
      <c r="E9637" s="56">
        <f ca="1">IF(PV[[#This Row],[Business Date]]=Control!$C$6, PV[[#This Row],[Notional Value Local Cur]], -PV[[#This Row],[Notional Value Local Cur]])</f>
        <v>0</v>
      </c>
    </row>
    <row r="9638" spans="1:5" x14ac:dyDescent="0.25">
      <c r="A9638" s="36" t="b">
        <v>0</v>
      </c>
      <c r="B9638" s="56" t="b">
        <v>0</v>
      </c>
      <c r="C9638" s="56" t="b">
        <v>0</v>
      </c>
      <c r="D9638" s="56" t="b">
        <v>0</v>
      </c>
      <c r="E9638" s="56">
        <f ca="1">IF(PV[[#This Row],[Business Date]]=Control!$C$6, PV[[#This Row],[Notional Value Local Cur]], -PV[[#This Row],[Notional Value Local Cur]])</f>
        <v>0</v>
      </c>
    </row>
    <row r="9639" spans="1:5" x14ac:dyDescent="0.25">
      <c r="A9639" s="36" t="b">
        <v>0</v>
      </c>
      <c r="B9639" s="56" t="b">
        <v>0</v>
      </c>
      <c r="C9639" s="56" t="b">
        <v>0</v>
      </c>
      <c r="D9639" s="56" t="b">
        <v>0</v>
      </c>
      <c r="E9639" s="56">
        <f ca="1">IF(PV[[#This Row],[Business Date]]=Control!$C$6, PV[[#This Row],[Notional Value Local Cur]], -PV[[#This Row],[Notional Value Local Cur]])</f>
        <v>0</v>
      </c>
    </row>
    <row r="9640" spans="1:5" x14ac:dyDescent="0.25">
      <c r="A9640" s="36" t="b">
        <v>0</v>
      </c>
      <c r="B9640" s="56" t="b">
        <v>0</v>
      </c>
      <c r="C9640" s="56" t="b">
        <v>0</v>
      </c>
      <c r="D9640" s="56" t="b">
        <v>0</v>
      </c>
      <c r="E9640" s="56">
        <f ca="1">IF(PV[[#This Row],[Business Date]]=Control!$C$6, PV[[#This Row],[Notional Value Local Cur]], -PV[[#This Row],[Notional Value Local Cur]])</f>
        <v>0</v>
      </c>
    </row>
    <row r="9641" spans="1:5" x14ac:dyDescent="0.25">
      <c r="A9641" s="36" t="b">
        <v>0</v>
      </c>
      <c r="B9641" s="56" t="b">
        <v>0</v>
      </c>
      <c r="C9641" s="56" t="b">
        <v>0</v>
      </c>
      <c r="D9641" s="56" t="b">
        <v>0</v>
      </c>
      <c r="E9641" s="56">
        <f ca="1">IF(PV[[#This Row],[Business Date]]=Control!$C$6, PV[[#This Row],[Notional Value Local Cur]], -PV[[#This Row],[Notional Value Local Cur]])</f>
        <v>0</v>
      </c>
    </row>
    <row r="9642" spans="1:5" x14ac:dyDescent="0.25">
      <c r="A9642" s="36" t="b">
        <v>0</v>
      </c>
      <c r="B9642" s="56" t="b">
        <v>0</v>
      </c>
      <c r="C9642" s="56" t="b">
        <v>0</v>
      </c>
      <c r="D9642" s="56" t="b">
        <v>0</v>
      </c>
      <c r="E9642" s="56">
        <f ca="1">IF(PV[[#This Row],[Business Date]]=Control!$C$6, PV[[#This Row],[Notional Value Local Cur]], -PV[[#This Row],[Notional Value Local Cur]])</f>
        <v>0</v>
      </c>
    </row>
    <row r="9643" spans="1:5" x14ac:dyDescent="0.25">
      <c r="A9643" s="36" t="b">
        <v>0</v>
      </c>
      <c r="B9643" s="56" t="b">
        <v>0</v>
      </c>
      <c r="C9643" s="56" t="b">
        <v>0</v>
      </c>
      <c r="D9643" s="56" t="b">
        <v>0</v>
      </c>
      <c r="E9643" s="56">
        <f ca="1">IF(PV[[#This Row],[Business Date]]=Control!$C$6, PV[[#This Row],[Notional Value Local Cur]], -PV[[#This Row],[Notional Value Local Cur]])</f>
        <v>0</v>
      </c>
    </row>
    <row r="9644" spans="1:5" x14ac:dyDescent="0.25">
      <c r="A9644" s="36" t="b">
        <v>0</v>
      </c>
      <c r="B9644" s="56" t="b">
        <v>0</v>
      </c>
      <c r="C9644" s="56" t="b">
        <v>0</v>
      </c>
      <c r="D9644" s="56" t="b">
        <v>0</v>
      </c>
      <c r="E9644" s="56">
        <f ca="1">IF(PV[[#This Row],[Business Date]]=Control!$C$6, PV[[#This Row],[Notional Value Local Cur]], -PV[[#This Row],[Notional Value Local Cur]])</f>
        <v>0</v>
      </c>
    </row>
    <row r="9645" spans="1:5" x14ac:dyDescent="0.25">
      <c r="A9645" s="36" t="b">
        <v>0</v>
      </c>
      <c r="B9645" s="56" t="b">
        <v>0</v>
      </c>
      <c r="C9645" s="56" t="b">
        <v>0</v>
      </c>
      <c r="D9645" s="56" t="b">
        <v>0</v>
      </c>
      <c r="E9645" s="56">
        <f ca="1">IF(PV[[#This Row],[Business Date]]=Control!$C$6, PV[[#This Row],[Notional Value Local Cur]], -PV[[#This Row],[Notional Value Local Cur]])</f>
        <v>0</v>
      </c>
    </row>
    <row r="9646" spans="1:5" x14ac:dyDescent="0.25">
      <c r="A9646" s="36" t="b">
        <v>0</v>
      </c>
      <c r="B9646" s="56" t="b">
        <v>0</v>
      </c>
      <c r="C9646" s="56" t="b">
        <v>0</v>
      </c>
      <c r="D9646" s="56" t="b">
        <v>0</v>
      </c>
      <c r="E9646" s="56">
        <f ca="1">IF(PV[[#This Row],[Business Date]]=Control!$C$6, PV[[#This Row],[Notional Value Local Cur]], -PV[[#This Row],[Notional Value Local Cur]])</f>
        <v>0</v>
      </c>
    </row>
    <row r="9647" spans="1:5" x14ac:dyDescent="0.25">
      <c r="A9647" s="36" t="b">
        <v>0</v>
      </c>
      <c r="B9647" s="56" t="b">
        <v>0</v>
      </c>
      <c r="C9647" s="56" t="b">
        <v>0</v>
      </c>
      <c r="D9647" s="56" t="b">
        <v>0</v>
      </c>
      <c r="E9647" s="56">
        <f ca="1">IF(PV[[#This Row],[Business Date]]=Control!$C$6, PV[[#This Row],[Notional Value Local Cur]], -PV[[#This Row],[Notional Value Local Cur]])</f>
        <v>0</v>
      </c>
    </row>
    <row r="9648" spans="1:5" x14ac:dyDescent="0.25">
      <c r="A9648" s="36" t="b">
        <v>0</v>
      </c>
      <c r="B9648" s="56" t="b">
        <v>0</v>
      </c>
      <c r="C9648" s="56" t="b">
        <v>0</v>
      </c>
      <c r="D9648" s="56" t="b">
        <v>0</v>
      </c>
      <c r="E9648" s="56">
        <f ca="1">IF(PV[[#This Row],[Business Date]]=Control!$C$6, PV[[#This Row],[Notional Value Local Cur]], -PV[[#This Row],[Notional Value Local Cur]])</f>
        <v>0</v>
      </c>
    </row>
    <row r="9649" spans="1:5" x14ac:dyDescent="0.25">
      <c r="A9649" s="36" t="b">
        <v>0</v>
      </c>
      <c r="B9649" s="56" t="b">
        <v>0</v>
      </c>
      <c r="C9649" s="56" t="b">
        <v>0</v>
      </c>
      <c r="D9649" s="56" t="b">
        <v>0</v>
      </c>
      <c r="E9649" s="56">
        <f ca="1">IF(PV[[#This Row],[Business Date]]=Control!$C$6, PV[[#This Row],[Notional Value Local Cur]], -PV[[#This Row],[Notional Value Local Cur]])</f>
        <v>0</v>
      </c>
    </row>
    <row r="9650" spans="1:5" x14ac:dyDescent="0.25">
      <c r="A9650" s="36" t="b">
        <v>0</v>
      </c>
      <c r="B9650" s="56" t="b">
        <v>0</v>
      </c>
      <c r="C9650" s="56" t="b">
        <v>0</v>
      </c>
      <c r="D9650" s="56" t="b">
        <v>0</v>
      </c>
      <c r="E9650" s="56">
        <f ca="1">IF(PV[[#This Row],[Business Date]]=Control!$C$6, PV[[#This Row],[Notional Value Local Cur]], -PV[[#This Row],[Notional Value Local Cur]])</f>
        <v>0</v>
      </c>
    </row>
    <row r="9651" spans="1:5" x14ac:dyDescent="0.25">
      <c r="A9651" s="36" t="b">
        <v>0</v>
      </c>
      <c r="B9651" s="56" t="b">
        <v>0</v>
      </c>
      <c r="C9651" s="56" t="b">
        <v>0</v>
      </c>
      <c r="D9651" s="56" t="b">
        <v>0</v>
      </c>
      <c r="E9651" s="56">
        <f ca="1">IF(PV[[#This Row],[Business Date]]=Control!$C$6, PV[[#This Row],[Notional Value Local Cur]], -PV[[#This Row],[Notional Value Local Cur]])</f>
        <v>0</v>
      </c>
    </row>
    <row r="9652" spans="1:5" x14ac:dyDescent="0.25">
      <c r="A9652" s="36" t="b">
        <v>0</v>
      </c>
      <c r="B9652" s="56" t="b">
        <v>0</v>
      </c>
      <c r="C9652" s="56" t="b">
        <v>0</v>
      </c>
      <c r="D9652" s="56" t="b">
        <v>0</v>
      </c>
      <c r="E9652" s="56">
        <f ca="1">IF(PV[[#This Row],[Business Date]]=Control!$C$6, PV[[#This Row],[Notional Value Local Cur]], -PV[[#This Row],[Notional Value Local Cur]])</f>
        <v>0</v>
      </c>
    </row>
    <row r="9653" spans="1:5" x14ac:dyDescent="0.25">
      <c r="A9653" s="36" t="b">
        <v>0</v>
      </c>
      <c r="B9653" s="56" t="b">
        <v>0</v>
      </c>
      <c r="C9653" s="56" t="b">
        <v>0</v>
      </c>
      <c r="D9653" s="56" t="b">
        <v>0</v>
      </c>
      <c r="E9653" s="56">
        <f ca="1">IF(PV[[#This Row],[Business Date]]=Control!$C$6, PV[[#This Row],[Notional Value Local Cur]], -PV[[#This Row],[Notional Value Local Cur]])</f>
        <v>0</v>
      </c>
    </row>
    <row r="9654" spans="1:5" x14ac:dyDescent="0.25">
      <c r="A9654" s="36" t="b">
        <v>0</v>
      </c>
      <c r="B9654" s="56" t="b">
        <v>0</v>
      </c>
      <c r="C9654" s="56" t="b">
        <v>0</v>
      </c>
      <c r="D9654" s="56" t="b">
        <v>0</v>
      </c>
      <c r="E9654" s="56">
        <f ca="1">IF(PV[[#This Row],[Business Date]]=Control!$C$6, PV[[#This Row],[Notional Value Local Cur]], -PV[[#This Row],[Notional Value Local Cur]])</f>
        <v>0</v>
      </c>
    </row>
    <row r="9655" spans="1:5" x14ac:dyDescent="0.25">
      <c r="A9655" s="36" t="b">
        <v>0</v>
      </c>
      <c r="B9655" s="56" t="b">
        <v>0</v>
      </c>
      <c r="C9655" s="56" t="b">
        <v>0</v>
      </c>
      <c r="D9655" s="56" t="b">
        <v>0</v>
      </c>
      <c r="E9655" s="56">
        <f ca="1">IF(PV[[#This Row],[Business Date]]=Control!$C$6, PV[[#This Row],[Notional Value Local Cur]], -PV[[#This Row],[Notional Value Local Cur]])</f>
        <v>0</v>
      </c>
    </row>
    <row r="9656" spans="1:5" x14ac:dyDescent="0.25">
      <c r="A9656" s="36" t="b">
        <v>0</v>
      </c>
      <c r="B9656" s="56" t="b">
        <v>0</v>
      </c>
      <c r="C9656" s="56" t="b">
        <v>0</v>
      </c>
      <c r="D9656" s="56" t="b">
        <v>0</v>
      </c>
      <c r="E9656" s="56">
        <f ca="1">IF(PV[[#This Row],[Business Date]]=Control!$C$6, PV[[#This Row],[Notional Value Local Cur]], -PV[[#This Row],[Notional Value Local Cur]])</f>
        <v>0</v>
      </c>
    </row>
    <row r="9657" spans="1:5" x14ac:dyDescent="0.25">
      <c r="A9657" s="36" t="b">
        <v>0</v>
      </c>
      <c r="B9657" s="56" t="b">
        <v>0</v>
      </c>
      <c r="C9657" s="56" t="b">
        <v>0</v>
      </c>
      <c r="D9657" s="56" t="b">
        <v>0</v>
      </c>
      <c r="E9657" s="56">
        <f ca="1">IF(PV[[#This Row],[Business Date]]=Control!$C$6, PV[[#This Row],[Notional Value Local Cur]], -PV[[#This Row],[Notional Value Local Cur]])</f>
        <v>0</v>
      </c>
    </row>
    <row r="9658" spans="1:5" x14ac:dyDescent="0.25">
      <c r="A9658" s="36" t="b">
        <v>0</v>
      </c>
      <c r="B9658" s="56" t="b">
        <v>0</v>
      </c>
      <c r="C9658" s="56" t="b">
        <v>0</v>
      </c>
      <c r="D9658" s="56" t="b">
        <v>0</v>
      </c>
      <c r="E9658" s="56">
        <f ca="1">IF(PV[[#This Row],[Business Date]]=Control!$C$6, PV[[#This Row],[Notional Value Local Cur]], -PV[[#This Row],[Notional Value Local Cur]])</f>
        <v>0</v>
      </c>
    </row>
    <row r="9659" spans="1:5" x14ac:dyDescent="0.25">
      <c r="A9659" s="36" t="b">
        <v>0</v>
      </c>
      <c r="B9659" s="56" t="b">
        <v>0</v>
      </c>
      <c r="C9659" s="56" t="b">
        <v>0</v>
      </c>
      <c r="D9659" s="56" t="b">
        <v>0</v>
      </c>
      <c r="E9659" s="56">
        <f ca="1">IF(PV[[#This Row],[Business Date]]=Control!$C$6, PV[[#This Row],[Notional Value Local Cur]], -PV[[#This Row],[Notional Value Local Cur]])</f>
        <v>0</v>
      </c>
    </row>
    <row r="9660" spans="1:5" x14ac:dyDescent="0.25">
      <c r="A9660" s="36" t="b">
        <v>0</v>
      </c>
      <c r="B9660" s="56" t="b">
        <v>0</v>
      </c>
      <c r="C9660" s="56" t="b">
        <v>0</v>
      </c>
      <c r="D9660" s="56" t="b">
        <v>0</v>
      </c>
      <c r="E9660" s="56">
        <f ca="1">IF(PV[[#This Row],[Business Date]]=Control!$C$6, PV[[#This Row],[Notional Value Local Cur]], -PV[[#This Row],[Notional Value Local Cur]])</f>
        <v>0</v>
      </c>
    </row>
    <row r="9661" spans="1:5" x14ac:dyDescent="0.25">
      <c r="A9661" s="36" t="b">
        <v>0</v>
      </c>
      <c r="B9661" s="56" t="b">
        <v>0</v>
      </c>
      <c r="C9661" s="56" t="b">
        <v>0</v>
      </c>
      <c r="D9661" s="56" t="b">
        <v>0</v>
      </c>
      <c r="E9661" s="56">
        <f ca="1">IF(PV[[#This Row],[Business Date]]=Control!$C$6, PV[[#This Row],[Notional Value Local Cur]], -PV[[#This Row],[Notional Value Local Cur]])</f>
        <v>0</v>
      </c>
    </row>
    <row r="9662" spans="1:5" x14ac:dyDescent="0.25">
      <c r="A9662" s="36" t="b">
        <v>0</v>
      </c>
      <c r="B9662" s="56" t="b">
        <v>0</v>
      </c>
      <c r="C9662" s="56" t="b">
        <v>0</v>
      </c>
      <c r="D9662" s="56" t="b">
        <v>0</v>
      </c>
      <c r="E9662" s="56">
        <f ca="1">IF(PV[[#This Row],[Business Date]]=Control!$C$6, PV[[#This Row],[Notional Value Local Cur]], -PV[[#This Row],[Notional Value Local Cur]])</f>
        <v>0</v>
      </c>
    </row>
    <row r="9663" spans="1:5" x14ac:dyDescent="0.25">
      <c r="A9663" s="36" t="b">
        <v>0</v>
      </c>
      <c r="B9663" s="56" t="b">
        <v>0</v>
      </c>
      <c r="C9663" s="56" t="b">
        <v>0</v>
      </c>
      <c r="D9663" s="56" t="b">
        <v>0</v>
      </c>
      <c r="E9663" s="56">
        <f ca="1">IF(PV[[#This Row],[Business Date]]=Control!$C$6, PV[[#This Row],[Notional Value Local Cur]], -PV[[#This Row],[Notional Value Local Cur]])</f>
        <v>0</v>
      </c>
    </row>
    <row r="9664" spans="1:5" x14ac:dyDescent="0.25">
      <c r="A9664" s="36" t="b">
        <v>0</v>
      </c>
      <c r="B9664" s="56" t="b">
        <v>0</v>
      </c>
      <c r="C9664" s="56" t="b">
        <v>0</v>
      </c>
      <c r="D9664" s="56" t="b">
        <v>0</v>
      </c>
      <c r="E9664" s="56">
        <f ca="1">IF(PV[[#This Row],[Business Date]]=Control!$C$6, PV[[#This Row],[Notional Value Local Cur]], -PV[[#This Row],[Notional Value Local Cur]])</f>
        <v>0</v>
      </c>
    </row>
    <row r="9665" spans="1:5" x14ac:dyDescent="0.25">
      <c r="A9665" s="36" t="b">
        <v>0</v>
      </c>
      <c r="B9665" s="56" t="b">
        <v>0</v>
      </c>
      <c r="C9665" s="56" t="b">
        <v>0</v>
      </c>
      <c r="D9665" s="56" t="b">
        <v>0</v>
      </c>
      <c r="E9665" s="56">
        <f ca="1">IF(PV[[#This Row],[Business Date]]=Control!$C$6, PV[[#This Row],[Notional Value Local Cur]], -PV[[#This Row],[Notional Value Local Cur]])</f>
        <v>0</v>
      </c>
    </row>
    <row r="9666" spans="1:5" x14ac:dyDescent="0.25">
      <c r="A9666" s="36" t="b">
        <v>0</v>
      </c>
      <c r="B9666" s="56" t="b">
        <v>0</v>
      </c>
      <c r="C9666" s="56" t="b">
        <v>0</v>
      </c>
      <c r="D9666" s="56" t="b">
        <v>0</v>
      </c>
      <c r="E9666" s="56">
        <f ca="1">IF(PV[[#This Row],[Business Date]]=Control!$C$6, PV[[#This Row],[Notional Value Local Cur]], -PV[[#This Row],[Notional Value Local Cur]])</f>
        <v>0</v>
      </c>
    </row>
    <row r="9667" spans="1:5" x14ac:dyDescent="0.25">
      <c r="A9667" s="36" t="b">
        <v>0</v>
      </c>
      <c r="B9667" s="56" t="b">
        <v>0</v>
      </c>
      <c r="C9667" s="56" t="b">
        <v>0</v>
      </c>
      <c r="D9667" s="56" t="b">
        <v>0</v>
      </c>
      <c r="E9667" s="56">
        <f ca="1">IF(PV[[#This Row],[Business Date]]=Control!$C$6, PV[[#This Row],[Notional Value Local Cur]], -PV[[#This Row],[Notional Value Local Cur]])</f>
        <v>0</v>
      </c>
    </row>
    <row r="9668" spans="1:5" x14ac:dyDescent="0.25">
      <c r="A9668" s="36" t="b">
        <v>0</v>
      </c>
      <c r="B9668" s="56" t="b">
        <v>0</v>
      </c>
      <c r="C9668" s="56" t="b">
        <v>0</v>
      </c>
      <c r="D9668" s="56" t="b">
        <v>0</v>
      </c>
      <c r="E9668" s="56">
        <f ca="1">IF(PV[[#This Row],[Business Date]]=Control!$C$6, PV[[#This Row],[Notional Value Local Cur]], -PV[[#This Row],[Notional Value Local Cur]])</f>
        <v>0</v>
      </c>
    </row>
    <row r="9669" spans="1:5" x14ac:dyDescent="0.25">
      <c r="A9669" s="36" t="b">
        <v>0</v>
      </c>
      <c r="B9669" s="56" t="b">
        <v>0</v>
      </c>
      <c r="C9669" s="56" t="b">
        <v>0</v>
      </c>
      <c r="D9669" s="56" t="b">
        <v>0</v>
      </c>
      <c r="E9669" s="56">
        <f ca="1">IF(PV[[#This Row],[Business Date]]=Control!$C$6, PV[[#This Row],[Notional Value Local Cur]], -PV[[#This Row],[Notional Value Local Cur]])</f>
        <v>0</v>
      </c>
    </row>
    <row r="9670" spans="1:5" x14ac:dyDescent="0.25">
      <c r="A9670" s="36" t="b">
        <v>0</v>
      </c>
      <c r="B9670" s="56" t="b">
        <v>0</v>
      </c>
      <c r="C9670" s="56" t="b">
        <v>0</v>
      </c>
      <c r="D9670" s="56" t="b">
        <v>0</v>
      </c>
      <c r="E9670" s="56">
        <f ca="1">IF(PV[[#This Row],[Business Date]]=Control!$C$6, PV[[#This Row],[Notional Value Local Cur]], -PV[[#This Row],[Notional Value Local Cur]])</f>
        <v>0</v>
      </c>
    </row>
    <row r="9671" spans="1:5" x14ac:dyDescent="0.25">
      <c r="A9671" s="36" t="b">
        <v>0</v>
      </c>
      <c r="B9671" s="56" t="b">
        <v>0</v>
      </c>
      <c r="C9671" s="56" t="b">
        <v>0</v>
      </c>
      <c r="D9671" s="56" t="b">
        <v>0</v>
      </c>
      <c r="E9671" s="56">
        <f ca="1">IF(PV[[#This Row],[Business Date]]=Control!$C$6, PV[[#This Row],[Notional Value Local Cur]], -PV[[#This Row],[Notional Value Local Cur]])</f>
        <v>0</v>
      </c>
    </row>
    <row r="9672" spans="1:5" x14ac:dyDescent="0.25">
      <c r="A9672" s="36" t="b">
        <v>0</v>
      </c>
      <c r="B9672" s="56" t="b">
        <v>0</v>
      </c>
      <c r="C9672" s="56" t="b">
        <v>0</v>
      </c>
      <c r="D9672" s="56" t="b">
        <v>0</v>
      </c>
      <c r="E9672" s="56">
        <f ca="1">IF(PV[[#This Row],[Business Date]]=Control!$C$6, PV[[#This Row],[Notional Value Local Cur]], -PV[[#This Row],[Notional Value Local Cur]])</f>
        <v>0</v>
      </c>
    </row>
    <row r="9673" spans="1:5" x14ac:dyDescent="0.25">
      <c r="A9673" s="36" t="b">
        <v>0</v>
      </c>
      <c r="B9673" s="56" t="b">
        <v>0</v>
      </c>
      <c r="C9673" s="56" t="b">
        <v>0</v>
      </c>
      <c r="D9673" s="56" t="b">
        <v>0</v>
      </c>
      <c r="E9673" s="56">
        <f ca="1">IF(PV[[#This Row],[Business Date]]=Control!$C$6, PV[[#This Row],[Notional Value Local Cur]], -PV[[#This Row],[Notional Value Local Cur]])</f>
        <v>0</v>
      </c>
    </row>
    <row r="9674" spans="1:5" x14ac:dyDescent="0.25">
      <c r="A9674" s="36" t="b">
        <v>0</v>
      </c>
      <c r="B9674" s="56" t="b">
        <v>0</v>
      </c>
      <c r="C9674" s="56" t="b">
        <v>0</v>
      </c>
      <c r="D9674" s="56" t="b">
        <v>0</v>
      </c>
      <c r="E9674" s="56">
        <f ca="1">IF(PV[[#This Row],[Business Date]]=Control!$C$6, PV[[#This Row],[Notional Value Local Cur]], -PV[[#This Row],[Notional Value Local Cur]])</f>
        <v>0</v>
      </c>
    </row>
    <row r="9675" spans="1:5" x14ac:dyDescent="0.25">
      <c r="A9675" s="36" t="b">
        <v>0</v>
      </c>
      <c r="B9675" s="56" t="b">
        <v>0</v>
      </c>
      <c r="C9675" s="56" t="b">
        <v>0</v>
      </c>
      <c r="D9675" s="56" t="b">
        <v>0</v>
      </c>
      <c r="E9675" s="56">
        <f ca="1">IF(PV[[#This Row],[Business Date]]=Control!$C$6, PV[[#This Row],[Notional Value Local Cur]], -PV[[#This Row],[Notional Value Local Cur]])</f>
        <v>0</v>
      </c>
    </row>
    <row r="9676" spans="1:5" x14ac:dyDescent="0.25">
      <c r="A9676" s="36" t="b">
        <v>0</v>
      </c>
      <c r="B9676" s="56" t="b">
        <v>0</v>
      </c>
      <c r="C9676" s="56" t="b">
        <v>0</v>
      </c>
      <c r="D9676" s="56" t="b">
        <v>0</v>
      </c>
      <c r="E9676" s="56">
        <f ca="1">IF(PV[[#This Row],[Business Date]]=Control!$C$6, PV[[#This Row],[Notional Value Local Cur]], -PV[[#This Row],[Notional Value Local Cur]])</f>
        <v>0</v>
      </c>
    </row>
    <row r="9677" spans="1:5" x14ac:dyDescent="0.25">
      <c r="A9677" s="36" t="b">
        <v>0</v>
      </c>
      <c r="B9677" s="56" t="b">
        <v>0</v>
      </c>
      <c r="C9677" s="56" t="b">
        <v>0</v>
      </c>
      <c r="D9677" s="56" t="b">
        <v>0</v>
      </c>
      <c r="E9677" s="56">
        <f ca="1">IF(PV[[#This Row],[Business Date]]=Control!$C$6, PV[[#This Row],[Notional Value Local Cur]], -PV[[#This Row],[Notional Value Local Cur]])</f>
        <v>0</v>
      </c>
    </row>
    <row r="9678" spans="1:5" x14ac:dyDescent="0.25">
      <c r="A9678" s="36" t="b">
        <v>0</v>
      </c>
      <c r="B9678" s="56" t="b">
        <v>0</v>
      </c>
      <c r="C9678" s="56" t="b">
        <v>0</v>
      </c>
      <c r="D9678" s="56" t="b">
        <v>0</v>
      </c>
      <c r="E9678" s="56">
        <f ca="1">IF(PV[[#This Row],[Business Date]]=Control!$C$6, PV[[#This Row],[Notional Value Local Cur]], -PV[[#This Row],[Notional Value Local Cur]])</f>
        <v>0</v>
      </c>
    </row>
    <row r="9679" spans="1:5" x14ac:dyDescent="0.25">
      <c r="A9679" s="36" t="b">
        <v>0</v>
      </c>
      <c r="B9679" s="56" t="b">
        <v>0</v>
      </c>
      <c r="C9679" s="56" t="b">
        <v>0</v>
      </c>
      <c r="D9679" s="56" t="b">
        <v>0</v>
      </c>
      <c r="E9679" s="56">
        <f ca="1">IF(PV[[#This Row],[Business Date]]=Control!$C$6, PV[[#This Row],[Notional Value Local Cur]], -PV[[#This Row],[Notional Value Local Cur]])</f>
        <v>0</v>
      </c>
    </row>
    <row r="9680" spans="1:5" x14ac:dyDescent="0.25">
      <c r="A9680" s="36" t="b">
        <v>0</v>
      </c>
      <c r="B9680" s="56" t="b">
        <v>0</v>
      </c>
      <c r="C9680" s="56" t="b">
        <v>0</v>
      </c>
      <c r="D9680" s="56" t="b">
        <v>0</v>
      </c>
      <c r="E9680" s="56">
        <f ca="1">IF(PV[[#This Row],[Business Date]]=Control!$C$6, PV[[#This Row],[Notional Value Local Cur]], -PV[[#This Row],[Notional Value Local Cur]])</f>
        <v>0</v>
      </c>
    </row>
    <row r="9681" spans="1:5" x14ac:dyDescent="0.25">
      <c r="A9681" s="36" t="b">
        <v>0</v>
      </c>
      <c r="B9681" s="56" t="b">
        <v>0</v>
      </c>
      <c r="C9681" s="56" t="b">
        <v>0</v>
      </c>
      <c r="D9681" s="56" t="b">
        <v>0</v>
      </c>
      <c r="E9681" s="56">
        <f ca="1">IF(PV[[#This Row],[Business Date]]=Control!$C$6, PV[[#This Row],[Notional Value Local Cur]], -PV[[#This Row],[Notional Value Local Cur]])</f>
        <v>0</v>
      </c>
    </row>
    <row r="9682" spans="1:5" x14ac:dyDescent="0.25">
      <c r="A9682" s="36" t="b">
        <v>0</v>
      </c>
      <c r="B9682" s="56" t="b">
        <v>0</v>
      </c>
      <c r="C9682" s="56" t="b">
        <v>0</v>
      </c>
      <c r="D9682" s="56" t="b">
        <v>0</v>
      </c>
      <c r="E9682" s="56">
        <f ca="1">IF(PV[[#This Row],[Business Date]]=Control!$C$6, PV[[#This Row],[Notional Value Local Cur]], -PV[[#This Row],[Notional Value Local Cur]])</f>
        <v>0</v>
      </c>
    </row>
    <row r="9683" spans="1:5" x14ac:dyDescent="0.25">
      <c r="A9683" s="36" t="b">
        <v>0</v>
      </c>
      <c r="B9683" s="56" t="b">
        <v>0</v>
      </c>
      <c r="C9683" s="56" t="b">
        <v>0</v>
      </c>
      <c r="D9683" s="56" t="b">
        <v>0</v>
      </c>
      <c r="E9683" s="56">
        <f ca="1">IF(PV[[#This Row],[Business Date]]=Control!$C$6, PV[[#This Row],[Notional Value Local Cur]], -PV[[#This Row],[Notional Value Local Cur]])</f>
        <v>0</v>
      </c>
    </row>
    <row r="9684" spans="1:5" x14ac:dyDescent="0.25">
      <c r="A9684" s="36" t="b">
        <v>0</v>
      </c>
      <c r="B9684" s="56" t="b">
        <v>0</v>
      </c>
      <c r="C9684" s="56" t="b">
        <v>0</v>
      </c>
      <c r="D9684" s="56" t="b">
        <v>0</v>
      </c>
      <c r="E9684" s="56">
        <f ca="1">IF(PV[[#This Row],[Business Date]]=Control!$C$6, PV[[#This Row],[Notional Value Local Cur]], -PV[[#This Row],[Notional Value Local Cur]])</f>
        <v>0</v>
      </c>
    </row>
    <row r="9685" spans="1:5" x14ac:dyDescent="0.25">
      <c r="A9685" s="36" t="b">
        <v>0</v>
      </c>
      <c r="B9685" s="56" t="b">
        <v>0</v>
      </c>
      <c r="C9685" s="56" t="b">
        <v>0</v>
      </c>
      <c r="D9685" s="56" t="b">
        <v>0</v>
      </c>
      <c r="E9685" s="56">
        <f ca="1">IF(PV[[#This Row],[Business Date]]=Control!$C$6, PV[[#This Row],[Notional Value Local Cur]], -PV[[#This Row],[Notional Value Local Cur]])</f>
        <v>0</v>
      </c>
    </row>
    <row r="9686" spans="1:5" x14ac:dyDescent="0.25">
      <c r="A9686" s="36" t="b">
        <v>0</v>
      </c>
      <c r="B9686" s="56" t="b">
        <v>0</v>
      </c>
      <c r="C9686" s="56" t="b">
        <v>0</v>
      </c>
      <c r="D9686" s="56" t="b">
        <v>0</v>
      </c>
      <c r="E9686" s="56">
        <f ca="1">IF(PV[[#This Row],[Business Date]]=Control!$C$6, PV[[#This Row],[Notional Value Local Cur]], -PV[[#This Row],[Notional Value Local Cur]])</f>
        <v>0</v>
      </c>
    </row>
    <row r="9687" spans="1:5" x14ac:dyDescent="0.25">
      <c r="A9687" s="36" t="b">
        <v>0</v>
      </c>
      <c r="B9687" s="56" t="b">
        <v>0</v>
      </c>
      <c r="C9687" s="56" t="b">
        <v>0</v>
      </c>
      <c r="D9687" s="56" t="b">
        <v>0</v>
      </c>
      <c r="E9687" s="56">
        <f ca="1">IF(PV[[#This Row],[Business Date]]=Control!$C$6, PV[[#This Row],[Notional Value Local Cur]], -PV[[#This Row],[Notional Value Local Cur]])</f>
        <v>0</v>
      </c>
    </row>
    <row r="9688" spans="1:5" x14ac:dyDescent="0.25">
      <c r="A9688" s="36" t="b">
        <v>0</v>
      </c>
      <c r="B9688" s="56" t="b">
        <v>0</v>
      </c>
      <c r="C9688" s="56" t="b">
        <v>0</v>
      </c>
      <c r="D9688" s="56" t="b">
        <v>0</v>
      </c>
      <c r="E9688" s="56">
        <f ca="1">IF(PV[[#This Row],[Business Date]]=Control!$C$6, PV[[#This Row],[Notional Value Local Cur]], -PV[[#This Row],[Notional Value Local Cur]])</f>
        <v>0</v>
      </c>
    </row>
    <row r="9689" spans="1:5" x14ac:dyDescent="0.25">
      <c r="A9689" s="36" t="b">
        <v>0</v>
      </c>
      <c r="B9689" s="56" t="b">
        <v>0</v>
      </c>
      <c r="C9689" s="56" t="b">
        <v>0</v>
      </c>
      <c r="D9689" s="56" t="b">
        <v>0</v>
      </c>
      <c r="E9689" s="56">
        <f ca="1">IF(PV[[#This Row],[Business Date]]=Control!$C$6, PV[[#This Row],[Notional Value Local Cur]], -PV[[#This Row],[Notional Value Local Cur]])</f>
        <v>0</v>
      </c>
    </row>
    <row r="9690" spans="1:5" x14ac:dyDescent="0.25">
      <c r="A9690" s="36" t="b">
        <v>0</v>
      </c>
      <c r="B9690" s="56" t="b">
        <v>0</v>
      </c>
      <c r="C9690" s="56" t="b">
        <v>0</v>
      </c>
      <c r="D9690" s="56" t="b">
        <v>0</v>
      </c>
      <c r="E9690" s="56">
        <f ca="1">IF(PV[[#This Row],[Business Date]]=Control!$C$6, PV[[#This Row],[Notional Value Local Cur]], -PV[[#This Row],[Notional Value Local Cur]])</f>
        <v>0</v>
      </c>
    </row>
    <row r="9691" spans="1:5" x14ac:dyDescent="0.25">
      <c r="A9691" s="36" t="b">
        <v>0</v>
      </c>
      <c r="B9691" s="56" t="b">
        <v>0</v>
      </c>
      <c r="C9691" s="56" t="b">
        <v>0</v>
      </c>
      <c r="D9691" s="56" t="b">
        <v>0</v>
      </c>
      <c r="E9691" s="56">
        <f ca="1">IF(PV[[#This Row],[Business Date]]=Control!$C$6, PV[[#This Row],[Notional Value Local Cur]], -PV[[#This Row],[Notional Value Local Cur]])</f>
        <v>0</v>
      </c>
    </row>
    <row r="9692" spans="1:5" x14ac:dyDescent="0.25">
      <c r="A9692" s="36" t="b">
        <v>0</v>
      </c>
      <c r="B9692" s="56" t="b">
        <v>0</v>
      </c>
      <c r="C9692" s="56" t="b">
        <v>0</v>
      </c>
      <c r="D9692" s="56" t="b">
        <v>0</v>
      </c>
      <c r="E9692" s="56">
        <f ca="1">IF(PV[[#This Row],[Business Date]]=Control!$C$6, PV[[#This Row],[Notional Value Local Cur]], -PV[[#This Row],[Notional Value Local Cur]])</f>
        <v>0</v>
      </c>
    </row>
    <row r="9693" spans="1:5" x14ac:dyDescent="0.25">
      <c r="A9693" s="36" t="b">
        <v>0</v>
      </c>
      <c r="B9693" s="56" t="b">
        <v>0</v>
      </c>
      <c r="C9693" s="56" t="b">
        <v>0</v>
      </c>
      <c r="D9693" s="56" t="b">
        <v>0</v>
      </c>
      <c r="E9693" s="56">
        <f ca="1">IF(PV[[#This Row],[Business Date]]=Control!$C$6, PV[[#This Row],[Notional Value Local Cur]], -PV[[#This Row],[Notional Value Local Cur]])</f>
        <v>0</v>
      </c>
    </row>
    <row r="9694" spans="1:5" x14ac:dyDescent="0.25">
      <c r="A9694" s="36" t="b">
        <v>0</v>
      </c>
      <c r="B9694" s="56" t="b">
        <v>0</v>
      </c>
      <c r="C9694" s="56" t="b">
        <v>0</v>
      </c>
      <c r="D9694" s="56" t="b">
        <v>0</v>
      </c>
      <c r="E9694" s="56">
        <f ca="1">IF(PV[[#This Row],[Business Date]]=Control!$C$6, PV[[#This Row],[Notional Value Local Cur]], -PV[[#This Row],[Notional Value Local Cur]])</f>
        <v>0</v>
      </c>
    </row>
    <row r="9695" spans="1:5" x14ac:dyDescent="0.25">
      <c r="A9695" s="36" t="b">
        <v>0</v>
      </c>
      <c r="B9695" s="56" t="b">
        <v>0</v>
      </c>
      <c r="C9695" s="56" t="b">
        <v>0</v>
      </c>
      <c r="D9695" s="56" t="b">
        <v>0</v>
      </c>
      <c r="E9695" s="56">
        <f ca="1">IF(PV[[#This Row],[Business Date]]=Control!$C$6, PV[[#This Row],[Notional Value Local Cur]], -PV[[#This Row],[Notional Value Local Cur]])</f>
        <v>0</v>
      </c>
    </row>
    <row r="9696" spans="1:5" x14ac:dyDescent="0.25">
      <c r="A9696" s="36" t="b">
        <v>0</v>
      </c>
      <c r="B9696" s="56" t="b">
        <v>0</v>
      </c>
      <c r="C9696" s="56" t="b">
        <v>0</v>
      </c>
      <c r="D9696" s="56" t="b">
        <v>0</v>
      </c>
      <c r="E9696" s="56">
        <f ca="1">IF(PV[[#This Row],[Business Date]]=Control!$C$6, PV[[#This Row],[Notional Value Local Cur]], -PV[[#This Row],[Notional Value Local Cur]])</f>
        <v>0</v>
      </c>
    </row>
    <row r="9697" spans="1:5" x14ac:dyDescent="0.25">
      <c r="A9697" s="36" t="b">
        <v>0</v>
      </c>
      <c r="B9697" s="56" t="b">
        <v>0</v>
      </c>
      <c r="C9697" s="56" t="b">
        <v>0</v>
      </c>
      <c r="D9697" s="56" t="b">
        <v>0</v>
      </c>
      <c r="E9697" s="56">
        <f ca="1">IF(PV[[#This Row],[Business Date]]=Control!$C$6, PV[[#This Row],[Notional Value Local Cur]], -PV[[#This Row],[Notional Value Local Cur]])</f>
        <v>0</v>
      </c>
    </row>
    <row r="9698" spans="1:5" x14ac:dyDescent="0.25">
      <c r="A9698" s="36" t="b">
        <v>0</v>
      </c>
      <c r="B9698" s="56" t="b">
        <v>0</v>
      </c>
      <c r="C9698" s="56" t="b">
        <v>0</v>
      </c>
      <c r="D9698" s="56" t="b">
        <v>0</v>
      </c>
      <c r="E9698" s="56">
        <f ca="1">IF(PV[[#This Row],[Business Date]]=Control!$C$6, PV[[#This Row],[Notional Value Local Cur]], -PV[[#This Row],[Notional Value Local Cur]])</f>
        <v>0</v>
      </c>
    </row>
    <row r="9699" spans="1:5" x14ac:dyDescent="0.25">
      <c r="A9699" s="36" t="b">
        <v>0</v>
      </c>
      <c r="B9699" s="56" t="b">
        <v>0</v>
      </c>
      <c r="C9699" s="56" t="b">
        <v>0</v>
      </c>
      <c r="D9699" s="56" t="b">
        <v>0</v>
      </c>
      <c r="E9699" s="56">
        <f ca="1">IF(PV[[#This Row],[Business Date]]=Control!$C$6, PV[[#This Row],[Notional Value Local Cur]], -PV[[#This Row],[Notional Value Local Cur]])</f>
        <v>0</v>
      </c>
    </row>
    <row r="9700" spans="1:5" x14ac:dyDescent="0.25">
      <c r="A9700" s="36" t="b">
        <v>0</v>
      </c>
      <c r="B9700" s="56" t="b">
        <v>0</v>
      </c>
      <c r="C9700" s="56" t="b">
        <v>0</v>
      </c>
      <c r="D9700" s="56" t="b">
        <v>0</v>
      </c>
      <c r="E9700" s="56">
        <f ca="1">IF(PV[[#This Row],[Business Date]]=Control!$C$6, PV[[#This Row],[Notional Value Local Cur]], -PV[[#This Row],[Notional Value Local Cur]])</f>
        <v>0</v>
      </c>
    </row>
    <row r="9701" spans="1:5" x14ac:dyDescent="0.25">
      <c r="A9701" s="36" t="b">
        <v>0</v>
      </c>
      <c r="B9701" s="56" t="b">
        <v>0</v>
      </c>
      <c r="C9701" s="56" t="b">
        <v>0</v>
      </c>
      <c r="D9701" s="56" t="b">
        <v>0</v>
      </c>
      <c r="E9701" s="56">
        <f ca="1">IF(PV[[#This Row],[Business Date]]=Control!$C$6, PV[[#This Row],[Notional Value Local Cur]], -PV[[#This Row],[Notional Value Local Cur]])</f>
        <v>0</v>
      </c>
    </row>
    <row r="9702" spans="1:5" x14ac:dyDescent="0.25">
      <c r="A9702" s="36" t="b">
        <v>0</v>
      </c>
      <c r="B9702" s="56" t="b">
        <v>0</v>
      </c>
      <c r="C9702" s="56" t="b">
        <v>0</v>
      </c>
      <c r="D9702" s="56" t="b">
        <v>0</v>
      </c>
      <c r="E9702" s="56">
        <f ca="1">IF(PV[[#This Row],[Business Date]]=Control!$C$6, PV[[#This Row],[Notional Value Local Cur]], -PV[[#This Row],[Notional Value Local Cur]])</f>
        <v>0</v>
      </c>
    </row>
    <row r="9703" spans="1:5" x14ac:dyDescent="0.25">
      <c r="A9703" s="36" t="b">
        <v>0</v>
      </c>
      <c r="B9703" s="56" t="b">
        <v>0</v>
      </c>
      <c r="C9703" s="56" t="b">
        <v>0</v>
      </c>
      <c r="D9703" s="56" t="b">
        <v>0</v>
      </c>
      <c r="E9703" s="56">
        <f ca="1">IF(PV[[#This Row],[Business Date]]=Control!$C$6, PV[[#This Row],[Notional Value Local Cur]], -PV[[#This Row],[Notional Value Local Cur]])</f>
        <v>0</v>
      </c>
    </row>
    <row r="9704" spans="1:5" x14ac:dyDescent="0.25">
      <c r="A9704" s="36" t="b">
        <v>0</v>
      </c>
      <c r="B9704" s="56" t="b">
        <v>0</v>
      </c>
      <c r="C9704" s="56" t="b">
        <v>0</v>
      </c>
      <c r="D9704" s="56" t="b">
        <v>0</v>
      </c>
      <c r="E9704" s="56">
        <f ca="1">IF(PV[[#This Row],[Business Date]]=Control!$C$6, PV[[#This Row],[Notional Value Local Cur]], -PV[[#This Row],[Notional Value Local Cur]])</f>
        <v>0</v>
      </c>
    </row>
    <row r="9705" spans="1:5" x14ac:dyDescent="0.25">
      <c r="A9705" s="36" t="b">
        <v>0</v>
      </c>
      <c r="B9705" s="56" t="b">
        <v>0</v>
      </c>
      <c r="C9705" s="56" t="b">
        <v>0</v>
      </c>
      <c r="D9705" s="56" t="b">
        <v>0</v>
      </c>
      <c r="E9705" s="56">
        <f ca="1">IF(PV[[#This Row],[Business Date]]=Control!$C$6, PV[[#This Row],[Notional Value Local Cur]], -PV[[#This Row],[Notional Value Local Cur]])</f>
        <v>0</v>
      </c>
    </row>
    <row r="9706" spans="1:5" x14ac:dyDescent="0.25">
      <c r="A9706" s="36" t="b">
        <v>0</v>
      </c>
      <c r="B9706" s="56" t="b">
        <v>0</v>
      </c>
      <c r="C9706" s="56" t="b">
        <v>0</v>
      </c>
      <c r="D9706" s="56" t="b">
        <v>0</v>
      </c>
      <c r="E9706" s="56">
        <f ca="1">IF(PV[[#This Row],[Business Date]]=Control!$C$6, PV[[#This Row],[Notional Value Local Cur]], -PV[[#This Row],[Notional Value Local Cur]])</f>
        <v>0</v>
      </c>
    </row>
    <row r="9707" spans="1:5" x14ac:dyDescent="0.25">
      <c r="A9707" s="36" t="b">
        <v>0</v>
      </c>
      <c r="B9707" s="56" t="b">
        <v>0</v>
      </c>
      <c r="C9707" s="56" t="b">
        <v>0</v>
      </c>
      <c r="D9707" s="56" t="b">
        <v>0</v>
      </c>
      <c r="E9707" s="56">
        <f ca="1">IF(PV[[#This Row],[Business Date]]=Control!$C$6, PV[[#This Row],[Notional Value Local Cur]], -PV[[#This Row],[Notional Value Local Cur]])</f>
        <v>0</v>
      </c>
    </row>
    <row r="9708" spans="1:5" x14ac:dyDescent="0.25">
      <c r="A9708" s="36" t="b">
        <v>0</v>
      </c>
      <c r="B9708" s="56" t="b">
        <v>0</v>
      </c>
      <c r="C9708" s="56" t="b">
        <v>0</v>
      </c>
      <c r="D9708" s="56" t="b">
        <v>0</v>
      </c>
      <c r="E9708" s="56">
        <f ca="1">IF(PV[[#This Row],[Business Date]]=Control!$C$6, PV[[#This Row],[Notional Value Local Cur]], -PV[[#This Row],[Notional Value Local Cur]])</f>
        <v>0</v>
      </c>
    </row>
    <row r="9709" spans="1:5" x14ac:dyDescent="0.25">
      <c r="A9709" s="36" t="b">
        <v>0</v>
      </c>
      <c r="B9709" s="56" t="b">
        <v>0</v>
      </c>
      <c r="C9709" s="56" t="b">
        <v>0</v>
      </c>
      <c r="D9709" s="56" t="b">
        <v>0</v>
      </c>
      <c r="E9709" s="56">
        <f ca="1">IF(PV[[#This Row],[Business Date]]=Control!$C$6, PV[[#This Row],[Notional Value Local Cur]], -PV[[#This Row],[Notional Value Local Cur]])</f>
        <v>0</v>
      </c>
    </row>
    <row r="9710" spans="1:5" x14ac:dyDescent="0.25">
      <c r="A9710" s="36" t="b">
        <v>0</v>
      </c>
      <c r="B9710" s="56" t="b">
        <v>0</v>
      </c>
      <c r="C9710" s="56" t="b">
        <v>0</v>
      </c>
      <c r="D9710" s="56" t="b">
        <v>0</v>
      </c>
      <c r="E9710" s="56">
        <f ca="1">IF(PV[[#This Row],[Business Date]]=Control!$C$6, PV[[#This Row],[Notional Value Local Cur]], -PV[[#This Row],[Notional Value Local Cur]])</f>
        <v>0</v>
      </c>
    </row>
    <row r="9711" spans="1:5" x14ac:dyDescent="0.25">
      <c r="A9711" s="36" t="b">
        <v>0</v>
      </c>
      <c r="B9711" s="56" t="b">
        <v>0</v>
      </c>
      <c r="C9711" s="56" t="b">
        <v>0</v>
      </c>
      <c r="D9711" s="56" t="b">
        <v>0</v>
      </c>
      <c r="E9711" s="56">
        <f ca="1">IF(PV[[#This Row],[Business Date]]=Control!$C$6, PV[[#This Row],[Notional Value Local Cur]], -PV[[#This Row],[Notional Value Local Cur]])</f>
        <v>0</v>
      </c>
    </row>
    <row r="9712" spans="1:5" x14ac:dyDescent="0.25">
      <c r="A9712" s="36" t="b">
        <v>0</v>
      </c>
      <c r="B9712" s="56" t="b">
        <v>0</v>
      </c>
      <c r="C9712" s="56" t="b">
        <v>0</v>
      </c>
      <c r="D9712" s="56" t="b">
        <v>0</v>
      </c>
      <c r="E9712" s="56">
        <f ca="1">IF(PV[[#This Row],[Business Date]]=Control!$C$6, PV[[#This Row],[Notional Value Local Cur]], -PV[[#This Row],[Notional Value Local Cur]])</f>
        <v>0</v>
      </c>
    </row>
    <row r="9713" spans="1:5" x14ac:dyDescent="0.25">
      <c r="A9713" s="36" t="b">
        <v>0</v>
      </c>
      <c r="B9713" s="56" t="b">
        <v>0</v>
      </c>
      <c r="C9713" s="56" t="b">
        <v>0</v>
      </c>
      <c r="D9713" s="56" t="b">
        <v>0</v>
      </c>
      <c r="E9713" s="56">
        <f ca="1">IF(PV[[#This Row],[Business Date]]=Control!$C$6, PV[[#This Row],[Notional Value Local Cur]], -PV[[#This Row],[Notional Value Local Cur]])</f>
        <v>0</v>
      </c>
    </row>
    <row r="9714" spans="1:5" x14ac:dyDescent="0.25">
      <c r="A9714" s="36" t="b">
        <v>0</v>
      </c>
      <c r="B9714" s="56" t="b">
        <v>0</v>
      </c>
      <c r="C9714" s="56" t="b">
        <v>0</v>
      </c>
      <c r="D9714" s="56" t="b">
        <v>0</v>
      </c>
      <c r="E9714" s="56">
        <f ca="1">IF(PV[[#This Row],[Business Date]]=Control!$C$6, PV[[#This Row],[Notional Value Local Cur]], -PV[[#This Row],[Notional Value Local Cur]])</f>
        <v>0</v>
      </c>
    </row>
    <row r="9715" spans="1:5" x14ac:dyDescent="0.25">
      <c r="A9715" s="36" t="b">
        <v>0</v>
      </c>
      <c r="B9715" s="56" t="b">
        <v>0</v>
      </c>
      <c r="C9715" s="56" t="b">
        <v>0</v>
      </c>
      <c r="D9715" s="56" t="b">
        <v>0</v>
      </c>
      <c r="E9715" s="56">
        <f ca="1">IF(PV[[#This Row],[Business Date]]=Control!$C$6, PV[[#This Row],[Notional Value Local Cur]], -PV[[#This Row],[Notional Value Local Cur]])</f>
        <v>0</v>
      </c>
    </row>
    <row r="9716" spans="1:5" x14ac:dyDescent="0.25">
      <c r="A9716" s="36" t="b">
        <v>0</v>
      </c>
      <c r="B9716" s="56" t="b">
        <v>0</v>
      </c>
      <c r="C9716" s="56" t="b">
        <v>0</v>
      </c>
      <c r="D9716" s="56" t="b">
        <v>0</v>
      </c>
      <c r="E9716" s="56">
        <f ca="1">IF(PV[[#This Row],[Business Date]]=Control!$C$6, PV[[#This Row],[Notional Value Local Cur]], -PV[[#This Row],[Notional Value Local Cur]])</f>
        <v>0</v>
      </c>
    </row>
    <row r="9717" spans="1:5" x14ac:dyDescent="0.25">
      <c r="A9717" s="36" t="b">
        <v>0</v>
      </c>
      <c r="B9717" s="56" t="b">
        <v>0</v>
      </c>
      <c r="C9717" s="56" t="b">
        <v>0</v>
      </c>
      <c r="D9717" s="56" t="b">
        <v>0</v>
      </c>
      <c r="E9717" s="56">
        <f ca="1">IF(PV[[#This Row],[Business Date]]=Control!$C$6, PV[[#This Row],[Notional Value Local Cur]], -PV[[#This Row],[Notional Value Local Cur]])</f>
        <v>0</v>
      </c>
    </row>
    <row r="9718" spans="1:5" x14ac:dyDescent="0.25">
      <c r="A9718" s="36" t="b">
        <v>0</v>
      </c>
      <c r="B9718" s="56" t="b">
        <v>0</v>
      </c>
      <c r="C9718" s="56" t="b">
        <v>0</v>
      </c>
      <c r="D9718" s="56" t="b">
        <v>0</v>
      </c>
      <c r="E9718" s="56">
        <f ca="1">IF(PV[[#This Row],[Business Date]]=Control!$C$6, PV[[#This Row],[Notional Value Local Cur]], -PV[[#This Row],[Notional Value Local Cur]])</f>
        <v>0</v>
      </c>
    </row>
    <row r="9719" spans="1:5" x14ac:dyDescent="0.25">
      <c r="A9719" s="36" t="b">
        <v>0</v>
      </c>
      <c r="B9719" s="56" t="b">
        <v>0</v>
      </c>
      <c r="C9719" s="56" t="b">
        <v>0</v>
      </c>
      <c r="D9719" s="56" t="b">
        <v>0</v>
      </c>
      <c r="E9719" s="56">
        <f ca="1">IF(PV[[#This Row],[Business Date]]=Control!$C$6, PV[[#This Row],[Notional Value Local Cur]], -PV[[#This Row],[Notional Value Local Cur]])</f>
        <v>0</v>
      </c>
    </row>
    <row r="9720" spans="1:5" x14ac:dyDescent="0.25">
      <c r="A9720" s="36" t="b">
        <v>0</v>
      </c>
      <c r="B9720" s="56" t="b">
        <v>0</v>
      </c>
      <c r="C9720" s="56" t="b">
        <v>0</v>
      </c>
      <c r="D9720" s="56" t="b">
        <v>0</v>
      </c>
      <c r="E9720" s="56">
        <f ca="1">IF(PV[[#This Row],[Business Date]]=Control!$C$6, PV[[#This Row],[Notional Value Local Cur]], -PV[[#This Row],[Notional Value Local Cur]])</f>
        <v>0</v>
      </c>
    </row>
    <row r="9721" spans="1:5" x14ac:dyDescent="0.25">
      <c r="A9721" s="36" t="b">
        <v>0</v>
      </c>
      <c r="B9721" s="56" t="b">
        <v>0</v>
      </c>
      <c r="C9721" s="56" t="b">
        <v>0</v>
      </c>
      <c r="D9721" s="56" t="b">
        <v>0</v>
      </c>
      <c r="E9721" s="56">
        <f ca="1">IF(PV[[#This Row],[Business Date]]=Control!$C$6, PV[[#This Row],[Notional Value Local Cur]], -PV[[#This Row],[Notional Value Local Cur]])</f>
        <v>0</v>
      </c>
    </row>
    <row r="9722" spans="1:5" x14ac:dyDescent="0.25">
      <c r="A9722" s="36" t="b">
        <v>0</v>
      </c>
      <c r="B9722" s="56" t="b">
        <v>0</v>
      </c>
      <c r="C9722" s="56" t="b">
        <v>0</v>
      </c>
      <c r="D9722" s="56" t="b">
        <v>0</v>
      </c>
      <c r="E9722" s="56">
        <f ca="1">IF(PV[[#This Row],[Business Date]]=Control!$C$6, PV[[#This Row],[Notional Value Local Cur]], -PV[[#This Row],[Notional Value Local Cur]])</f>
        <v>0</v>
      </c>
    </row>
    <row r="9723" spans="1:5" x14ac:dyDescent="0.25">
      <c r="A9723" s="36" t="b">
        <v>0</v>
      </c>
      <c r="B9723" s="56" t="b">
        <v>0</v>
      </c>
      <c r="C9723" s="56" t="b">
        <v>0</v>
      </c>
      <c r="D9723" s="56" t="b">
        <v>0</v>
      </c>
      <c r="E9723" s="56">
        <f ca="1">IF(PV[[#This Row],[Business Date]]=Control!$C$6, PV[[#This Row],[Notional Value Local Cur]], -PV[[#This Row],[Notional Value Local Cur]])</f>
        <v>0</v>
      </c>
    </row>
    <row r="9724" spans="1:5" x14ac:dyDescent="0.25">
      <c r="A9724" s="36" t="b">
        <v>0</v>
      </c>
      <c r="B9724" s="56" t="b">
        <v>0</v>
      </c>
      <c r="C9724" s="56" t="b">
        <v>0</v>
      </c>
      <c r="D9724" s="56" t="b">
        <v>0</v>
      </c>
      <c r="E9724" s="56">
        <f ca="1">IF(PV[[#This Row],[Business Date]]=Control!$C$6, PV[[#This Row],[Notional Value Local Cur]], -PV[[#This Row],[Notional Value Local Cur]])</f>
        <v>0</v>
      </c>
    </row>
    <row r="9725" spans="1:5" x14ac:dyDescent="0.25">
      <c r="A9725" s="36" t="b">
        <v>0</v>
      </c>
      <c r="B9725" s="56" t="b">
        <v>0</v>
      </c>
      <c r="C9725" s="56" t="b">
        <v>0</v>
      </c>
      <c r="D9725" s="56" t="b">
        <v>0</v>
      </c>
      <c r="E9725" s="56">
        <f ca="1">IF(PV[[#This Row],[Business Date]]=Control!$C$6, PV[[#This Row],[Notional Value Local Cur]], -PV[[#This Row],[Notional Value Local Cur]])</f>
        <v>0</v>
      </c>
    </row>
    <row r="9726" spans="1:5" x14ac:dyDescent="0.25">
      <c r="A9726" s="36" t="b">
        <v>0</v>
      </c>
      <c r="B9726" s="56" t="b">
        <v>0</v>
      </c>
      <c r="C9726" s="56" t="b">
        <v>0</v>
      </c>
      <c r="D9726" s="56" t="b">
        <v>0</v>
      </c>
      <c r="E9726" s="56">
        <f ca="1">IF(PV[[#This Row],[Business Date]]=Control!$C$6, PV[[#This Row],[Notional Value Local Cur]], -PV[[#This Row],[Notional Value Local Cur]])</f>
        <v>0</v>
      </c>
    </row>
    <row r="9727" spans="1:5" x14ac:dyDescent="0.25">
      <c r="A9727" s="36" t="b">
        <v>0</v>
      </c>
      <c r="B9727" s="56" t="b">
        <v>0</v>
      </c>
      <c r="C9727" s="56" t="b">
        <v>0</v>
      </c>
      <c r="D9727" s="56" t="b">
        <v>0</v>
      </c>
      <c r="E9727" s="56">
        <f ca="1">IF(PV[[#This Row],[Business Date]]=Control!$C$6, PV[[#This Row],[Notional Value Local Cur]], -PV[[#This Row],[Notional Value Local Cur]])</f>
        <v>0</v>
      </c>
    </row>
    <row r="9728" spans="1:5" x14ac:dyDescent="0.25">
      <c r="A9728" s="36" t="b">
        <v>0</v>
      </c>
      <c r="B9728" s="56" t="b">
        <v>0</v>
      </c>
      <c r="C9728" s="56" t="b">
        <v>0</v>
      </c>
      <c r="D9728" s="56" t="b">
        <v>0</v>
      </c>
      <c r="E9728" s="56">
        <f ca="1">IF(PV[[#This Row],[Business Date]]=Control!$C$6, PV[[#This Row],[Notional Value Local Cur]], -PV[[#This Row],[Notional Value Local Cur]])</f>
        <v>0</v>
      </c>
    </row>
    <row r="9729" spans="1:5" x14ac:dyDescent="0.25">
      <c r="A9729" s="36" t="b">
        <v>0</v>
      </c>
      <c r="B9729" s="56" t="b">
        <v>0</v>
      </c>
      <c r="C9729" s="56" t="b">
        <v>0</v>
      </c>
      <c r="D9729" s="56" t="b">
        <v>0</v>
      </c>
      <c r="E9729" s="56">
        <f ca="1">IF(PV[[#This Row],[Business Date]]=Control!$C$6, PV[[#This Row],[Notional Value Local Cur]], -PV[[#This Row],[Notional Value Local Cur]])</f>
        <v>0</v>
      </c>
    </row>
    <row r="9730" spans="1:5" x14ac:dyDescent="0.25">
      <c r="A9730" s="36" t="b">
        <v>0</v>
      </c>
      <c r="B9730" s="56" t="b">
        <v>0</v>
      </c>
      <c r="C9730" s="56" t="b">
        <v>0</v>
      </c>
      <c r="D9730" s="56" t="b">
        <v>0</v>
      </c>
      <c r="E9730" s="56">
        <f ca="1">IF(PV[[#This Row],[Business Date]]=Control!$C$6, PV[[#This Row],[Notional Value Local Cur]], -PV[[#This Row],[Notional Value Local Cur]])</f>
        <v>0</v>
      </c>
    </row>
    <row r="9731" spans="1:5" x14ac:dyDescent="0.25">
      <c r="A9731" s="36" t="b">
        <v>0</v>
      </c>
      <c r="B9731" s="56" t="b">
        <v>0</v>
      </c>
      <c r="C9731" s="56" t="b">
        <v>0</v>
      </c>
      <c r="D9731" s="56" t="b">
        <v>0</v>
      </c>
      <c r="E9731" s="56">
        <f ca="1">IF(PV[[#This Row],[Business Date]]=Control!$C$6, PV[[#This Row],[Notional Value Local Cur]], -PV[[#This Row],[Notional Value Local Cur]])</f>
        <v>0</v>
      </c>
    </row>
    <row r="9732" spans="1:5" x14ac:dyDescent="0.25">
      <c r="A9732" s="36" t="b">
        <v>0</v>
      </c>
      <c r="B9732" s="56" t="b">
        <v>0</v>
      </c>
      <c r="C9732" s="56" t="b">
        <v>0</v>
      </c>
      <c r="D9732" s="56" t="b">
        <v>0</v>
      </c>
      <c r="E9732" s="56">
        <f ca="1">IF(PV[[#This Row],[Business Date]]=Control!$C$6, PV[[#This Row],[Notional Value Local Cur]], -PV[[#This Row],[Notional Value Local Cur]])</f>
        <v>0</v>
      </c>
    </row>
    <row r="9733" spans="1:5" x14ac:dyDescent="0.25">
      <c r="A9733" s="36" t="b">
        <v>0</v>
      </c>
      <c r="B9733" s="56" t="b">
        <v>0</v>
      </c>
      <c r="C9733" s="56" t="b">
        <v>0</v>
      </c>
      <c r="D9733" s="56" t="b">
        <v>0</v>
      </c>
      <c r="E9733" s="56">
        <f ca="1">IF(PV[[#This Row],[Business Date]]=Control!$C$6, PV[[#This Row],[Notional Value Local Cur]], -PV[[#This Row],[Notional Value Local Cur]])</f>
        <v>0</v>
      </c>
    </row>
    <row r="9734" spans="1:5" x14ac:dyDescent="0.25">
      <c r="A9734" s="36" t="b">
        <v>0</v>
      </c>
      <c r="B9734" s="56" t="b">
        <v>0</v>
      </c>
      <c r="C9734" s="56" t="b">
        <v>0</v>
      </c>
      <c r="D9734" s="56" t="b">
        <v>0</v>
      </c>
      <c r="E9734" s="56">
        <f ca="1">IF(PV[[#This Row],[Business Date]]=Control!$C$6, PV[[#This Row],[Notional Value Local Cur]], -PV[[#This Row],[Notional Value Local Cur]])</f>
        <v>0</v>
      </c>
    </row>
    <row r="9735" spans="1:5" x14ac:dyDescent="0.25">
      <c r="A9735" s="36" t="b">
        <v>0</v>
      </c>
      <c r="B9735" s="56" t="b">
        <v>0</v>
      </c>
      <c r="C9735" s="56" t="b">
        <v>0</v>
      </c>
      <c r="D9735" s="56" t="b">
        <v>0</v>
      </c>
      <c r="E9735" s="56">
        <f ca="1">IF(PV[[#This Row],[Business Date]]=Control!$C$6, PV[[#This Row],[Notional Value Local Cur]], -PV[[#This Row],[Notional Value Local Cur]])</f>
        <v>0</v>
      </c>
    </row>
    <row r="9736" spans="1:5" x14ac:dyDescent="0.25">
      <c r="A9736" s="36" t="b">
        <v>0</v>
      </c>
      <c r="B9736" s="56" t="b">
        <v>0</v>
      </c>
      <c r="C9736" s="56" t="b">
        <v>0</v>
      </c>
      <c r="D9736" s="56" t="b">
        <v>0</v>
      </c>
      <c r="E9736" s="56">
        <f ca="1">IF(PV[[#This Row],[Business Date]]=Control!$C$6, PV[[#This Row],[Notional Value Local Cur]], -PV[[#This Row],[Notional Value Local Cur]])</f>
        <v>0</v>
      </c>
    </row>
    <row r="9737" spans="1:5" x14ac:dyDescent="0.25">
      <c r="A9737" s="36" t="b">
        <v>0</v>
      </c>
      <c r="B9737" s="56" t="b">
        <v>0</v>
      </c>
      <c r="C9737" s="56" t="b">
        <v>0</v>
      </c>
      <c r="D9737" s="56" t="b">
        <v>0</v>
      </c>
      <c r="E9737" s="56">
        <f ca="1">IF(PV[[#This Row],[Business Date]]=Control!$C$6, PV[[#This Row],[Notional Value Local Cur]], -PV[[#This Row],[Notional Value Local Cur]])</f>
        <v>0</v>
      </c>
    </row>
    <row r="9738" spans="1:5" x14ac:dyDescent="0.25">
      <c r="A9738" s="36" t="b">
        <v>0</v>
      </c>
      <c r="B9738" s="56" t="b">
        <v>0</v>
      </c>
      <c r="C9738" s="56" t="b">
        <v>0</v>
      </c>
      <c r="D9738" s="56" t="b">
        <v>0</v>
      </c>
      <c r="E9738" s="56">
        <f ca="1">IF(PV[[#This Row],[Business Date]]=Control!$C$6, PV[[#This Row],[Notional Value Local Cur]], -PV[[#This Row],[Notional Value Local Cur]])</f>
        <v>0</v>
      </c>
    </row>
    <row r="9739" spans="1:5" x14ac:dyDescent="0.25">
      <c r="A9739" s="36" t="b">
        <v>0</v>
      </c>
      <c r="B9739" s="56" t="b">
        <v>0</v>
      </c>
      <c r="C9739" s="56" t="b">
        <v>0</v>
      </c>
      <c r="D9739" s="56" t="b">
        <v>0</v>
      </c>
      <c r="E9739" s="56">
        <f ca="1">IF(PV[[#This Row],[Business Date]]=Control!$C$6, PV[[#This Row],[Notional Value Local Cur]], -PV[[#This Row],[Notional Value Local Cur]])</f>
        <v>0</v>
      </c>
    </row>
    <row r="9740" spans="1:5" x14ac:dyDescent="0.25">
      <c r="A9740" s="36" t="b">
        <v>0</v>
      </c>
      <c r="B9740" s="56" t="b">
        <v>0</v>
      </c>
      <c r="C9740" s="56" t="b">
        <v>0</v>
      </c>
      <c r="D9740" s="56" t="b">
        <v>0</v>
      </c>
      <c r="E9740" s="56">
        <f ca="1">IF(PV[[#This Row],[Business Date]]=Control!$C$6, PV[[#This Row],[Notional Value Local Cur]], -PV[[#This Row],[Notional Value Local Cur]])</f>
        <v>0</v>
      </c>
    </row>
    <row r="9741" spans="1:5" x14ac:dyDescent="0.25">
      <c r="A9741" s="36" t="b">
        <v>0</v>
      </c>
      <c r="B9741" s="56" t="b">
        <v>0</v>
      </c>
      <c r="C9741" s="56" t="b">
        <v>0</v>
      </c>
      <c r="D9741" s="56" t="b">
        <v>0</v>
      </c>
      <c r="E9741" s="56">
        <f ca="1">IF(PV[[#This Row],[Business Date]]=Control!$C$6, PV[[#This Row],[Notional Value Local Cur]], -PV[[#This Row],[Notional Value Local Cur]])</f>
        <v>0</v>
      </c>
    </row>
    <row r="9742" spans="1:5" x14ac:dyDescent="0.25">
      <c r="A9742" s="36" t="b">
        <v>0</v>
      </c>
      <c r="B9742" s="56" t="b">
        <v>0</v>
      </c>
      <c r="C9742" s="56" t="b">
        <v>0</v>
      </c>
      <c r="D9742" s="56" t="b">
        <v>0</v>
      </c>
      <c r="E9742" s="56">
        <f ca="1">IF(PV[[#This Row],[Business Date]]=Control!$C$6, PV[[#This Row],[Notional Value Local Cur]], -PV[[#This Row],[Notional Value Local Cur]])</f>
        <v>0</v>
      </c>
    </row>
    <row r="9743" spans="1:5" x14ac:dyDescent="0.25">
      <c r="A9743" s="36" t="b">
        <v>0</v>
      </c>
      <c r="B9743" s="56" t="b">
        <v>0</v>
      </c>
      <c r="C9743" s="56" t="b">
        <v>0</v>
      </c>
      <c r="D9743" s="56" t="b">
        <v>0</v>
      </c>
      <c r="E9743" s="56">
        <f ca="1">IF(PV[[#This Row],[Business Date]]=Control!$C$6, PV[[#This Row],[Notional Value Local Cur]], -PV[[#This Row],[Notional Value Local Cur]])</f>
        <v>0</v>
      </c>
    </row>
    <row r="9744" spans="1:5" x14ac:dyDescent="0.25">
      <c r="A9744" s="36" t="b">
        <v>0</v>
      </c>
      <c r="B9744" s="56" t="b">
        <v>0</v>
      </c>
      <c r="C9744" s="56" t="b">
        <v>0</v>
      </c>
      <c r="D9744" s="56" t="b">
        <v>0</v>
      </c>
      <c r="E9744" s="56">
        <f ca="1">IF(PV[[#This Row],[Business Date]]=Control!$C$6, PV[[#This Row],[Notional Value Local Cur]], -PV[[#This Row],[Notional Value Local Cur]])</f>
        <v>0</v>
      </c>
    </row>
    <row r="9745" spans="1:5" x14ac:dyDescent="0.25">
      <c r="A9745" s="36" t="b">
        <v>0</v>
      </c>
      <c r="B9745" s="56" t="b">
        <v>0</v>
      </c>
      <c r="C9745" s="56" t="b">
        <v>0</v>
      </c>
      <c r="D9745" s="56" t="b">
        <v>0</v>
      </c>
      <c r="E9745" s="56">
        <f ca="1">IF(PV[[#This Row],[Business Date]]=Control!$C$6, PV[[#This Row],[Notional Value Local Cur]], -PV[[#This Row],[Notional Value Local Cur]])</f>
        <v>0</v>
      </c>
    </row>
    <row r="9746" spans="1:5" x14ac:dyDescent="0.25">
      <c r="A9746" s="36" t="b">
        <v>0</v>
      </c>
      <c r="B9746" s="56" t="b">
        <v>0</v>
      </c>
      <c r="C9746" s="56" t="b">
        <v>0</v>
      </c>
      <c r="D9746" s="56" t="b">
        <v>0</v>
      </c>
      <c r="E9746" s="56">
        <f ca="1">IF(PV[[#This Row],[Business Date]]=Control!$C$6, PV[[#This Row],[Notional Value Local Cur]], -PV[[#This Row],[Notional Value Local Cur]])</f>
        <v>0</v>
      </c>
    </row>
    <row r="9747" spans="1:5" x14ac:dyDescent="0.25">
      <c r="A9747" s="36" t="b">
        <v>0</v>
      </c>
      <c r="B9747" s="56" t="b">
        <v>0</v>
      </c>
      <c r="C9747" s="56" t="b">
        <v>0</v>
      </c>
      <c r="D9747" s="56" t="b">
        <v>0</v>
      </c>
      <c r="E9747" s="56">
        <f ca="1">IF(PV[[#This Row],[Business Date]]=Control!$C$6, PV[[#This Row],[Notional Value Local Cur]], -PV[[#This Row],[Notional Value Local Cur]])</f>
        <v>0</v>
      </c>
    </row>
    <row r="9748" spans="1:5" x14ac:dyDescent="0.25">
      <c r="A9748" s="36" t="b">
        <v>0</v>
      </c>
      <c r="B9748" s="56" t="b">
        <v>0</v>
      </c>
      <c r="C9748" s="56" t="b">
        <v>0</v>
      </c>
      <c r="D9748" s="56" t="b">
        <v>0</v>
      </c>
      <c r="E9748" s="56">
        <f ca="1">IF(PV[[#This Row],[Business Date]]=Control!$C$6, PV[[#This Row],[Notional Value Local Cur]], -PV[[#This Row],[Notional Value Local Cur]])</f>
        <v>0</v>
      </c>
    </row>
    <row r="9749" spans="1:5" x14ac:dyDescent="0.25">
      <c r="A9749" s="36" t="b">
        <v>0</v>
      </c>
      <c r="B9749" s="56" t="b">
        <v>0</v>
      </c>
      <c r="C9749" s="56" t="b">
        <v>0</v>
      </c>
      <c r="D9749" s="56" t="b">
        <v>0</v>
      </c>
      <c r="E9749" s="56">
        <f ca="1">IF(PV[[#This Row],[Business Date]]=Control!$C$6, PV[[#This Row],[Notional Value Local Cur]], -PV[[#This Row],[Notional Value Local Cur]])</f>
        <v>0</v>
      </c>
    </row>
    <row r="9750" spans="1:5" x14ac:dyDescent="0.25">
      <c r="A9750" s="36" t="b">
        <v>0</v>
      </c>
      <c r="B9750" s="56" t="b">
        <v>0</v>
      </c>
      <c r="C9750" s="56" t="b">
        <v>0</v>
      </c>
      <c r="D9750" s="56" t="b">
        <v>0</v>
      </c>
      <c r="E9750" s="56">
        <f ca="1">IF(PV[[#This Row],[Business Date]]=Control!$C$6, PV[[#This Row],[Notional Value Local Cur]], -PV[[#This Row],[Notional Value Local Cur]])</f>
        <v>0</v>
      </c>
    </row>
    <row r="9751" spans="1:5" x14ac:dyDescent="0.25">
      <c r="A9751" s="36" t="b">
        <v>0</v>
      </c>
      <c r="B9751" s="56" t="b">
        <v>0</v>
      </c>
      <c r="C9751" s="56" t="b">
        <v>0</v>
      </c>
      <c r="D9751" s="56" t="b">
        <v>0</v>
      </c>
      <c r="E9751" s="56">
        <f ca="1">IF(PV[[#This Row],[Business Date]]=Control!$C$6, PV[[#This Row],[Notional Value Local Cur]], -PV[[#This Row],[Notional Value Local Cur]])</f>
        <v>0</v>
      </c>
    </row>
    <row r="9752" spans="1:5" x14ac:dyDescent="0.25">
      <c r="A9752" s="36" t="b">
        <v>0</v>
      </c>
      <c r="B9752" s="56" t="b">
        <v>0</v>
      </c>
      <c r="C9752" s="56" t="b">
        <v>0</v>
      </c>
      <c r="D9752" s="56" t="b">
        <v>0</v>
      </c>
      <c r="E9752" s="56">
        <f ca="1">IF(PV[[#This Row],[Business Date]]=Control!$C$6, PV[[#This Row],[Notional Value Local Cur]], -PV[[#This Row],[Notional Value Local Cur]])</f>
        <v>0</v>
      </c>
    </row>
    <row r="9753" spans="1:5" x14ac:dyDescent="0.25">
      <c r="A9753" s="36" t="b">
        <v>0</v>
      </c>
      <c r="B9753" s="56" t="b">
        <v>0</v>
      </c>
      <c r="C9753" s="56" t="b">
        <v>0</v>
      </c>
      <c r="D9753" s="56" t="b">
        <v>0</v>
      </c>
      <c r="E9753" s="56">
        <f ca="1">IF(PV[[#This Row],[Business Date]]=Control!$C$6, PV[[#This Row],[Notional Value Local Cur]], -PV[[#This Row],[Notional Value Local Cur]])</f>
        <v>0</v>
      </c>
    </row>
    <row r="9754" spans="1:5" x14ac:dyDescent="0.25">
      <c r="A9754" s="36" t="b">
        <v>0</v>
      </c>
      <c r="B9754" s="56" t="b">
        <v>0</v>
      </c>
      <c r="C9754" s="56" t="b">
        <v>0</v>
      </c>
      <c r="D9754" s="56" t="b">
        <v>0</v>
      </c>
      <c r="E9754" s="56">
        <f ca="1">IF(PV[[#This Row],[Business Date]]=Control!$C$6, PV[[#This Row],[Notional Value Local Cur]], -PV[[#This Row],[Notional Value Local Cur]])</f>
        <v>0</v>
      </c>
    </row>
    <row r="9755" spans="1:5" x14ac:dyDescent="0.25">
      <c r="A9755" s="36" t="b">
        <v>0</v>
      </c>
      <c r="B9755" s="56" t="b">
        <v>0</v>
      </c>
      <c r="C9755" s="56" t="b">
        <v>0</v>
      </c>
      <c r="D9755" s="56" t="b">
        <v>0</v>
      </c>
      <c r="E9755" s="56">
        <f ca="1">IF(PV[[#This Row],[Business Date]]=Control!$C$6, PV[[#This Row],[Notional Value Local Cur]], -PV[[#This Row],[Notional Value Local Cur]])</f>
        <v>0</v>
      </c>
    </row>
    <row r="9756" spans="1:5" x14ac:dyDescent="0.25">
      <c r="A9756" s="36" t="b">
        <v>0</v>
      </c>
      <c r="B9756" s="56" t="b">
        <v>0</v>
      </c>
      <c r="C9756" s="56" t="b">
        <v>0</v>
      </c>
      <c r="D9756" s="56" t="b">
        <v>0</v>
      </c>
      <c r="E9756" s="56">
        <f ca="1">IF(PV[[#This Row],[Business Date]]=Control!$C$6, PV[[#This Row],[Notional Value Local Cur]], -PV[[#This Row],[Notional Value Local Cur]])</f>
        <v>0</v>
      </c>
    </row>
    <row r="9757" spans="1:5" x14ac:dyDescent="0.25">
      <c r="A9757" s="36" t="b">
        <v>0</v>
      </c>
      <c r="B9757" s="56" t="b">
        <v>0</v>
      </c>
      <c r="C9757" s="56" t="b">
        <v>0</v>
      </c>
      <c r="D9757" s="56" t="b">
        <v>0</v>
      </c>
      <c r="E9757" s="56">
        <f ca="1">IF(PV[[#This Row],[Business Date]]=Control!$C$6, PV[[#This Row],[Notional Value Local Cur]], -PV[[#This Row],[Notional Value Local Cur]])</f>
        <v>0</v>
      </c>
    </row>
    <row r="9758" spans="1:5" x14ac:dyDescent="0.25">
      <c r="A9758" s="36" t="b">
        <v>0</v>
      </c>
      <c r="B9758" s="56" t="b">
        <v>0</v>
      </c>
      <c r="C9758" s="56" t="b">
        <v>0</v>
      </c>
      <c r="D9758" s="56" t="b">
        <v>0</v>
      </c>
      <c r="E9758" s="56">
        <f ca="1">IF(PV[[#This Row],[Business Date]]=Control!$C$6, PV[[#This Row],[Notional Value Local Cur]], -PV[[#This Row],[Notional Value Local Cur]])</f>
        <v>0</v>
      </c>
    </row>
    <row r="9759" spans="1:5" x14ac:dyDescent="0.25">
      <c r="A9759" s="36" t="b">
        <v>0</v>
      </c>
      <c r="B9759" s="56" t="b">
        <v>0</v>
      </c>
      <c r="C9759" s="56" t="b">
        <v>0</v>
      </c>
      <c r="D9759" s="56" t="b">
        <v>0</v>
      </c>
      <c r="E9759" s="56">
        <f ca="1">IF(PV[[#This Row],[Business Date]]=Control!$C$6, PV[[#This Row],[Notional Value Local Cur]], -PV[[#This Row],[Notional Value Local Cur]])</f>
        <v>0</v>
      </c>
    </row>
    <row r="9760" spans="1:5" x14ac:dyDescent="0.25">
      <c r="A9760" s="36" t="b">
        <v>0</v>
      </c>
      <c r="B9760" s="56" t="b">
        <v>0</v>
      </c>
      <c r="C9760" s="56" t="b">
        <v>0</v>
      </c>
      <c r="D9760" s="56" t="b">
        <v>0</v>
      </c>
      <c r="E9760" s="56">
        <f ca="1">IF(PV[[#This Row],[Business Date]]=Control!$C$6, PV[[#This Row],[Notional Value Local Cur]], -PV[[#This Row],[Notional Value Local Cur]])</f>
        <v>0</v>
      </c>
    </row>
    <row r="9761" spans="1:5" x14ac:dyDescent="0.25">
      <c r="A9761" s="36" t="b">
        <v>0</v>
      </c>
      <c r="B9761" s="56" t="b">
        <v>0</v>
      </c>
      <c r="C9761" s="56" t="b">
        <v>0</v>
      </c>
      <c r="D9761" s="56" t="b">
        <v>0</v>
      </c>
      <c r="E9761" s="56">
        <f ca="1">IF(PV[[#This Row],[Business Date]]=Control!$C$6, PV[[#This Row],[Notional Value Local Cur]], -PV[[#This Row],[Notional Value Local Cur]])</f>
        <v>0</v>
      </c>
    </row>
    <row r="9762" spans="1:5" x14ac:dyDescent="0.25">
      <c r="A9762" s="36" t="b">
        <v>0</v>
      </c>
      <c r="B9762" s="56" t="b">
        <v>0</v>
      </c>
      <c r="C9762" s="56" t="b">
        <v>0</v>
      </c>
      <c r="D9762" s="56" t="b">
        <v>0</v>
      </c>
      <c r="E9762" s="56">
        <f ca="1">IF(PV[[#This Row],[Business Date]]=Control!$C$6, PV[[#This Row],[Notional Value Local Cur]], -PV[[#This Row],[Notional Value Local Cur]])</f>
        <v>0</v>
      </c>
    </row>
    <row r="9763" spans="1:5" x14ac:dyDescent="0.25">
      <c r="A9763" s="36" t="b">
        <v>0</v>
      </c>
      <c r="B9763" s="56" t="b">
        <v>0</v>
      </c>
      <c r="C9763" s="56" t="b">
        <v>0</v>
      </c>
      <c r="D9763" s="56" t="b">
        <v>0</v>
      </c>
      <c r="E9763" s="56">
        <f ca="1">IF(PV[[#This Row],[Business Date]]=Control!$C$6, PV[[#This Row],[Notional Value Local Cur]], -PV[[#This Row],[Notional Value Local Cur]])</f>
        <v>0</v>
      </c>
    </row>
    <row r="9764" spans="1:5" x14ac:dyDescent="0.25">
      <c r="A9764" s="36" t="b">
        <v>0</v>
      </c>
      <c r="B9764" s="56" t="b">
        <v>0</v>
      </c>
      <c r="C9764" s="56" t="b">
        <v>0</v>
      </c>
      <c r="D9764" s="56" t="b">
        <v>0</v>
      </c>
      <c r="E9764" s="56">
        <f ca="1">IF(PV[[#This Row],[Business Date]]=Control!$C$6, PV[[#This Row],[Notional Value Local Cur]], -PV[[#This Row],[Notional Value Local Cur]])</f>
        <v>0</v>
      </c>
    </row>
    <row r="9765" spans="1:5" x14ac:dyDescent="0.25">
      <c r="A9765" s="36" t="b">
        <v>0</v>
      </c>
      <c r="B9765" s="56" t="b">
        <v>0</v>
      </c>
      <c r="C9765" s="56" t="b">
        <v>0</v>
      </c>
      <c r="D9765" s="56" t="b">
        <v>0</v>
      </c>
      <c r="E9765" s="56">
        <f ca="1">IF(PV[[#This Row],[Business Date]]=Control!$C$6, PV[[#This Row],[Notional Value Local Cur]], -PV[[#This Row],[Notional Value Local Cur]])</f>
        <v>0</v>
      </c>
    </row>
    <row r="9766" spans="1:5" x14ac:dyDescent="0.25">
      <c r="A9766" s="36" t="b">
        <v>0</v>
      </c>
      <c r="B9766" s="56" t="b">
        <v>0</v>
      </c>
      <c r="C9766" s="56" t="b">
        <v>0</v>
      </c>
      <c r="D9766" s="56" t="b">
        <v>0</v>
      </c>
      <c r="E9766" s="56">
        <f ca="1">IF(PV[[#This Row],[Business Date]]=Control!$C$6, PV[[#This Row],[Notional Value Local Cur]], -PV[[#This Row],[Notional Value Local Cur]])</f>
        <v>0</v>
      </c>
    </row>
    <row r="9767" spans="1:5" x14ac:dyDescent="0.25">
      <c r="A9767" s="36" t="b">
        <v>0</v>
      </c>
      <c r="B9767" s="56" t="b">
        <v>0</v>
      </c>
      <c r="C9767" s="56" t="b">
        <v>0</v>
      </c>
      <c r="D9767" s="56" t="b">
        <v>0</v>
      </c>
      <c r="E9767" s="56">
        <f ca="1">IF(PV[[#This Row],[Business Date]]=Control!$C$6, PV[[#This Row],[Notional Value Local Cur]], -PV[[#This Row],[Notional Value Local Cur]])</f>
        <v>0</v>
      </c>
    </row>
    <row r="9768" spans="1:5" x14ac:dyDescent="0.25">
      <c r="A9768" s="36" t="b">
        <v>0</v>
      </c>
      <c r="B9768" s="56" t="b">
        <v>0</v>
      </c>
      <c r="C9768" s="56" t="b">
        <v>0</v>
      </c>
      <c r="D9768" s="56" t="b">
        <v>0</v>
      </c>
      <c r="E9768" s="56">
        <f ca="1">IF(PV[[#This Row],[Business Date]]=Control!$C$6, PV[[#This Row],[Notional Value Local Cur]], -PV[[#This Row],[Notional Value Local Cur]])</f>
        <v>0</v>
      </c>
    </row>
    <row r="9769" spans="1:5" x14ac:dyDescent="0.25">
      <c r="A9769" s="36" t="b">
        <v>0</v>
      </c>
      <c r="B9769" s="56" t="b">
        <v>0</v>
      </c>
      <c r="C9769" s="56" t="b">
        <v>0</v>
      </c>
      <c r="D9769" s="56" t="b">
        <v>0</v>
      </c>
      <c r="E9769" s="56">
        <f ca="1">IF(PV[[#This Row],[Business Date]]=Control!$C$6, PV[[#This Row],[Notional Value Local Cur]], -PV[[#This Row],[Notional Value Local Cur]])</f>
        <v>0</v>
      </c>
    </row>
    <row r="9770" spans="1:5" x14ac:dyDescent="0.25">
      <c r="A9770" s="36" t="b">
        <v>0</v>
      </c>
      <c r="B9770" s="56" t="b">
        <v>0</v>
      </c>
      <c r="C9770" s="56" t="b">
        <v>0</v>
      </c>
      <c r="D9770" s="56" t="b">
        <v>0</v>
      </c>
      <c r="E9770" s="56">
        <f ca="1">IF(PV[[#This Row],[Business Date]]=Control!$C$6, PV[[#This Row],[Notional Value Local Cur]], -PV[[#This Row],[Notional Value Local Cur]])</f>
        <v>0</v>
      </c>
    </row>
    <row r="9771" spans="1:5" x14ac:dyDescent="0.25">
      <c r="A9771" s="36" t="b">
        <v>0</v>
      </c>
      <c r="B9771" s="56" t="b">
        <v>0</v>
      </c>
      <c r="C9771" s="56" t="b">
        <v>0</v>
      </c>
      <c r="D9771" s="56" t="b">
        <v>0</v>
      </c>
      <c r="E9771" s="56">
        <f ca="1">IF(PV[[#This Row],[Business Date]]=Control!$C$6, PV[[#This Row],[Notional Value Local Cur]], -PV[[#This Row],[Notional Value Local Cur]])</f>
        <v>0</v>
      </c>
    </row>
    <row r="9772" spans="1:5" x14ac:dyDescent="0.25">
      <c r="A9772" s="36" t="b">
        <v>0</v>
      </c>
      <c r="B9772" s="56" t="b">
        <v>0</v>
      </c>
      <c r="C9772" s="56" t="b">
        <v>0</v>
      </c>
      <c r="D9772" s="56" t="b">
        <v>0</v>
      </c>
      <c r="E9772" s="56">
        <f ca="1">IF(PV[[#This Row],[Business Date]]=Control!$C$6, PV[[#This Row],[Notional Value Local Cur]], -PV[[#This Row],[Notional Value Local Cur]])</f>
        <v>0</v>
      </c>
    </row>
    <row r="9773" spans="1:5" x14ac:dyDescent="0.25">
      <c r="A9773" s="36" t="b">
        <v>0</v>
      </c>
      <c r="B9773" s="56" t="b">
        <v>0</v>
      </c>
      <c r="C9773" s="56" t="b">
        <v>0</v>
      </c>
      <c r="D9773" s="56" t="b">
        <v>0</v>
      </c>
      <c r="E9773" s="56">
        <f ca="1">IF(PV[[#This Row],[Business Date]]=Control!$C$6, PV[[#This Row],[Notional Value Local Cur]], -PV[[#This Row],[Notional Value Local Cur]])</f>
        <v>0</v>
      </c>
    </row>
    <row r="9774" spans="1:5" x14ac:dyDescent="0.25">
      <c r="A9774" s="36" t="b">
        <v>0</v>
      </c>
      <c r="B9774" s="56" t="b">
        <v>0</v>
      </c>
      <c r="C9774" s="56" t="b">
        <v>0</v>
      </c>
      <c r="D9774" s="56" t="b">
        <v>0</v>
      </c>
      <c r="E9774" s="56">
        <f ca="1">IF(PV[[#This Row],[Business Date]]=Control!$C$6, PV[[#This Row],[Notional Value Local Cur]], -PV[[#This Row],[Notional Value Local Cur]])</f>
        <v>0</v>
      </c>
    </row>
    <row r="9775" spans="1:5" x14ac:dyDescent="0.25">
      <c r="A9775" s="36" t="b">
        <v>0</v>
      </c>
      <c r="B9775" s="56" t="b">
        <v>0</v>
      </c>
      <c r="C9775" s="56" t="b">
        <v>0</v>
      </c>
      <c r="D9775" s="56" t="b">
        <v>0</v>
      </c>
      <c r="E9775" s="56">
        <f ca="1">IF(PV[[#This Row],[Business Date]]=Control!$C$6, PV[[#This Row],[Notional Value Local Cur]], -PV[[#This Row],[Notional Value Local Cur]])</f>
        <v>0</v>
      </c>
    </row>
    <row r="9776" spans="1:5" x14ac:dyDescent="0.25">
      <c r="A9776" s="36" t="b">
        <v>0</v>
      </c>
      <c r="B9776" s="56" t="b">
        <v>0</v>
      </c>
      <c r="C9776" s="56" t="b">
        <v>0</v>
      </c>
      <c r="D9776" s="56" t="b">
        <v>0</v>
      </c>
      <c r="E9776" s="56">
        <f ca="1">IF(PV[[#This Row],[Business Date]]=Control!$C$6, PV[[#This Row],[Notional Value Local Cur]], -PV[[#This Row],[Notional Value Local Cur]])</f>
        <v>0</v>
      </c>
    </row>
    <row r="9777" spans="1:5" x14ac:dyDescent="0.25">
      <c r="A9777" s="36" t="b">
        <v>0</v>
      </c>
      <c r="B9777" s="56" t="b">
        <v>0</v>
      </c>
      <c r="C9777" s="56" t="b">
        <v>0</v>
      </c>
      <c r="D9777" s="56" t="b">
        <v>0</v>
      </c>
      <c r="E9777" s="56">
        <f ca="1">IF(PV[[#This Row],[Business Date]]=Control!$C$6, PV[[#This Row],[Notional Value Local Cur]], -PV[[#This Row],[Notional Value Local Cur]])</f>
        <v>0</v>
      </c>
    </row>
    <row r="9778" spans="1:5" x14ac:dyDescent="0.25">
      <c r="A9778" s="36" t="b">
        <v>0</v>
      </c>
      <c r="B9778" s="56" t="b">
        <v>0</v>
      </c>
      <c r="C9778" s="56" t="b">
        <v>0</v>
      </c>
      <c r="D9778" s="56" t="b">
        <v>0</v>
      </c>
      <c r="E9778" s="56">
        <f ca="1">IF(PV[[#This Row],[Business Date]]=Control!$C$6, PV[[#This Row],[Notional Value Local Cur]], -PV[[#This Row],[Notional Value Local Cur]])</f>
        <v>0</v>
      </c>
    </row>
    <row r="9779" spans="1:5" x14ac:dyDescent="0.25">
      <c r="A9779" s="36" t="b">
        <v>0</v>
      </c>
      <c r="B9779" s="56" t="b">
        <v>0</v>
      </c>
      <c r="C9779" s="56" t="b">
        <v>0</v>
      </c>
      <c r="D9779" s="56" t="b">
        <v>0</v>
      </c>
      <c r="E9779" s="56">
        <f ca="1">IF(PV[[#This Row],[Business Date]]=Control!$C$6, PV[[#This Row],[Notional Value Local Cur]], -PV[[#This Row],[Notional Value Local Cur]])</f>
        <v>0</v>
      </c>
    </row>
    <row r="9780" spans="1:5" x14ac:dyDescent="0.25">
      <c r="A9780" s="36" t="b">
        <v>0</v>
      </c>
      <c r="B9780" s="56" t="b">
        <v>0</v>
      </c>
      <c r="C9780" s="56" t="b">
        <v>0</v>
      </c>
      <c r="D9780" s="56" t="b">
        <v>0</v>
      </c>
      <c r="E9780" s="56">
        <f ca="1">IF(PV[[#This Row],[Business Date]]=Control!$C$6, PV[[#This Row],[Notional Value Local Cur]], -PV[[#This Row],[Notional Value Local Cur]])</f>
        <v>0</v>
      </c>
    </row>
    <row r="9781" spans="1:5" x14ac:dyDescent="0.25">
      <c r="A9781" s="36" t="b">
        <v>0</v>
      </c>
      <c r="B9781" s="56" t="b">
        <v>0</v>
      </c>
      <c r="C9781" s="56" t="b">
        <v>0</v>
      </c>
      <c r="D9781" s="56" t="b">
        <v>0</v>
      </c>
      <c r="E9781" s="56">
        <f ca="1">IF(PV[[#This Row],[Business Date]]=Control!$C$6, PV[[#This Row],[Notional Value Local Cur]], -PV[[#This Row],[Notional Value Local Cur]])</f>
        <v>0</v>
      </c>
    </row>
    <row r="9782" spans="1:5" x14ac:dyDescent="0.25">
      <c r="A9782" s="36" t="b">
        <v>0</v>
      </c>
      <c r="B9782" s="56" t="b">
        <v>0</v>
      </c>
      <c r="C9782" s="56" t="b">
        <v>0</v>
      </c>
      <c r="D9782" s="56" t="b">
        <v>0</v>
      </c>
      <c r="E9782" s="56">
        <f ca="1">IF(PV[[#This Row],[Business Date]]=Control!$C$6, PV[[#This Row],[Notional Value Local Cur]], -PV[[#This Row],[Notional Value Local Cur]])</f>
        <v>0</v>
      </c>
    </row>
    <row r="9783" spans="1:5" x14ac:dyDescent="0.25">
      <c r="A9783" s="36" t="b">
        <v>0</v>
      </c>
      <c r="B9783" s="56" t="b">
        <v>0</v>
      </c>
      <c r="C9783" s="56" t="b">
        <v>0</v>
      </c>
      <c r="D9783" s="56" t="b">
        <v>0</v>
      </c>
      <c r="E9783" s="56">
        <f ca="1">IF(PV[[#This Row],[Business Date]]=Control!$C$6, PV[[#This Row],[Notional Value Local Cur]], -PV[[#This Row],[Notional Value Local Cur]])</f>
        <v>0</v>
      </c>
    </row>
    <row r="9784" spans="1:5" x14ac:dyDescent="0.25">
      <c r="A9784" s="36" t="b">
        <v>0</v>
      </c>
      <c r="B9784" s="56" t="b">
        <v>0</v>
      </c>
      <c r="C9784" s="56" t="b">
        <v>0</v>
      </c>
      <c r="D9784" s="56" t="b">
        <v>0</v>
      </c>
      <c r="E9784" s="56">
        <f ca="1">IF(PV[[#This Row],[Business Date]]=Control!$C$6, PV[[#This Row],[Notional Value Local Cur]], -PV[[#This Row],[Notional Value Local Cur]])</f>
        <v>0</v>
      </c>
    </row>
    <row r="9785" spans="1:5" x14ac:dyDescent="0.25">
      <c r="A9785" s="36" t="b">
        <v>0</v>
      </c>
      <c r="B9785" s="56" t="b">
        <v>0</v>
      </c>
      <c r="C9785" s="56" t="b">
        <v>0</v>
      </c>
      <c r="D9785" s="56" t="b">
        <v>0</v>
      </c>
      <c r="E9785" s="56">
        <f ca="1">IF(PV[[#This Row],[Business Date]]=Control!$C$6, PV[[#This Row],[Notional Value Local Cur]], -PV[[#This Row],[Notional Value Local Cur]])</f>
        <v>0</v>
      </c>
    </row>
    <row r="9786" spans="1:5" x14ac:dyDescent="0.25">
      <c r="A9786" s="36" t="b">
        <v>0</v>
      </c>
      <c r="B9786" s="56" t="b">
        <v>0</v>
      </c>
      <c r="C9786" s="56" t="b">
        <v>0</v>
      </c>
      <c r="D9786" s="56" t="b">
        <v>0</v>
      </c>
      <c r="E9786" s="56">
        <f ca="1">IF(PV[[#This Row],[Business Date]]=Control!$C$6, PV[[#This Row],[Notional Value Local Cur]], -PV[[#This Row],[Notional Value Local Cur]])</f>
        <v>0</v>
      </c>
    </row>
    <row r="9787" spans="1:5" x14ac:dyDescent="0.25">
      <c r="A9787" s="36" t="b">
        <v>0</v>
      </c>
      <c r="B9787" s="56" t="b">
        <v>0</v>
      </c>
      <c r="C9787" s="56" t="b">
        <v>0</v>
      </c>
      <c r="D9787" s="56" t="b">
        <v>0</v>
      </c>
      <c r="E9787" s="56">
        <f ca="1">IF(PV[[#This Row],[Business Date]]=Control!$C$6, PV[[#This Row],[Notional Value Local Cur]], -PV[[#This Row],[Notional Value Local Cur]])</f>
        <v>0</v>
      </c>
    </row>
    <row r="9788" spans="1:5" x14ac:dyDescent="0.25">
      <c r="A9788" s="36" t="b">
        <v>0</v>
      </c>
      <c r="B9788" s="56" t="b">
        <v>0</v>
      </c>
      <c r="C9788" s="56" t="b">
        <v>0</v>
      </c>
      <c r="D9788" s="56" t="b">
        <v>0</v>
      </c>
      <c r="E9788" s="56">
        <f ca="1">IF(PV[[#This Row],[Business Date]]=Control!$C$6, PV[[#This Row],[Notional Value Local Cur]], -PV[[#This Row],[Notional Value Local Cur]])</f>
        <v>0</v>
      </c>
    </row>
    <row r="9789" spans="1:5" x14ac:dyDescent="0.25">
      <c r="A9789" s="36" t="b">
        <v>0</v>
      </c>
      <c r="B9789" s="56" t="b">
        <v>0</v>
      </c>
      <c r="C9789" s="56" t="b">
        <v>0</v>
      </c>
      <c r="D9789" s="56" t="b">
        <v>0</v>
      </c>
      <c r="E9789" s="56">
        <f ca="1">IF(PV[[#This Row],[Business Date]]=Control!$C$6, PV[[#This Row],[Notional Value Local Cur]], -PV[[#This Row],[Notional Value Local Cur]])</f>
        <v>0</v>
      </c>
    </row>
    <row r="9790" spans="1:5" x14ac:dyDescent="0.25">
      <c r="A9790" s="36" t="b">
        <v>0</v>
      </c>
      <c r="B9790" s="56" t="b">
        <v>0</v>
      </c>
      <c r="C9790" s="56" t="b">
        <v>0</v>
      </c>
      <c r="D9790" s="56" t="b">
        <v>0</v>
      </c>
      <c r="E9790" s="56">
        <f ca="1">IF(PV[[#This Row],[Business Date]]=Control!$C$6, PV[[#This Row],[Notional Value Local Cur]], -PV[[#This Row],[Notional Value Local Cur]])</f>
        <v>0</v>
      </c>
    </row>
    <row r="9791" spans="1:5" x14ac:dyDescent="0.25">
      <c r="A9791" s="36" t="b">
        <v>0</v>
      </c>
      <c r="B9791" s="56" t="b">
        <v>0</v>
      </c>
      <c r="C9791" s="56" t="b">
        <v>0</v>
      </c>
      <c r="D9791" s="56" t="b">
        <v>0</v>
      </c>
      <c r="E9791" s="56">
        <f ca="1">IF(PV[[#This Row],[Business Date]]=Control!$C$6, PV[[#This Row],[Notional Value Local Cur]], -PV[[#This Row],[Notional Value Local Cur]])</f>
        <v>0</v>
      </c>
    </row>
    <row r="9792" spans="1:5" x14ac:dyDescent="0.25">
      <c r="A9792" s="36" t="b">
        <v>0</v>
      </c>
      <c r="B9792" s="56" t="b">
        <v>0</v>
      </c>
      <c r="C9792" s="56" t="b">
        <v>0</v>
      </c>
      <c r="D9792" s="56" t="b">
        <v>0</v>
      </c>
      <c r="E9792" s="56">
        <f ca="1">IF(PV[[#This Row],[Business Date]]=Control!$C$6, PV[[#This Row],[Notional Value Local Cur]], -PV[[#This Row],[Notional Value Local Cur]])</f>
        <v>0</v>
      </c>
    </row>
    <row r="9793" spans="1:5" x14ac:dyDescent="0.25">
      <c r="A9793" s="36" t="b">
        <v>0</v>
      </c>
      <c r="B9793" s="56" t="b">
        <v>0</v>
      </c>
      <c r="C9793" s="56" t="b">
        <v>0</v>
      </c>
      <c r="D9793" s="56" t="b">
        <v>0</v>
      </c>
      <c r="E9793" s="56">
        <f ca="1">IF(PV[[#This Row],[Business Date]]=Control!$C$6, PV[[#This Row],[Notional Value Local Cur]], -PV[[#This Row],[Notional Value Local Cur]])</f>
        <v>0</v>
      </c>
    </row>
    <row r="9794" spans="1:5" x14ac:dyDescent="0.25">
      <c r="A9794" s="36" t="b">
        <v>0</v>
      </c>
      <c r="B9794" s="56" t="b">
        <v>0</v>
      </c>
      <c r="C9794" s="56" t="b">
        <v>0</v>
      </c>
      <c r="D9794" s="56" t="b">
        <v>0</v>
      </c>
      <c r="E9794" s="56">
        <f ca="1">IF(PV[[#This Row],[Business Date]]=Control!$C$6, PV[[#This Row],[Notional Value Local Cur]], -PV[[#This Row],[Notional Value Local Cur]])</f>
        <v>0</v>
      </c>
    </row>
    <row r="9795" spans="1:5" x14ac:dyDescent="0.25">
      <c r="A9795" s="36" t="b">
        <v>0</v>
      </c>
      <c r="B9795" s="56" t="b">
        <v>0</v>
      </c>
      <c r="C9795" s="56" t="b">
        <v>0</v>
      </c>
      <c r="D9795" s="56" t="b">
        <v>0</v>
      </c>
      <c r="E9795" s="56">
        <f ca="1">IF(PV[[#This Row],[Business Date]]=Control!$C$6, PV[[#This Row],[Notional Value Local Cur]], -PV[[#This Row],[Notional Value Local Cur]])</f>
        <v>0</v>
      </c>
    </row>
    <row r="9796" spans="1:5" x14ac:dyDescent="0.25">
      <c r="A9796" s="36" t="b">
        <v>0</v>
      </c>
      <c r="B9796" s="56" t="b">
        <v>0</v>
      </c>
      <c r="C9796" s="56" t="b">
        <v>0</v>
      </c>
      <c r="D9796" s="56" t="b">
        <v>0</v>
      </c>
      <c r="E9796" s="56">
        <f ca="1">IF(PV[[#This Row],[Business Date]]=Control!$C$6, PV[[#This Row],[Notional Value Local Cur]], -PV[[#This Row],[Notional Value Local Cur]])</f>
        <v>0</v>
      </c>
    </row>
    <row r="9797" spans="1:5" x14ac:dyDescent="0.25">
      <c r="A9797" s="36" t="b">
        <v>0</v>
      </c>
      <c r="B9797" s="56" t="b">
        <v>0</v>
      </c>
      <c r="C9797" s="56" t="b">
        <v>0</v>
      </c>
      <c r="D9797" s="56" t="b">
        <v>0</v>
      </c>
      <c r="E9797" s="56">
        <f ca="1">IF(PV[[#This Row],[Business Date]]=Control!$C$6, PV[[#This Row],[Notional Value Local Cur]], -PV[[#This Row],[Notional Value Local Cur]])</f>
        <v>0</v>
      </c>
    </row>
    <row r="9798" spans="1:5" x14ac:dyDescent="0.25">
      <c r="A9798" s="36" t="b">
        <v>0</v>
      </c>
      <c r="B9798" s="56" t="b">
        <v>0</v>
      </c>
      <c r="C9798" s="56" t="b">
        <v>0</v>
      </c>
      <c r="D9798" s="56" t="b">
        <v>0</v>
      </c>
      <c r="E9798" s="56">
        <f ca="1">IF(PV[[#This Row],[Business Date]]=Control!$C$6, PV[[#This Row],[Notional Value Local Cur]], -PV[[#This Row],[Notional Value Local Cur]])</f>
        <v>0</v>
      </c>
    </row>
    <row r="9799" spans="1:5" x14ac:dyDescent="0.25">
      <c r="A9799" s="36" t="b">
        <v>0</v>
      </c>
      <c r="B9799" s="56" t="b">
        <v>0</v>
      </c>
      <c r="C9799" s="56" t="b">
        <v>0</v>
      </c>
      <c r="D9799" s="56" t="b">
        <v>0</v>
      </c>
      <c r="E9799" s="56">
        <f ca="1">IF(PV[[#This Row],[Business Date]]=Control!$C$6, PV[[#This Row],[Notional Value Local Cur]], -PV[[#This Row],[Notional Value Local Cur]])</f>
        <v>0</v>
      </c>
    </row>
    <row r="9800" spans="1:5" x14ac:dyDescent="0.25">
      <c r="A9800" s="36" t="b">
        <v>0</v>
      </c>
      <c r="B9800" s="56" t="b">
        <v>0</v>
      </c>
      <c r="C9800" s="56" t="b">
        <v>0</v>
      </c>
      <c r="D9800" s="56" t="b">
        <v>0</v>
      </c>
      <c r="E9800" s="56">
        <f ca="1">IF(PV[[#This Row],[Business Date]]=Control!$C$6, PV[[#This Row],[Notional Value Local Cur]], -PV[[#This Row],[Notional Value Local Cur]])</f>
        <v>0</v>
      </c>
    </row>
    <row r="9801" spans="1:5" x14ac:dyDescent="0.25">
      <c r="A9801" s="36" t="b">
        <v>0</v>
      </c>
      <c r="B9801" s="56" t="b">
        <v>0</v>
      </c>
      <c r="C9801" s="56" t="b">
        <v>0</v>
      </c>
      <c r="D9801" s="56" t="b">
        <v>0</v>
      </c>
      <c r="E9801" s="56">
        <f ca="1">IF(PV[[#This Row],[Business Date]]=Control!$C$6, PV[[#This Row],[Notional Value Local Cur]], -PV[[#This Row],[Notional Value Local Cur]])</f>
        <v>0</v>
      </c>
    </row>
    <row r="9802" spans="1:5" x14ac:dyDescent="0.25">
      <c r="A9802" s="36" t="b">
        <v>0</v>
      </c>
      <c r="B9802" s="56" t="b">
        <v>0</v>
      </c>
      <c r="C9802" s="56" t="b">
        <v>0</v>
      </c>
      <c r="D9802" s="56" t="b">
        <v>0</v>
      </c>
      <c r="E9802" s="56">
        <f ca="1">IF(PV[[#This Row],[Business Date]]=Control!$C$6, PV[[#This Row],[Notional Value Local Cur]], -PV[[#This Row],[Notional Value Local Cur]])</f>
        <v>0</v>
      </c>
    </row>
    <row r="9803" spans="1:5" x14ac:dyDescent="0.25">
      <c r="A9803" s="36" t="b">
        <v>0</v>
      </c>
      <c r="B9803" s="56" t="b">
        <v>0</v>
      </c>
      <c r="C9803" s="56" t="b">
        <v>0</v>
      </c>
      <c r="D9803" s="56" t="b">
        <v>0</v>
      </c>
      <c r="E9803" s="56">
        <f ca="1">IF(PV[[#This Row],[Business Date]]=Control!$C$6, PV[[#This Row],[Notional Value Local Cur]], -PV[[#This Row],[Notional Value Local Cur]])</f>
        <v>0</v>
      </c>
    </row>
    <row r="9804" spans="1:5" x14ac:dyDescent="0.25">
      <c r="A9804" s="36" t="b">
        <v>0</v>
      </c>
      <c r="B9804" s="56" t="b">
        <v>0</v>
      </c>
      <c r="C9804" s="56" t="b">
        <v>0</v>
      </c>
      <c r="D9804" s="56" t="b">
        <v>0</v>
      </c>
      <c r="E9804" s="56">
        <f ca="1">IF(PV[[#This Row],[Business Date]]=Control!$C$6, PV[[#This Row],[Notional Value Local Cur]], -PV[[#This Row],[Notional Value Local Cur]])</f>
        <v>0</v>
      </c>
    </row>
    <row r="9805" spans="1:5" x14ac:dyDescent="0.25">
      <c r="A9805" s="36" t="b">
        <v>0</v>
      </c>
      <c r="B9805" s="56" t="b">
        <v>0</v>
      </c>
      <c r="C9805" s="56" t="b">
        <v>0</v>
      </c>
      <c r="D9805" s="56" t="b">
        <v>0</v>
      </c>
      <c r="E9805" s="56">
        <f ca="1">IF(PV[[#This Row],[Business Date]]=Control!$C$6, PV[[#This Row],[Notional Value Local Cur]], -PV[[#This Row],[Notional Value Local Cur]])</f>
        <v>0</v>
      </c>
    </row>
    <row r="9806" spans="1:5" x14ac:dyDescent="0.25">
      <c r="A9806" s="36" t="b">
        <v>0</v>
      </c>
      <c r="B9806" s="56" t="b">
        <v>0</v>
      </c>
      <c r="C9806" s="56" t="b">
        <v>0</v>
      </c>
      <c r="D9806" s="56" t="b">
        <v>0</v>
      </c>
      <c r="E9806" s="56">
        <f ca="1">IF(PV[[#This Row],[Business Date]]=Control!$C$6, PV[[#This Row],[Notional Value Local Cur]], -PV[[#This Row],[Notional Value Local Cur]])</f>
        <v>0</v>
      </c>
    </row>
    <row r="9807" spans="1:5" x14ac:dyDescent="0.25">
      <c r="A9807" s="36" t="b">
        <v>0</v>
      </c>
      <c r="B9807" s="56" t="b">
        <v>0</v>
      </c>
      <c r="C9807" s="56" t="b">
        <v>0</v>
      </c>
      <c r="D9807" s="56" t="b">
        <v>0</v>
      </c>
      <c r="E9807" s="56">
        <f ca="1">IF(PV[[#This Row],[Business Date]]=Control!$C$6, PV[[#This Row],[Notional Value Local Cur]], -PV[[#This Row],[Notional Value Local Cur]])</f>
        <v>0</v>
      </c>
    </row>
    <row r="9808" spans="1:5" x14ac:dyDescent="0.25">
      <c r="A9808" s="36" t="b">
        <v>0</v>
      </c>
      <c r="B9808" s="56" t="b">
        <v>0</v>
      </c>
      <c r="C9808" s="56" t="b">
        <v>0</v>
      </c>
      <c r="D9808" s="56" t="b">
        <v>0</v>
      </c>
      <c r="E9808" s="56">
        <f ca="1">IF(PV[[#This Row],[Business Date]]=Control!$C$6, PV[[#This Row],[Notional Value Local Cur]], -PV[[#This Row],[Notional Value Local Cur]])</f>
        <v>0</v>
      </c>
    </row>
    <row r="9809" spans="1:5" x14ac:dyDescent="0.25">
      <c r="A9809" s="36" t="b">
        <v>0</v>
      </c>
      <c r="B9809" s="56" t="b">
        <v>0</v>
      </c>
      <c r="C9809" s="56" t="b">
        <v>0</v>
      </c>
      <c r="D9809" s="56" t="b">
        <v>0</v>
      </c>
      <c r="E9809" s="56">
        <f ca="1">IF(PV[[#This Row],[Business Date]]=Control!$C$6, PV[[#This Row],[Notional Value Local Cur]], -PV[[#This Row],[Notional Value Local Cur]])</f>
        <v>0</v>
      </c>
    </row>
    <row r="9810" spans="1:5" x14ac:dyDescent="0.25">
      <c r="A9810" s="36" t="b">
        <v>0</v>
      </c>
      <c r="B9810" s="56" t="b">
        <v>0</v>
      </c>
      <c r="C9810" s="56" t="b">
        <v>0</v>
      </c>
      <c r="D9810" s="56" t="b">
        <v>0</v>
      </c>
      <c r="E9810" s="56">
        <f ca="1">IF(PV[[#This Row],[Business Date]]=Control!$C$6, PV[[#This Row],[Notional Value Local Cur]], -PV[[#This Row],[Notional Value Local Cur]])</f>
        <v>0</v>
      </c>
    </row>
    <row r="9811" spans="1:5" x14ac:dyDescent="0.25">
      <c r="A9811" s="36" t="b">
        <v>0</v>
      </c>
      <c r="B9811" s="56" t="b">
        <v>0</v>
      </c>
      <c r="C9811" s="56" t="b">
        <v>0</v>
      </c>
      <c r="D9811" s="56" t="b">
        <v>0</v>
      </c>
      <c r="E9811" s="56">
        <f ca="1">IF(PV[[#This Row],[Business Date]]=Control!$C$6, PV[[#This Row],[Notional Value Local Cur]], -PV[[#This Row],[Notional Value Local Cur]])</f>
        <v>0</v>
      </c>
    </row>
    <row r="9812" spans="1:5" x14ac:dyDescent="0.25">
      <c r="A9812" s="36" t="b">
        <v>0</v>
      </c>
      <c r="B9812" s="56" t="b">
        <v>0</v>
      </c>
      <c r="C9812" s="56" t="b">
        <v>0</v>
      </c>
      <c r="D9812" s="56" t="b">
        <v>0</v>
      </c>
      <c r="E9812" s="56">
        <f ca="1">IF(PV[[#This Row],[Business Date]]=Control!$C$6, PV[[#This Row],[Notional Value Local Cur]], -PV[[#This Row],[Notional Value Local Cur]])</f>
        <v>0</v>
      </c>
    </row>
    <row r="9813" spans="1:5" x14ac:dyDescent="0.25">
      <c r="A9813" s="36" t="b">
        <v>0</v>
      </c>
      <c r="B9813" s="56" t="b">
        <v>0</v>
      </c>
      <c r="C9813" s="56" t="b">
        <v>0</v>
      </c>
      <c r="D9813" s="56" t="b">
        <v>0</v>
      </c>
      <c r="E9813" s="56">
        <f ca="1">IF(PV[[#This Row],[Business Date]]=Control!$C$6, PV[[#This Row],[Notional Value Local Cur]], -PV[[#This Row],[Notional Value Local Cur]])</f>
        <v>0</v>
      </c>
    </row>
    <row r="9814" spans="1:5" x14ac:dyDescent="0.25">
      <c r="A9814" s="36" t="b">
        <v>0</v>
      </c>
      <c r="B9814" s="56" t="b">
        <v>0</v>
      </c>
      <c r="C9814" s="56" t="b">
        <v>0</v>
      </c>
      <c r="D9814" s="56" t="b">
        <v>0</v>
      </c>
      <c r="E9814" s="56">
        <f ca="1">IF(PV[[#This Row],[Business Date]]=Control!$C$6, PV[[#This Row],[Notional Value Local Cur]], -PV[[#This Row],[Notional Value Local Cur]])</f>
        <v>0</v>
      </c>
    </row>
    <row r="9815" spans="1:5" x14ac:dyDescent="0.25">
      <c r="A9815" s="36" t="b">
        <v>0</v>
      </c>
      <c r="B9815" s="56" t="b">
        <v>0</v>
      </c>
      <c r="C9815" s="56" t="b">
        <v>0</v>
      </c>
      <c r="D9815" s="56" t="b">
        <v>0</v>
      </c>
      <c r="E9815" s="56">
        <f ca="1">IF(PV[[#This Row],[Business Date]]=Control!$C$6, PV[[#This Row],[Notional Value Local Cur]], -PV[[#This Row],[Notional Value Local Cur]])</f>
        <v>0</v>
      </c>
    </row>
    <row r="9816" spans="1:5" x14ac:dyDescent="0.25">
      <c r="A9816" s="36" t="b">
        <v>0</v>
      </c>
      <c r="B9816" s="56" t="b">
        <v>0</v>
      </c>
      <c r="C9816" s="56" t="b">
        <v>0</v>
      </c>
      <c r="D9816" s="56" t="b">
        <v>0</v>
      </c>
      <c r="E9816" s="56">
        <f ca="1">IF(PV[[#This Row],[Business Date]]=Control!$C$6, PV[[#This Row],[Notional Value Local Cur]], -PV[[#This Row],[Notional Value Local Cur]])</f>
        <v>0</v>
      </c>
    </row>
    <row r="9817" spans="1:5" x14ac:dyDescent="0.25">
      <c r="A9817" s="36" t="b">
        <v>0</v>
      </c>
      <c r="B9817" s="56" t="b">
        <v>0</v>
      </c>
      <c r="C9817" s="56" t="b">
        <v>0</v>
      </c>
      <c r="D9817" s="56" t="b">
        <v>0</v>
      </c>
      <c r="E9817" s="56">
        <f ca="1">IF(PV[[#This Row],[Business Date]]=Control!$C$6, PV[[#This Row],[Notional Value Local Cur]], -PV[[#This Row],[Notional Value Local Cur]])</f>
        <v>0</v>
      </c>
    </row>
    <row r="9818" spans="1:5" x14ac:dyDescent="0.25">
      <c r="A9818" s="36" t="b">
        <v>0</v>
      </c>
      <c r="B9818" s="56" t="b">
        <v>0</v>
      </c>
      <c r="C9818" s="56" t="b">
        <v>0</v>
      </c>
      <c r="D9818" s="56" t="b">
        <v>0</v>
      </c>
      <c r="E9818" s="56">
        <f ca="1">IF(PV[[#This Row],[Business Date]]=Control!$C$6, PV[[#This Row],[Notional Value Local Cur]], -PV[[#This Row],[Notional Value Local Cur]])</f>
        <v>0</v>
      </c>
    </row>
    <row r="9819" spans="1:5" x14ac:dyDescent="0.25">
      <c r="A9819" s="36" t="b">
        <v>0</v>
      </c>
      <c r="B9819" s="56" t="b">
        <v>0</v>
      </c>
      <c r="C9819" s="56" t="b">
        <v>0</v>
      </c>
      <c r="D9819" s="56" t="b">
        <v>0</v>
      </c>
      <c r="E9819" s="56">
        <f ca="1">IF(PV[[#This Row],[Business Date]]=Control!$C$6, PV[[#This Row],[Notional Value Local Cur]], -PV[[#This Row],[Notional Value Local Cur]])</f>
        <v>0</v>
      </c>
    </row>
    <row r="9820" spans="1:5" x14ac:dyDescent="0.25">
      <c r="A9820" s="36" t="b">
        <v>0</v>
      </c>
      <c r="B9820" s="56" t="b">
        <v>0</v>
      </c>
      <c r="C9820" s="56" t="b">
        <v>0</v>
      </c>
      <c r="D9820" s="56" t="b">
        <v>0</v>
      </c>
      <c r="E9820" s="56">
        <f ca="1">IF(PV[[#This Row],[Business Date]]=Control!$C$6, PV[[#This Row],[Notional Value Local Cur]], -PV[[#This Row],[Notional Value Local Cur]])</f>
        <v>0</v>
      </c>
    </row>
    <row r="9821" spans="1:5" x14ac:dyDescent="0.25">
      <c r="A9821" s="36" t="b">
        <v>0</v>
      </c>
      <c r="B9821" s="56" t="b">
        <v>0</v>
      </c>
      <c r="C9821" s="56" t="b">
        <v>0</v>
      </c>
      <c r="D9821" s="56" t="b">
        <v>0</v>
      </c>
      <c r="E9821" s="56">
        <f ca="1">IF(PV[[#This Row],[Business Date]]=Control!$C$6, PV[[#This Row],[Notional Value Local Cur]], -PV[[#This Row],[Notional Value Local Cur]])</f>
        <v>0</v>
      </c>
    </row>
    <row r="9822" spans="1:5" x14ac:dyDescent="0.25">
      <c r="A9822" s="36" t="b">
        <v>0</v>
      </c>
      <c r="B9822" s="56" t="b">
        <v>0</v>
      </c>
      <c r="C9822" s="56" t="b">
        <v>0</v>
      </c>
      <c r="D9822" s="56" t="b">
        <v>0</v>
      </c>
      <c r="E9822" s="56">
        <f ca="1">IF(PV[[#This Row],[Business Date]]=Control!$C$6, PV[[#This Row],[Notional Value Local Cur]], -PV[[#This Row],[Notional Value Local Cur]])</f>
        <v>0</v>
      </c>
    </row>
    <row r="9823" spans="1:5" x14ac:dyDescent="0.25">
      <c r="A9823" s="36" t="b">
        <v>0</v>
      </c>
      <c r="B9823" s="56" t="b">
        <v>0</v>
      </c>
      <c r="C9823" s="56" t="b">
        <v>0</v>
      </c>
      <c r="D9823" s="56" t="b">
        <v>0</v>
      </c>
      <c r="E9823" s="56">
        <f ca="1">IF(PV[[#This Row],[Business Date]]=Control!$C$6, PV[[#This Row],[Notional Value Local Cur]], -PV[[#This Row],[Notional Value Local Cur]])</f>
        <v>0</v>
      </c>
    </row>
    <row r="9824" spans="1:5" x14ac:dyDescent="0.25">
      <c r="A9824" s="36" t="b">
        <v>0</v>
      </c>
      <c r="B9824" s="56" t="b">
        <v>0</v>
      </c>
      <c r="C9824" s="56" t="b">
        <v>0</v>
      </c>
      <c r="D9824" s="56" t="b">
        <v>0</v>
      </c>
      <c r="E9824" s="56">
        <f ca="1">IF(PV[[#This Row],[Business Date]]=Control!$C$6, PV[[#This Row],[Notional Value Local Cur]], -PV[[#This Row],[Notional Value Local Cur]])</f>
        <v>0</v>
      </c>
    </row>
    <row r="9825" spans="1:5" x14ac:dyDescent="0.25">
      <c r="A9825" s="36" t="b">
        <v>0</v>
      </c>
      <c r="B9825" s="56" t="b">
        <v>0</v>
      </c>
      <c r="C9825" s="56" t="b">
        <v>0</v>
      </c>
      <c r="D9825" s="56" t="b">
        <v>0</v>
      </c>
      <c r="E9825" s="56">
        <f ca="1">IF(PV[[#This Row],[Business Date]]=Control!$C$6, PV[[#This Row],[Notional Value Local Cur]], -PV[[#This Row],[Notional Value Local Cur]])</f>
        <v>0</v>
      </c>
    </row>
    <row r="9826" spans="1:5" x14ac:dyDescent="0.25">
      <c r="A9826" s="36" t="b">
        <v>0</v>
      </c>
      <c r="B9826" s="56" t="b">
        <v>0</v>
      </c>
      <c r="C9826" s="56" t="b">
        <v>0</v>
      </c>
      <c r="D9826" s="56" t="b">
        <v>0</v>
      </c>
      <c r="E9826" s="56">
        <f ca="1">IF(PV[[#This Row],[Business Date]]=Control!$C$6, PV[[#This Row],[Notional Value Local Cur]], -PV[[#This Row],[Notional Value Local Cur]])</f>
        <v>0</v>
      </c>
    </row>
    <row r="9827" spans="1:5" x14ac:dyDescent="0.25">
      <c r="A9827" s="36" t="b">
        <v>0</v>
      </c>
      <c r="B9827" s="56" t="b">
        <v>0</v>
      </c>
      <c r="C9827" s="56" t="b">
        <v>0</v>
      </c>
      <c r="D9827" s="56" t="b">
        <v>0</v>
      </c>
      <c r="E9827" s="56">
        <f ca="1">IF(PV[[#This Row],[Business Date]]=Control!$C$6, PV[[#This Row],[Notional Value Local Cur]], -PV[[#This Row],[Notional Value Local Cur]])</f>
        <v>0</v>
      </c>
    </row>
    <row r="9828" spans="1:5" x14ac:dyDescent="0.25">
      <c r="A9828" s="36" t="b">
        <v>0</v>
      </c>
      <c r="B9828" s="56" t="b">
        <v>0</v>
      </c>
      <c r="C9828" s="56" t="b">
        <v>0</v>
      </c>
      <c r="D9828" s="56" t="b">
        <v>0</v>
      </c>
      <c r="E9828" s="56">
        <f ca="1">IF(PV[[#This Row],[Business Date]]=Control!$C$6, PV[[#This Row],[Notional Value Local Cur]], -PV[[#This Row],[Notional Value Local Cur]])</f>
        <v>0</v>
      </c>
    </row>
    <row r="9829" spans="1:5" x14ac:dyDescent="0.25">
      <c r="A9829" s="36" t="b">
        <v>0</v>
      </c>
      <c r="B9829" s="56" t="b">
        <v>0</v>
      </c>
      <c r="C9829" s="56" t="b">
        <v>0</v>
      </c>
      <c r="D9829" s="56" t="b">
        <v>0</v>
      </c>
      <c r="E9829" s="56">
        <f ca="1">IF(PV[[#This Row],[Business Date]]=Control!$C$6, PV[[#This Row],[Notional Value Local Cur]], -PV[[#This Row],[Notional Value Local Cur]])</f>
        <v>0</v>
      </c>
    </row>
    <row r="9830" spans="1:5" x14ac:dyDescent="0.25">
      <c r="A9830" s="36" t="b">
        <v>0</v>
      </c>
      <c r="B9830" s="56" t="b">
        <v>0</v>
      </c>
      <c r="C9830" s="56" t="b">
        <v>0</v>
      </c>
      <c r="D9830" s="56" t="b">
        <v>0</v>
      </c>
      <c r="E9830" s="56">
        <f ca="1">IF(PV[[#This Row],[Business Date]]=Control!$C$6, PV[[#This Row],[Notional Value Local Cur]], -PV[[#This Row],[Notional Value Local Cur]])</f>
        <v>0</v>
      </c>
    </row>
    <row r="9831" spans="1:5" x14ac:dyDescent="0.25">
      <c r="A9831" s="36" t="b">
        <v>0</v>
      </c>
      <c r="B9831" s="56" t="b">
        <v>0</v>
      </c>
      <c r="C9831" s="56" t="b">
        <v>0</v>
      </c>
      <c r="D9831" s="56" t="b">
        <v>0</v>
      </c>
      <c r="E9831" s="56">
        <f ca="1">IF(PV[[#This Row],[Business Date]]=Control!$C$6, PV[[#This Row],[Notional Value Local Cur]], -PV[[#This Row],[Notional Value Local Cur]])</f>
        <v>0</v>
      </c>
    </row>
    <row r="9832" spans="1:5" x14ac:dyDescent="0.25">
      <c r="A9832" s="36" t="b">
        <v>0</v>
      </c>
      <c r="B9832" s="56" t="b">
        <v>0</v>
      </c>
      <c r="C9832" s="56" t="b">
        <v>0</v>
      </c>
      <c r="D9832" s="56" t="b">
        <v>0</v>
      </c>
      <c r="E9832" s="56">
        <f ca="1">IF(PV[[#This Row],[Business Date]]=Control!$C$6, PV[[#This Row],[Notional Value Local Cur]], -PV[[#This Row],[Notional Value Local Cur]])</f>
        <v>0</v>
      </c>
    </row>
    <row r="9833" spans="1:5" x14ac:dyDescent="0.25">
      <c r="A9833" s="36" t="b">
        <v>0</v>
      </c>
      <c r="B9833" s="56" t="b">
        <v>0</v>
      </c>
      <c r="C9833" s="56" t="b">
        <v>0</v>
      </c>
      <c r="D9833" s="56" t="b">
        <v>0</v>
      </c>
      <c r="E9833" s="56">
        <f ca="1">IF(PV[[#This Row],[Business Date]]=Control!$C$6, PV[[#This Row],[Notional Value Local Cur]], -PV[[#This Row],[Notional Value Local Cur]])</f>
        <v>0</v>
      </c>
    </row>
    <row r="9834" spans="1:5" x14ac:dyDescent="0.25">
      <c r="A9834" s="36" t="b">
        <v>0</v>
      </c>
      <c r="B9834" s="56" t="b">
        <v>0</v>
      </c>
      <c r="C9834" s="56" t="b">
        <v>0</v>
      </c>
      <c r="D9834" s="56" t="b">
        <v>0</v>
      </c>
      <c r="E9834" s="56">
        <f ca="1">IF(PV[[#This Row],[Business Date]]=Control!$C$6, PV[[#This Row],[Notional Value Local Cur]], -PV[[#This Row],[Notional Value Local Cur]])</f>
        <v>0</v>
      </c>
    </row>
    <row r="9835" spans="1:5" x14ac:dyDescent="0.25">
      <c r="A9835" s="36" t="b">
        <v>0</v>
      </c>
      <c r="B9835" s="56" t="b">
        <v>0</v>
      </c>
      <c r="C9835" s="56" t="b">
        <v>0</v>
      </c>
      <c r="D9835" s="56" t="b">
        <v>0</v>
      </c>
      <c r="E9835" s="56">
        <f ca="1">IF(PV[[#This Row],[Business Date]]=Control!$C$6, PV[[#This Row],[Notional Value Local Cur]], -PV[[#This Row],[Notional Value Local Cur]])</f>
        <v>0</v>
      </c>
    </row>
    <row r="9836" spans="1:5" x14ac:dyDescent="0.25">
      <c r="A9836" s="36" t="b">
        <v>0</v>
      </c>
      <c r="B9836" s="56" t="b">
        <v>0</v>
      </c>
      <c r="C9836" s="56" t="b">
        <v>0</v>
      </c>
      <c r="D9836" s="56" t="b">
        <v>0</v>
      </c>
      <c r="E9836" s="56">
        <f ca="1">IF(PV[[#This Row],[Business Date]]=Control!$C$6, PV[[#This Row],[Notional Value Local Cur]], -PV[[#This Row],[Notional Value Local Cur]])</f>
        <v>0</v>
      </c>
    </row>
    <row r="9837" spans="1:5" x14ac:dyDescent="0.25">
      <c r="A9837" s="36" t="b">
        <v>0</v>
      </c>
      <c r="B9837" s="56" t="b">
        <v>0</v>
      </c>
      <c r="C9837" s="56" t="b">
        <v>0</v>
      </c>
      <c r="D9837" s="56" t="b">
        <v>0</v>
      </c>
      <c r="E9837" s="56">
        <f ca="1">IF(PV[[#This Row],[Business Date]]=Control!$C$6, PV[[#This Row],[Notional Value Local Cur]], -PV[[#This Row],[Notional Value Local Cur]])</f>
        <v>0</v>
      </c>
    </row>
    <row r="9838" spans="1:5" x14ac:dyDescent="0.25">
      <c r="A9838" s="36" t="b">
        <v>0</v>
      </c>
      <c r="B9838" s="56" t="b">
        <v>0</v>
      </c>
      <c r="C9838" s="56" t="b">
        <v>0</v>
      </c>
      <c r="D9838" s="56" t="b">
        <v>0</v>
      </c>
      <c r="E9838" s="56">
        <f ca="1">IF(PV[[#This Row],[Business Date]]=Control!$C$6, PV[[#This Row],[Notional Value Local Cur]], -PV[[#This Row],[Notional Value Local Cur]])</f>
        <v>0</v>
      </c>
    </row>
    <row r="9839" spans="1:5" x14ac:dyDescent="0.25">
      <c r="A9839" s="36" t="b">
        <v>0</v>
      </c>
      <c r="B9839" s="56" t="b">
        <v>0</v>
      </c>
      <c r="C9839" s="56" t="b">
        <v>0</v>
      </c>
      <c r="D9839" s="56" t="b">
        <v>0</v>
      </c>
      <c r="E9839" s="56">
        <f ca="1">IF(PV[[#This Row],[Business Date]]=Control!$C$6, PV[[#This Row],[Notional Value Local Cur]], -PV[[#This Row],[Notional Value Local Cur]])</f>
        <v>0</v>
      </c>
    </row>
    <row r="9840" spans="1:5" x14ac:dyDescent="0.25">
      <c r="A9840" s="36" t="b">
        <v>0</v>
      </c>
      <c r="B9840" s="56" t="b">
        <v>0</v>
      </c>
      <c r="C9840" s="56" t="b">
        <v>0</v>
      </c>
      <c r="D9840" s="56" t="b">
        <v>0</v>
      </c>
      <c r="E9840" s="56">
        <f ca="1">IF(PV[[#This Row],[Business Date]]=Control!$C$6, PV[[#This Row],[Notional Value Local Cur]], -PV[[#This Row],[Notional Value Local Cur]])</f>
        <v>0</v>
      </c>
    </row>
    <row r="9841" spans="1:5" x14ac:dyDescent="0.25">
      <c r="A9841" s="36" t="b">
        <v>0</v>
      </c>
      <c r="B9841" s="56" t="b">
        <v>0</v>
      </c>
      <c r="C9841" s="56" t="b">
        <v>0</v>
      </c>
      <c r="D9841" s="56" t="b">
        <v>0</v>
      </c>
      <c r="E9841" s="56">
        <f ca="1">IF(PV[[#This Row],[Business Date]]=Control!$C$6, PV[[#This Row],[Notional Value Local Cur]], -PV[[#This Row],[Notional Value Local Cur]])</f>
        <v>0</v>
      </c>
    </row>
    <row r="9842" spans="1:5" x14ac:dyDescent="0.25">
      <c r="A9842" s="36" t="b">
        <v>0</v>
      </c>
      <c r="B9842" s="56" t="b">
        <v>0</v>
      </c>
      <c r="C9842" s="56" t="b">
        <v>0</v>
      </c>
      <c r="D9842" s="56" t="b">
        <v>0</v>
      </c>
      <c r="E9842" s="56">
        <f ca="1">IF(PV[[#This Row],[Business Date]]=Control!$C$6, PV[[#This Row],[Notional Value Local Cur]], -PV[[#This Row],[Notional Value Local Cur]])</f>
        <v>0</v>
      </c>
    </row>
    <row r="9843" spans="1:5" x14ac:dyDescent="0.25">
      <c r="A9843" s="36" t="b">
        <v>0</v>
      </c>
      <c r="B9843" s="56" t="b">
        <v>0</v>
      </c>
      <c r="C9843" s="56" t="b">
        <v>0</v>
      </c>
      <c r="D9843" s="56" t="b">
        <v>0</v>
      </c>
      <c r="E9843" s="56">
        <f ca="1">IF(PV[[#This Row],[Business Date]]=Control!$C$6, PV[[#This Row],[Notional Value Local Cur]], -PV[[#This Row],[Notional Value Local Cur]])</f>
        <v>0</v>
      </c>
    </row>
    <row r="9844" spans="1:5" x14ac:dyDescent="0.25">
      <c r="A9844" s="36" t="b">
        <v>0</v>
      </c>
      <c r="B9844" s="56" t="b">
        <v>0</v>
      </c>
      <c r="C9844" s="56" t="b">
        <v>0</v>
      </c>
      <c r="D9844" s="56" t="b">
        <v>0</v>
      </c>
      <c r="E9844" s="56">
        <f ca="1">IF(PV[[#This Row],[Business Date]]=Control!$C$6, PV[[#This Row],[Notional Value Local Cur]], -PV[[#This Row],[Notional Value Local Cur]])</f>
        <v>0</v>
      </c>
    </row>
    <row r="9845" spans="1:5" x14ac:dyDescent="0.25">
      <c r="A9845" s="36" t="b">
        <v>0</v>
      </c>
      <c r="B9845" s="56" t="b">
        <v>0</v>
      </c>
      <c r="C9845" s="56" t="b">
        <v>0</v>
      </c>
      <c r="D9845" s="56" t="b">
        <v>0</v>
      </c>
      <c r="E9845" s="56">
        <f ca="1">IF(PV[[#This Row],[Business Date]]=Control!$C$6, PV[[#This Row],[Notional Value Local Cur]], -PV[[#This Row],[Notional Value Local Cur]])</f>
        <v>0</v>
      </c>
    </row>
    <row r="9846" spans="1:5" x14ac:dyDescent="0.25">
      <c r="A9846" s="36" t="b">
        <v>0</v>
      </c>
      <c r="B9846" s="56" t="b">
        <v>0</v>
      </c>
      <c r="C9846" s="56" t="b">
        <v>0</v>
      </c>
      <c r="D9846" s="56" t="b">
        <v>0</v>
      </c>
      <c r="E9846" s="56">
        <f ca="1">IF(PV[[#This Row],[Business Date]]=Control!$C$6, PV[[#This Row],[Notional Value Local Cur]], -PV[[#This Row],[Notional Value Local Cur]])</f>
        <v>0</v>
      </c>
    </row>
    <row r="9847" spans="1:5" x14ac:dyDescent="0.25">
      <c r="A9847" s="36" t="b">
        <v>0</v>
      </c>
      <c r="B9847" s="56" t="b">
        <v>0</v>
      </c>
      <c r="C9847" s="56" t="b">
        <v>0</v>
      </c>
      <c r="D9847" s="56" t="b">
        <v>0</v>
      </c>
      <c r="E9847" s="56">
        <f ca="1">IF(PV[[#This Row],[Business Date]]=Control!$C$6, PV[[#This Row],[Notional Value Local Cur]], -PV[[#This Row],[Notional Value Local Cur]])</f>
        <v>0</v>
      </c>
    </row>
    <row r="9848" spans="1:5" x14ac:dyDescent="0.25">
      <c r="A9848" s="36" t="b">
        <v>0</v>
      </c>
      <c r="B9848" s="56" t="b">
        <v>0</v>
      </c>
      <c r="C9848" s="56" t="b">
        <v>0</v>
      </c>
      <c r="D9848" s="56" t="b">
        <v>0</v>
      </c>
      <c r="E9848" s="56">
        <f ca="1">IF(PV[[#This Row],[Business Date]]=Control!$C$6, PV[[#This Row],[Notional Value Local Cur]], -PV[[#This Row],[Notional Value Local Cur]])</f>
        <v>0</v>
      </c>
    </row>
    <row r="9849" spans="1:5" x14ac:dyDescent="0.25">
      <c r="A9849" s="36" t="b">
        <v>0</v>
      </c>
      <c r="B9849" s="56" t="b">
        <v>0</v>
      </c>
      <c r="C9849" s="56" t="b">
        <v>0</v>
      </c>
      <c r="D9849" s="56" t="b">
        <v>0</v>
      </c>
      <c r="E9849" s="56">
        <f ca="1">IF(PV[[#This Row],[Business Date]]=Control!$C$6, PV[[#This Row],[Notional Value Local Cur]], -PV[[#This Row],[Notional Value Local Cur]])</f>
        <v>0</v>
      </c>
    </row>
    <row r="9850" spans="1:5" x14ac:dyDescent="0.25">
      <c r="A9850" s="36" t="b">
        <v>0</v>
      </c>
      <c r="B9850" s="56" t="b">
        <v>0</v>
      </c>
      <c r="C9850" s="56" t="b">
        <v>0</v>
      </c>
      <c r="D9850" s="56" t="b">
        <v>0</v>
      </c>
      <c r="E9850" s="56">
        <f ca="1">IF(PV[[#This Row],[Business Date]]=Control!$C$6, PV[[#This Row],[Notional Value Local Cur]], -PV[[#This Row],[Notional Value Local Cur]])</f>
        <v>0</v>
      </c>
    </row>
    <row r="9851" spans="1:5" x14ac:dyDescent="0.25">
      <c r="A9851" s="36" t="b">
        <v>0</v>
      </c>
      <c r="B9851" s="56" t="b">
        <v>0</v>
      </c>
      <c r="C9851" s="56" t="b">
        <v>0</v>
      </c>
      <c r="D9851" s="56" t="b">
        <v>0</v>
      </c>
      <c r="E9851" s="56">
        <f ca="1">IF(PV[[#This Row],[Business Date]]=Control!$C$6, PV[[#This Row],[Notional Value Local Cur]], -PV[[#This Row],[Notional Value Local Cur]])</f>
        <v>0</v>
      </c>
    </row>
    <row r="9852" spans="1:5" x14ac:dyDescent="0.25">
      <c r="A9852" s="36" t="b">
        <v>0</v>
      </c>
      <c r="B9852" s="56" t="b">
        <v>0</v>
      </c>
      <c r="C9852" s="56" t="b">
        <v>0</v>
      </c>
      <c r="D9852" s="56" t="b">
        <v>0</v>
      </c>
      <c r="E9852" s="56">
        <f ca="1">IF(PV[[#This Row],[Business Date]]=Control!$C$6, PV[[#This Row],[Notional Value Local Cur]], -PV[[#This Row],[Notional Value Local Cur]])</f>
        <v>0</v>
      </c>
    </row>
    <row r="9853" spans="1:5" x14ac:dyDescent="0.25">
      <c r="A9853" s="36" t="b">
        <v>0</v>
      </c>
      <c r="B9853" s="56" t="b">
        <v>0</v>
      </c>
      <c r="C9853" s="56" t="b">
        <v>0</v>
      </c>
      <c r="D9853" s="56" t="b">
        <v>0</v>
      </c>
      <c r="E9853" s="56">
        <f ca="1">IF(PV[[#This Row],[Business Date]]=Control!$C$6, PV[[#This Row],[Notional Value Local Cur]], -PV[[#This Row],[Notional Value Local Cur]])</f>
        <v>0</v>
      </c>
    </row>
    <row r="9854" spans="1:5" x14ac:dyDescent="0.25">
      <c r="A9854" s="36" t="b">
        <v>0</v>
      </c>
      <c r="B9854" s="56" t="b">
        <v>0</v>
      </c>
      <c r="C9854" s="56" t="b">
        <v>0</v>
      </c>
      <c r="D9854" s="56" t="b">
        <v>0</v>
      </c>
      <c r="E9854" s="56">
        <f ca="1">IF(PV[[#This Row],[Business Date]]=Control!$C$6, PV[[#This Row],[Notional Value Local Cur]], -PV[[#This Row],[Notional Value Local Cur]])</f>
        <v>0</v>
      </c>
    </row>
    <row r="9855" spans="1:5" x14ac:dyDescent="0.25">
      <c r="A9855" s="36" t="b">
        <v>0</v>
      </c>
      <c r="B9855" s="56" t="b">
        <v>0</v>
      </c>
      <c r="C9855" s="56" t="b">
        <v>0</v>
      </c>
      <c r="D9855" s="56" t="b">
        <v>0</v>
      </c>
      <c r="E9855" s="56">
        <f ca="1">IF(PV[[#This Row],[Business Date]]=Control!$C$6, PV[[#This Row],[Notional Value Local Cur]], -PV[[#This Row],[Notional Value Local Cur]])</f>
        <v>0</v>
      </c>
    </row>
    <row r="9856" spans="1:5" x14ac:dyDescent="0.25">
      <c r="A9856" s="36" t="b">
        <v>0</v>
      </c>
      <c r="B9856" s="56" t="b">
        <v>0</v>
      </c>
      <c r="C9856" s="56" t="b">
        <v>0</v>
      </c>
      <c r="D9856" s="56" t="b">
        <v>0</v>
      </c>
      <c r="E9856" s="56">
        <f ca="1">IF(PV[[#This Row],[Business Date]]=Control!$C$6, PV[[#This Row],[Notional Value Local Cur]], -PV[[#This Row],[Notional Value Local Cur]])</f>
        <v>0</v>
      </c>
    </row>
    <row r="9857" spans="1:5" x14ac:dyDescent="0.25">
      <c r="A9857" s="36" t="b">
        <v>0</v>
      </c>
      <c r="B9857" s="56" t="b">
        <v>0</v>
      </c>
      <c r="C9857" s="56" t="b">
        <v>0</v>
      </c>
      <c r="D9857" s="56" t="b">
        <v>0</v>
      </c>
      <c r="E9857" s="56">
        <f ca="1">IF(PV[[#This Row],[Business Date]]=Control!$C$6, PV[[#This Row],[Notional Value Local Cur]], -PV[[#This Row],[Notional Value Local Cur]])</f>
        <v>0</v>
      </c>
    </row>
    <row r="9858" spans="1:5" x14ac:dyDescent="0.25">
      <c r="A9858" s="36" t="b">
        <v>0</v>
      </c>
      <c r="B9858" s="56" t="b">
        <v>0</v>
      </c>
      <c r="C9858" s="56" t="b">
        <v>0</v>
      </c>
      <c r="D9858" s="56" t="b">
        <v>0</v>
      </c>
      <c r="E9858" s="56">
        <f ca="1">IF(PV[[#This Row],[Business Date]]=Control!$C$6, PV[[#This Row],[Notional Value Local Cur]], -PV[[#This Row],[Notional Value Local Cur]])</f>
        <v>0</v>
      </c>
    </row>
    <row r="9859" spans="1:5" x14ac:dyDescent="0.25">
      <c r="A9859" s="36" t="b">
        <v>0</v>
      </c>
      <c r="B9859" s="56" t="b">
        <v>0</v>
      </c>
      <c r="C9859" s="56" t="b">
        <v>0</v>
      </c>
      <c r="D9859" s="56" t="b">
        <v>0</v>
      </c>
      <c r="E9859" s="56">
        <f ca="1">IF(PV[[#This Row],[Business Date]]=Control!$C$6, PV[[#This Row],[Notional Value Local Cur]], -PV[[#This Row],[Notional Value Local Cur]])</f>
        <v>0</v>
      </c>
    </row>
    <row r="9860" spans="1:5" x14ac:dyDescent="0.25">
      <c r="A9860" s="36" t="b">
        <v>0</v>
      </c>
      <c r="B9860" s="56" t="b">
        <v>0</v>
      </c>
      <c r="C9860" s="56" t="b">
        <v>0</v>
      </c>
      <c r="D9860" s="56" t="b">
        <v>0</v>
      </c>
      <c r="E9860" s="56">
        <f ca="1">IF(PV[[#This Row],[Business Date]]=Control!$C$6, PV[[#This Row],[Notional Value Local Cur]], -PV[[#This Row],[Notional Value Local Cur]])</f>
        <v>0</v>
      </c>
    </row>
    <row r="9861" spans="1:5" x14ac:dyDescent="0.25">
      <c r="A9861" s="36" t="b">
        <v>0</v>
      </c>
      <c r="B9861" s="56" t="b">
        <v>0</v>
      </c>
      <c r="C9861" s="56" t="b">
        <v>0</v>
      </c>
      <c r="D9861" s="56" t="b">
        <v>0</v>
      </c>
      <c r="E9861" s="56">
        <f ca="1">IF(PV[[#This Row],[Business Date]]=Control!$C$6, PV[[#This Row],[Notional Value Local Cur]], -PV[[#This Row],[Notional Value Local Cur]])</f>
        <v>0</v>
      </c>
    </row>
    <row r="9862" spans="1:5" x14ac:dyDescent="0.25">
      <c r="A9862" s="36" t="b">
        <v>0</v>
      </c>
      <c r="B9862" s="56" t="b">
        <v>0</v>
      </c>
      <c r="C9862" s="56" t="b">
        <v>0</v>
      </c>
      <c r="D9862" s="56" t="b">
        <v>0</v>
      </c>
      <c r="E9862" s="56">
        <f ca="1">IF(PV[[#This Row],[Business Date]]=Control!$C$6, PV[[#This Row],[Notional Value Local Cur]], -PV[[#This Row],[Notional Value Local Cur]])</f>
        <v>0</v>
      </c>
    </row>
    <row r="9863" spans="1:5" x14ac:dyDescent="0.25">
      <c r="A9863" s="36" t="b">
        <v>0</v>
      </c>
      <c r="B9863" s="56" t="b">
        <v>0</v>
      </c>
      <c r="C9863" s="56" t="b">
        <v>0</v>
      </c>
      <c r="D9863" s="56" t="b">
        <v>0</v>
      </c>
      <c r="E9863" s="56">
        <f ca="1">IF(PV[[#This Row],[Business Date]]=Control!$C$6, PV[[#This Row],[Notional Value Local Cur]], -PV[[#This Row],[Notional Value Local Cur]])</f>
        <v>0</v>
      </c>
    </row>
    <row r="9864" spans="1:5" x14ac:dyDescent="0.25">
      <c r="A9864" s="36" t="b">
        <v>0</v>
      </c>
      <c r="B9864" s="56" t="b">
        <v>0</v>
      </c>
      <c r="C9864" s="56" t="b">
        <v>0</v>
      </c>
      <c r="D9864" s="56" t="b">
        <v>0</v>
      </c>
      <c r="E9864" s="56">
        <f ca="1">IF(PV[[#This Row],[Business Date]]=Control!$C$6, PV[[#This Row],[Notional Value Local Cur]], -PV[[#This Row],[Notional Value Local Cur]])</f>
        <v>0</v>
      </c>
    </row>
    <row r="9865" spans="1:5" x14ac:dyDescent="0.25">
      <c r="A9865" s="36" t="b">
        <v>0</v>
      </c>
      <c r="B9865" s="56" t="b">
        <v>0</v>
      </c>
      <c r="C9865" s="56" t="b">
        <v>0</v>
      </c>
      <c r="D9865" s="56" t="b">
        <v>0</v>
      </c>
      <c r="E9865" s="56">
        <f ca="1">IF(PV[[#This Row],[Business Date]]=Control!$C$6, PV[[#This Row],[Notional Value Local Cur]], -PV[[#This Row],[Notional Value Local Cur]])</f>
        <v>0</v>
      </c>
    </row>
    <row r="9866" spans="1:5" x14ac:dyDescent="0.25">
      <c r="A9866" s="36" t="b">
        <v>0</v>
      </c>
      <c r="B9866" s="56" t="b">
        <v>0</v>
      </c>
      <c r="C9866" s="56" t="b">
        <v>0</v>
      </c>
      <c r="D9866" s="56" t="b">
        <v>0</v>
      </c>
      <c r="E9866" s="56">
        <f ca="1">IF(PV[[#This Row],[Business Date]]=Control!$C$6, PV[[#This Row],[Notional Value Local Cur]], -PV[[#This Row],[Notional Value Local Cur]])</f>
        <v>0</v>
      </c>
    </row>
    <row r="9867" spans="1:5" x14ac:dyDescent="0.25">
      <c r="A9867" s="36" t="b">
        <v>0</v>
      </c>
      <c r="B9867" s="56" t="b">
        <v>0</v>
      </c>
      <c r="C9867" s="56" t="b">
        <v>0</v>
      </c>
      <c r="D9867" s="56" t="b">
        <v>0</v>
      </c>
      <c r="E9867" s="56">
        <f ca="1">IF(PV[[#This Row],[Business Date]]=Control!$C$6, PV[[#This Row],[Notional Value Local Cur]], -PV[[#This Row],[Notional Value Local Cur]])</f>
        <v>0</v>
      </c>
    </row>
    <row r="9868" spans="1:5" x14ac:dyDescent="0.25">
      <c r="A9868" s="36" t="b">
        <v>0</v>
      </c>
      <c r="B9868" s="56" t="b">
        <v>0</v>
      </c>
      <c r="C9868" s="56" t="b">
        <v>0</v>
      </c>
      <c r="D9868" s="56" t="b">
        <v>0</v>
      </c>
      <c r="E9868" s="56">
        <f ca="1">IF(PV[[#This Row],[Business Date]]=Control!$C$6, PV[[#This Row],[Notional Value Local Cur]], -PV[[#This Row],[Notional Value Local Cur]])</f>
        <v>0</v>
      </c>
    </row>
    <row r="9869" spans="1:5" x14ac:dyDescent="0.25">
      <c r="A9869" s="36" t="b">
        <v>0</v>
      </c>
      <c r="B9869" s="56" t="b">
        <v>0</v>
      </c>
      <c r="C9869" s="56" t="b">
        <v>0</v>
      </c>
      <c r="D9869" s="56" t="b">
        <v>0</v>
      </c>
      <c r="E9869" s="56">
        <f ca="1">IF(PV[[#This Row],[Business Date]]=Control!$C$6, PV[[#This Row],[Notional Value Local Cur]], -PV[[#This Row],[Notional Value Local Cur]])</f>
        <v>0</v>
      </c>
    </row>
    <row r="9870" spans="1:5" x14ac:dyDescent="0.25">
      <c r="A9870" s="36" t="b">
        <v>0</v>
      </c>
      <c r="B9870" s="56" t="b">
        <v>0</v>
      </c>
      <c r="C9870" s="56" t="b">
        <v>0</v>
      </c>
      <c r="D9870" s="56" t="b">
        <v>0</v>
      </c>
      <c r="E9870" s="56">
        <f ca="1">IF(PV[[#This Row],[Business Date]]=Control!$C$6, PV[[#This Row],[Notional Value Local Cur]], -PV[[#This Row],[Notional Value Local Cur]])</f>
        <v>0</v>
      </c>
    </row>
    <row r="9871" spans="1:5" x14ac:dyDescent="0.25">
      <c r="A9871" s="36" t="b">
        <v>0</v>
      </c>
      <c r="B9871" s="56" t="b">
        <v>0</v>
      </c>
      <c r="C9871" s="56" t="b">
        <v>0</v>
      </c>
      <c r="D9871" s="56" t="b">
        <v>0</v>
      </c>
      <c r="E9871" s="56">
        <f ca="1">IF(PV[[#This Row],[Business Date]]=Control!$C$6, PV[[#This Row],[Notional Value Local Cur]], -PV[[#This Row],[Notional Value Local Cur]])</f>
        <v>0</v>
      </c>
    </row>
    <row r="9872" spans="1:5" x14ac:dyDescent="0.25">
      <c r="A9872" s="36" t="b">
        <v>0</v>
      </c>
      <c r="B9872" s="56" t="b">
        <v>0</v>
      </c>
      <c r="C9872" s="56" t="b">
        <v>0</v>
      </c>
      <c r="D9872" s="56" t="b">
        <v>0</v>
      </c>
      <c r="E9872" s="56">
        <f ca="1">IF(PV[[#This Row],[Business Date]]=Control!$C$6, PV[[#This Row],[Notional Value Local Cur]], -PV[[#This Row],[Notional Value Local Cur]])</f>
        <v>0</v>
      </c>
    </row>
    <row r="9873" spans="1:5" x14ac:dyDescent="0.25">
      <c r="A9873" s="36" t="b">
        <v>0</v>
      </c>
      <c r="B9873" s="56" t="b">
        <v>0</v>
      </c>
      <c r="C9873" s="56" t="b">
        <v>0</v>
      </c>
      <c r="D9873" s="56" t="b">
        <v>0</v>
      </c>
      <c r="E9873" s="56">
        <f ca="1">IF(PV[[#This Row],[Business Date]]=Control!$C$6, PV[[#This Row],[Notional Value Local Cur]], -PV[[#This Row],[Notional Value Local Cur]])</f>
        <v>0</v>
      </c>
    </row>
    <row r="9874" spans="1:5" x14ac:dyDescent="0.25">
      <c r="A9874" s="36" t="b">
        <v>0</v>
      </c>
      <c r="B9874" s="56" t="b">
        <v>0</v>
      </c>
      <c r="C9874" s="56" t="b">
        <v>0</v>
      </c>
      <c r="D9874" s="56" t="b">
        <v>0</v>
      </c>
      <c r="E9874" s="56">
        <f ca="1">IF(PV[[#This Row],[Business Date]]=Control!$C$6, PV[[#This Row],[Notional Value Local Cur]], -PV[[#This Row],[Notional Value Local Cur]])</f>
        <v>0</v>
      </c>
    </row>
    <row r="9875" spans="1:5" x14ac:dyDescent="0.25">
      <c r="A9875" s="36" t="b">
        <v>0</v>
      </c>
      <c r="B9875" s="56" t="b">
        <v>0</v>
      </c>
      <c r="C9875" s="56" t="b">
        <v>0</v>
      </c>
      <c r="D9875" s="56" t="b">
        <v>0</v>
      </c>
      <c r="E9875" s="56">
        <f ca="1">IF(PV[[#This Row],[Business Date]]=Control!$C$6, PV[[#This Row],[Notional Value Local Cur]], -PV[[#This Row],[Notional Value Local Cur]])</f>
        <v>0</v>
      </c>
    </row>
    <row r="9876" spans="1:5" x14ac:dyDescent="0.25">
      <c r="A9876" s="36" t="b">
        <v>0</v>
      </c>
      <c r="B9876" s="56" t="b">
        <v>0</v>
      </c>
      <c r="C9876" s="56" t="b">
        <v>0</v>
      </c>
      <c r="D9876" s="56" t="b">
        <v>0</v>
      </c>
      <c r="E9876" s="56">
        <f ca="1">IF(PV[[#This Row],[Business Date]]=Control!$C$6, PV[[#This Row],[Notional Value Local Cur]], -PV[[#This Row],[Notional Value Local Cur]])</f>
        <v>0</v>
      </c>
    </row>
    <row r="9877" spans="1:5" x14ac:dyDescent="0.25">
      <c r="A9877" s="36" t="b">
        <v>0</v>
      </c>
      <c r="B9877" s="56" t="b">
        <v>0</v>
      </c>
      <c r="C9877" s="56" t="b">
        <v>0</v>
      </c>
      <c r="D9877" s="56" t="b">
        <v>0</v>
      </c>
      <c r="E9877" s="56">
        <f ca="1">IF(PV[[#This Row],[Business Date]]=Control!$C$6, PV[[#This Row],[Notional Value Local Cur]], -PV[[#This Row],[Notional Value Local Cur]])</f>
        <v>0</v>
      </c>
    </row>
    <row r="9878" spans="1:5" x14ac:dyDescent="0.25">
      <c r="A9878" s="36" t="b">
        <v>0</v>
      </c>
      <c r="B9878" s="56" t="b">
        <v>0</v>
      </c>
      <c r="C9878" s="56" t="b">
        <v>0</v>
      </c>
      <c r="D9878" s="56" t="b">
        <v>0</v>
      </c>
      <c r="E9878" s="56">
        <f ca="1">IF(PV[[#This Row],[Business Date]]=Control!$C$6, PV[[#This Row],[Notional Value Local Cur]], -PV[[#This Row],[Notional Value Local Cur]])</f>
        <v>0</v>
      </c>
    </row>
    <row r="9879" spans="1:5" x14ac:dyDescent="0.25">
      <c r="A9879" s="36" t="b">
        <v>0</v>
      </c>
      <c r="B9879" s="56" t="b">
        <v>0</v>
      </c>
      <c r="C9879" s="56" t="b">
        <v>0</v>
      </c>
      <c r="D9879" s="56" t="b">
        <v>0</v>
      </c>
      <c r="E9879" s="56">
        <f ca="1">IF(PV[[#This Row],[Business Date]]=Control!$C$6, PV[[#This Row],[Notional Value Local Cur]], -PV[[#This Row],[Notional Value Local Cur]])</f>
        <v>0</v>
      </c>
    </row>
    <row r="9880" spans="1:5" x14ac:dyDescent="0.25">
      <c r="A9880" s="36" t="b">
        <v>0</v>
      </c>
      <c r="B9880" s="56" t="b">
        <v>0</v>
      </c>
      <c r="C9880" s="56" t="b">
        <v>0</v>
      </c>
      <c r="D9880" s="56" t="b">
        <v>0</v>
      </c>
      <c r="E9880" s="56">
        <f ca="1">IF(PV[[#This Row],[Business Date]]=Control!$C$6, PV[[#This Row],[Notional Value Local Cur]], -PV[[#This Row],[Notional Value Local Cur]])</f>
        <v>0</v>
      </c>
    </row>
    <row r="9881" spans="1:5" x14ac:dyDescent="0.25">
      <c r="A9881" s="36" t="b">
        <v>0</v>
      </c>
      <c r="B9881" s="56" t="b">
        <v>0</v>
      </c>
      <c r="C9881" s="56" t="b">
        <v>0</v>
      </c>
      <c r="D9881" s="56" t="b">
        <v>0</v>
      </c>
      <c r="E9881" s="56">
        <f ca="1">IF(PV[[#This Row],[Business Date]]=Control!$C$6, PV[[#This Row],[Notional Value Local Cur]], -PV[[#This Row],[Notional Value Local Cur]])</f>
        <v>0</v>
      </c>
    </row>
    <row r="9882" spans="1:5" x14ac:dyDescent="0.25">
      <c r="A9882" s="36" t="b">
        <v>0</v>
      </c>
      <c r="B9882" s="56" t="b">
        <v>0</v>
      </c>
      <c r="C9882" s="56" t="b">
        <v>0</v>
      </c>
      <c r="D9882" s="56" t="b">
        <v>0</v>
      </c>
      <c r="E9882" s="56">
        <f ca="1">IF(PV[[#This Row],[Business Date]]=Control!$C$6, PV[[#This Row],[Notional Value Local Cur]], -PV[[#This Row],[Notional Value Local Cur]])</f>
        <v>0</v>
      </c>
    </row>
    <row r="9883" spans="1:5" x14ac:dyDescent="0.25">
      <c r="A9883" s="36" t="b">
        <v>0</v>
      </c>
      <c r="B9883" s="56" t="b">
        <v>0</v>
      </c>
      <c r="C9883" s="56" t="b">
        <v>0</v>
      </c>
      <c r="D9883" s="56" t="b">
        <v>0</v>
      </c>
      <c r="E9883" s="56">
        <f ca="1">IF(PV[[#This Row],[Business Date]]=Control!$C$6, PV[[#This Row],[Notional Value Local Cur]], -PV[[#This Row],[Notional Value Local Cur]])</f>
        <v>0</v>
      </c>
    </row>
    <row r="9884" spans="1:5" x14ac:dyDescent="0.25">
      <c r="A9884" s="36" t="b">
        <v>0</v>
      </c>
      <c r="B9884" s="56" t="b">
        <v>0</v>
      </c>
      <c r="C9884" s="56" t="b">
        <v>0</v>
      </c>
      <c r="D9884" s="56" t="b">
        <v>0</v>
      </c>
      <c r="E9884" s="56">
        <f ca="1">IF(PV[[#This Row],[Business Date]]=Control!$C$6, PV[[#This Row],[Notional Value Local Cur]], -PV[[#This Row],[Notional Value Local Cur]])</f>
        <v>0</v>
      </c>
    </row>
    <row r="9885" spans="1:5" x14ac:dyDescent="0.25">
      <c r="A9885" s="36" t="b">
        <v>0</v>
      </c>
      <c r="B9885" s="56" t="b">
        <v>0</v>
      </c>
      <c r="C9885" s="56" t="b">
        <v>0</v>
      </c>
      <c r="D9885" s="56" t="b">
        <v>0</v>
      </c>
      <c r="E9885" s="56">
        <f ca="1">IF(PV[[#This Row],[Business Date]]=Control!$C$6, PV[[#This Row],[Notional Value Local Cur]], -PV[[#This Row],[Notional Value Local Cur]])</f>
        <v>0</v>
      </c>
    </row>
    <row r="9886" spans="1:5" x14ac:dyDescent="0.25">
      <c r="A9886" s="36" t="b">
        <v>0</v>
      </c>
      <c r="B9886" s="56" t="b">
        <v>0</v>
      </c>
      <c r="C9886" s="56" t="b">
        <v>0</v>
      </c>
      <c r="D9886" s="56" t="b">
        <v>0</v>
      </c>
      <c r="E9886" s="56">
        <f ca="1">IF(PV[[#This Row],[Business Date]]=Control!$C$6, PV[[#This Row],[Notional Value Local Cur]], -PV[[#This Row],[Notional Value Local Cur]])</f>
        <v>0</v>
      </c>
    </row>
    <row r="9887" spans="1:5" x14ac:dyDescent="0.25">
      <c r="A9887" s="36" t="b">
        <v>0</v>
      </c>
      <c r="B9887" s="56" t="b">
        <v>0</v>
      </c>
      <c r="C9887" s="56" t="b">
        <v>0</v>
      </c>
      <c r="D9887" s="56" t="b">
        <v>0</v>
      </c>
      <c r="E9887" s="56">
        <f ca="1">IF(PV[[#This Row],[Business Date]]=Control!$C$6, PV[[#This Row],[Notional Value Local Cur]], -PV[[#This Row],[Notional Value Local Cur]])</f>
        <v>0</v>
      </c>
    </row>
    <row r="9888" spans="1:5" x14ac:dyDescent="0.25">
      <c r="A9888" s="36" t="b">
        <v>0</v>
      </c>
      <c r="B9888" s="56" t="b">
        <v>0</v>
      </c>
      <c r="C9888" s="56" t="b">
        <v>0</v>
      </c>
      <c r="D9888" s="56" t="b">
        <v>0</v>
      </c>
      <c r="E9888" s="56">
        <f ca="1">IF(PV[[#This Row],[Business Date]]=Control!$C$6, PV[[#This Row],[Notional Value Local Cur]], -PV[[#This Row],[Notional Value Local Cur]])</f>
        <v>0</v>
      </c>
    </row>
    <row r="9889" spans="1:5" x14ac:dyDescent="0.25">
      <c r="A9889" s="36" t="b">
        <v>0</v>
      </c>
      <c r="B9889" s="56" t="b">
        <v>0</v>
      </c>
      <c r="C9889" s="56" t="b">
        <v>0</v>
      </c>
      <c r="D9889" s="56" t="b">
        <v>0</v>
      </c>
      <c r="E9889" s="56">
        <f ca="1">IF(PV[[#This Row],[Business Date]]=Control!$C$6, PV[[#This Row],[Notional Value Local Cur]], -PV[[#This Row],[Notional Value Local Cur]])</f>
        <v>0</v>
      </c>
    </row>
    <row r="9890" spans="1:5" x14ac:dyDescent="0.25">
      <c r="A9890" s="36" t="b">
        <v>0</v>
      </c>
      <c r="B9890" s="56" t="b">
        <v>0</v>
      </c>
      <c r="C9890" s="56" t="b">
        <v>0</v>
      </c>
      <c r="D9890" s="56" t="b">
        <v>0</v>
      </c>
      <c r="E9890" s="56">
        <f ca="1">IF(PV[[#This Row],[Business Date]]=Control!$C$6, PV[[#This Row],[Notional Value Local Cur]], -PV[[#This Row],[Notional Value Local Cur]])</f>
        <v>0</v>
      </c>
    </row>
    <row r="9891" spans="1:5" x14ac:dyDescent="0.25">
      <c r="A9891" s="36" t="b">
        <v>0</v>
      </c>
      <c r="B9891" s="56" t="b">
        <v>0</v>
      </c>
      <c r="C9891" s="56" t="b">
        <v>0</v>
      </c>
      <c r="D9891" s="56" t="b">
        <v>0</v>
      </c>
      <c r="E9891" s="56">
        <f ca="1">IF(PV[[#This Row],[Business Date]]=Control!$C$6, PV[[#This Row],[Notional Value Local Cur]], -PV[[#This Row],[Notional Value Local Cur]])</f>
        <v>0</v>
      </c>
    </row>
    <row r="9892" spans="1:5" x14ac:dyDescent="0.25">
      <c r="A9892" s="36" t="b">
        <v>0</v>
      </c>
      <c r="B9892" s="56" t="b">
        <v>0</v>
      </c>
      <c r="C9892" s="56" t="b">
        <v>0</v>
      </c>
      <c r="D9892" s="56" t="b">
        <v>0</v>
      </c>
      <c r="E9892" s="56">
        <f ca="1">IF(PV[[#This Row],[Business Date]]=Control!$C$6, PV[[#This Row],[Notional Value Local Cur]], -PV[[#This Row],[Notional Value Local Cur]])</f>
        <v>0</v>
      </c>
    </row>
    <row r="9893" spans="1:5" x14ac:dyDescent="0.25">
      <c r="A9893" s="36" t="b">
        <v>0</v>
      </c>
      <c r="B9893" s="56" t="b">
        <v>0</v>
      </c>
      <c r="C9893" s="56" t="b">
        <v>0</v>
      </c>
      <c r="D9893" s="56" t="b">
        <v>0</v>
      </c>
      <c r="E9893" s="56">
        <f ca="1">IF(PV[[#This Row],[Business Date]]=Control!$C$6, PV[[#This Row],[Notional Value Local Cur]], -PV[[#This Row],[Notional Value Local Cur]])</f>
        <v>0</v>
      </c>
    </row>
    <row r="9894" spans="1:5" x14ac:dyDescent="0.25">
      <c r="A9894" s="36" t="b">
        <v>0</v>
      </c>
      <c r="B9894" s="56" t="b">
        <v>0</v>
      </c>
      <c r="C9894" s="56" t="b">
        <v>0</v>
      </c>
      <c r="D9894" s="56" t="b">
        <v>0</v>
      </c>
      <c r="E9894" s="56">
        <f ca="1">IF(PV[[#This Row],[Business Date]]=Control!$C$6, PV[[#This Row],[Notional Value Local Cur]], -PV[[#This Row],[Notional Value Local Cur]])</f>
        <v>0</v>
      </c>
    </row>
    <row r="9895" spans="1:5" x14ac:dyDescent="0.25">
      <c r="A9895" s="36" t="b">
        <v>0</v>
      </c>
      <c r="B9895" s="56" t="b">
        <v>0</v>
      </c>
      <c r="C9895" s="56" t="b">
        <v>0</v>
      </c>
      <c r="D9895" s="56" t="b">
        <v>0</v>
      </c>
      <c r="E9895" s="56">
        <f ca="1">IF(PV[[#This Row],[Business Date]]=Control!$C$6, PV[[#This Row],[Notional Value Local Cur]], -PV[[#This Row],[Notional Value Local Cur]])</f>
        <v>0</v>
      </c>
    </row>
    <row r="9896" spans="1:5" x14ac:dyDescent="0.25">
      <c r="A9896" s="36" t="b">
        <v>0</v>
      </c>
      <c r="B9896" s="56" t="b">
        <v>0</v>
      </c>
      <c r="C9896" s="56" t="b">
        <v>0</v>
      </c>
      <c r="D9896" s="56" t="b">
        <v>0</v>
      </c>
      <c r="E9896" s="56">
        <f ca="1">IF(PV[[#This Row],[Business Date]]=Control!$C$6, PV[[#This Row],[Notional Value Local Cur]], -PV[[#This Row],[Notional Value Local Cur]])</f>
        <v>0</v>
      </c>
    </row>
    <row r="9897" spans="1:5" x14ac:dyDescent="0.25">
      <c r="A9897" s="36" t="b">
        <v>0</v>
      </c>
      <c r="B9897" s="56" t="b">
        <v>0</v>
      </c>
      <c r="C9897" s="56" t="b">
        <v>0</v>
      </c>
      <c r="D9897" s="56" t="b">
        <v>0</v>
      </c>
      <c r="E9897" s="56">
        <f ca="1">IF(PV[[#This Row],[Business Date]]=Control!$C$6, PV[[#This Row],[Notional Value Local Cur]], -PV[[#This Row],[Notional Value Local Cur]])</f>
        <v>0</v>
      </c>
    </row>
    <row r="9898" spans="1:5" x14ac:dyDescent="0.25">
      <c r="A9898" s="36" t="b">
        <v>0</v>
      </c>
      <c r="B9898" s="56" t="b">
        <v>0</v>
      </c>
      <c r="C9898" s="56" t="b">
        <v>0</v>
      </c>
      <c r="D9898" s="56" t="b">
        <v>0</v>
      </c>
      <c r="E9898" s="56">
        <f ca="1">IF(PV[[#This Row],[Business Date]]=Control!$C$6, PV[[#This Row],[Notional Value Local Cur]], -PV[[#This Row],[Notional Value Local Cur]])</f>
        <v>0</v>
      </c>
    </row>
    <row r="9899" spans="1:5" x14ac:dyDescent="0.25">
      <c r="A9899" s="36" t="b">
        <v>0</v>
      </c>
      <c r="B9899" s="56" t="b">
        <v>0</v>
      </c>
      <c r="C9899" s="56" t="b">
        <v>0</v>
      </c>
      <c r="D9899" s="56" t="b">
        <v>0</v>
      </c>
      <c r="E9899" s="56">
        <f ca="1">IF(PV[[#This Row],[Business Date]]=Control!$C$6, PV[[#This Row],[Notional Value Local Cur]], -PV[[#This Row],[Notional Value Local Cur]])</f>
        <v>0</v>
      </c>
    </row>
    <row r="9900" spans="1:5" x14ac:dyDescent="0.25">
      <c r="A9900" s="36" t="b">
        <v>0</v>
      </c>
      <c r="B9900" s="56" t="b">
        <v>0</v>
      </c>
      <c r="C9900" s="56" t="b">
        <v>0</v>
      </c>
      <c r="D9900" s="56" t="b">
        <v>0</v>
      </c>
      <c r="E9900" s="56">
        <f ca="1">IF(PV[[#This Row],[Business Date]]=Control!$C$6, PV[[#This Row],[Notional Value Local Cur]], -PV[[#This Row],[Notional Value Local Cur]])</f>
        <v>0</v>
      </c>
    </row>
    <row r="9901" spans="1:5" x14ac:dyDescent="0.25">
      <c r="A9901" s="36" t="b">
        <v>0</v>
      </c>
      <c r="B9901" s="56" t="b">
        <v>0</v>
      </c>
      <c r="C9901" s="56" t="b">
        <v>0</v>
      </c>
      <c r="D9901" s="56" t="b">
        <v>0</v>
      </c>
      <c r="E9901" s="56">
        <f ca="1">IF(PV[[#This Row],[Business Date]]=Control!$C$6, PV[[#This Row],[Notional Value Local Cur]], -PV[[#This Row],[Notional Value Local Cur]])</f>
        <v>0</v>
      </c>
    </row>
    <row r="9902" spans="1:5" x14ac:dyDescent="0.25">
      <c r="A9902" s="36" t="b">
        <v>0</v>
      </c>
      <c r="B9902" s="56" t="b">
        <v>0</v>
      </c>
      <c r="C9902" s="56" t="b">
        <v>0</v>
      </c>
      <c r="D9902" s="56" t="b">
        <v>0</v>
      </c>
      <c r="E9902" s="56">
        <f ca="1">IF(PV[[#This Row],[Business Date]]=Control!$C$6, PV[[#This Row],[Notional Value Local Cur]], -PV[[#This Row],[Notional Value Local Cur]])</f>
        <v>0</v>
      </c>
    </row>
    <row r="9903" spans="1:5" x14ac:dyDescent="0.25">
      <c r="A9903" s="36" t="b">
        <v>0</v>
      </c>
      <c r="B9903" s="56" t="b">
        <v>0</v>
      </c>
      <c r="C9903" s="56" t="b">
        <v>0</v>
      </c>
      <c r="D9903" s="56" t="b">
        <v>0</v>
      </c>
      <c r="E9903" s="56">
        <f ca="1">IF(PV[[#This Row],[Business Date]]=Control!$C$6, PV[[#This Row],[Notional Value Local Cur]], -PV[[#This Row],[Notional Value Local Cur]])</f>
        <v>0</v>
      </c>
    </row>
    <row r="9904" spans="1:5" x14ac:dyDescent="0.25">
      <c r="A9904" s="36" t="b">
        <v>0</v>
      </c>
      <c r="B9904" s="56" t="b">
        <v>0</v>
      </c>
      <c r="C9904" s="56" t="b">
        <v>0</v>
      </c>
      <c r="D9904" s="56" t="b">
        <v>0</v>
      </c>
      <c r="E9904" s="56">
        <f ca="1">IF(PV[[#This Row],[Business Date]]=Control!$C$6, PV[[#This Row],[Notional Value Local Cur]], -PV[[#This Row],[Notional Value Local Cur]])</f>
        <v>0</v>
      </c>
    </row>
    <row r="9905" spans="1:5" x14ac:dyDescent="0.25">
      <c r="A9905" s="36" t="b">
        <v>0</v>
      </c>
      <c r="B9905" s="56" t="b">
        <v>0</v>
      </c>
      <c r="C9905" s="56" t="b">
        <v>0</v>
      </c>
      <c r="D9905" s="56" t="b">
        <v>0</v>
      </c>
      <c r="E9905" s="56">
        <f ca="1">IF(PV[[#This Row],[Business Date]]=Control!$C$6, PV[[#This Row],[Notional Value Local Cur]], -PV[[#This Row],[Notional Value Local Cur]])</f>
        <v>0</v>
      </c>
    </row>
    <row r="9906" spans="1:5" x14ac:dyDescent="0.25">
      <c r="A9906" s="36" t="b">
        <v>0</v>
      </c>
      <c r="B9906" s="56" t="b">
        <v>0</v>
      </c>
      <c r="C9906" s="56" t="b">
        <v>0</v>
      </c>
      <c r="D9906" s="56" t="b">
        <v>0</v>
      </c>
      <c r="E9906" s="56">
        <f ca="1">IF(PV[[#This Row],[Business Date]]=Control!$C$6, PV[[#This Row],[Notional Value Local Cur]], -PV[[#This Row],[Notional Value Local Cur]])</f>
        <v>0</v>
      </c>
    </row>
    <row r="9907" spans="1:5" x14ac:dyDescent="0.25">
      <c r="A9907" s="36" t="b">
        <v>0</v>
      </c>
      <c r="B9907" s="56" t="b">
        <v>0</v>
      </c>
      <c r="C9907" s="56" t="b">
        <v>0</v>
      </c>
      <c r="D9907" s="56" t="b">
        <v>0</v>
      </c>
      <c r="E9907" s="56">
        <f ca="1">IF(PV[[#This Row],[Business Date]]=Control!$C$6, PV[[#This Row],[Notional Value Local Cur]], -PV[[#This Row],[Notional Value Local Cur]])</f>
        <v>0</v>
      </c>
    </row>
    <row r="9908" spans="1:5" x14ac:dyDescent="0.25">
      <c r="A9908" s="36" t="b">
        <v>0</v>
      </c>
      <c r="B9908" s="56" t="b">
        <v>0</v>
      </c>
      <c r="C9908" s="56" t="b">
        <v>0</v>
      </c>
      <c r="D9908" s="56" t="b">
        <v>0</v>
      </c>
      <c r="E9908" s="56">
        <f ca="1">IF(PV[[#This Row],[Business Date]]=Control!$C$6, PV[[#This Row],[Notional Value Local Cur]], -PV[[#This Row],[Notional Value Local Cur]])</f>
        <v>0</v>
      </c>
    </row>
    <row r="9909" spans="1:5" x14ac:dyDescent="0.25">
      <c r="A9909" s="36" t="b">
        <v>0</v>
      </c>
      <c r="B9909" s="56" t="b">
        <v>0</v>
      </c>
      <c r="C9909" s="56" t="b">
        <v>0</v>
      </c>
      <c r="D9909" s="56" t="b">
        <v>0</v>
      </c>
      <c r="E9909" s="56">
        <f ca="1">IF(PV[[#This Row],[Business Date]]=Control!$C$6, PV[[#This Row],[Notional Value Local Cur]], -PV[[#This Row],[Notional Value Local Cur]])</f>
        <v>0</v>
      </c>
    </row>
    <row r="9910" spans="1:5" x14ac:dyDescent="0.25">
      <c r="A9910" s="36" t="b">
        <v>0</v>
      </c>
      <c r="B9910" s="56" t="b">
        <v>0</v>
      </c>
      <c r="C9910" s="56" t="b">
        <v>0</v>
      </c>
      <c r="D9910" s="56" t="b">
        <v>0</v>
      </c>
      <c r="E9910" s="56">
        <f ca="1">IF(PV[[#This Row],[Business Date]]=Control!$C$6, PV[[#This Row],[Notional Value Local Cur]], -PV[[#This Row],[Notional Value Local Cur]])</f>
        <v>0</v>
      </c>
    </row>
    <row r="9911" spans="1:5" x14ac:dyDescent="0.25">
      <c r="A9911" s="36" t="b">
        <v>0</v>
      </c>
      <c r="B9911" s="56" t="b">
        <v>0</v>
      </c>
      <c r="C9911" s="56" t="b">
        <v>0</v>
      </c>
      <c r="D9911" s="56" t="b">
        <v>0</v>
      </c>
      <c r="E9911" s="56">
        <f ca="1">IF(PV[[#This Row],[Business Date]]=Control!$C$6, PV[[#This Row],[Notional Value Local Cur]], -PV[[#This Row],[Notional Value Local Cur]])</f>
        <v>0</v>
      </c>
    </row>
    <row r="9912" spans="1:5" x14ac:dyDescent="0.25">
      <c r="A9912" s="36" t="b">
        <v>0</v>
      </c>
      <c r="B9912" s="56" t="b">
        <v>0</v>
      </c>
      <c r="C9912" s="56" t="b">
        <v>0</v>
      </c>
      <c r="D9912" s="56" t="b">
        <v>0</v>
      </c>
      <c r="E9912" s="56">
        <f ca="1">IF(PV[[#This Row],[Business Date]]=Control!$C$6, PV[[#This Row],[Notional Value Local Cur]], -PV[[#This Row],[Notional Value Local Cur]])</f>
        <v>0</v>
      </c>
    </row>
    <row r="9913" spans="1:5" x14ac:dyDescent="0.25">
      <c r="A9913" s="36" t="b">
        <v>0</v>
      </c>
      <c r="B9913" s="56" t="b">
        <v>0</v>
      </c>
      <c r="C9913" s="56" t="b">
        <v>0</v>
      </c>
      <c r="D9913" s="56" t="b">
        <v>0</v>
      </c>
      <c r="E9913" s="56">
        <f ca="1">IF(PV[[#This Row],[Business Date]]=Control!$C$6, PV[[#This Row],[Notional Value Local Cur]], -PV[[#This Row],[Notional Value Local Cur]])</f>
        <v>0</v>
      </c>
    </row>
    <row r="9914" spans="1:5" x14ac:dyDescent="0.25">
      <c r="A9914" s="36" t="b">
        <v>0</v>
      </c>
      <c r="B9914" s="56" t="b">
        <v>0</v>
      </c>
      <c r="C9914" s="56" t="b">
        <v>0</v>
      </c>
      <c r="D9914" s="56" t="b">
        <v>0</v>
      </c>
      <c r="E9914" s="56">
        <f ca="1">IF(PV[[#This Row],[Business Date]]=Control!$C$6, PV[[#This Row],[Notional Value Local Cur]], -PV[[#This Row],[Notional Value Local Cur]])</f>
        <v>0</v>
      </c>
    </row>
    <row r="9915" spans="1:5" x14ac:dyDescent="0.25">
      <c r="A9915" s="36" t="b">
        <v>0</v>
      </c>
      <c r="B9915" s="56" t="b">
        <v>0</v>
      </c>
      <c r="C9915" s="56" t="b">
        <v>0</v>
      </c>
      <c r="D9915" s="56" t="b">
        <v>0</v>
      </c>
      <c r="E9915" s="56">
        <f ca="1">IF(PV[[#This Row],[Business Date]]=Control!$C$6, PV[[#This Row],[Notional Value Local Cur]], -PV[[#This Row],[Notional Value Local Cur]])</f>
        <v>0</v>
      </c>
    </row>
    <row r="9916" spans="1:5" x14ac:dyDescent="0.25">
      <c r="A9916" s="36" t="b">
        <v>0</v>
      </c>
      <c r="B9916" s="56" t="b">
        <v>0</v>
      </c>
      <c r="C9916" s="56" t="b">
        <v>0</v>
      </c>
      <c r="D9916" s="56" t="b">
        <v>0</v>
      </c>
      <c r="E9916" s="56">
        <f ca="1">IF(PV[[#This Row],[Business Date]]=Control!$C$6, PV[[#This Row],[Notional Value Local Cur]], -PV[[#This Row],[Notional Value Local Cur]])</f>
        <v>0</v>
      </c>
    </row>
    <row r="9917" spans="1:5" x14ac:dyDescent="0.25">
      <c r="A9917" s="36" t="b">
        <v>0</v>
      </c>
      <c r="B9917" s="56" t="b">
        <v>0</v>
      </c>
      <c r="C9917" s="56" t="b">
        <v>0</v>
      </c>
      <c r="D9917" s="56" t="b">
        <v>0</v>
      </c>
      <c r="E9917" s="56">
        <f ca="1">IF(PV[[#This Row],[Business Date]]=Control!$C$6, PV[[#This Row],[Notional Value Local Cur]], -PV[[#This Row],[Notional Value Local Cur]])</f>
        <v>0</v>
      </c>
    </row>
    <row r="9918" spans="1:5" x14ac:dyDescent="0.25">
      <c r="A9918" s="36" t="b">
        <v>0</v>
      </c>
      <c r="B9918" s="56" t="b">
        <v>0</v>
      </c>
      <c r="C9918" s="56" t="b">
        <v>0</v>
      </c>
      <c r="D9918" s="56" t="b">
        <v>0</v>
      </c>
      <c r="E9918" s="56">
        <f ca="1">IF(PV[[#This Row],[Business Date]]=Control!$C$6, PV[[#This Row],[Notional Value Local Cur]], -PV[[#This Row],[Notional Value Local Cur]])</f>
        <v>0</v>
      </c>
    </row>
    <row r="9919" spans="1:5" x14ac:dyDescent="0.25">
      <c r="A9919" s="36" t="b">
        <v>0</v>
      </c>
      <c r="B9919" s="56" t="b">
        <v>0</v>
      </c>
      <c r="C9919" s="56" t="b">
        <v>0</v>
      </c>
      <c r="D9919" s="56" t="b">
        <v>0</v>
      </c>
      <c r="E9919" s="56">
        <f ca="1">IF(PV[[#This Row],[Business Date]]=Control!$C$6, PV[[#This Row],[Notional Value Local Cur]], -PV[[#This Row],[Notional Value Local Cur]])</f>
        <v>0</v>
      </c>
    </row>
    <row r="9920" spans="1:5" x14ac:dyDescent="0.25">
      <c r="A9920" s="36" t="b">
        <v>0</v>
      </c>
      <c r="B9920" s="56" t="b">
        <v>0</v>
      </c>
      <c r="C9920" s="56" t="b">
        <v>0</v>
      </c>
      <c r="D9920" s="56" t="b">
        <v>0</v>
      </c>
      <c r="E9920" s="56">
        <f ca="1">IF(PV[[#This Row],[Business Date]]=Control!$C$6, PV[[#This Row],[Notional Value Local Cur]], -PV[[#This Row],[Notional Value Local Cur]])</f>
        <v>0</v>
      </c>
    </row>
    <row r="9921" spans="1:5" x14ac:dyDescent="0.25">
      <c r="A9921" s="36" t="b">
        <v>0</v>
      </c>
      <c r="B9921" s="56" t="b">
        <v>0</v>
      </c>
      <c r="C9921" s="56" t="b">
        <v>0</v>
      </c>
      <c r="D9921" s="56" t="b">
        <v>0</v>
      </c>
      <c r="E9921" s="56">
        <f ca="1">IF(PV[[#This Row],[Business Date]]=Control!$C$6, PV[[#This Row],[Notional Value Local Cur]], -PV[[#This Row],[Notional Value Local Cur]])</f>
        <v>0</v>
      </c>
    </row>
    <row r="9922" spans="1:5" x14ac:dyDescent="0.25">
      <c r="A9922" s="36" t="b">
        <v>0</v>
      </c>
      <c r="B9922" s="56" t="b">
        <v>0</v>
      </c>
      <c r="C9922" s="56" t="b">
        <v>0</v>
      </c>
      <c r="D9922" s="56" t="b">
        <v>0</v>
      </c>
      <c r="E9922" s="56">
        <f ca="1">IF(PV[[#This Row],[Business Date]]=Control!$C$6, PV[[#This Row],[Notional Value Local Cur]], -PV[[#This Row],[Notional Value Local Cur]])</f>
        <v>0</v>
      </c>
    </row>
    <row r="9923" spans="1:5" x14ac:dyDescent="0.25">
      <c r="A9923" s="36" t="b">
        <v>0</v>
      </c>
      <c r="B9923" s="56" t="b">
        <v>0</v>
      </c>
      <c r="C9923" s="56" t="b">
        <v>0</v>
      </c>
      <c r="D9923" s="56" t="b">
        <v>0</v>
      </c>
      <c r="E9923" s="56">
        <f ca="1">IF(PV[[#This Row],[Business Date]]=Control!$C$6, PV[[#This Row],[Notional Value Local Cur]], -PV[[#This Row],[Notional Value Local Cur]])</f>
        <v>0</v>
      </c>
    </row>
    <row r="9924" spans="1:5" x14ac:dyDescent="0.25">
      <c r="A9924" s="36" t="b">
        <v>0</v>
      </c>
      <c r="B9924" s="56" t="b">
        <v>0</v>
      </c>
      <c r="C9924" s="56" t="b">
        <v>0</v>
      </c>
      <c r="D9924" s="56" t="b">
        <v>0</v>
      </c>
      <c r="E9924" s="56">
        <f ca="1">IF(PV[[#This Row],[Business Date]]=Control!$C$6, PV[[#This Row],[Notional Value Local Cur]], -PV[[#This Row],[Notional Value Local Cur]])</f>
        <v>0</v>
      </c>
    </row>
    <row r="9925" spans="1:5" x14ac:dyDescent="0.25">
      <c r="A9925" s="36" t="b">
        <v>0</v>
      </c>
      <c r="B9925" s="56" t="b">
        <v>0</v>
      </c>
      <c r="C9925" s="56" t="b">
        <v>0</v>
      </c>
      <c r="D9925" s="56" t="b">
        <v>0</v>
      </c>
      <c r="E9925" s="56">
        <f ca="1">IF(PV[[#This Row],[Business Date]]=Control!$C$6, PV[[#This Row],[Notional Value Local Cur]], -PV[[#This Row],[Notional Value Local Cur]])</f>
        <v>0</v>
      </c>
    </row>
    <row r="9926" spans="1:5" x14ac:dyDescent="0.25">
      <c r="A9926" s="36" t="b">
        <v>0</v>
      </c>
      <c r="B9926" s="56" t="b">
        <v>0</v>
      </c>
      <c r="C9926" s="56" t="b">
        <v>0</v>
      </c>
      <c r="D9926" s="56" t="b">
        <v>0</v>
      </c>
      <c r="E9926" s="56">
        <f ca="1">IF(PV[[#This Row],[Business Date]]=Control!$C$6, PV[[#This Row],[Notional Value Local Cur]], -PV[[#This Row],[Notional Value Local Cur]])</f>
        <v>0</v>
      </c>
    </row>
    <row r="9927" spans="1:5" x14ac:dyDescent="0.25">
      <c r="A9927" s="36" t="b">
        <v>0</v>
      </c>
      <c r="B9927" s="56" t="b">
        <v>0</v>
      </c>
      <c r="C9927" s="56" t="b">
        <v>0</v>
      </c>
      <c r="D9927" s="56" t="b">
        <v>0</v>
      </c>
      <c r="E9927" s="56">
        <f ca="1">IF(PV[[#This Row],[Business Date]]=Control!$C$6, PV[[#This Row],[Notional Value Local Cur]], -PV[[#This Row],[Notional Value Local Cur]])</f>
        <v>0</v>
      </c>
    </row>
    <row r="9928" spans="1:5" x14ac:dyDescent="0.25">
      <c r="A9928" s="36" t="b">
        <v>0</v>
      </c>
      <c r="B9928" s="56" t="b">
        <v>0</v>
      </c>
      <c r="C9928" s="56" t="b">
        <v>0</v>
      </c>
      <c r="D9928" s="56" t="b">
        <v>0</v>
      </c>
      <c r="E9928" s="56">
        <f ca="1">IF(PV[[#This Row],[Business Date]]=Control!$C$6, PV[[#This Row],[Notional Value Local Cur]], -PV[[#This Row],[Notional Value Local Cur]])</f>
        <v>0</v>
      </c>
    </row>
    <row r="9929" spans="1:5" x14ac:dyDescent="0.25">
      <c r="A9929" s="36" t="b">
        <v>0</v>
      </c>
      <c r="B9929" s="56" t="b">
        <v>0</v>
      </c>
      <c r="C9929" s="56" t="b">
        <v>0</v>
      </c>
      <c r="D9929" s="56" t="b">
        <v>0</v>
      </c>
      <c r="E9929" s="56">
        <f ca="1">IF(PV[[#This Row],[Business Date]]=Control!$C$6, PV[[#This Row],[Notional Value Local Cur]], -PV[[#This Row],[Notional Value Local Cur]])</f>
        <v>0</v>
      </c>
    </row>
    <row r="9930" spans="1:5" x14ac:dyDescent="0.25">
      <c r="A9930" s="36" t="b">
        <v>0</v>
      </c>
      <c r="B9930" s="56" t="b">
        <v>0</v>
      </c>
      <c r="C9930" s="56" t="b">
        <v>0</v>
      </c>
      <c r="D9930" s="56" t="b">
        <v>0</v>
      </c>
      <c r="E9930" s="56">
        <f ca="1">IF(PV[[#This Row],[Business Date]]=Control!$C$6, PV[[#This Row],[Notional Value Local Cur]], -PV[[#This Row],[Notional Value Local Cur]])</f>
        <v>0</v>
      </c>
    </row>
    <row r="9931" spans="1:5" x14ac:dyDescent="0.25">
      <c r="A9931" s="36" t="b">
        <v>0</v>
      </c>
      <c r="B9931" s="56" t="b">
        <v>0</v>
      </c>
      <c r="C9931" s="56" t="b">
        <v>0</v>
      </c>
      <c r="D9931" s="56" t="b">
        <v>0</v>
      </c>
      <c r="E9931" s="56">
        <f ca="1">IF(PV[[#This Row],[Business Date]]=Control!$C$6, PV[[#This Row],[Notional Value Local Cur]], -PV[[#This Row],[Notional Value Local Cur]])</f>
        <v>0</v>
      </c>
    </row>
    <row r="9932" spans="1:5" x14ac:dyDescent="0.25">
      <c r="A9932" s="36" t="b">
        <v>0</v>
      </c>
      <c r="B9932" s="56" t="b">
        <v>0</v>
      </c>
      <c r="C9932" s="56" t="b">
        <v>0</v>
      </c>
      <c r="D9932" s="56" t="b">
        <v>0</v>
      </c>
      <c r="E9932" s="56">
        <f ca="1">IF(PV[[#This Row],[Business Date]]=Control!$C$6, PV[[#This Row],[Notional Value Local Cur]], -PV[[#This Row],[Notional Value Local Cur]])</f>
        <v>0</v>
      </c>
    </row>
    <row r="9933" spans="1:5" x14ac:dyDescent="0.25">
      <c r="A9933" s="36" t="b">
        <v>0</v>
      </c>
      <c r="B9933" s="56" t="b">
        <v>0</v>
      </c>
      <c r="C9933" s="56" t="b">
        <v>0</v>
      </c>
      <c r="D9933" s="56" t="b">
        <v>0</v>
      </c>
      <c r="E9933" s="56">
        <f ca="1">IF(PV[[#This Row],[Business Date]]=Control!$C$6, PV[[#This Row],[Notional Value Local Cur]], -PV[[#This Row],[Notional Value Local Cur]])</f>
        <v>0</v>
      </c>
    </row>
    <row r="9934" spans="1:5" x14ac:dyDescent="0.25">
      <c r="A9934" s="36" t="b">
        <v>0</v>
      </c>
      <c r="B9934" s="56" t="b">
        <v>0</v>
      </c>
      <c r="C9934" s="56" t="b">
        <v>0</v>
      </c>
      <c r="D9934" s="56" t="b">
        <v>0</v>
      </c>
      <c r="E9934" s="56">
        <f ca="1">IF(PV[[#This Row],[Business Date]]=Control!$C$6, PV[[#This Row],[Notional Value Local Cur]], -PV[[#This Row],[Notional Value Local Cur]])</f>
        <v>0</v>
      </c>
    </row>
    <row r="9935" spans="1:5" x14ac:dyDescent="0.25">
      <c r="A9935" s="36" t="b">
        <v>0</v>
      </c>
      <c r="B9935" s="56" t="b">
        <v>0</v>
      </c>
      <c r="C9935" s="56" t="b">
        <v>0</v>
      </c>
      <c r="D9935" s="56" t="b">
        <v>0</v>
      </c>
      <c r="E9935" s="56">
        <f ca="1">IF(PV[[#This Row],[Business Date]]=Control!$C$6, PV[[#This Row],[Notional Value Local Cur]], -PV[[#This Row],[Notional Value Local Cur]])</f>
        <v>0</v>
      </c>
    </row>
    <row r="9936" spans="1:5" x14ac:dyDescent="0.25">
      <c r="A9936" s="36" t="b">
        <v>0</v>
      </c>
      <c r="B9936" s="56" t="b">
        <v>0</v>
      </c>
      <c r="C9936" s="56" t="b">
        <v>0</v>
      </c>
      <c r="D9936" s="56" t="b">
        <v>0</v>
      </c>
      <c r="E9936" s="56">
        <f ca="1">IF(PV[[#This Row],[Business Date]]=Control!$C$6, PV[[#This Row],[Notional Value Local Cur]], -PV[[#This Row],[Notional Value Local Cur]])</f>
        <v>0</v>
      </c>
    </row>
    <row r="9937" spans="1:5" x14ac:dyDescent="0.25">
      <c r="A9937" s="36" t="b">
        <v>0</v>
      </c>
      <c r="B9937" s="56" t="b">
        <v>0</v>
      </c>
      <c r="C9937" s="56" t="b">
        <v>0</v>
      </c>
      <c r="D9937" s="56" t="b">
        <v>0</v>
      </c>
      <c r="E9937" s="56">
        <f ca="1">IF(PV[[#This Row],[Business Date]]=Control!$C$6, PV[[#This Row],[Notional Value Local Cur]], -PV[[#This Row],[Notional Value Local Cur]])</f>
        <v>0</v>
      </c>
    </row>
    <row r="9938" spans="1:5" x14ac:dyDescent="0.25">
      <c r="A9938" s="36" t="b">
        <v>0</v>
      </c>
      <c r="B9938" s="56" t="b">
        <v>0</v>
      </c>
      <c r="C9938" s="56" t="b">
        <v>0</v>
      </c>
      <c r="D9938" s="56" t="b">
        <v>0</v>
      </c>
      <c r="E9938" s="56">
        <f ca="1">IF(PV[[#This Row],[Business Date]]=Control!$C$6, PV[[#This Row],[Notional Value Local Cur]], -PV[[#This Row],[Notional Value Local Cur]])</f>
        <v>0</v>
      </c>
    </row>
    <row r="9939" spans="1:5" x14ac:dyDescent="0.25">
      <c r="A9939" s="36" t="b">
        <v>0</v>
      </c>
      <c r="B9939" s="56" t="b">
        <v>0</v>
      </c>
      <c r="C9939" s="56" t="b">
        <v>0</v>
      </c>
      <c r="D9939" s="56" t="b">
        <v>0</v>
      </c>
      <c r="E9939" s="56">
        <f ca="1">IF(PV[[#This Row],[Business Date]]=Control!$C$6, PV[[#This Row],[Notional Value Local Cur]], -PV[[#This Row],[Notional Value Local Cur]])</f>
        <v>0</v>
      </c>
    </row>
    <row r="9940" spans="1:5" x14ac:dyDescent="0.25">
      <c r="A9940" s="36" t="b">
        <v>0</v>
      </c>
      <c r="B9940" s="56" t="b">
        <v>0</v>
      </c>
      <c r="C9940" s="56" t="b">
        <v>0</v>
      </c>
      <c r="D9940" s="56" t="b">
        <v>0</v>
      </c>
      <c r="E9940" s="56">
        <f ca="1">IF(PV[[#This Row],[Business Date]]=Control!$C$6, PV[[#This Row],[Notional Value Local Cur]], -PV[[#This Row],[Notional Value Local Cur]])</f>
        <v>0</v>
      </c>
    </row>
    <row r="9941" spans="1:5" x14ac:dyDescent="0.25">
      <c r="A9941" s="36" t="b">
        <v>0</v>
      </c>
      <c r="B9941" s="56" t="b">
        <v>0</v>
      </c>
      <c r="C9941" s="56" t="b">
        <v>0</v>
      </c>
      <c r="D9941" s="56" t="b">
        <v>0</v>
      </c>
      <c r="E9941" s="56">
        <f ca="1">IF(PV[[#This Row],[Business Date]]=Control!$C$6, PV[[#This Row],[Notional Value Local Cur]], -PV[[#This Row],[Notional Value Local Cur]])</f>
        <v>0</v>
      </c>
    </row>
    <row r="9942" spans="1:5" x14ac:dyDescent="0.25">
      <c r="A9942" s="36" t="b">
        <v>0</v>
      </c>
      <c r="B9942" s="56" t="b">
        <v>0</v>
      </c>
      <c r="C9942" s="56" t="b">
        <v>0</v>
      </c>
      <c r="D9942" s="56" t="b">
        <v>0</v>
      </c>
      <c r="E9942" s="56">
        <f ca="1">IF(PV[[#This Row],[Business Date]]=Control!$C$6, PV[[#This Row],[Notional Value Local Cur]], -PV[[#This Row],[Notional Value Local Cur]])</f>
        <v>0</v>
      </c>
    </row>
    <row r="9943" spans="1:5" x14ac:dyDescent="0.25">
      <c r="A9943" s="36" t="b">
        <v>0</v>
      </c>
      <c r="B9943" s="56" t="b">
        <v>0</v>
      </c>
      <c r="C9943" s="56" t="b">
        <v>0</v>
      </c>
      <c r="D9943" s="56" t="b">
        <v>0</v>
      </c>
      <c r="E9943" s="56">
        <f ca="1">IF(PV[[#This Row],[Business Date]]=Control!$C$6, PV[[#This Row],[Notional Value Local Cur]], -PV[[#This Row],[Notional Value Local Cur]])</f>
        <v>0</v>
      </c>
    </row>
    <row r="9944" spans="1:5" x14ac:dyDescent="0.25">
      <c r="A9944" s="36" t="b">
        <v>0</v>
      </c>
      <c r="B9944" s="56" t="b">
        <v>0</v>
      </c>
      <c r="C9944" s="56" t="b">
        <v>0</v>
      </c>
      <c r="D9944" s="56" t="b">
        <v>0</v>
      </c>
      <c r="E9944" s="56">
        <f ca="1">IF(PV[[#This Row],[Business Date]]=Control!$C$6, PV[[#This Row],[Notional Value Local Cur]], -PV[[#This Row],[Notional Value Local Cur]])</f>
        <v>0</v>
      </c>
    </row>
    <row r="9945" spans="1:5" x14ac:dyDescent="0.25">
      <c r="A9945" s="36" t="b">
        <v>0</v>
      </c>
      <c r="B9945" s="56" t="b">
        <v>0</v>
      </c>
      <c r="C9945" s="56" t="b">
        <v>0</v>
      </c>
      <c r="D9945" s="56" t="b">
        <v>0</v>
      </c>
      <c r="E9945" s="56">
        <f ca="1">IF(PV[[#This Row],[Business Date]]=Control!$C$6, PV[[#This Row],[Notional Value Local Cur]], -PV[[#This Row],[Notional Value Local Cur]])</f>
        <v>0</v>
      </c>
    </row>
    <row r="9946" spans="1:5" x14ac:dyDescent="0.25">
      <c r="A9946" s="36" t="b">
        <v>0</v>
      </c>
      <c r="B9946" s="56" t="b">
        <v>0</v>
      </c>
      <c r="C9946" s="56" t="b">
        <v>0</v>
      </c>
      <c r="D9946" s="56" t="b">
        <v>0</v>
      </c>
      <c r="E9946" s="56">
        <f ca="1">IF(PV[[#This Row],[Business Date]]=Control!$C$6, PV[[#This Row],[Notional Value Local Cur]], -PV[[#This Row],[Notional Value Local Cur]])</f>
        <v>0</v>
      </c>
    </row>
    <row r="9947" spans="1:5" x14ac:dyDescent="0.25">
      <c r="A9947" s="36" t="b">
        <v>0</v>
      </c>
      <c r="B9947" s="56" t="b">
        <v>0</v>
      </c>
      <c r="C9947" s="56" t="b">
        <v>0</v>
      </c>
      <c r="D9947" s="56" t="b">
        <v>0</v>
      </c>
      <c r="E9947" s="56">
        <f ca="1">IF(PV[[#This Row],[Business Date]]=Control!$C$6, PV[[#This Row],[Notional Value Local Cur]], -PV[[#This Row],[Notional Value Local Cur]])</f>
        <v>0</v>
      </c>
    </row>
    <row r="9948" spans="1:5" x14ac:dyDescent="0.25">
      <c r="A9948" s="36" t="b">
        <v>0</v>
      </c>
      <c r="B9948" s="56" t="b">
        <v>0</v>
      </c>
      <c r="C9948" s="56" t="b">
        <v>0</v>
      </c>
      <c r="D9948" s="56" t="b">
        <v>0</v>
      </c>
      <c r="E9948" s="56">
        <f ca="1">IF(PV[[#This Row],[Business Date]]=Control!$C$6, PV[[#This Row],[Notional Value Local Cur]], -PV[[#This Row],[Notional Value Local Cur]])</f>
        <v>0</v>
      </c>
    </row>
    <row r="9949" spans="1:5" x14ac:dyDescent="0.25">
      <c r="A9949" s="36" t="b">
        <v>0</v>
      </c>
      <c r="B9949" s="56" t="b">
        <v>0</v>
      </c>
      <c r="C9949" s="56" t="b">
        <v>0</v>
      </c>
      <c r="D9949" s="56" t="b">
        <v>0</v>
      </c>
      <c r="E9949" s="56">
        <f ca="1">IF(PV[[#This Row],[Business Date]]=Control!$C$6, PV[[#This Row],[Notional Value Local Cur]], -PV[[#This Row],[Notional Value Local Cur]])</f>
        <v>0</v>
      </c>
    </row>
    <row r="9950" spans="1:5" x14ac:dyDescent="0.25">
      <c r="A9950" s="36" t="b">
        <v>0</v>
      </c>
      <c r="B9950" s="56" t="b">
        <v>0</v>
      </c>
      <c r="C9950" s="56" t="b">
        <v>0</v>
      </c>
      <c r="D9950" s="56" t="b">
        <v>0</v>
      </c>
      <c r="E9950" s="56">
        <f ca="1">IF(PV[[#This Row],[Business Date]]=Control!$C$6, PV[[#This Row],[Notional Value Local Cur]], -PV[[#This Row],[Notional Value Local Cur]])</f>
        <v>0</v>
      </c>
    </row>
    <row r="9951" spans="1:5" x14ac:dyDescent="0.25">
      <c r="A9951" s="36" t="b">
        <v>0</v>
      </c>
      <c r="B9951" s="56" t="b">
        <v>0</v>
      </c>
      <c r="C9951" s="56" t="b">
        <v>0</v>
      </c>
      <c r="D9951" s="56" t="b">
        <v>0</v>
      </c>
      <c r="E9951" s="56">
        <f ca="1">IF(PV[[#This Row],[Business Date]]=Control!$C$6, PV[[#This Row],[Notional Value Local Cur]], -PV[[#This Row],[Notional Value Local Cur]])</f>
        <v>0</v>
      </c>
    </row>
    <row r="9952" spans="1:5" x14ac:dyDescent="0.25">
      <c r="A9952" s="36" t="b">
        <v>0</v>
      </c>
      <c r="B9952" s="56" t="b">
        <v>0</v>
      </c>
      <c r="C9952" s="56" t="b">
        <v>0</v>
      </c>
      <c r="D9952" s="56" t="b">
        <v>0</v>
      </c>
      <c r="E9952" s="56">
        <f ca="1">IF(PV[[#This Row],[Business Date]]=Control!$C$6, PV[[#This Row],[Notional Value Local Cur]], -PV[[#This Row],[Notional Value Local Cur]])</f>
        <v>0</v>
      </c>
    </row>
    <row r="9953" spans="1:5" x14ac:dyDescent="0.25">
      <c r="A9953" s="36" t="b">
        <v>0</v>
      </c>
      <c r="B9953" s="56" t="b">
        <v>0</v>
      </c>
      <c r="C9953" s="56" t="b">
        <v>0</v>
      </c>
      <c r="D9953" s="56" t="b">
        <v>0</v>
      </c>
      <c r="E9953" s="56">
        <f ca="1">IF(PV[[#This Row],[Business Date]]=Control!$C$6, PV[[#This Row],[Notional Value Local Cur]], -PV[[#This Row],[Notional Value Local Cur]])</f>
        <v>0</v>
      </c>
    </row>
    <row r="9954" spans="1:5" x14ac:dyDescent="0.25">
      <c r="A9954" s="36" t="b">
        <v>0</v>
      </c>
      <c r="B9954" s="56" t="b">
        <v>0</v>
      </c>
      <c r="C9954" s="56" t="b">
        <v>0</v>
      </c>
      <c r="D9954" s="56" t="b">
        <v>0</v>
      </c>
      <c r="E9954" s="56">
        <f ca="1">IF(PV[[#This Row],[Business Date]]=Control!$C$6, PV[[#This Row],[Notional Value Local Cur]], -PV[[#This Row],[Notional Value Local Cur]])</f>
        <v>0</v>
      </c>
    </row>
    <row r="9955" spans="1:5" x14ac:dyDescent="0.25">
      <c r="A9955" s="36" t="b">
        <v>0</v>
      </c>
      <c r="B9955" s="56" t="b">
        <v>0</v>
      </c>
      <c r="C9955" s="56" t="b">
        <v>0</v>
      </c>
      <c r="D9955" s="56" t="b">
        <v>0</v>
      </c>
      <c r="E9955" s="56">
        <f ca="1">IF(PV[[#This Row],[Business Date]]=Control!$C$6, PV[[#This Row],[Notional Value Local Cur]], -PV[[#This Row],[Notional Value Local Cur]])</f>
        <v>0</v>
      </c>
    </row>
    <row r="9956" spans="1:5" x14ac:dyDescent="0.25">
      <c r="A9956" s="36" t="b">
        <v>0</v>
      </c>
      <c r="B9956" s="56" t="b">
        <v>0</v>
      </c>
      <c r="C9956" s="56" t="b">
        <v>0</v>
      </c>
      <c r="D9956" s="56" t="b">
        <v>0</v>
      </c>
      <c r="E9956" s="56">
        <f ca="1">IF(PV[[#This Row],[Business Date]]=Control!$C$6, PV[[#This Row],[Notional Value Local Cur]], -PV[[#This Row],[Notional Value Local Cur]])</f>
        <v>0</v>
      </c>
    </row>
    <row r="9957" spans="1:5" x14ac:dyDescent="0.25">
      <c r="A9957" s="36" t="b">
        <v>0</v>
      </c>
      <c r="B9957" s="56" t="b">
        <v>0</v>
      </c>
      <c r="C9957" s="56" t="b">
        <v>0</v>
      </c>
      <c r="D9957" s="56" t="b">
        <v>0</v>
      </c>
      <c r="E9957" s="56">
        <f ca="1">IF(PV[[#This Row],[Business Date]]=Control!$C$6, PV[[#This Row],[Notional Value Local Cur]], -PV[[#This Row],[Notional Value Local Cur]])</f>
        <v>0</v>
      </c>
    </row>
    <row r="9958" spans="1:5" x14ac:dyDescent="0.25">
      <c r="A9958" s="36" t="b">
        <v>0</v>
      </c>
      <c r="B9958" s="56" t="b">
        <v>0</v>
      </c>
      <c r="C9958" s="56" t="b">
        <v>0</v>
      </c>
      <c r="D9958" s="56" t="b">
        <v>0</v>
      </c>
      <c r="E9958" s="56">
        <f ca="1">IF(PV[[#This Row],[Business Date]]=Control!$C$6, PV[[#This Row],[Notional Value Local Cur]], -PV[[#This Row],[Notional Value Local Cur]])</f>
        <v>0</v>
      </c>
    </row>
    <row r="9959" spans="1:5" x14ac:dyDescent="0.25">
      <c r="A9959" s="36" t="b">
        <v>0</v>
      </c>
      <c r="B9959" s="56" t="b">
        <v>0</v>
      </c>
      <c r="C9959" s="56" t="b">
        <v>0</v>
      </c>
      <c r="D9959" s="56" t="b">
        <v>0</v>
      </c>
      <c r="E9959" s="56">
        <f ca="1">IF(PV[[#This Row],[Business Date]]=Control!$C$6, PV[[#This Row],[Notional Value Local Cur]], -PV[[#This Row],[Notional Value Local Cur]])</f>
        <v>0</v>
      </c>
    </row>
    <row r="9960" spans="1:5" x14ac:dyDescent="0.25">
      <c r="A9960" s="36" t="b">
        <v>0</v>
      </c>
      <c r="B9960" s="56" t="b">
        <v>0</v>
      </c>
      <c r="C9960" s="56" t="b">
        <v>0</v>
      </c>
      <c r="D9960" s="56" t="b">
        <v>0</v>
      </c>
      <c r="E9960" s="56">
        <f ca="1">IF(PV[[#This Row],[Business Date]]=Control!$C$6, PV[[#This Row],[Notional Value Local Cur]], -PV[[#This Row],[Notional Value Local Cur]])</f>
        <v>0</v>
      </c>
    </row>
    <row r="9961" spans="1:5" x14ac:dyDescent="0.25">
      <c r="A9961" s="36" t="b">
        <v>0</v>
      </c>
      <c r="B9961" s="56" t="b">
        <v>0</v>
      </c>
      <c r="C9961" s="56" t="b">
        <v>0</v>
      </c>
      <c r="D9961" s="56" t="b">
        <v>0</v>
      </c>
      <c r="E9961" s="56">
        <f ca="1">IF(PV[[#This Row],[Business Date]]=Control!$C$6, PV[[#This Row],[Notional Value Local Cur]], -PV[[#This Row],[Notional Value Local Cur]])</f>
        <v>0</v>
      </c>
    </row>
    <row r="9962" spans="1:5" x14ac:dyDescent="0.25">
      <c r="A9962" s="36" t="b">
        <v>0</v>
      </c>
      <c r="B9962" s="56" t="b">
        <v>0</v>
      </c>
      <c r="C9962" s="56" t="b">
        <v>0</v>
      </c>
      <c r="D9962" s="56" t="b">
        <v>0</v>
      </c>
      <c r="E9962" s="56">
        <f ca="1">IF(PV[[#This Row],[Business Date]]=Control!$C$6, PV[[#This Row],[Notional Value Local Cur]], -PV[[#This Row],[Notional Value Local Cur]])</f>
        <v>0</v>
      </c>
    </row>
    <row r="9963" spans="1:5" x14ac:dyDescent="0.25">
      <c r="A9963" s="36" t="b">
        <v>0</v>
      </c>
      <c r="B9963" s="56" t="b">
        <v>0</v>
      </c>
      <c r="C9963" s="56" t="b">
        <v>0</v>
      </c>
      <c r="D9963" s="56" t="b">
        <v>0</v>
      </c>
      <c r="E9963" s="56">
        <f ca="1">IF(PV[[#This Row],[Business Date]]=Control!$C$6, PV[[#This Row],[Notional Value Local Cur]], -PV[[#This Row],[Notional Value Local Cur]])</f>
        <v>0</v>
      </c>
    </row>
    <row r="9964" spans="1:5" x14ac:dyDescent="0.25">
      <c r="A9964" s="36" t="b">
        <v>0</v>
      </c>
      <c r="B9964" s="56" t="b">
        <v>0</v>
      </c>
      <c r="C9964" s="56" t="b">
        <v>0</v>
      </c>
      <c r="D9964" s="56" t="b">
        <v>0</v>
      </c>
      <c r="E9964" s="56">
        <f ca="1">IF(PV[[#This Row],[Business Date]]=Control!$C$6, PV[[#This Row],[Notional Value Local Cur]], -PV[[#This Row],[Notional Value Local Cur]])</f>
        <v>0</v>
      </c>
    </row>
    <row r="9965" spans="1:5" x14ac:dyDescent="0.25">
      <c r="A9965" s="36" t="b">
        <v>0</v>
      </c>
      <c r="B9965" s="56" t="b">
        <v>0</v>
      </c>
      <c r="C9965" s="56" t="b">
        <v>0</v>
      </c>
      <c r="D9965" s="56" t="b">
        <v>0</v>
      </c>
      <c r="E9965" s="56">
        <f ca="1">IF(PV[[#This Row],[Business Date]]=Control!$C$6, PV[[#This Row],[Notional Value Local Cur]], -PV[[#This Row],[Notional Value Local Cur]])</f>
        <v>0</v>
      </c>
    </row>
    <row r="9966" spans="1:5" x14ac:dyDescent="0.25">
      <c r="A9966" s="36" t="b">
        <v>0</v>
      </c>
      <c r="B9966" s="56" t="b">
        <v>0</v>
      </c>
      <c r="C9966" s="56" t="b">
        <v>0</v>
      </c>
      <c r="D9966" s="56" t="b">
        <v>0</v>
      </c>
      <c r="E9966" s="56">
        <f ca="1">IF(PV[[#This Row],[Business Date]]=Control!$C$6, PV[[#This Row],[Notional Value Local Cur]], -PV[[#This Row],[Notional Value Local Cur]])</f>
        <v>0</v>
      </c>
    </row>
    <row r="9967" spans="1:5" x14ac:dyDescent="0.25">
      <c r="A9967" s="36" t="b">
        <v>0</v>
      </c>
      <c r="B9967" s="56" t="b">
        <v>0</v>
      </c>
      <c r="C9967" s="56" t="b">
        <v>0</v>
      </c>
      <c r="D9967" s="56" t="b">
        <v>0</v>
      </c>
      <c r="E9967" s="56">
        <f ca="1">IF(PV[[#This Row],[Business Date]]=Control!$C$6, PV[[#This Row],[Notional Value Local Cur]], -PV[[#This Row],[Notional Value Local Cur]])</f>
        <v>0</v>
      </c>
    </row>
    <row r="9968" spans="1:5" x14ac:dyDescent="0.25">
      <c r="A9968" s="36" t="b">
        <v>0</v>
      </c>
      <c r="B9968" s="56" t="b">
        <v>0</v>
      </c>
      <c r="C9968" s="56" t="b">
        <v>0</v>
      </c>
      <c r="D9968" s="56" t="b">
        <v>0</v>
      </c>
      <c r="E9968" s="56">
        <f ca="1">IF(PV[[#This Row],[Business Date]]=Control!$C$6, PV[[#This Row],[Notional Value Local Cur]], -PV[[#This Row],[Notional Value Local Cur]])</f>
        <v>0</v>
      </c>
    </row>
    <row r="9969" spans="1:5" x14ac:dyDescent="0.25">
      <c r="A9969" s="36" t="b">
        <v>0</v>
      </c>
      <c r="B9969" s="56" t="b">
        <v>0</v>
      </c>
      <c r="C9969" s="56" t="b">
        <v>0</v>
      </c>
      <c r="D9969" s="56" t="b">
        <v>0</v>
      </c>
      <c r="E9969" s="56">
        <f ca="1">IF(PV[[#This Row],[Business Date]]=Control!$C$6, PV[[#This Row],[Notional Value Local Cur]], -PV[[#This Row],[Notional Value Local Cur]])</f>
        <v>0</v>
      </c>
    </row>
    <row r="9970" spans="1:5" x14ac:dyDescent="0.25">
      <c r="A9970" s="36" t="b">
        <v>0</v>
      </c>
      <c r="B9970" s="56" t="b">
        <v>0</v>
      </c>
      <c r="C9970" s="56" t="b">
        <v>0</v>
      </c>
      <c r="D9970" s="56" t="b">
        <v>0</v>
      </c>
      <c r="E9970" s="56">
        <f ca="1">IF(PV[[#This Row],[Business Date]]=Control!$C$6, PV[[#This Row],[Notional Value Local Cur]], -PV[[#This Row],[Notional Value Local Cur]])</f>
        <v>0</v>
      </c>
    </row>
    <row r="9971" spans="1:5" x14ac:dyDescent="0.25">
      <c r="A9971" s="36" t="b">
        <v>0</v>
      </c>
      <c r="B9971" s="56" t="b">
        <v>0</v>
      </c>
      <c r="C9971" s="56" t="b">
        <v>0</v>
      </c>
      <c r="D9971" s="56" t="b">
        <v>0</v>
      </c>
      <c r="E9971" s="56">
        <f ca="1">IF(PV[[#This Row],[Business Date]]=Control!$C$6, PV[[#This Row],[Notional Value Local Cur]], -PV[[#This Row],[Notional Value Local Cur]])</f>
        <v>0</v>
      </c>
    </row>
    <row r="9972" spans="1:5" x14ac:dyDescent="0.25">
      <c r="A9972" s="36" t="b">
        <v>0</v>
      </c>
      <c r="B9972" s="56" t="b">
        <v>0</v>
      </c>
      <c r="C9972" s="56" t="b">
        <v>0</v>
      </c>
      <c r="D9972" s="56" t="b">
        <v>0</v>
      </c>
      <c r="E9972" s="56">
        <f ca="1">IF(PV[[#This Row],[Business Date]]=Control!$C$6, PV[[#This Row],[Notional Value Local Cur]], -PV[[#This Row],[Notional Value Local Cur]])</f>
        <v>0</v>
      </c>
    </row>
    <row r="9973" spans="1:5" x14ac:dyDescent="0.25">
      <c r="A9973" s="36" t="b">
        <v>0</v>
      </c>
      <c r="B9973" s="56" t="b">
        <v>0</v>
      </c>
      <c r="C9973" s="56" t="b">
        <v>0</v>
      </c>
      <c r="D9973" s="56" t="b">
        <v>0</v>
      </c>
      <c r="E9973" s="56">
        <f ca="1">IF(PV[[#This Row],[Business Date]]=Control!$C$6, PV[[#This Row],[Notional Value Local Cur]], -PV[[#This Row],[Notional Value Local Cur]])</f>
        <v>0</v>
      </c>
    </row>
    <row r="9974" spans="1:5" x14ac:dyDescent="0.25">
      <c r="A9974" s="36" t="b">
        <v>0</v>
      </c>
      <c r="B9974" s="56" t="b">
        <v>0</v>
      </c>
      <c r="C9974" s="56" t="b">
        <v>0</v>
      </c>
      <c r="D9974" s="56" t="b">
        <v>0</v>
      </c>
      <c r="E9974" s="56">
        <f ca="1">IF(PV[[#This Row],[Business Date]]=Control!$C$6, PV[[#This Row],[Notional Value Local Cur]], -PV[[#This Row],[Notional Value Local Cur]])</f>
        <v>0</v>
      </c>
    </row>
    <row r="9975" spans="1:5" x14ac:dyDescent="0.25">
      <c r="A9975" s="36" t="b">
        <v>0</v>
      </c>
      <c r="B9975" s="56" t="b">
        <v>0</v>
      </c>
      <c r="C9975" s="56" t="b">
        <v>0</v>
      </c>
      <c r="D9975" s="56" t="b">
        <v>0</v>
      </c>
      <c r="E9975" s="56">
        <f ca="1">IF(PV[[#This Row],[Business Date]]=Control!$C$6, PV[[#This Row],[Notional Value Local Cur]], -PV[[#This Row],[Notional Value Local Cur]])</f>
        <v>0</v>
      </c>
    </row>
    <row r="9976" spans="1:5" x14ac:dyDescent="0.25">
      <c r="A9976" s="36" t="b">
        <v>0</v>
      </c>
      <c r="B9976" s="56" t="b">
        <v>0</v>
      </c>
      <c r="C9976" s="56" t="b">
        <v>0</v>
      </c>
      <c r="D9976" s="56" t="b">
        <v>0</v>
      </c>
      <c r="E9976" s="56">
        <f ca="1">IF(PV[[#This Row],[Business Date]]=Control!$C$6, PV[[#This Row],[Notional Value Local Cur]], -PV[[#This Row],[Notional Value Local Cur]])</f>
        <v>0</v>
      </c>
    </row>
    <row r="9977" spans="1:5" x14ac:dyDescent="0.25">
      <c r="A9977" s="36" t="b">
        <v>0</v>
      </c>
      <c r="B9977" s="56" t="b">
        <v>0</v>
      </c>
      <c r="C9977" s="56" t="b">
        <v>0</v>
      </c>
      <c r="D9977" s="56" t="b">
        <v>0</v>
      </c>
      <c r="E9977" s="56">
        <f ca="1">IF(PV[[#This Row],[Business Date]]=Control!$C$6, PV[[#This Row],[Notional Value Local Cur]], -PV[[#This Row],[Notional Value Local Cur]])</f>
        <v>0</v>
      </c>
    </row>
    <row r="9978" spans="1:5" x14ac:dyDescent="0.25">
      <c r="A9978" s="36" t="b">
        <v>0</v>
      </c>
      <c r="B9978" s="56" t="b">
        <v>0</v>
      </c>
      <c r="C9978" s="56" t="b">
        <v>0</v>
      </c>
      <c r="D9978" s="56" t="b">
        <v>0</v>
      </c>
      <c r="E9978" s="56">
        <f ca="1">IF(PV[[#This Row],[Business Date]]=Control!$C$6, PV[[#This Row],[Notional Value Local Cur]], -PV[[#This Row],[Notional Value Local Cur]])</f>
        <v>0</v>
      </c>
    </row>
    <row r="9979" spans="1:5" x14ac:dyDescent="0.25">
      <c r="A9979" s="36" t="b">
        <v>0</v>
      </c>
      <c r="B9979" s="56" t="b">
        <v>0</v>
      </c>
      <c r="C9979" s="56" t="b">
        <v>0</v>
      </c>
      <c r="D9979" s="56" t="b">
        <v>0</v>
      </c>
      <c r="E9979" s="56">
        <f ca="1">IF(PV[[#This Row],[Business Date]]=Control!$C$6, PV[[#This Row],[Notional Value Local Cur]], -PV[[#This Row],[Notional Value Local Cur]])</f>
        <v>0</v>
      </c>
    </row>
    <row r="9980" spans="1:5" x14ac:dyDescent="0.25">
      <c r="A9980" s="36" t="b">
        <v>0</v>
      </c>
      <c r="B9980" s="56" t="b">
        <v>0</v>
      </c>
      <c r="C9980" s="56" t="b">
        <v>0</v>
      </c>
      <c r="D9980" s="56" t="b">
        <v>0</v>
      </c>
      <c r="E9980" s="56">
        <f ca="1">IF(PV[[#This Row],[Business Date]]=Control!$C$6, PV[[#This Row],[Notional Value Local Cur]], -PV[[#This Row],[Notional Value Local Cur]])</f>
        <v>0</v>
      </c>
    </row>
    <row r="9981" spans="1:5" x14ac:dyDescent="0.25">
      <c r="A9981" s="36" t="b">
        <v>0</v>
      </c>
      <c r="B9981" s="56" t="b">
        <v>0</v>
      </c>
      <c r="C9981" s="56" t="b">
        <v>0</v>
      </c>
      <c r="D9981" s="56" t="b">
        <v>0</v>
      </c>
      <c r="E9981" s="56">
        <f ca="1">IF(PV[[#This Row],[Business Date]]=Control!$C$6, PV[[#This Row],[Notional Value Local Cur]], -PV[[#This Row],[Notional Value Local Cur]])</f>
        <v>0</v>
      </c>
    </row>
    <row r="9982" spans="1:5" x14ac:dyDescent="0.25">
      <c r="A9982" s="36" t="b">
        <v>0</v>
      </c>
      <c r="B9982" s="56" t="b">
        <v>0</v>
      </c>
      <c r="C9982" s="56" t="b">
        <v>0</v>
      </c>
      <c r="D9982" s="56" t="b">
        <v>0</v>
      </c>
      <c r="E9982" s="56">
        <f ca="1">IF(PV[[#This Row],[Business Date]]=Control!$C$6, PV[[#This Row],[Notional Value Local Cur]], -PV[[#This Row],[Notional Value Local Cur]])</f>
        <v>0</v>
      </c>
    </row>
    <row r="9983" spans="1:5" x14ac:dyDescent="0.25">
      <c r="A9983" s="36" t="b">
        <v>0</v>
      </c>
      <c r="B9983" s="56" t="b">
        <v>0</v>
      </c>
      <c r="C9983" s="56" t="b">
        <v>0</v>
      </c>
      <c r="D9983" s="56" t="b">
        <v>0</v>
      </c>
      <c r="E9983" s="56">
        <f ca="1">IF(PV[[#This Row],[Business Date]]=Control!$C$6, PV[[#This Row],[Notional Value Local Cur]], -PV[[#This Row],[Notional Value Local Cur]])</f>
        <v>0</v>
      </c>
    </row>
    <row r="9984" spans="1:5" x14ac:dyDescent="0.25">
      <c r="A9984" s="36" t="b">
        <v>0</v>
      </c>
      <c r="B9984" s="56" t="b">
        <v>0</v>
      </c>
      <c r="C9984" s="56" t="b">
        <v>0</v>
      </c>
      <c r="D9984" s="56" t="b">
        <v>0</v>
      </c>
      <c r="E9984" s="56">
        <f ca="1">IF(PV[[#This Row],[Business Date]]=Control!$C$6, PV[[#This Row],[Notional Value Local Cur]], -PV[[#This Row],[Notional Value Local Cur]])</f>
        <v>0</v>
      </c>
    </row>
    <row r="9985" spans="1:5" x14ac:dyDescent="0.25">
      <c r="A9985" s="36" t="b">
        <v>0</v>
      </c>
      <c r="B9985" s="56" t="b">
        <v>0</v>
      </c>
      <c r="C9985" s="56" t="b">
        <v>0</v>
      </c>
      <c r="D9985" s="56" t="b">
        <v>0</v>
      </c>
      <c r="E9985" s="56">
        <f ca="1">IF(PV[[#This Row],[Business Date]]=Control!$C$6, PV[[#This Row],[Notional Value Local Cur]], -PV[[#This Row],[Notional Value Local Cur]])</f>
        <v>0</v>
      </c>
    </row>
    <row r="9986" spans="1:5" x14ac:dyDescent="0.25">
      <c r="A9986" s="36" t="b">
        <v>0</v>
      </c>
      <c r="B9986" s="56" t="b">
        <v>0</v>
      </c>
      <c r="C9986" s="56" t="b">
        <v>0</v>
      </c>
      <c r="D9986" s="56" t="b">
        <v>0</v>
      </c>
      <c r="E9986" s="56">
        <f ca="1">IF(PV[[#This Row],[Business Date]]=Control!$C$6, PV[[#This Row],[Notional Value Local Cur]], -PV[[#This Row],[Notional Value Local Cur]])</f>
        <v>0</v>
      </c>
    </row>
    <row r="9987" spans="1:5" x14ac:dyDescent="0.25">
      <c r="A9987" s="36" t="b">
        <v>0</v>
      </c>
      <c r="B9987" s="56" t="b">
        <v>0</v>
      </c>
      <c r="C9987" s="56" t="b">
        <v>0</v>
      </c>
      <c r="D9987" s="56" t="b">
        <v>0</v>
      </c>
      <c r="E9987" s="56">
        <f ca="1">IF(PV[[#This Row],[Business Date]]=Control!$C$6, PV[[#This Row],[Notional Value Local Cur]], -PV[[#This Row],[Notional Value Local Cur]])</f>
        <v>0</v>
      </c>
    </row>
    <row r="9988" spans="1:5" x14ac:dyDescent="0.25">
      <c r="A9988" s="36" t="b">
        <v>0</v>
      </c>
      <c r="B9988" s="56" t="b">
        <v>0</v>
      </c>
      <c r="C9988" s="56" t="b">
        <v>0</v>
      </c>
      <c r="D9988" s="56" t="b">
        <v>0</v>
      </c>
      <c r="E9988" s="56">
        <f ca="1">IF(PV[[#This Row],[Business Date]]=Control!$C$6, PV[[#This Row],[Notional Value Local Cur]], -PV[[#This Row],[Notional Value Local Cur]])</f>
        <v>0</v>
      </c>
    </row>
    <row r="9989" spans="1:5" x14ac:dyDescent="0.25">
      <c r="A9989" s="36" t="b">
        <v>0</v>
      </c>
      <c r="B9989" s="56" t="b">
        <v>0</v>
      </c>
      <c r="C9989" s="56" t="b">
        <v>0</v>
      </c>
      <c r="D9989" s="56" t="b">
        <v>0</v>
      </c>
      <c r="E9989" s="56">
        <f ca="1">IF(PV[[#This Row],[Business Date]]=Control!$C$6, PV[[#This Row],[Notional Value Local Cur]], -PV[[#This Row],[Notional Value Local Cur]])</f>
        <v>0</v>
      </c>
    </row>
    <row r="9990" spans="1:5" x14ac:dyDescent="0.25">
      <c r="A9990" s="36" t="b">
        <v>0</v>
      </c>
      <c r="B9990" s="56" t="b">
        <v>0</v>
      </c>
      <c r="C9990" s="56" t="b">
        <v>0</v>
      </c>
      <c r="D9990" s="56" t="b">
        <v>0</v>
      </c>
      <c r="E9990" s="56">
        <f ca="1">IF(PV[[#This Row],[Business Date]]=Control!$C$6, PV[[#This Row],[Notional Value Local Cur]], -PV[[#This Row],[Notional Value Local Cur]])</f>
        <v>0</v>
      </c>
    </row>
    <row r="9991" spans="1:5" x14ac:dyDescent="0.25">
      <c r="A9991" s="36" t="b">
        <v>0</v>
      </c>
      <c r="B9991" s="56" t="b">
        <v>0</v>
      </c>
      <c r="C9991" s="56" t="b">
        <v>0</v>
      </c>
      <c r="D9991" s="56" t="b">
        <v>0</v>
      </c>
      <c r="E9991" s="56">
        <f ca="1">IF(PV[[#This Row],[Business Date]]=Control!$C$6, PV[[#This Row],[Notional Value Local Cur]], -PV[[#This Row],[Notional Value Local Cur]])</f>
        <v>0</v>
      </c>
    </row>
    <row r="9992" spans="1:5" x14ac:dyDescent="0.25">
      <c r="A9992" s="36" t="b">
        <v>0</v>
      </c>
      <c r="B9992" s="56" t="b">
        <v>0</v>
      </c>
      <c r="C9992" s="56" t="b">
        <v>0</v>
      </c>
      <c r="D9992" s="56" t="b">
        <v>0</v>
      </c>
      <c r="E9992" s="56">
        <f ca="1">IF(PV[[#This Row],[Business Date]]=Control!$C$6, PV[[#This Row],[Notional Value Local Cur]], -PV[[#This Row],[Notional Value Local Cur]])</f>
        <v>0</v>
      </c>
    </row>
    <row r="9993" spans="1:5" x14ac:dyDescent="0.25">
      <c r="A9993" s="36" t="b">
        <v>0</v>
      </c>
      <c r="B9993" s="56" t="b">
        <v>0</v>
      </c>
      <c r="C9993" s="56" t="b">
        <v>0</v>
      </c>
      <c r="D9993" s="56" t="b">
        <v>0</v>
      </c>
      <c r="E9993" s="56">
        <f ca="1">IF(PV[[#This Row],[Business Date]]=Control!$C$6, PV[[#This Row],[Notional Value Local Cur]], -PV[[#This Row],[Notional Value Local Cur]])</f>
        <v>0</v>
      </c>
    </row>
    <row r="9994" spans="1:5" x14ac:dyDescent="0.25">
      <c r="A9994" s="36" t="b">
        <v>0</v>
      </c>
      <c r="B9994" s="56" t="b">
        <v>0</v>
      </c>
      <c r="C9994" s="56" t="b">
        <v>0</v>
      </c>
      <c r="D9994" s="56" t="b">
        <v>0</v>
      </c>
      <c r="E9994" s="56">
        <f ca="1">IF(PV[[#This Row],[Business Date]]=Control!$C$6, PV[[#This Row],[Notional Value Local Cur]], -PV[[#This Row],[Notional Value Local Cur]])</f>
        <v>0</v>
      </c>
    </row>
    <row r="9995" spans="1:5" x14ac:dyDescent="0.25">
      <c r="A9995" s="36" t="b">
        <v>0</v>
      </c>
      <c r="B9995" s="56" t="b">
        <v>0</v>
      </c>
      <c r="C9995" s="56" t="b">
        <v>0</v>
      </c>
      <c r="D9995" s="56" t="b">
        <v>0</v>
      </c>
      <c r="E9995" s="56">
        <f ca="1">IF(PV[[#This Row],[Business Date]]=Control!$C$6, PV[[#This Row],[Notional Value Local Cur]], -PV[[#This Row],[Notional Value Local Cur]])</f>
        <v>0</v>
      </c>
    </row>
    <row r="9996" spans="1:5" x14ac:dyDescent="0.25">
      <c r="A9996" s="36" t="b">
        <v>0</v>
      </c>
      <c r="B9996" s="56" t="b">
        <v>0</v>
      </c>
      <c r="C9996" s="56" t="b">
        <v>0</v>
      </c>
      <c r="D9996" s="56" t="b">
        <v>0</v>
      </c>
      <c r="E9996" s="56">
        <f ca="1">IF(PV[[#This Row],[Business Date]]=Control!$C$6, PV[[#This Row],[Notional Value Local Cur]], -PV[[#This Row],[Notional Value Local Cur]])</f>
        <v>0</v>
      </c>
    </row>
    <row r="9997" spans="1:5" x14ac:dyDescent="0.25">
      <c r="A9997" s="36" t="b">
        <v>0</v>
      </c>
      <c r="B9997" s="56" t="b">
        <v>0</v>
      </c>
      <c r="C9997" s="56" t="b">
        <v>0</v>
      </c>
      <c r="D9997" s="56" t="b">
        <v>0</v>
      </c>
      <c r="E9997" s="56">
        <f ca="1">IF(PV[[#This Row],[Business Date]]=Control!$C$6, PV[[#This Row],[Notional Value Local Cur]], -PV[[#This Row],[Notional Value Local Cur]])</f>
        <v>0</v>
      </c>
    </row>
    <row r="9998" spans="1:5" x14ac:dyDescent="0.25">
      <c r="A9998" s="36" t="b">
        <v>0</v>
      </c>
      <c r="B9998" s="56" t="b">
        <v>0</v>
      </c>
      <c r="C9998" s="56" t="b">
        <v>0</v>
      </c>
      <c r="D9998" s="56" t="b">
        <v>0</v>
      </c>
      <c r="E9998" s="56">
        <f ca="1">IF(PV[[#This Row],[Business Date]]=Control!$C$6, PV[[#This Row],[Notional Value Local Cur]], -PV[[#This Row],[Notional Value Local Cur]])</f>
        <v>0</v>
      </c>
    </row>
    <row r="9999" spans="1:5" x14ac:dyDescent="0.25">
      <c r="A9999" s="36" t="b">
        <v>0</v>
      </c>
      <c r="B9999" s="56" t="b">
        <v>0</v>
      </c>
      <c r="C9999" s="56" t="b">
        <v>0</v>
      </c>
      <c r="D9999" s="56" t="b">
        <v>0</v>
      </c>
      <c r="E9999" s="56">
        <f ca="1">IF(PV[[#This Row],[Business Date]]=Control!$C$6, PV[[#This Row],[Notional Value Local Cur]], -PV[[#This Row],[Notional Value Local Cur]])</f>
        <v>0</v>
      </c>
    </row>
    <row r="10000" spans="1:5" x14ac:dyDescent="0.25">
      <c r="A10000" s="36" t="b">
        <v>0</v>
      </c>
      <c r="B10000" s="56" t="b">
        <v>0</v>
      </c>
      <c r="C10000" s="56" t="b">
        <v>0</v>
      </c>
      <c r="D10000" s="56" t="b">
        <v>0</v>
      </c>
      <c r="E10000" s="56">
        <f ca="1">IF(PV[[#This Row],[Business Date]]=Control!$C$6, PV[[#This Row],[Notional Value Local Cur]], -PV[[#This Row],[Notional Value Local Cur]])</f>
        <v>0</v>
      </c>
    </row>
    <row r="10001" spans="1:5" x14ac:dyDescent="0.25">
      <c r="A10001" s="36" t="b">
        <v>0</v>
      </c>
      <c r="B10001" s="56" t="b">
        <v>0</v>
      </c>
      <c r="C10001" s="56" t="b">
        <v>0</v>
      </c>
      <c r="D10001" s="56" t="b">
        <v>0</v>
      </c>
      <c r="E10001" s="56">
        <f ca="1">IF(PV[[#This Row],[Business Date]]=Control!$C$6, PV[[#This Row],[Notional Value Local Cur]], -PV[[#This Row],[Notional Value Local Cur]])</f>
        <v>0</v>
      </c>
    </row>
    <row r="10002" spans="1:5" x14ac:dyDescent="0.25">
      <c r="A10002" s="36" t="b">
        <v>0</v>
      </c>
      <c r="B10002" s="56" t="b">
        <v>0</v>
      </c>
      <c r="C10002" s="56" t="b">
        <v>0</v>
      </c>
      <c r="D10002" s="56" t="b">
        <v>0</v>
      </c>
      <c r="E10002" s="56">
        <f ca="1">IF(PV[[#This Row],[Business Date]]=Control!$C$6, PV[[#This Row],[Notional Value Local Cur]], -PV[[#This Row],[Notional Value Local Cur]])</f>
        <v>0</v>
      </c>
    </row>
    <row r="10003" spans="1:5" x14ac:dyDescent="0.25">
      <c r="A10003" s="36" t="b">
        <v>0</v>
      </c>
      <c r="B10003" s="56" t="b">
        <v>0</v>
      </c>
      <c r="C10003" s="56" t="b">
        <v>0</v>
      </c>
      <c r="D10003" s="56" t="b">
        <v>0</v>
      </c>
      <c r="E10003" s="56">
        <f ca="1">IF(PV[[#This Row],[Business Date]]=Control!$C$6, PV[[#This Row],[Notional Value Local Cur]], -PV[[#This Row],[Notional Value Local Cur]])</f>
        <v>0</v>
      </c>
    </row>
    <row r="10004" spans="1:5" x14ac:dyDescent="0.25">
      <c r="A10004" s="36" t="b">
        <v>0</v>
      </c>
      <c r="B10004" s="56" t="b">
        <v>0</v>
      </c>
      <c r="C10004" s="56" t="b">
        <v>0</v>
      </c>
      <c r="D10004" s="56" t="b">
        <v>0</v>
      </c>
      <c r="E10004" s="56">
        <f ca="1">IF(PV[[#This Row],[Business Date]]=Control!$C$6, PV[[#This Row],[Notional Value Local Cur]], -PV[[#This Row],[Notional Value Local Cur]])</f>
        <v>0</v>
      </c>
    </row>
    <row r="10005" spans="1:5" x14ac:dyDescent="0.25">
      <c r="A10005" s="36" t="b">
        <v>0</v>
      </c>
      <c r="B10005" s="56" t="b">
        <v>0</v>
      </c>
      <c r="C10005" s="56" t="b">
        <v>0</v>
      </c>
      <c r="D10005" s="56" t="b">
        <v>0</v>
      </c>
      <c r="E10005" s="56">
        <f ca="1">IF(PV[[#This Row],[Business Date]]=Control!$C$6, PV[[#This Row],[Notional Value Local Cur]], -PV[[#This Row],[Notional Value Local Cur]])</f>
        <v>0</v>
      </c>
    </row>
    <row r="10006" spans="1:5" x14ac:dyDescent="0.25">
      <c r="A10006" s="36" t="b">
        <v>0</v>
      </c>
      <c r="B10006" s="56" t="b">
        <v>0</v>
      </c>
      <c r="C10006" s="56" t="b">
        <v>0</v>
      </c>
      <c r="D10006" s="56" t="b">
        <v>0</v>
      </c>
      <c r="E10006" s="56">
        <f ca="1">IF(PV[[#This Row],[Business Date]]=Control!$C$6, PV[[#This Row],[Notional Value Local Cur]], -PV[[#This Row],[Notional Value Local Cur]])</f>
        <v>0</v>
      </c>
    </row>
    <row r="10007" spans="1:5" x14ac:dyDescent="0.25">
      <c r="A10007" s="36" t="b">
        <v>0</v>
      </c>
      <c r="B10007" s="56" t="b">
        <v>0</v>
      </c>
      <c r="C10007" s="56" t="b">
        <v>0</v>
      </c>
      <c r="D10007" s="56" t="b">
        <v>0</v>
      </c>
      <c r="E10007" s="56">
        <f ca="1">IF(PV[[#This Row],[Business Date]]=Control!$C$6, PV[[#This Row],[Notional Value Local Cur]], -PV[[#This Row],[Notional Value Local Cur]])</f>
        <v>0</v>
      </c>
    </row>
    <row r="10008" spans="1:5" x14ac:dyDescent="0.25">
      <c r="A10008" s="36" t="b">
        <v>0</v>
      </c>
      <c r="B10008" s="56" t="b">
        <v>0</v>
      </c>
      <c r="C10008" s="56" t="b">
        <v>0</v>
      </c>
      <c r="D10008" s="56" t="b">
        <v>0</v>
      </c>
      <c r="E10008" s="56">
        <f ca="1">IF(PV[[#This Row],[Business Date]]=Control!$C$6, PV[[#This Row],[Notional Value Local Cur]], -PV[[#This Row],[Notional Value Local Cur]])</f>
        <v>0</v>
      </c>
    </row>
    <row r="10009" spans="1:5" x14ac:dyDescent="0.25">
      <c r="A10009" s="36" t="b">
        <v>0</v>
      </c>
      <c r="B10009" s="56" t="b">
        <v>0</v>
      </c>
      <c r="C10009" s="56" t="b">
        <v>0</v>
      </c>
      <c r="D10009" s="56" t="b">
        <v>0</v>
      </c>
      <c r="E10009" s="56">
        <f ca="1">IF(PV[[#This Row],[Business Date]]=Control!$C$6, PV[[#This Row],[Notional Value Local Cur]], -PV[[#This Row],[Notional Value Local Cur]])</f>
        <v>0</v>
      </c>
    </row>
    <row r="10010" spans="1:5" x14ac:dyDescent="0.25">
      <c r="A10010" s="36" t="b">
        <v>0</v>
      </c>
      <c r="B10010" s="56" t="b">
        <v>0</v>
      </c>
      <c r="C10010" s="56" t="b">
        <v>0</v>
      </c>
      <c r="D10010" s="56" t="b">
        <v>0</v>
      </c>
      <c r="E10010" s="56">
        <f ca="1">IF(PV[[#This Row],[Business Date]]=Control!$C$6, PV[[#This Row],[Notional Value Local Cur]], -PV[[#This Row],[Notional Value Local Cur]])</f>
        <v>0</v>
      </c>
    </row>
    <row r="10011" spans="1:5" x14ac:dyDescent="0.25">
      <c r="A10011" s="36" t="b">
        <v>0</v>
      </c>
      <c r="B10011" s="56" t="b">
        <v>0</v>
      </c>
      <c r="C10011" s="56" t="b">
        <v>0</v>
      </c>
      <c r="D10011" s="56" t="b">
        <v>0</v>
      </c>
      <c r="E10011" s="56">
        <f ca="1">IF(PV[[#This Row],[Business Date]]=Control!$C$6, PV[[#This Row],[Notional Value Local Cur]], -PV[[#This Row],[Notional Value Local Cur]])</f>
        <v>0</v>
      </c>
    </row>
    <row r="10012" spans="1:5" x14ac:dyDescent="0.25">
      <c r="A10012" s="36" t="b">
        <v>0</v>
      </c>
      <c r="B10012" s="56" t="b">
        <v>0</v>
      </c>
      <c r="C10012" s="56" t="b">
        <v>0</v>
      </c>
      <c r="D10012" s="56" t="b">
        <v>0</v>
      </c>
      <c r="E10012" s="56">
        <f ca="1">IF(PV[[#This Row],[Business Date]]=Control!$C$6, PV[[#This Row],[Notional Value Local Cur]], -PV[[#This Row],[Notional Value Local Cur]])</f>
        <v>0</v>
      </c>
    </row>
    <row r="10013" spans="1:5" x14ac:dyDescent="0.25">
      <c r="A10013" s="36" t="b">
        <v>0</v>
      </c>
      <c r="B10013" s="56" t="b">
        <v>0</v>
      </c>
      <c r="C10013" s="56" t="b">
        <v>0</v>
      </c>
      <c r="D10013" s="56" t="b">
        <v>0</v>
      </c>
      <c r="E10013" s="56">
        <f ca="1">IF(PV[[#This Row],[Business Date]]=Control!$C$6, PV[[#This Row],[Notional Value Local Cur]], -PV[[#This Row],[Notional Value Local Cur]])</f>
        <v>0</v>
      </c>
    </row>
    <row r="10014" spans="1:5" x14ac:dyDescent="0.25">
      <c r="A10014" s="36" t="b">
        <v>0</v>
      </c>
      <c r="B10014" s="56" t="b">
        <v>0</v>
      </c>
      <c r="C10014" s="56" t="b">
        <v>0</v>
      </c>
      <c r="D10014" s="56" t="b">
        <v>0</v>
      </c>
      <c r="E10014" s="56">
        <f ca="1">IF(PV[[#This Row],[Business Date]]=Control!$C$6, PV[[#This Row],[Notional Value Local Cur]], -PV[[#This Row],[Notional Value Local Cur]])</f>
        <v>0</v>
      </c>
    </row>
    <row r="10015" spans="1:5" x14ac:dyDescent="0.25">
      <c r="A10015" s="36" t="b">
        <v>0</v>
      </c>
      <c r="B10015" s="56" t="b">
        <v>0</v>
      </c>
      <c r="C10015" s="56" t="b">
        <v>0</v>
      </c>
      <c r="D10015" s="56" t="b">
        <v>0</v>
      </c>
      <c r="E10015" s="56">
        <f ca="1">IF(PV[[#This Row],[Business Date]]=Control!$C$6, PV[[#This Row],[Notional Value Local Cur]], -PV[[#This Row],[Notional Value Local Cur]])</f>
        <v>0</v>
      </c>
    </row>
    <row r="10016" spans="1:5" x14ac:dyDescent="0.25">
      <c r="A10016" s="36" t="b">
        <v>0</v>
      </c>
      <c r="B10016" s="56" t="b">
        <v>0</v>
      </c>
      <c r="C10016" s="56" t="b">
        <v>0</v>
      </c>
      <c r="D10016" s="56" t="b">
        <v>0</v>
      </c>
      <c r="E10016" s="56">
        <f ca="1">IF(PV[[#This Row],[Business Date]]=Control!$C$6, PV[[#This Row],[Notional Value Local Cur]], -PV[[#This Row],[Notional Value Local Cur]])</f>
        <v>0</v>
      </c>
    </row>
    <row r="10017" spans="1:5" x14ac:dyDescent="0.25">
      <c r="A10017" s="36" t="b">
        <v>0</v>
      </c>
      <c r="B10017" s="56" t="b">
        <v>0</v>
      </c>
      <c r="C10017" s="56" t="b">
        <v>0</v>
      </c>
      <c r="D10017" s="56" t="b">
        <v>0</v>
      </c>
      <c r="E10017" s="56">
        <f ca="1">IF(PV[[#This Row],[Business Date]]=Control!$C$6, PV[[#This Row],[Notional Value Local Cur]], -PV[[#This Row],[Notional Value Local Cur]])</f>
        <v>0</v>
      </c>
    </row>
    <row r="10018" spans="1:5" x14ac:dyDescent="0.25">
      <c r="A10018" s="36" t="b">
        <v>0</v>
      </c>
      <c r="B10018" s="56" t="b">
        <v>0</v>
      </c>
      <c r="C10018" s="56" t="b">
        <v>0</v>
      </c>
      <c r="D10018" s="56" t="b">
        <v>0</v>
      </c>
      <c r="E10018" s="56">
        <f ca="1">IF(PV[[#This Row],[Business Date]]=Control!$C$6, PV[[#This Row],[Notional Value Local Cur]], -PV[[#This Row],[Notional Value Local Cur]])</f>
        <v>0</v>
      </c>
    </row>
    <row r="10019" spans="1:5" x14ac:dyDescent="0.25">
      <c r="A10019" s="36" t="b">
        <v>0</v>
      </c>
      <c r="B10019" s="56" t="b">
        <v>0</v>
      </c>
      <c r="C10019" s="56" t="b">
        <v>0</v>
      </c>
      <c r="D10019" s="56" t="b">
        <v>0</v>
      </c>
      <c r="E10019" s="56">
        <f ca="1">IF(PV[[#This Row],[Business Date]]=Control!$C$6, PV[[#This Row],[Notional Value Local Cur]], -PV[[#This Row],[Notional Value Local Cur]])</f>
        <v>0</v>
      </c>
    </row>
    <row r="10020" spans="1:5" x14ac:dyDescent="0.25">
      <c r="A10020" s="36" t="b">
        <v>0</v>
      </c>
      <c r="B10020" s="56" t="b">
        <v>0</v>
      </c>
      <c r="C10020" s="56" t="b">
        <v>0</v>
      </c>
      <c r="D10020" s="56" t="b">
        <v>0</v>
      </c>
      <c r="E10020" s="56">
        <f ca="1">IF(PV[[#This Row],[Business Date]]=Control!$C$6, PV[[#This Row],[Notional Value Local Cur]], -PV[[#This Row],[Notional Value Local Cur]])</f>
        <v>0</v>
      </c>
    </row>
    <row r="10021" spans="1:5" x14ac:dyDescent="0.25">
      <c r="A10021" s="36" t="b">
        <v>0</v>
      </c>
      <c r="B10021" s="56" t="b">
        <v>0</v>
      </c>
      <c r="C10021" s="56" t="b">
        <v>0</v>
      </c>
      <c r="D10021" s="56" t="b">
        <v>0</v>
      </c>
      <c r="E10021" s="56">
        <f ca="1">IF(PV[[#This Row],[Business Date]]=Control!$C$6, PV[[#This Row],[Notional Value Local Cur]], -PV[[#This Row],[Notional Value Local Cur]])</f>
        <v>0</v>
      </c>
    </row>
    <row r="10022" spans="1:5" x14ac:dyDescent="0.25">
      <c r="A10022" s="36" t="b">
        <v>0</v>
      </c>
      <c r="B10022" s="56" t="b">
        <v>0</v>
      </c>
      <c r="C10022" s="56" t="b">
        <v>0</v>
      </c>
      <c r="D10022" s="56" t="b">
        <v>0</v>
      </c>
      <c r="E10022" s="56">
        <f ca="1">IF(PV[[#This Row],[Business Date]]=Control!$C$6, PV[[#This Row],[Notional Value Local Cur]], -PV[[#This Row],[Notional Value Local Cur]])</f>
        <v>0</v>
      </c>
    </row>
    <row r="10023" spans="1:5" x14ac:dyDescent="0.25">
      <c r="A10023" s="36" t="b">
        <v>0</v>
      </c>
      <c r="B10023" s="56" t="b">
        <v>0</v>
      </c>
      <c r="C10023" s="56" t="b">
        <v>0</v>
      </c>
      <c r="D10023" s="56" t="b">
        <v>0</v>
      </c>
      <c r="E10023" s="56">
        <f ca="1">IF(PV[[#This Row],[Business Date]]=Control!$C$6, PV[[#This Row],[Notional Value Local Cur]], -PV[[#This Row],[Notional Value Local Cur]])</f>
        <v>0</v>
      </c>
    </row>
    <row r="10024" spans="1:5" x14ac:dyDescent="0.25">
      <c r="A10024" s="36" t="b">
        <v>0</v>
      </c>
      <c r="B10024" s="56" t="b">
        <v>0</v>
      </c>
      <c r="C10024" s="56" t="b">
        <v>0</v>
      </c>
      <c r="D10024" s="56" t="b">
        <v>0</v>
      </c>
      <c r="E10024" s="56">
        <f ca="1">IF(PV[[#This Row],[Business Date]]=Control!$C$6, PV[[#This Row],[Notional Value Local Cur]], -PV[[#This Row],[Notional Value Local Cur]])</f>
        <v>0</v>
      </c>
    </row>
    <row r="10025" spans="1:5" x14ac:dyDescent="0.25">
      <c r="A10025" s="36" t="b">
        <v>0</v>
      </c>
      <c r="B10025" s="56" t="b">
        <v>0</v>
      </c>
      <c r="C10025" s="56" t="b">
        <v>0</v>
      </c>
      <c r="D10025" s="56" t="b">
        <v>0</v>
      </c>
      <c r="E10025" s="56">
        <f ca="1">IF(PV[[#This Row],[Business Date]]=Control!$C$6, PV[[#This Row],[Notional Value Local Cur]], -PV[[#This Row],[Notional Value Local Cur]])</f>
        <v>0</v>
      </c>
    </row>
    <row r="10026" spans="1:5" x14ac:dyDescent="0.25">
      <c r="A10026" s="36" t="b">
        <v>0</v>
      </c>
      <c r="B10026" s="56" t="b">
        <v>0</v>
      </c>
      <c r="C10026" s="56" t="b">
        <v>0</v>
      </c>
      <c r="D10026" s="56" t="b">
        <v>0</v>
      </c>
      <c r="E10026" s="56">
        <f ca="1">IF(PV[[#This Row],[Business Date]]=Control!$C$6, PV[[#This Row],[Notional Value Local Cur]], -PV[[#This Row],[Notional Value Local Cur]])</f>
        <v>0</v>
      </c>
    </row>
    <row r="10027" spans="1:5" x14ac:dyDescent="0.25">
      <c r="A10027" s="36" t="b">
        <v>0</v>
      </c>
      <c r="B10027" s="56" t="b">
        <v>0</v>
      </c>
      <c r="C10027" s="56" t="b">
        <v>0</v>
      </c>
      <c r="D10027" s="56" t="b">
        <v>0</v>
      </c>
      <c r="E10027" s="56">
        <f ca="1">IF(PV[[#This Row],[Business Date]]=Control!$C$6, PV[[#This Row],[Notional Value Local Cur]], -PV[[#This Row],[Notional Value Local Cur]])</f>
        <v>0</v>
      </c>
    </row>
    <row r="10028" spans="1:5" x14ac:dyDescent="0.25">
      <c r="A10028" s="36" t="b">
        <v>0</v>
      </c>
      <c r="B10028" s="56" t="b">
        <v>0</v>
      </c>
      <c r="C10028" s="56" t="b">
        <v>0</v>
      </c>
      <c r="D10028" s="56" t="b">
        <v>0</v>
      </c>
      <c r="E10028" s="56">
        <f ca="1">IF(PV[[#This Row],[Business Date]]=Control!$C$6, PV[[#This Row],[Notional Value Local Cur]], -PV[[#This Row],[Notional Value Local Cur]])</f>
        <v>0</v>
      </c>
    </row>
    <row r="10029" spans="1:5" x14ac:dyDescent="0.25">
      <c r="A10029" s="36" t="b">
        <v>0</v>
      </c>
      <c r="B10029" s="56" t="b">
        <v>0</v>
      </c>
      <c r="C10029" s="56" t="b">
        <v>0</v>
      </c>
      <c r="D10029" s="56" t="b">
        <v>0</v>
      </c>
      <c r="E10029" s="56">
        <f ca="1">IF(PV[[#This Row],[Business Date]]=Control!$C$6, PV[[#This Row],[Notional Value Local Cur]], -PV[[#This Row],[Notional Value Local Cur]])</f>
        <v>0</v>
      </c>
    </row>
    <row r="10030" spans="1:5" x14ac:dyDescent="0.25">
      <c r="A10030" s="36" t="b">
        <v>0</v>
      </c>
      <c r="B10030" s="56" t="b">
        <v>0</v>
      </c>
      <c r="C10030" s="56" t="b">
        <v>0</v>
      </c>
      <c r="D10030" s="56" t="b">
        <v>0</v>
      </c>
      <c r="E10030" s="56">
        <f ca="1">IF(PV[[#This Row],[Business Date]]=Control!$C$6, PV[[#This Row],[Notional Value Local Cur]], -PV[[#This Row],[Notional Value Local Cur]])</f>
        <v>0</v>
      </c>
    </row>
    <row r="10031" spans="1:5" x14ac:dyDescent="0.25">
      <c r="A10031" s="36" t="b">
        <v>0</v>
      </c>
      <c r="B10031" s="56" t="b">
        <v>0</v>
      </c>
      <c r="C10031" s="56" t="b">
        <v>0</v>
      </c>
      <c r="D10031" s="56" t="b">
        <v>0</v>
      </c>
      <c r="E10031" s="56">
        <f ca="1">IF(PV[[#This Row],[Business Date]]=Control!$C$6, PV[[#This Row],[Notional Value Local Cur]], -PV[[#This Row],[Notional Value Local Cur]])</f>
        <v>0</v>
      </c>
    </row>
    <row r="10032" spans="1:5" x14ac:dyDescent="0.25">
      <c r="A10032" s="36" t="b">
        <v>0</v>
      </c>
      <c r="B10032" s="56" t="b">
        <v>0</v>
      </c>
      <c r="C10032" s="56" t="b">
        <v>0</v>
      </c>
      <c r="D10032" s="56" t="b">
        <v>0</v>
      </c>
      <c r="E10032" s="56">
        <f ca="1">IF(PV[[#This Row],[Business Date]]=Control!$C$6, PV[[#This Row],[Notional Value Local Cur]], -PV[[#This Row],[Notional Value Local Cur]])</f>
        <v>0</v>
      </c>
    </row>
    <row r="10033" spans="1:5" x14ac:dyDescent="0.25">
      <c r="A10033" s="36" t="b">
        <v>0</v>
      </c>
      <c r="B10033" s="56" t="b">
        <v>0</v>
      </c>
      <c r="C10033" s="56" t="b">
        <v>0</v>
      </c>
      <c r="D10033" s="56" t="b">
        <v>0</v>
      </c>
      <c r="E10033" s="56">
        <f ca="1">IF(PV[[#This Row],[Business Date]]=Control!$C$6, PV[[#This Row],[Notional Value Local Cur]], -PV[[#This Row],[Notional Value Local Cur]])</f>
        <v>0</v>
      </c>
    </row>
    <row r="10034" spans="1:5" x14ac:dyDescent="0.25">
      <c r="A10034" s="36" t="b">
        <v>0</v>
      </c>
      <c r="B10034" s="56" t="b">
        <v>0</v>
      </c>
      <c r="C10034" s="56" t="b">
        <v>0</v>
      </c>
      <c r="D10034" s="56" t="b">
        <v>0</v>
      </c>
      <c r="E10034" s="56">
        <f ca="1">IF(PV[[#This Row],[Business Date]]=Control!$C$6, PV[[#This Row],[Notional Value Local Cur]], -PV[[#This Row],[Notional Value Local Cur]])</f>
        <v>0</v>
      </c>
    </row>
    <row r="10035" spans="1:5" x14ac:dyDescent="0.25">
      <c r="A10035" s="36" t="b">
        <v>0</v>
      </c>
      <c r="B10035" s="56" t="b">
        <v>0</v>
      </c>
      <c r="C10035" s="56" t="b">
        <v>0</v>
      </c>
      <c r="D10035" s="56" t="b">
        <v>0</v>
      </c>
      <c r="E10035" s="56">
        <f ca="1">IF(PV[[#This Row],[Business Date]]=Control!$C$6, PV[[#This Row],[Notional Value Local Cur]], -PV[[#This Row],[Notional Value Local Cur]])</f>
        <v>0</v>
      </c>
    </row>
    <row r="10036" spans="1:5" x14ac:dyDescent="0.25">
      <c r="A10036" s="36" t="b">
        <v>0</v>
      </c>
      <c r="B10036" s="56" t="b">
        <v>0</v>
      </c>
      <c r="C10036" s="56" t="b">
        <v>0</v>
      </c>
      <c r="D10036" s="56" t="b">
        <v>0</v>
      </c>
      <c r="E10036" s="56">
        <f ca="1">IF(PV[[#This Row],[Business Date]]=Control!$C$6, PV[[#This Row],[Notional Value Local Cur]], -PV[[#This Row],[Notional Value Local Cur]])</f>
        <v>0</v>
      </c>
    </row>
    <row r="10037" spans="1:5" x14ac:dyDescent="0.25">
      <c r="A10037" s="36" t="b">
        <v>0</v>
      </c>
      <c r="B10037" s="56" t="b">
        <v>0</v>
      </c>
      <c r="C10037" s="56" t="b">
        <v>0</v>
      </c>
      <c r="D10037" s="56" t="b">
        <v>0</v>
      </c>
      <c r="E10037" s="56">
        <f ca="1">IF(PV[[#This Row],[Business Date]]=Control!$C$6, PV[[#This Row],[Notional Value Local Cur]], -PV[[#This Row],[Notional Value Local Cur]])</f>
        <v>0</v>
      </c>
    </row>
    <row r="10038" spans="1:5" x14ac:dyDescent="0.25">
      <c r="A10038" s="36" t="b">
        <v>0</v>
      </c>
      <c r="B10038" s="56" t="b">
        <v>0</v>
      </c>
      <c r="C10038" s="56" t="b">
        <v>0</v>
      </c>
      <c r="D10038" s="56" t="b">
        <v>0</v>
      </c>
      <c r="E10038" s="56">
        <f ca="1">IF(PV[[#This Row],[Business Date]]=Control!$C$6, PV[[#This Row],[Notional Value Local Cur]], -PV[[#This Row],[Notional Value Local Cur]])</f>
        <v>0</v>
      </c>
    </row>
    <row r="10039" spans="1:5" x14ac:dyDescent="0.25">
      <c r="A10039" s="36" t="b">
        <v>0</v>
      </c>
      <c r="B10039" s="56" t="b">
        <v>0</v>
      </c>
      <c r="C10039" s="56" t="b">
        <v>0</v>
      </c>
      <c r="D10039" s="56" t="b">
        <v>0</v>
      </c>
      <c r="E10039" s="56">
        <f ca="1">IF(PV[[#This Row],[Business Date]]=Control!$C$6, PV[[#This Row],[Notional Value Local Cur]], -PV[[#This Row],[Notional Value Local Cur]])</f>
        <v>0</v>
      </c>
    </row>
    <row r="10040" spans="1:5" x14ac:dyDescent="0.25">
      <c r="A10040" s="36" t="b">
        <v>0</v>
      </c>
      <c r="B10040" s="56" t="b">
        <v>0</v>
      </c>
      <c r="C10040" s="56" t="b">
        <v>0</v>
      </c>
      <c r="D10040" s="56" t="b">
        <v>0</v>
      </c>
      <c r="E10040" s="56">
        <f ca="1">IF(PV[[#This Row],[Business Date]]=Control!$C$6, PV[[#This Row],[Notional Value Local Cur]], -PV[[#This Row],[Notional Value Local Cur]])</f>
        <v>0</v>
      </c>
    </row>
    <row r="10041" spans="1:5" x14ac:dyDescent="0.25">
      <c r="A10041" s="36" t="b">
        <v>0</v>
      </c>
      <c r="B10041" s="56" t="b">
        <v>0</v>
      </c>
      <c r="C10041" s="56" t="b">
        <v>0</v>
      </c>
      <c r="D10041" s="56" t="b">
        <v>0</v>
      </c>
      <c r="E10041" s="56">
        <f ca="1">IF(PV[[#This Row],[Business Date]]=Control!$C$6, PV[[#This Row],[Notional Value Local Cur]], -PV[[#This Row],[Notional Value Local Cur]])</f>
        <v>0</v>
      </c>
    </row>
    <row r="10042" spans="1:5" x14ac:dyDescent="0.25">
      <c r="A10042" s="36" t="b">
        <v>0</v>
      </c>
      <c r="B10042" s="56" t="b">
        <v>0</v>
      </c>
      <c r="C10042" s="56" t="b">
        <v>0</v>
      </c>
      <c r="D10042" s="56" t="b">
        <v>0</v>
      </c>
      <c r="E10042" s="56">
        <f ca="1">IF(PV[[#This Row],[Business Date]]=Control!$C$6, PV[[#This Row],[Notional Value Local Cur]], -PV[[#This Row],[Notional Value Local Cur]])</f>
        <v>0</v>
      </c>
    </row>
    <row r="10043" spans="1:5" x14ac:dyDescent="0.25">
      <c r="A10043" s="36" t="b">
        <v>0</v>
      </c>
      <c r="B10043" s="56" t="b">
        <v>0</v>
      </c>
      <c r="C10043" s="56" t="b">
        <v>0</v>
      </c>
      <c r="D10043" s="56" t="b">
        <v>0</v>
      </c>
      <c r="E10043" s="56">
        <f ca="1">IF(PV[[#This Row],[Business Date]]=Control!$C$6, PV[[#This Row],[Notional Value Local Cur]], -PV[[#This Row],[Notional Value Local Cur]])</f>
        <v>0</v>
      </c>
    </row>
    <row r="10044" spans="1:5" x14ac:dyDescent="0.25">
      <c r="A10044" s="36" t="b">
        <v>0</v>
      </c>
      <c r="B10044" s="56" t="b">
        <v>0</v>
      </c>
      <c r="C10044" s="56" t="b">
        <v>0</v>
      </c>
      <c r="D10044" s="56" t="b">
        <v>0</v>
      </c>
      <c r="E10044" s="56">
        <f ca="1">IF(PV[[#This Row],[Business Date]]=Control!$C$6, PV[[#This Row],[Notional Value Local Cur]], -PV[[#This Row],[Notional Value Local Cur]])</f>
        <v>0</v>
      </c>
    </row>
    <row r="10045" spans="1:5" x14ac:dyDescent="0.25">
      <c r="A10045" s="36" t="b">
        <v>0</v>
      </c>
      <c r="B10045" s="56" t="b">
        <v>0</v>
      </c>
      <c r="C10045" s="56" t="b">
        <v>0</v>
      </c>
      <c r="D10045" s="56" t="b">
        <v>0</v>
      </c>
      <c r="E10045" s="56">
        <f ca="1">IF(PV[[#This Row],[Business Date]]=Control!$C$6, PV[[#This Row],[Notional Value Local Cur]], -PV[[#This Row],[Notional Value Local Cur]])</f>
        <v>0</v>
      </c>
    </row>
    <row r="10046" spans="1:5" x14ac:dyDescent="0.25">
      <c r="A10046" s="36" t="b">
        <v>0</v>
      </c>
      <c r="B10046" s="56" t="b">
        <v>0</v>
      </c>
      <c r="C10046" s="56" t="b">
        <v>0</v>
      </c>
      <c r="D10046" s="56" t="b">
        <v>0</v>
      </c>
      <c r="E10046" s="56">
        <f ca="1">IF(PV[[#This Row],[Business Date]]=Control!$C$6, PV[[#This Row],[Notional Value Local Cur]], -PV[[#This Row],[Notional Value Local Cur]])</f>
        <v>0</v>
      </c>
    </row>
    <row r="10047" spans="1:5" x14ac:dyDescent="0.25">
      <c r="A10047" s="36" t="b">
        <v>0</v>
      </c>
      <c r="B10047" s="56" t="b">
        <v>0</v>
      </c>
      <c r="C10047" s="56" t="b">
        <v>0</v>
      </c>
      <c r="D10047" s="56" t="b">
        <v>0</v>
      </c>
      <c r="E10047" s="56">
        <f ca="1">IF(PV[[#This Row],[Business Date]]=Control!$C$6, PV[[#This Row],[Notional Value Local Cur]], -PV[[#This Row],[Notional Value Local Cur]])</f>
        <v>0</v>
      </c>
    </row>
    <row r="10048" spans="1:5" x14ac:dyDescent="0.25">
      <c r="A10048" s="36" t="b">
        <v>0</v>
      </c>
      <c r="B10048" s="56" t="b">
        <v>0</v>
      </c>
      <c r="C10048" s="56" t="b">
        <v>0</v>
      </c>
      <c r="D10048" s="56" t="b">
        <v>0</v>
      </c>
      <c r="E10048" s="56">
        <f ca="1">IF(PV[[#This Row],[Business Date]]=Control!$C$6, PV[[#This Row],[Notional Value Local Cur]], -PV[[#This Row],[Notional Value Local Cur]])</f>
        <v>0</v>
      </c>
    </row>
    <row r="10049" spans="1:5" x14ac:dyDescent="0.25">
      <c r="A10049" s="36" t="b">
        <v>0</v>
      </c>
      <c r="B10049" s="56" t="b">
        <v>0</v>
      </c>
      <c r="C10049" s="56" t="b">
        <v>0</v>
      </c>
      <c r="D10049" s="56" t="b">
        <v>0</v>
      </c>
      <c r="E10049" s="56">
        <f ca="1">IF(PV[[#This Row],[Business Date]]=Control!$C$6, PV[[#This Row],[Notional Value Local Cur]], -PV[[#This Row],[Notional Value Local Cur]])</f>
        <v>0</v>
      </c>
    </row>
    <row r="10050" spans="1:5" x14ac:dyDescent="0.25">
      <c r="A10050" s="36" t="b">
        <v>0</v>
      </c>
      <c r="B10050" s="56" t="b">
        <v>0</v>
      </c>
      <c r="C10050" s="56" t="b">
        <v>0</v>
      </c>
      <c r="D10050" s="56" t="b">
        <v>0</v>
      </c>
      <c r="E10050" s="56">
        <f ca="1">IF(PV[[#This Row],[Business Date]]=Control!$C$6, PV[[#This Row],[Notional Value Local Cur]], -PV[[#This Row],[Notional Value Local Cur]])</f>
        <v>0</v>
      </c>
    </row>
    <row r="10051" spans="1:5" x14ac:dyDescent="0.25">
      <c r="A10051" s="36" t="b">
        <v>0</v>
      </c>
      <c r="B10051" s="56" t="b">
        <v>0</v>
      </c>
      <c r="C10051" s="56" t="b">
        <v>0</v>
      </c>
      <c r="D10051" s="56" t="b">
        <v>0</v>
      </c>
      <c r="E10051" s="56">
        <f ca="1">IF(PV[[#This Row],[Business Date]]=Control!$C$6, PV[[#This Row],[Notional Value Local Cur]], -PV[[#This Row],[Notional Value Local Cur]])</f>
        <v>0</v>
      </c>
    </row>
    <row r="10052" spans="1:5" x14ac:dyDescent="0.25">
      <c r="A10052" s="36" t="b">
        <v>0</v>
      </c>
      <c r="B10052" s="56" t="b">
        <v>0</v>
      </c>
      <c r="C10052" s="56" t="b">
        <v>0</v>
      </c>
      <c r="D10052" s="56" t="b">
        <v>0</v>
      </c>
      <c r="E10052" s="56">
        <f ca="1">IF(PV[[#This Row],[Business Date]]=Control!$C$6, PV[[#This Row],[Notional Value Local Cur]], -PV[[#This Row],[Notional Value Local Cur]])</f>
        <v>0</v>
      </c>
    </row>
    <row r="10053" spans="1:5" x14ac:dyDescent="0.25">
      <c r="A10053" s="36" t="b">
        <v>0</v>
      </c>
      <c r="B10053" s="56" t="b">
        <v>0</v>
      </c>
      <c r="C10053" s="56" t="b">
        <v>0</v>
      </c>
      <c r="D10053" s="56" t="b">
        <v>0</v>
      </c>
      <c r="E10053" s="56">
        <f ca="1">IF(PV[[#This Row],[Business Date]]=Control!$C$6, PV[[#This Row],[Notional Value Local Cur]], -PV[[#This Row],[Notional Value Local Cur]])</f>
        <v>0</v>
      </c>
    </row>
    <row r="10054" spans="1:5" x14ac:dyDescent="0.25">
      <c r="A10054" s="36" t="b">
        <v>0</v>
      </c>
      <c r="B10054" s="56" t="b">
        <v>0</v>
      </c>
      <c r="C10054" s="56" t="b">
        <v>0</v>
      </c>
      <c r="D10054" s="56" t="b">
        <v>0</v>
      </c>
      <c r="E10054" s="56">
        <f ca="1">IF(PV[[#This Row],[Business Date]]=Control!$C$6, PV[[#This Row],[Notional Value Local Cur]], -PV[[#This Row],[Notional Value Local Cur]])</f>
        <v>0</v>
      </c>
    </row>
    <row r="10055" spans="1:5" x14ac:dyDescent="0.25">
      <c r="A10055" s="36" t="b">
        <v>0</v>
      </c>
      <c r="B10055" s="56" t="b">
        <v>0</v>
      </c>
      <c r="C10055" s="56" t="b">
        <v>0</v>
      </c>
      <c r="D10055" s="56" t="b">
        <v>0</v>
      </c>
      <c r="E10055" s="56">
        <f ca="1">IF(PV[[#This Row],[Business Date]]=Control!$C$6, PV[[#This Row],[Notional Value Local Cur]], -PV[[#This Row],[Notional Value Local Cur]])</f>
        <v>0</v>
      </c>
    </row>
    <row r="10056" spans="1:5" x14ac:dyDescent="0.25">
      <c r="A10056" s="36" t="b">
        <v>0</v>
      </c>
      <c r="B10056" s="56" t="b">
        <v>0</v>
      </c>
      <c r="C10056" s="56" t="b">
        <v>0</v>
      </c>
      <c r="D10056" s="56" t="b">
        <v>0</v>
      </c>
      <c r="E10056" s="56">
        <f ca="1">IF(PV[[#This Row],[Business Date]]=Control!$C$6, PV[[#This Row],[Notional Value Local Cur]], -PV[[#This Row],[Notional Value Local Cur]])</f>
        <v>0</v>
      </c>
    </row>
    <row r="10057" spans="1:5" x14ac:dyDescent="0.25">
      <c r="A10057" s="36" t="b">
        <v>0</v>
      </c>
      <c r="B10057" s="56" t="b">
        <v>0</v>
      </c>
      <c r="C10057" s="56" t="b">
        <v>0</v>
      </c>
      <c r="D10057" s="56" t="b">
        <v>0</v>
      </c>
      <c r="E10057" s="56">
        <f ca="1">IF(PV[[#This Row],[Business Date]]=Control!$C$6, PV[[#This Row],[Notional Value Local Cur]], -PV[[#This Row],[Notional Value Local Cur]])</f>
        <v>0</v>
      </c>
    </row>
    <row r="10058" spans="1:5" x14ac:dyDescent="0.25">
      <c r="A10058" s="36" t="b">
        <v>0</v>
      </c>
      <c r="B10058" s="56" t="b">
        <v>0</v>
      </c>
      <c r="C10058" s="56" t="b">
        <v>0</v>
      </c>
      <c r="D10058" s="56" t="b">
        <v>0</v>
      </c>
      <c r="E10058" s="56">
        <f ca="1">IF(PV[[#This Row],[Business Date]]=Control!$C$6, PV[[#This Row],[Notional Value Local Cur]], -PV[[#This Row],[Notional Value Local Cur]])</f>
        <v>0</v>
      </c>
    </row>
    <row r="10059" spans="1:5" x14ac:dyDescent="0.25">
      <c r="A10059" s="36" t="b">
        <v>0</v>
      </c>
      <c r="B10059" s="56" t="b">
        <v>0</v>
      </c>
      <c r="C10059" s="56" t="b">
        <v>0</v>
      </c>
      <c r="D10059" s="56" t="b">
        <v>0</v>
      </c>
      <c r="E10059" s="56">
        <f ca="1">IF(PV[[#This Row],[Business Date]]=Control!$C$6, PV[[#This Row],[Notional Value Local Cur]], -PV[[#This Row],[Notional Value Local Cur]])</f>
        <v>0</v>
      </c>
    </row>
    <row r="10060" spans="1:5" x14ac:dyDescent="0.25">
      <c r="A10060" s="36" t="b">
        <v>0</v>
      </c>
      <c r="B10060" s="56" t="b">
        <v>0</v>
      </c>
      <c r="C10060" s="56" t="b">
        <v>0</v>
      </c>
      <c r="D10060" s="56" t="b">
        <v>0</v>
      </c>
      <c r="E10060" s="56">
        <f ca="1">IF(PV[[#This Row],[Business Date]]=Control!$C$6, PV[[#This Row],[Notional Value Local Cur]], -PV[[#This Row],[Notional Value Local Cur]])</f>
        <v>0</v>
      </c>
    </row>
    <row r="10061" spans="1:5" x14ac:dyDescent="0.25">
      <c r="A10061" s="36" t="b">
        <v>0</v>
      </c>
      <c r="B10061" s="56" t="b">
        <v>0</v>
      </c>
      <c r="C10061" s="56" t="b">
        <v>0</v>
      </c>
      <c r="D10061" s="56" t="b">
        <v>0</v>
      </c>
      <c r="E10061" s="56">
        <f ca="1">IF(PV[[#This Row],[Business Date]]=Control!$C$6, PV[[#This Row],[Notional Value Local Cur]], -PV[[#This Row],[Notional Value Local Cur]])</f>
        <v>0</v>
      </c>
    </row>
    <row r="10062" spans="1:5" x14ac:dyDescent="0.25">
      <c r="A10062" s="36" t="b">
        <v>0</v>
      </c>
      <c r="B10062" s="56" t="b">
        <v>0</v>
      </c>
      <c r="C10062" s="56" t="b">
        <v>0</v>
      </c>
      <c r="D10062" s="56" t="b">
        <v>0</v>
      </c>
      <c r="E10062" s="56">
        <f ca="1">IF(PV[[#This Row],[Business Date]]=Control!$C$6, PV[[#This Row],[Notional Value Local Cur]], -PV[[#This Row],[Notional Value Local Cur]])</f>
        <v>0</v>
      </c>
    </row>
    <row r="10063" spans="1:5" x14ac:dyDescent="0.25">
      <c r="A10063" s="36" t="b">
        <v>0</v>
      </c>
      <c r="B10063" s="56" t="b">
        <v>0</v>
      </c>
      <c r="C10063" s="56" t="b">
        <v>0</v>
      </c>
      <c r="D10063" s="56" t="b">
        <v>0</v>
      </c>
      <c r="E10063" s="56">
        <f ca="1">IF(PV[[#This Row],[Business Date]]=Control!$C$6, PV[[#This Row],[Notional Value Local Cur]], -PV[[#This Row],[Notional Value Local Cur]])</f>
        <v>0</v>
      </c>
    </row>
    <row r="10064" spans="1:5" x14ac:dyDescent="0.25">
      <c r="A10064" s="36" t="b">
        <v>0</v>
      </c>
      <c r="B10064" s="56" t="b">
        <v>0</v>
      </c>
      <c r="C10064" s="56" t="b">
        <v>0</v>
      </c>
      <c r="D10064" s="56" t="b">
        <v>0</v>
      </c>
      <c r="E10064" s="56">
        <f ca="1">IF(PV[[#This Row],[Business Date]]=Control!$C$6, PV[[#This Row],[Notional Value Local Cur]], -PV[[#This Row],[Notional Value Local Cur]])</f>
        <v>0</v>
      </c>
    </row>
    <row r="10065" spans="1:5" x14ac:dyDescent="0.25">
      <c r="A10065" s="36" t="b">
        <v>0</v>
      </c>
      <c r="B10065" s="56" t="b">
        <v>0</v>
      </c>
      <c r="C10065" s="56" t="b">
        <v>0</v>
      </c>
      <c r="D10065" s="56" t="b">
        <v>0</v>
      </c>
      <c r="E10065" s="56">
        <f ca="1">IF(PV[[#This Row],[Business Date]]=Control!$C$6, PV[[#This Row],[Notional Value Local Cur]], -PV[[#This Row],[Notional Value Local Cur]])</f>
        <v>0</v>
      </c>
    </row>
    <row r="10066" spans="1:5" x14ac:dyDescent="0.25">
      <c r="A10066" s="36" t="b">
        <v>0</v>
      </c>
      <c r="B10066" s="56" t="b">
        <v>0</v>
      </c>
      <c r="C10066" s="56" t="b">
        <v>0</v>
      </c>
      <c r="D10066" s="56" t="b">
        <v>0</v>
      </c>
      <c r="E10066" s="56">
        <f ca="1">IF(PV[[#This Row],[Business Date]]=Control!$C$6, PV[[#This Row],[Notional Value Local Cur]], -PV[[#This Row],[Notional Value Local Cur]])</f>
        <v>0</v>
      </c>
    </row>
    <row r="10067" spans="1:5" x14ac:dyDescent="0.25">
      <c r="A10067" s="36" t="b">
        <v>0</v>
      </c>
      <c r="B10067" s="56" t="b">
        <v>0</v>
      </c>
      <c r="C10067" s="56" t="b">
        <v>0</v>
      </c>
      <c r="D10067" s="56" t="b">
        <v>0</v>
      </c>
      <c r="E10067" s="56">
        <f ca="1">IF(PV[[#This Row],[Business Date]]=Control!$C$6, PV[[#This Row],[Notional Value Local Cur]], -PV[[#This Row],[Notional Value Local Cur]])</f>
        <v>0</v>
      </c>
    </row>
    <row r="10068" spans="1:5" x14ac:dyDescent="0.25">
      <c r="A10068" s="36" t="b">
        <v>0</v>
      </c>
      <c r="B10068" s="56" t="b">
        <v>0</v>
      </c>
      <c r="C10068" s="56" t="b">
        <v>0</v>
      </c>
      <c r="D10068" s="56" t="b">
        <v>0</v>
      </c>
      <c r="E10068" s="56">
        <f ca="1">IF(PV[[#This Row],[Business Date]]=Control!$C$6, PV[[#This Row],[Notional Value Local Cur]], -PV[[#This Row],[Notional Value Local Cur]])</f>
        <v>0</v>
      </c>
    </row>
    <row r="10069" spans="1:5" x14ac:dyDescent="0.25">
      <c r="A10069" s="36" t="b">
        <v>0</v>
      </c>
      <c r="B10069" s="56" t="b">
        <v>0</v>
      </c>
      <c r="C10069" s="56" t="b">
        <v>0</v>
      </c>
      <c r="D10069" s="56" t="b">
        <v>0</v>
      </c>
      <c r="E10069" s="56">
        <f ca="1">IF(PV[[#This Row],[Business Date]]=Control!$C$6, PV[[#This Row],[Notional Value Local Cur]], -PV[[#This Row],[Notional Value Local Cur]])</f>
        <v>0</v>
      </c>
    </row>
    <row r="10070" spans="1:5" x14ac:dyDescent="0.25">
      <c r="A10070" s="36" t="b">
        <v>0</v>
      </c>
      <c r="B10070" s="56" t="b">
        <v>0</v>
      </c>
      <c r="C10070" s="56" t="b">
        <v>0</v>
      </c>
      <c r="D10070" s="56" t="b">
        <v>0</v>
      </c>
      <c r="E10070" s="56">
        <f ca="1">IF(PV[[#This Row],[Business Date]]=Control!$C$6, PV[[#This Row],[Notional Value Local Cur]], -PV[[#This Row],[Notional Value Local Cur]])</f>
        <v>0</v>
      </c>
    </row>
    <row r="10071" spans="1:5" x14ac:dyDescent="0.25">
      <c r="A10071" s="36" t="b">
        <v>0</v>
      </c>
      <c r="B10071" s="56" t="b">
        <v>0</v>
      </c>
      <c r="C10071" s="56" t="b">
        <v>0</v>
      </c>
      <c r="D10071" s="56" t="b">
        <v>0</v>
      </c>
      <c r="E10071" s="56">
        <f ca="1">IF(PV[[#This Row],[Business Date]]=Control!$C$6, PV[[#This Row],[Notional Value Local Cur]], -PV[[#This Row],[Notional Value Local Cur]])</f>
        <v>0</v>
      </c>
    </row>
    <row r="10072" spans="1:5" x14ac:dyDescent="0.25">
      <c r="A10072" s="36" t="b">
        <v>0</v>
      </c>
      <c r="B10072" s="56" t="b">
        <v>0</v>
      </c>
      <c r="C10072" s="56" t="b">
        <v>0</v>
      </c>
      <c r="D10072" s="56" t="b">
        <v>0</v>
      </c>
      <c r="E10072" s="56">
        <f ca="1">IF(PV[[#This Row],[Business Date]]=Control!$C$6, PV[[#This Row],[Notional Value Local Cur]], -PV[[#This Row],[Notional Value Local Cur]])</f>
        <v>0</v>
      </c>
    </row>
    <row r="10073" spans="1:5" x14ac:dyDescent="0.25">
      <c r="A10073" s="36" t="b">
        <v>0</v>
      </c>
      <c r="B10073" s="56" t="b">
        <v>0</v>
      </c>
      <c r="C10073" s="56" t="b">
        <v>0</v>
      </c>
      <c r="D10073" s="56" t="b">
        <v>0</v>
      </c>
      <c r="E10073" s="56">
        <f ca="1">IF(PV[[#This Row],[Business Date]]=Control!$C$6, PV[[#This Row],[Notional Value Local Cur]], -PV[[#This Row],[Notional Value Local Cur]])</f>
        <v>0</v>
      </c>
    </row>
    <row r="10074" spans="1:5" x14ac:dyDescent="0.25">
      <c r="A10074" s="36" t="b">
        <v>0</v>
      </c>
      <c r="B10074" s="56" t="b">
        <v>0</v>
      </c>
      <c r="C10074" s="56" t="b">
        <v>0</v>
      </c>
      <c r="D10074" s="56" t="b">
        <v>0</v>
      </c>
      <c r="E10074" s="56">
        <f ca="1">IF(PV[[#This Row],[Business Date]]=Control!$C$6, PV[[#This Row],[Notional Value Local Cur]], -PV[[#This Row],[Notional Value Local Cur]])</f>
        <v>0</v>
      </c>
    </row>
    <row r="10075" spans="1:5" x14ac:dyDescent="0.25">
      <c r="A10075" s="36" t="b">
        <v>0</v>
      </c>
      <c r="B10075" s="56" t="b">
        <v>0</v>
      </c>
      <c r="C10075" s="56" t="b">
        <v>0</v>
      </c>
      <c r="D10075" s="56" t="b">
        <v>0</v>
      </c>
      <c r="E10075" s="56">
        <f ca="1">IF(PV[[#This Row],[Business Date]]=Control!$C$6, PV[[#This Row],[Notional Value Local Cur]], -PV[[#This Row],[Notional Value Local Cur]])</f>
        <v>0</v>
      </c>
    </row>
    <row r="10076" spans="1:5" x14ac:dyDescent="0.25">
      <c r="A10076" s="36" t="b">
        <v>0</v>
      </c>
      <c r="B10076" s="56" t="b">
        <v>0</v>
      </c>
      <c r="C10076" s="56" t="b">
        <v>0</v>
      </c>
      <c r="D10076" s="56" t="b">
        <v>0</v>
      </c>
      <c r="E10076" s="56">
        <f ca="1">IF(PV[[#This Row],[Business Date]]=Control!$C$6, PV[[#This Row],[Notional Value Local Cur]], -PV[[#This Row],[Notional Value Local Cur]])</f>
        <v>0</v>
      </c>
    </row>
    <row r="10077" spans="1:5" x14ac:dyDescent="0.25">
      <c r="A10077" s="36" t="b">
        <v>0</v>
      </c>
      <c r="B10077" s="56" t="b">
        <v>0</v>
      </c>
      <c r="C10077" s="56" t="b">
        <v>0</v>
      </c>
      <c r="D10077" s="56" t="b">
        <v>0</v>
      </c>
      <c r="E10077" s="56">
        <f ca="1">IF(PV[[#This Row],[Business Date]]=Control!$C$6, PV[[#This Row],[Notional Value Local Cur]], -PV[[#This Row],[Notional Value Local Cur]])</f>
        <v>0</v>
      </c>
    </row>
    <row r="10078" spans="1:5" x14ac:dyDescent="0.25">
      <c r="A10078" s="36" t="b">
        <v>0</v>
      </c>
      <c r="B10078" s="56" t="b">
        <v>0</v>
      </c>
      <c r="C10078" s="56" t="b">
        <v>0</v>
      </c>
      <c r="D10078" s="56" t="b">
        <v>0</v>
      </c>
      <c r="E10078" s="56">
        <f ca="1">IF(PV[[#This Row],[Business Date]]=Control!$C$6, PV[[#This Row],[Notional Value Local Cur]], -PV[[#This Row],[Notional Value Local Cur]])</f>
        <v>0</v>
      </c>
    </row>
    <row r="10079" spans="1:5" x14ac:dyDescent="0.25">
      <c r="A10079" s="36" t="b">
        <v>0</v>
      </c>
      <c r="B10079" s="56" t="b">
        <v>0</v>
      </c>
      <c r="C10079" s="56" t="b">
        <v>0</v>
      </c>
      <c r="D10079" s="56" t="b">
        <v>0</v>
      </c>
      <c r="E10079" s="56">
        <f ca="1">IF(PV[[#This Row],[Business Date]]=Control!$C$6, PV[[#This Row],[Notional Value Local Cur]], -PV[[#This Row],[Notional Value Local Cur]])</f>
        <v>0</v>
      </c>
    </row>
    <row r="10080" spans="1:5" x14ac:dyDescent="0.25">
      <c r="A10080" s="36" t="b">
        <v>0</v>
      </c>
      <c r="B10080" s="56" t="b">
        <v>0</v>
      </c>
      <c r="C10080" s="56" t="b">
        <v>0</v>
      </c>
      <c r="D10080" s="56" t="b">
        <v>0</v>
      </c>
      <c r="E10080" s="56">
        <f ca="1">IF(PV[[#This Row],[Business Date]]=Control!$C$6, PV[[#This Row],[Notional Value Local Cur]], -PV[[#This Row],[Notional Value Local Cur]])</f>
        <v>0</v>
      </c>
    </row>
    <row r="10081" spans="1:5" x14ac:dyDescent="0.25">
      <c r="A10081" s="36" t="b">
        <v>0</v>
      </c>
      <c r="B10081" s="56" t="b">
        <v>0</v>
      </c>
      <c r="C10081" s="56" t="b">
        <v>0</v>
      </c>
      <c r="D10081" s="56" t="b">
        <v>0</v>
      </c>
      <c r="E10081" s="56">
        <f ca="1">IF(PV[[#This Row],[Business Date]]=Control!$C$6, PV[[#This Row],[Notional Value Local Cur]], -PV[[#This Row],[Notional Value Local Cur]])</f>
        <v>0</v>
      </c>
    </row>
    <row r="10082" spans="1:5" x14ac:dyDescent="0.25">
      <c r="A10082" s="36" t="b">
        <v>0</v>
      </c>
      <c r="B10082" s="56" t="b">
        <v>0</v>
      </c>
      <c r="C10082" s="56" t="b">
        <v>0</v>
      </c>
      <c r="D10082" s="56" t="b">
        <v>0</v>
      </c>
      <c r="E10082" s="56">
        <f ca="1">IF(PV[[#This Row],[Business Date]]=Control!$C$6, PV[[#This Row],[Notional Value Local Cur]], -PV[[#This Row],[Notional Value Local Cur]])</f>
        <v>0</v>
      </c>
    </row>
    <row r="10083" spans="1:5" x14ac:dyDescent="0.25">
      <c r="A10083" s="36" t="b">
        <v>0</v>
      </c>
      <c r="B10083" s="56" t="b">
        <v>0</v>
      </c>
      <c r="C10083" s="56" t="b">
        <v>0</v>
      </c>
      <c r="D10083" s="56" t="b">
        <v>0</v>
      </c>
      <c r="E10083" s="56">
        <f ca="1">IF(PV[[#This Row],[Business Date]]=Control!$C$6, PV[[#This Row],[Notional Value Local Cur]], -PV[[#This Row],[Notional Value Local Cur]])</f>
        <v>0</v>
      </c>
    </row>
    <row r="10084" spans="1:5" x14ac:dyDescent="0.25">
      <c r="A10084" s="36" t="b">
        <v>0</v>
      </c>
      <c r="B10084" s="56" t="b">
        <v>0</v>
      </c>
      <c r="C10084" s="56" t="b">
        <v>0</v>
      </c>
      <c r="D10084" s="56" t="b">
        <v>0</v>
      </c>
      <c r="E10084" s="56">
        <f ca="1">IF(PV[[#This Row],[Business Date]]=Control!$C$6, PV[[#This Row],[Notional Value Local Cur]], -PV[[#This Row],[Notional Value Local Cur]])</f>
        <v>0</v>
      </c>
    </row>
    <row r="10085" spans="1:5" x14ac:dyDescent="0.25">
      <c r="A10085" s="36" t="b">
        <v>0</v>
      </c>
      <c r="B10085" s="56" t="b">
        <v>0</v>
      </c>
      <c r="C10085" s="56" t="b">
        <v>0</v>
      </c>
      <c r="D10085" s="56" t="b">
        <v>0</v>
      </c>
      <c r="E10085" s="56">
        <f ca="1">IF(PV[[#This Row],[Business Date]]=Control!$C$6, PV[[#This Row],[Notional Value Local Cur]], -PV[[#This Row],[Notional Value Local Cur]])</f>
        <v>0</v>
      </c>
    </row>
    <row r="10086" spans="1:5" x14ac:dyDescent="0.25">
      <c r="A10086" s="36" t="b">
        <v>0</v>
      </c>
      <c r="B10086" s="56" t="b">
        <v>0</v>
      </c>
      <c r="C10086" s="56" t="b">
        <v>0</v>
      </c>
      <c r="D10086" s="56" t="b">
        <v>0</v>
      </c>
      <c r="E10086" s="56">
        <f ca="1">IF(PV[[#This Row],[Business Date]]=Control!$C$6, PV[[#This Row],[Notional Value Local Cur]], -PV[[#This Row],[Notional Value Local Cur]])</f>
        <v>0</v>
      </c>
    </row>
    <row r="10087" spans="1:5" x14ac:dyDescent="0.25">
      <c r="A10087" s="36" t="b">
        <v>0</v>
      </c>
      <c r="B10087" s="56" t="b">
        <v>0</v>
      </c>
      <c r="C10087" s="56" t="b">
        <v>0</v>
      </c>
      <c r="D10087" s="56" t="b">
        <v>0</v>
      </c>
      <c r="E10087" s="56">
        <f ca="1">IF(PV[[#This Row],[Business Date]]=Control!$C$6, PV[[#This Row],[Notional Value Local Cur]], -PV[[#This Row],[Notional Value Local Cur]])</f>
        <v>0</v>
      </c>
    </row>
    <row r="10088" spans="1:5" x14ac:dyDescent="0.25">
      <c r="A10088" s="36" t="b">
        <v>0</v>
      </c>
      <c r="B10088" s="56" t="b">
        <v>0</v>
      </c>
      <c r="C10088" s="56" t="b">
        <v>0</v>
      </c>
      <c r="D10088" s="56" t="b">
        <v>0</v>
      </c>
      <c r="E10088" s="56">
        <f ca="1">IF(PV[[#This Row],[Business Date]]=Control!$C$6, PV[[#This Row],[Notional Value Local Cur]], -PV[[#This Row],[Notional Value Local Cur]])</f>
        <v>0</v>
      </c>
    </row>
    <row r="10089" spans="1:5" x14ac:dyDescent="0.25">
      <c r="A10089" s="36" t="b">
        <v>0</v>
      </c>
      <c r="B10089" s="56" t="b">
        <v>0</v>
      </c>
      <c r="C10089" s="56" t="b">
        <v>0</v>
      </c>
      <c r="D10089" s="56" t="b">
        <v>0</v>
      </c>
      <c r="E10089" s="56">
        <f ca="1">IF(PV[[#This Row],[Business Date]]=Control!$C$6, PV[[#This Row],[Notional Value Local Cur]], -PV[[#This Row],[Notional Value Local Cur]])</f>
        <v>0</v>
      </c>
    </row>
    <row r="10090" spans="1:5" x14ac:dyDescent="0.25">
      <c r="A10090" s="36" t="b">
        <v>0</v>
      </c>
      <c r="B10090" s="56" t="b">
        <v>0</v>
      </c>
      <c r="C10090" s="56" t="b">
        <v>0</v>
      </c>
      <c r="D10090" s="56" t="b">
        <v>0</v>
      </c>
      <c r="E10090" s="56">
        <f ca="1">IF(PV[[#This Row],[Business Date]]=Control!$C$6, PV[[#This Row],[Notional Value Local Cur]], -PV[[#This Row],[Notional Value Local Cur]])</f>
        <v>0</v>
      </c>
    </row>
    <row r="10091" spans="1:5" x14ac:dyDescent="0.25">
      <c r="A10091" s="36" t="b">
        <v>0</v>
      </c>
      <c r="B10091" s="56" t="b">
        <v>0</v>
      </c>
      <c r="C10091" s="56" t="b">
        <v>0</v>
      </c>
      <c r="D10091" s="56" t="b">
        <v>0</v>
      </c>
      <c r="E10091" s="56">
        <f ca="1">IF(PV[[#This Row],[Business Date]]=Control!$C$6, PV[[#This Row],[Notional Value Local Cur]], -PV[[#This Row],[Notional Value Local Cur]])</f>
        <v>0</v>
      </c>
    </row>
    <row r="10092" spans="1:5" x14ac:dyDescent="0.25">
      <c r="A10092" s="36" t="b">
        <v>0</v>
      </c>
      <c r="B10092" s="56" t="b">
        <v>0</v>
      </c>
      <c r="C10092" s="56" t="b">
        <v>0</v>
      </c>
      <c r="D10092" s="56" t="b">
        <v>0</v>
      </c>
      <c r="E10092" s="56">
        <f ca="1">IF(PV[[#This Row],[Business Date]]=Control!$C$6, PV[[#This Row],[Notional Value Local Cur]], -PV[[#This Row],[Notional Value Local Cur]])</f>
        <v>0</v>
      </c>
    </row>
    <row r="10093" spans="1:5" x14ac:dyDescent="0.25">
      <c r="A10093" s="36" t="b">
        <v>0</v>
      </c>
      <c r="B10093" s="56" t="b">
        <v>0</v>
      </c>
      <c r="C10093" s="56" t="b">
        <v>0</v>
      </c>
      <c r="D10093" s="56" t="b">
        <v>0</v>
      </c>
      <c r="E10093" s="56">
        <f ca="1">IF(PV[[#This Row],[Business Date]]=Control!$C$6, PV[[#This Row],[Notional Value Local Cur]], -PV[[#This Row],[Notional Value Local Cur]])</f>
        <v>0</v>
      </c>
    </row>
    <row r="10094" spans="1:5" x14ac:dyDescent="0.25">
      <c r="A10094" s="36" t="b">
        <v>0</v>
      </c>
      <c r="B10094" s="56" t="b">
        <v>0</v>
      </c>
      <c r="C10094" s="56" t="b">
        <v>0</v>
      </c>
      <c r="D10094" s="56" t="b">
        <v>0</v>
      </c>
      <c r="E10094" s="56">
        <f ca="1">IF(PV[[#This Row],[Business Date]]=Control!$C$6, PV[[#This Row],[Notional Value Local Cur]], -PV[[#This Row],[Notional Value Local Cur]])</f>
        <v>0</v>
      </c>
    </row>
    <row r="10095" spans="1:5" x14ac:dyDescent="0.25">
      <c r="A10095" s="36" t="b">
        <v>0</v>
      </c>
      <c r="B10095" s="56" t="b">
        <v>0</v>
      </c>
      <c r="C10095" s="56" t="b">
        <v>0</v>
      </c>
      <c r="D10095" s="56" t="b">
        <v>0</v>
      </c>
      <c r="E10095" s="56">
        <f ca="1">IF(PV[[#This Row],[Business Date]]=Control!$C$6, PV[[#This Row],[Notional Value Local Cur]], -PV[[#This Row],[Notional Value Local Cur]])</f>
        <v>0</v>
      </c>
    </row>
    <row r="10096" spans="1:5" x14ac:dyDescent="0.25">
      <c r="A10096" s="36" t="b">
        <v>0</v>
      </c>
      <c r="B10096" s="56" t="b">
        <v>0</v>
      </c>
      <c r="C10096" s="56" t="b">
        <v>0</v>
      </c>
      <c r="D10096" s="56" t="b">
        <v>0</v>
      </c>
      <c r="E10096" s="56">
        <f ca="1">IF(PV[[#This Row],[Business Date]]=Control!$C$6, PV[[#This Row],[Notional Value Local Cur]], -PV[[#This Row],[Notional Value Local Cur]])</f>
        <v>0</v>
      </c>
    </row>
    <row r="10097" spans="1:5" x14ac:dyDescent="0.25">
      <c r="A10097" s="36" t="b">
        <v>0</v>
      </c>
      <c r="B10097" s="56" t="b">
        <v>0</v>
      </c>
      <c r="C10097" s="56" t="b">
        <v>0</v>
      </c>
      <c r="D10097" s="56" t="b">
        <v>0</v>
      </c>
      <c r="E10097" s="56">
        <f ca="1">IF(PV[[#This Row],[Business Date]]=Control!$C$6, PV[[#This Row],[Notional Value Local Cur]], -PV[[#This Row],[Notional Value Local Cur]])</f>
        <v>0</v>
      </c>
    </row>
    <row r="10098" spans="1:5" x14ac:dyDescent="0.25">
      <c r="A10098" s="36" t="b">
        <v>0</v>
      </c>
      <c r="B10098" s="56" t="b">
        <v>0</v>
      </c>
      <c r="C10098" s="56" t="b">
        <v>0</v>
      </c>
      <c r="D10098" s="56" t="b">
        <v>0</v>
      </c>
      <c r="E10098" s="56">
        <f ca="1">IF(PV[[#This Row],[Business Date]]=Control!$C$6, PV[[#This Row],[Notional Value Local Cur]], -PV[[#This Row],[Notional Value Local Cur]])</f>
        <v>0</v>
      </c>
    </row>
    <row r="10099" spans="1:5" x14ac:dyDescent="0.25">
      <c r="A10099" s="36" t="b">
        <v>0</v>
      </c>
      <c r="B10099" s="56" t="b">
        <v>0</v>
      </c>
      <c r="C10099" s="56" t="b">
        <v>0</v>
      </c>
      <c r="D10099" s="56" t="b">
        <v>0</v>
      </c>
      <c r="E10099" s="56">
        <f ca="1">IF(PV[[#This Row],[Business Date]]=Control!$C$6, PV[[#This Row],[Notional Value Local Cur]], -PV[[#This Row],[Notional Value Local Cur]])</f>
        <v>0</v>
      </c>
    </row>
    <row r="10100" spans="1:5" x14ac:dyDescent="0.25">
      <c r="A10100" s="36" t="b">
        <v>0</v>
      </c>
      <c r="B10100" s="56" t="b">
        <v>0</v>
      </c>
      <c r="C10100" s="56" t="b">
        <v>0</v>
      </c>
      <c r="D10100" s="56" t="b">
        <v>0</v>
      </c>
      <c r="E10100" s="56">
        <f ca="1">IF(PV[[#This Row],[Business Date]]=Control!$C$6, PV[[#This Row],[Notional Value Local Cur]], -PV[[#This Row],[Notional Value Local Cur]])</f>
        <v>0</v>
      </c>
    </row>
    <row r="10101" spans="1:5" x14ac:dyDescent="0.25">
      <c r="A10101" s="36" t="b">
        <v>0</v>
      </c>
      <c r="B10101" s="56" t="b">
        <v>0</v>
      </c>
      <c r="C10101" s="56" t="b">
        <v>0</v>
      </c>
      <c r="D10101" s="56" t="b">
        <v>0</v>
      </c>
      <c r="E10101" s="56">
        <f ca="1">IF(PV[[#This Row],[Business Date]]=Control!$C$6, PV[[#This Row],[Notional Value Local Cur]], -PV[[#This Row],[Notional Value Local Cur]])</f>
        <v>0</v>
      </c>
    </row>
    <row r="10102" spans="1:5" x14ac:dyDescent="0.25">
      <c r="A10102" s="36" t="b">
        <v>0</v>
      </c>
      <c r="B10102" s="56" t="b">
        <v>0</v>
      </c>
      <c r="C10102" s="56" t="b">
        <v>0</v>
      </c>
      <c r="D10102" s="56" t="b">
        <v>0</v>
      </c>
      <c r="E10102" s="56">
        <f ca="1">IF(PV[[#This Row],[Business Date]]=Control!$C$6, PV[[#This Row],[Notional Value Local Cur]], -PV[[#This Row],[Notional Value Local Cur]])</f>
        <v>0</v>
      </c>
    </row>
    <row r="10103" spans="1:5" x14ac:dyDescent="0.25">
      <c r="A10103" s="36" t="b">
        <v>0</v>
      </c>
      <c r="B10103" s="56" t="b">
        <v>0</v>
      </c>
      <c r="C10103" s="56" t="b">
        <v>0</v>
      </c>
      <c r="D10103" s="56" t="b">
        <v>0</v>
      </c>
      <c r="E10103" s="56">
        <f ca="1">IF(PV[[#This Row],[Business Date]]=Control!$C$6, PV[[#This Row],[Notional Value Local Cur]], -PV[[#This Row],[Notional Value Local Cur]])</f>
        <v>0</v>
      </c>
    </row>
    <row r="10104" spans="1:5" x14ac:dyDescent="0.25">
      <c r="A10104" s="36" t="b">
        <v>0</v>
      </c>
      <c r="B10104" s="56" t="b">
        <v>0</v>
      </c>
      <c r="C10104" s="56" t="b">
        <v>0</v>
      </c>
      <c r="D10104" s="56" t="b">
        <v>0</v>
      </c>
      <c r="E10104" s="56">
        <f ca="1">IF(PV[[#This Row],[Business Date]]=Control!$C$6, PV[[#This Row],[Notional Value Local Cur]], -PV[[#This Row],[Notional Value Local Cur]])</f>
        <v>0</v>
      </c>
    </row>
    <row r="10105" spans="1:5" x14ac:dyDescent="0.25">
      <c r="A10105" s="36" t="b">
        <v>0</v>
      </c>
      <c r="B10105" s="56" t="b">
        <v>0</v>
      </c>
      <c r="C10105" s="56" t="b">
        <v>0</v>
      </c>
      <c r="D10105" s="56" t="b">
        <v>0</v>
      </c>
      <c r="E10105" s="56">
        <f ca="1">IF(PV[[#This Row],[Business Date]]=Control!$C$6, PV[[#This Row],[Notional Value Local Cur]], -PV[[#This Row],[Notional Value Local Cur]])</f>
        <v>0</v>
      </c>
    </row>
    <row r="10106" spans="1:5" x14ac:dyDescent="0.25">
      <c r="A10106" s="36" t="b">
        <v>0</v>
      </c>
      <c r="B10106" s="56" t="b">
        <v>0</v>
      </c>
      <c r="C10106" s="56" t="b">
        <v>0</v>
      </c>
      <c r="D10106" s="56" t="b">
        <v>0</v>
      </c>
      <c r="E10106" s="56">
        <f ca="1">IF(PV[[#This Row],[Business Date]]=Control!$C$6, PV[[#This Row],[Notional Value Local Cur]], -PV[[#This Row],[Notional Value Local Cur]])</f>
        <v>0</v>
      </c>
    </row>
    <row r="10107" spans="1:5" x14ac:dyDescent="0.25">
      <c r="A10107" s="36" t="b">
        <v>0</v>
      </c>
      <c r="B10107" s="56" t="b">
        <v>0</v>
      </c>
      <c r="C10107" s="56" t="b">
        <v>0</v>
      </c>
      <c r="D10107" s="56" t="b">
        <v>0</v>
      </c>
      <c r="E10107" s="56">
        <f ca="1">IF(PV[[#This Row],[Business Date]]=Control!$C$6, PV[[#This Row],[Notional Value Local Cur]], -PV[[#This Row],[Notional Value Local Cur]])</f>
        <v>0</v>
      </c>
    </row>
    <row r="10108" spans="1:5" x14ac:dyDescent="0.25">
      <c r="A10108" s="36" t="b">
        <v>0</v>
      </c>
      <c r="B10108" s="56" t="b">
        <v>0</v>
      </c>
      <c r="C10108" s="56" t="b">
        <v>0</v>
      </c>
      <c r="D10108" s="56" t="b">
        <v>0</v>
      </c>
      <c r="E10108" s="56">
        <f ca="1">IF(PV[[#This Row],[Business Date]]=Control!$C$6, PV[[#This Row],[Notional Value Local Cur]], -PV[[#This Row],[Notional Value Local Cur]])</f>
        <v>0</v>
      </c>
    </row>
    <row r="10109" spans="1:5" x14ac:dyDescent="0.25">
      <c r="A10109" s="36" t="b">
        <v>0</v>
      </c>
      <c r="B10109" s="56" t="b">
        <v>0</v>
      </c>
      <c r="C10109" s="56" t="b">
        <v>0</v>
      </c>
      <c r="D10109" s="56" t="b">
        <v>0</v>
      </c>
      <c r="E10109" s="56">
        <f ca="1">IF(PV[[#This Row],[Business Date]]=Control!$C$6, PV[[#This Row],[Notional Value Local Cur]], -PV[[#This Row],[Notional Value Local Cur]])</f>
        <v>0</v>
      </c>
    </row>
    <row r="10110" spans="1:5" x14ac:dyDescent="0.25">
      <c r="A10110" s="36" t="b">
        <v>0</v>
      </c>
      <c r="B10110" s="56" t="b">
        <v>0</v>
      </c>
      <c r="C10110" s="56" t="b">
        <v>0</v>
      </c>
      <c r="D10110" s="56" t="b">
        <v>0</v>
      </c>
      <c r="E10110" s="56">
        <f ca="1">IF(PV[[#This Row],[Business Date]]=Control!$C$6, PV[[#This Row],[Notional Value Local Cur]], -PV[[#This Row],[Notional Value Local Cur]])</f>
        <v>0</v>
      </c>
    </row>
    <row r="10111" spans="1:5" x14ac:dyDescent="0.25">
      <c r="A10111" s="36" t="b">
        <v>0</v>
      </c>
      <c r="B10111" s="56" t="b">
        <v>0</v>
      </c>
      <c r="C10111" s="56" t="b">
        <v>0</v>
      </c>
      <c r="D10111" s="56" t="b">
        <v>0</v>
      </c>
      <c r="E10111" s="56">
        <f ca="1">IF(PV[[#This Row],[Business Date]]=Control!$C$6, PV[[#This Row],[Notional Value Local Cur]], -PV[[#This Row],[Notional Value Local Cur]])</f>
        <v>0</v>
      </c>
    </row>
    <row r="10112" spans="1:5" x14ac:dyDescent="0.25">
      <c r="A10112" s="36" t="b">
        <v>0</v>
      </c>
      <c r="B10112" s="56" t="b">
        <v>0</v>
      </c>
      <c r="C10112" s="56" t="b">
        <v>0</v>
      </c>
      <c r="D10112" s="56" t="b">
        <v>0</v>
      </c>
      <c r="E10112" s="56">
        <f ca="1">IF(PV[[#This Row],[Business Date]]=Control!$C$6, PV[[#This Row],[Notional Value Local Cur]], -PV[[#This Row],[Notional Value Local Cur]])</f>
        <v>0</v>
      </c>
    </row>
    <row r="10113" spans="1:5" x14ac:dyDescent="0.25">
      <c r="A10113" s="36" t="b">
        <v>0</v>
      </c>
      <c r="B10113" s="56" t="b">
        <v>0</v>
      </c>
      <c r="C10113" s="56" t="b">
        <v>0</v>
      </c>
      <c r="D10113" s="56" t="b">
        <v>0</v>
      </c>
      <c r="E10113" s="56">
        <f ca="1">IF(PV[[#This Row],[Business Date]]=Control!$C$6, PV[[#This Row],[Notional Value Local Cur]], -PV[[#This Row],[Notional Value Local Cur]])</f>
        <v>0</v>
      </c>
    </row>
    <row r="10114" spans="1:5" x14ac:dyDescent="0.25">
      <c r="A10114" s="36" t="b">
        <v>0</v>
      </c>
      <c r="B10114" s="56" t="b">
        <v>0</v>
      </c>
      <c r="C10114" s="56" t="b">
        <v>0</v>
      </c>
      <c r="D10114" s="56" t="b">
        <v>0</v>
      </c>
      <c r="E10114" s="56">
        <f ca="1">IF(PV[[#This Row],[Business Date]]=Control!$C$6, PV[[#This Row],[Notional Value Local Cur]], -PV[[#This Row],[Notional Value Local Cur]])</f>
        <v>0</v>
      </c>
    </row>
    <row r="10115" spans="1:5" x14ac:dyDescent="0.25">
      <c r="A10115" s="36" t="b">
        <v>0</v>
      </c>
      <c r="B10115" s="56" t="b">
        <v>0</v>
      </c>
      <c r="C10115" s="56" t="b">
        <v>0</v>
      </c>
      <c r="D10115" s="56" t="b">
        <v>0</v>
      </c>
      <c r="E10115" s="56">
        <f ca="1">IF(PV[[#This Row],[Business Date]]=Control!$C$6, PV[[#This Row],[Notional Value Local Cur]], -PV[[#This Row],[Notional Value Local Cur]])</f>
        <v>0</v>
      </c>
    </row>
    <row r="10116" spans="1:5" x14ac:dyDescent="0.25">
      <c r="A10116" s="36" t="b">
        <v>0</v>
      </c>
      <c r="B10116" s="56" t="b">
        <v>0</v>
      </c>
      <c r="C10116" s="56" t="b">
        <v>0</v>
      </c>
      <c r="D10116" s="56" t="b">
        <v>0</v>
      </c>
      <c r="E10116" s="56">
        <f ca="1">IF(PV[[#This Row],[Business Date]]=Control!$C$6, PV[[#This Row],[Notional Value Local Cur]], -PV[[#This Row],[Notional Value Local Cur]])</f>
        <v>0</v>
      </c>
    </row>
    <row r="10117" spans="1:5" x14ac:dyDescent="0.25">
      <c r="A10117" s="36" t="b">
        <v>0</v>
      </c>
      <c r="B10117" s="56" t="b">
        <v>0</v>
      </c>
      <c r="C10117" s="56" t="b">
        <v>0</v>
      </c>
      <c r="D10117" s="56" t="b">
        <v>0</v>
      </c>
      <c r="E10117" s="56">
        <f ca="1">IF(PV[[#This Row],[Business Date]]=Control!$C$6, PV[[#This Row],[Notional Value Local Cur]], -PV[[#This Row],[Notional Value Local Cur]])</f>
        <v>0</v>
      </c>
    </row>
    <row r="10118" spans="1:5" x14ac:dyDescent="0.25">
      <c r="A10118" s="36" t="b">
        <v>0</v>
      </c>
      <c r="B10118" s="56" t="b">
        <v>0</v>
      </c>
      <c r="C10118" s="56" t="b">
        <v>0</v>
      </c>
      <c r="D10118" s="56" t="b">
        <v>0</v>
      </c>
      <c r="E10118" s="56">
        <f ca="1">IF(PV[[#This Row],[Business Date]]=Control!$C$6, PV[[#This Row],[Notional Value Local Cur]], -PV[[#This Row],[Notional Value Local Cur]])</f>
        <v>0</v>
      </c>
    </row>
    <row r="10119" spans="1:5" x14ac:dyDescent="0.25">
      <c r="A10119" s="36" t="b">
        <v>0</v>
      </c>
      <c r="B10119" s="56" t="b">
        <v>0</v>
      </c>
      <c r="C10119" s="56" t="b">
        <v>0</v>
      </c>
      <c r="D10119" s="56" t="b">
        <v>0</v>
      </c>
      <c r="E10119" s="56">
        <f ca="1">IF(PV[[#This Row],[Business Date]]=Control!$C$6, PV[[#This Row],[Notional Value Local Cur]], -PV[[#This Row],[Notional Value Local Cur]])</f>
        <v>0</v>
      </c>
    </row>
    <row r="10120" spans="1:5" x14ac:dyDescent="0.25">
      <c r="A10120" s="36" t="b">
        <v>0</v>
      </c>
      <c r="B10120" s="56" t="b">
        <v>0</v>
      </c>
      <c r="C10120" s="56" t="b">
        <v>0</v>
      </c>
      <c r="D10120" s="56" t="b">
        <v>0</v>
      </c>
      <c r="E10120" s="56">
        <f ca="1">IF(PV[[#This Row],[Business Date]]=Control!$C$6, PV[[#This Row],[Notional Value Local Cur]], -PV[[#This Row],[Notional Value Local Cur]])</f>
        <v>0</v>
      </c>
    </row>
    <row r="10121" spans="1:5" x14ac:dyDescent="0.25">
      <c r="A10121" s="36" t="b">
        <v>0</v>
      </c>
      <c r="B10121" s="56" t="b">
        <v>0</v>
      </c>
      <c r="C10121" s="56" t="b">
        <v>0</v>
      </c>
      <c r="D10121" s="56" t="b">
        <v>0</v>
      </c>
      <c r="E10121" s="56">
        <f ca="1">IF(PV[[#This Row],[Business Date]]=Control!$C$6, PV[[#This Row],[Notional Value Local Cur]], -PV[[#This Row],[Notional Value Local Cur]])</f>
        <v>0</v>
      </c>
    </row>
    <row r="10122" spans="1:5" x14ac:dyDescent="0.25">
      <c r="A10122" s="36" t="b">
        <v>0</v>
      </c>
      <c r="B10122" s="56" t="b">
        <v>0</v>
      </c>
      <c r="C10122" s="56" t="b">
        <v>0</v>
      </c>
      <c r="D10122" s="56" t="b">
        <v>0</v>
      </c>
      <c r="E10122" s="56">
        <f ca="1">IF(PV[[#This Row],[Business Date]]=Control!$C$6, PV[[#This Row],[Notional Value Local Cur]], -PV[[#This Row],[Notional Value Local Cur]])</f>
        <v>0</v>
      </c>
    </row>
    <row r="10123" spans="1:5" x14ac:dyDescent="0.25">
      <c r="A10123" s="36" t="b">
        <v>0</v>
      </c>
      <c r="B10123" s="56" t="b">
        <v>0</v>
      </c>
      <c r="C10123" s="56" t="b">
        <v>0</v>
      </c>
      <c r="D10123" s="56" t="b">
        <v>0</v>
      </c>
      <c r="E10123" s="56">
        <f ca="1">IF(PV[[#This Row],[Business Date]]=Control!$C$6, PV[[#This Row],[Notional Value Local Cur]], -PV[[#This Row],[Notional Value Local Cur]])</f>
        <v>0</v>
      </c>
    </row>
    <row r="10124" spans="1:5" x14ac:dyDescent="0.25">
      <c r="A10124" s="36" t="b">
        <v>0</v>
      </c>
      <c r="B10124" s="56" t="b">
        <v>0</v>
      </c>
      <c r="C10124" s="56" t="b">
        <v>0</v>
      </c>
      <c r="D10124" s="56" t="b">
        <v>0</v>
      </c>
      <c r="E10124" s="56">
        <f ca="1">IF(PV[[#This Row],[Business Date]]=Control!$C$6, PV[[#This Row],[Notional Value Local Cur]], -PV[[#This Row],[Notional Value Local Cur]])</f>
        <v>0</v>
      </c>
    </row>
    <row r="10125" spans="1:5" x14ac:dyDescent="0.25">
      <c r="A10125" s="36" t="b">
        <v>0</v>
      </c>
      <c r="B10125" s="56" t="b">
        <v>0</v>
      </c>
      <c r="C10125" s="56" t="b">
        <v>0</v>
      </c>
      <c r="D10125" s="56" t="b">
        <v>0</v>
      </c>
      <c r="E10125" s="56">
        <f ca="1">IF(PV[[#This Row],[Business Date]]=Control!$C$6, PV[[#This Row],[Notional Value Local Cur]], -PV[[#This Row],[Notional Value Local Cur]])</f>
        <v>0</v>
      </c>
    </row>
    <row r="10126" spans="1:5" x14ac:dyDescent="0.25">
      <c r="A10126" s="36" t="b">
        <v>0</v>
      </c>
      <c r="B10126" s="56" t="b">
        <v>0</v>
      </c>
      <c r="C10126" s="56" t="b">
        <v>0</v>
      </c>
      <c r="D10126" s="56" t="b">
        <v>0</v>
      </c>
      <c r="E10126" s="56">
        <f ca="1">IF(PV[[#This Row],[Business Date]]=Control!$C$6, PV[[#This Row],[Notional Value Local Cur]], -PV[[#This Row],[Notional Value Local Cur]])</f>
        <v>0</v>
      </c>
    </row>
    <row r="10127" spans="1:5" x14ac:dyDescent="0.25">
      <c r="A10127" s="36" t="b">
        <v>0</v>
      </c>
      <c r="B10127" s="56" t="b">
        <v>0</v>
      </c>
      <c r="C10127" s="56" t="b">
        <v>0</v>
      </c>
      <c r="D10127" s="56" t="b">
        <v>0</v>
      </c>
      <c r="E10127" s="56">
        <f ca="1">IF(PV[[#This Row],[Business Date]]=Control!$C$6, PV[[#This Row],[Notional Value Local Cur]], -PV[[#This Row],[Notional Value Local Cur]])</f>
        <v>0</v>
      </c>
    </row>
    <row r="10128" spans="1:5" x14ac:dyDescent="0.25">
      <c r="A10128" s="36" t="b">
        <v>0</v>
      </c>
      <c r="B10128" s="56" t="b">
        <v>0</v>
      </c>
      <c r="C10128" s="56" t="b">
        <v>0</v>
      </c>
      <c r="D10128" s="56" t="b">
        <v>0</v>
      </c>
      <c r="E10128" s="56">
        <f ca="1">IF(PV[[#This Row],[Business Date]]=Control!$C$6, PV[[#This Row],[Notional Value Local Cur]], -PV[[#This Row],[Notional Value Local Cur]])</f>
        <v>0</v>
      </c>
    </row>
    <row r="10129" spans="1:5" x14ac:dyDescent="0.25">
      <c r="A10129" s="36" t="b">
        <v>0</v>
      </c>
      <c r="B10129" s="56" t="b">
        <v>0</v>
      </c>
      <c r="C10129" s="56" t="b">
        <v>0</v>
      </c>
      <c r="D10129" s="56" t="b">
        <v>0</v>
      </c>
      <c r="E10129" s="56">
        <f ca="1">IF(PV[[#This Row],[Business Date]]=Control!$C$6, PV[[#This Row],[Notional Value Local Cur]], -PV[[#This Row],[Notional Value Local Cur]])</f>
        <v>0</v>
      </c>
    </row>
    <row r="10130" spans="1:5" x14ac:dyDescent="0.25">
      <c r="A10130" s="36" t="b">
        <v>0</v>
      </c>
      <c r="B10130" s="56" t="b">
        <v>0</v>
      </c>
      <c r="C10130" s="56" t="b">
        <v>0</v>
      </c>
      <c r="D10130" s="56" t="b">
        <v>0</v>
      </c>
      <c r="E10130" s="56">
        <f ca="1">IF(PV[[#This Row],[Business Date]]=Control!$C$6, PV[[#This Row],[Notional Value Local Cur]], -PV[[#This Row],[Notional Value Local Cur]])</f>
        <v>0</v>
      </c>
    </row>
    <row r="10131" spans="1:5" x14ac:dyDescent="0.25">
      <c r="A10131" s="36" t="b">
        <v>0</v>
      </c>
      <c r="B10131" s="56" t="b">
        <v>0</v>
      </c>
      <c r="C10131" s="56" t="b">
        <v>0</v>
      </c>
      <c r="D10131" s="56" t="b">
        <v>0</v>
      </c>
      <c r="E10131" s="56">
        <f ca="1">IF(PV[[#This Row],[Business Date]]=Control!$C$6, PV[[#This Row],[Notional Value Local Cur]], -PV[[#This Row],[Notional Value Local Cur]])</f>
        <v>0</v>
      </c>
    </row>
    <row r="10132" spans="1:5" x14ac:dyDescent="0.25">
      <c r="A10132" s="36" t="b">
        <v>0</v>
      </c>
      <c r="B10132" s="56" t="b">
        <v>0</v>
      </c>
      <c r="C10132" s="56" t="b">
        <v>0</v>
      </c>
      <c r="D10132" s="56" t="b">
        <v>0</v>
      </c>
      <c r="E10132" s="56">
        <f ca="1">IF(PV[[#This Row],[Business Date]]=Control!$C$6, PV[[#This Row],[Notional Value Local Cur]], -PV[[#This Row],[Notional Value Local Cur]])</f>
        <v>0</v>
      </c>
    </row>
    <row r="10133" spans="1:5" x14ac:dyDescent="0.25">
      <c r="A10133" s="36" t="b">
        <v>0</v>
      </c>
      <c r="B10133" s="56" t="b">
        <v>0</v>
      </c>
      <c r="C10133" s="56" t="b">
        <v>0</v>
      </c>
      <c r="D10133" s="56" t="b">
        <v>0</v>
      </c>
      <c r="E10133" s="56">
        <f ca="1">IF(PV[[#This Row],[Business Date]]=Control!$C$6, PV[[#This Row],[Notional Value Local Cur]], -PV[[#This Row],[Notional Value Local Cur]])</f>
        <v>0</v>
      </c>
    </row>
    <row r="10134" spans="1:5" x14ac:dyDescent="0.25">
      <c r="A10134" s="36" t="b">
        <v>0</v>
      </c>
      <c r="B10134" s="56" t="b">
        <v>0</v>
      </c>
      <c r="C10134" s="56" t="b">
        <v>0</v>
      </c>
      <c r="D10134" s="56" t="b">
        <v>0</v>
      </c>
      <c r="E10134" s="56">
        <f ca="1">IF(PV[[#This Row],[Business Date]]=Control!$C$6, PV[[#This Row],[Notional Value Local Cur]], -PV[[#This Row],[Notional Value Local Cur]])</f>
        <v>0</v>
      </c>
    </row>
    <row r="10135" spans="1:5" x14ac:dyDescent="0.25">
      <c r="A10135" s="36" t="b">
        <v>0</v>
      </c>
      <c r="B10135" s="56" t="b">
        <v>0</v>
      </c>
      <c r="C10135" s="56" t="b">
        <v>0</v>
      </c>
      <c r="D10135" s="56" t="b">
        <v>0</v>
      </c>
      <c r="E10135" s="56">
        <f ca="1">IF(PV[[#This Row],[Business Date]]=Control!$C$6, PV[[#This Row],[Notional Value Local Cur]], -PV[[#This Row],[Notional Value Local Cur]])</f>
        <v>0</v>
      </c>
    </row>
    <row r="10136" spans="1:5" x14ac:dyDescent="0.25">
      <c r="A10136" s="36" t="b">
        <v>0</v>
      </c>
      <c r="B10136" s="56" t="b">
        <v>0</v>
      </c>
      <c r="C10136" s="56" t="b">
        <v>0</v>
      </c>
      <c r="D10136" s="56" t="b">
        <v>0</v>
      </c>
      <c r="E10136" s="56">
        <f ca="1">IF(PV[[#This Row],[Business Date]]=Control!$C$6, PV[[#This Row],[Notional Value Local Cur]], -PV[[#This Row],[Notional Value Local Cur]])</f>
        <v>0</v>
      </c>
    </row>
    <row r="10137" spans="1:5" x14ac:dyDescent="0.25">
      <c r="A10137" s="36" t="b">
        <v>0</v>
      </c>
      <c r="B10137" s="56" t="b">
        <v>0</v>
      </c>
      <c r="C10137" s="56" t="b">
        <v>0</v>
      </c>
      <c r="D10137" s="56" t="b">
        <v>0</v>
      </c>
      <c r="E10137" s="56">
        <f ca="1">IF(PV[[#This Row],[Business Date]]=Control!$C$6, PV[[#This Row],[Notional Value Local Cur]], -PV[[#This Row],[Notional Value Local Cur]])</f>
        <v>0</v>
      </c>
    </row>
    <row r="10138" spans="1:5" x14ac:dyDescent="0.25">
      <c r="A10138" s="36" t="b">
        <v>0</v>
      </c>
      <c r="B10138" s="56" t="b">
        <v>0</v>
      </c>
      <c r="C10138" s="56" t="b">
        <v>0</v>
      </c>
      <c r="D10138" s="56" t="b">
        <v>0</v>
      </c>
      <c r="E10138" s="56">
        <f ca="1">IF(PV[[#This Row],[Business Date]]=Control!$C$6, PV[[#This Row],[Notional Value Local Cur]], -PV[[#This Row],[Notional Value Local Cur]])</f>
        <v>0</v>
      </c>
    </row>
    <row r="10139" spans="1:5" x14ac:dyDescent="0.25">
      <c r="A10139" s="36" t="b">
        <v>0</v>
      </c>
      <c r="B10139" s="56" t="b">
        <v>0</v>
      </c>
      <c r="C10139" s="56" t="b">
        <v>0</v>
      </c>
      <c r="D10139" s="56" t="b">
        <v>0</v>
      </c>
      <c r="E10139" s="56">
        <f ca="1">IF(PV[[#This Row],[Business Date]]=Control!$C$6, PV[[#This Row],[Notional Value Local Cur]], -PV[[#This Row],[Notional Value Local Cur]])</f>
        <v>0</v>
      </c>
    </row>
    <row r="10140" spans="1:5" x14ac:dyDescent="0.25">
      <c r="A10140" s="36" t="b">
        <v>0</v>
      </c>
      <c r="B10140" s="56" t="b">
        <v>0</v>
      </c>
      <c r="C10140" s="56" t="b">
        <v>0</v>
      </c>
      <c r="D10140" s="56" t="b">
        <v>0</v>
      </c>
      <c r="E10140" s="56">
        <f ca="1">IF(PV[[#This Row],[Business Date]]=Control!$C$6, PV[[#This Row],[Notional Value Local Cur]], -PV[[#This Row],[Notional Value Local Cur]])</f>
        <v>0</v>
      </c>
    </row>
    <row r="10141" spans="1:5" x14ac:dyDescent="0.25">
      <c r="A10141" s="36" t="b">
        <v>0</v>
      </c>
      <c r="B10141" s="56" t="b">
        <v>0</v>
      </c>
      <c r="C10141" s="56" t="b">
        <v>0</v>
      </c>
      <c r="D10141" s="56" t="b">
        <v>0</v>
      </c>
      <c r="E10141" s="56">
        <f ca="1">IF(PV[[#This Row],[Business Date]]=Control!$C$6, PV[[#This Row],[Notional Value Local Cur]], -PV[[#This Row],[Notional Value Local Cur]])</f>
        <v>0</v>
      </c>
    </row>
    <row r="10142" spans="1:5" x14ac:dyDescent="0.25">
      <c r="A10142" s="36" t="b">
        <v>0</v>
      </c>
      <c r="B10142" s="56" t="b">
        <v>0</v>
      </c>
      <c r="C10142" s="56" t="b">
        <v>0</v>
      </c>
      <c r="D10142" s="56" t="b">
        <v>0</v>
      </c>
      <c r="E10142" s="56">
        <f ca="1">IF(PV[[#This Row],[Business Date]]=Control!$C$6, PV[[#This Row],[Notional Value Local Cur]], -PV[[#This Row],[Notional Value Local Cur]])</f>
        <v>0</v>
      </c>
    </row>
    <row r="10143" spans="1:5" x14ac:dyDescent="0.25">
      <c r="A10143" s="36" t="b">
        <v>0</v>
      </c>
      <c r="B10143" s="56" t="b">
        <v>0</v>
      </c>
      <c r="C10143" s="56" t="b">
        <v>0</v>
      </c>
      <c r="D10143" s="56" t="b">
        <v>0</v>
      </c>
      <c r="E10143" s="56">
        <f ca="1">IF(PV[[#This Row],[Business Date]]=Control!$C$6, PV[[#This Row],[Notional Value Local Cur]], -PV[[#This Row],[Notional Value Local Cur]])</f>
        <v>0</v>
      </c>
    </row>
    <row r="10144" spans="1:5" x14ac:dyDescent="0.25">
      <c r="A10144" s="36" t="b">
        <v>0</v>
      </c>
      <c r="B10144" s="56" t="b">
        <v>0</v>
      </c>
      <c r="C10144" s="56" t="b">
        <v>0</v>
      </c>
      <c r="D10144" s="56" t="b">
        <v>0</v>
      </c>
      <c r="E10144" s="56">
        <f ca="1">IF(PV[[#This Row],[Business Date]]=Control!$C$6, PV[[#This Row],[Notional Value Local Cur]], -PV[[#This Row],[Notional Value Local Cur]])</f>
        <v>0</v>
      </c>
    </row>
    <row r="10145" spans="1:5" x14ac:dyDescent="0.25">
      <c r="A10145" s="36" t="b">
        <v>0</v>
      </c>
      <c r="B10145" s="56" t="b">
        <v>0</v>
      </c>
      <c r="C10145" s="56" t="b">
        <v>0</v>
      </c>
      <c r="D10145" s="56" t="b">
        <v>0</v>
      </c>
      <c r="E10145" s="56">
        <f ca="1">IF(PV[[#This Row],[Business Date]]=Control!$C$6, PV[[#This Row],[Notional Value Local Cur]], -PV[[#This Row],[Notional Value Local Cur]])</f>
        <v>0</v>
      </c>
    </row>
    <row r="10146" spans="1:5" x14ac:dyDescent="0.25">
      <c r="A10146" s="36" t="b">
        <v>0</v>
      </c>
      <c r="B10146" s="56" t="b">
        <v>0</v>
      </c>
      <c r="C10146" s="56" t="b">
        <v>0</v>
      </c>
      <c r="D10146" s="56" t="b">
        <v>0</v>
      </c>
      <c r="E10146" s="56">
        <f ca="1">IF(PV[[#This Row],[Business Date]]=Control!$C$6, PV[[#This Row],[Notional Value Local Cur]], -PV[[#This Row],[Notional Value Local Cur]])</f>
        <v>0</v>
      </c>
    </row>
    <row r="10147" spans="1:5" x14ac:dyDescent="0.25">
      <c r="A10147" s="36" t="b">
        <v>0</v>
      </c>
      <c r="B10147" s="56" t="b">
        <v>0</v>
      </c>
      <c r="C10147" s="56" t="b">
        <v>0</v>
      </c>
      <c r="D10147" s="56" t="b">
        <v>0</v>
      </c>
      <c r="E10147" s="56">
        <f ca="1">IF(PV[[#This Row],[Business Date]]=Control!$C$6, PV[[#This Row],[Notional Value Local Cur]], -PV[[#This Row],[Notional Value Local Cur]])</f>
        <v>0</v>
      </c>
    </row>
    <row r="10148" spans="1:5" x14ac:dyDescent="0.25">
      <c r="A10148" s="36" t="b">
        <v>0</v>
      </c>
      <c r="B10148" s="56" t="b">
        <v>0</v>
      </c>
      <c r="C10148" s="56" t="b">
        <v>0</v>
      </c>
      <c r="D10148" s="56" t="b">
        <v>0</v>
      </c>
      <c r="E10148" s="56">
        <f ca="1">IF(PV[[#This Row],[Business Date]]=Control!$C$6, PV[[#This Row],[Notional Value Local Cur]], -PV[[#This Row],[Notional Value Local Cur]])</f>
        <v>0</v>
      </c>
    </row>
    <row r="10149" spans="1:5" x14ac:dyDescent="0.25">
      <c r="A10149" s="36" t="b">
        <v>0</v>
      </c>
      <c r="B10149" s="56" t="b">
        <v>0</v>
      </c>
      <c r="C10149" s="56" t="b">
        <v>0</v>
      </c>
      <c r="D10149" s="56" t="b">
        <v>0</v>
      </c>
      <c r="E10149" s="56">
        <f ca="1">IF(PV[[#This Row],[Business Date]]=Control!$C$6, PV[[#This Row],[Notional Value Local Cur]], -PV[[#This Row],[Notional Value Local Cur]])</f>
        <v>0</v>
      </c>
    </row>
    <row r="10150" spans="1:5" x14ac:dyDescent="0.25">
      <c r="A10150" s="36" t="b">
        <v>0</v>
      </c>
      <c r="B10150" s="56" t="b">
        <v>0</v>
      </c>
      <c r="C10150" s="56" t="b">
        <v>0</v>
      </c>
      <c r="D10150" s="56" t="b">
        <v>0</v>
      </c>
      <c r="E10150" s="56">
        <f ca="1">IF(PV[[#This Row],[Business Date]]=Control!$C$6, PV[[#This Row],[Notional Value Local Cur]], -PV[[#This Row],[Notional Value Local Cur]])</f>
        <v>0</v>
      </c>
    </row>
    <row r="10151" spans="1:5" x14ac:dyDescent="0.25">
      <c r="A10151" s="36" t="b">
        <v>0</v>
      </c>
      <c r="B10151" s="56" t="b">
        <v>0</v>
      </c>
      <c r="C10151" s="56" t="b">
        <v>0</v>
      </c>
      <c r="D10151" s="56" t="b">
        <v>0</v>
      </c>
      <c r="E10151" s="56">
        <f ca="1">IF(PV[[#This Row],[Business Date]]=Control!$C$6, PV[[#This Row],[Notional Value Local Cur]], -PV[[#This Row],[Notional Value Local Cur]])</f>
        <v>0</v>
      </c>
    </row>
    <row r="10152" spans="1:5" x14ac:dyDescent="0.25">
      <c r="A10152" s="36" t="b">
        <v>0</v>
      </c>
      <c r="B10152" s="56" t="b">
        <v>0</v>
      </c>
      <c r="C10152" s="56" t="b">
        <v>0</v>
      </c>
      <c r="D10152" s="56" t="b">
        <v>0</v>
      </c>
      <c r="E10152" s="56">
        <f ca="1">IF(PV[[#This Row],[Business Date]]=Control!$C$6, PV[[#This Row],[Notional Value Local Cur]], -PV[[#This Row],[Notional Value Local Cur]])</f>
        <v>0</v>
      </c>
    </row>
    <row r="10153" spans="1:5" x14ac:dyDescent="0.25">
      <c r="A10153" s="36" t="b">
        <v>0</v>
      </c>
      <c r="B10153" s="56" t="b">
        <v>0</v>
      </c>
      <c r="C10153" s="56" t="b">
        <v>0</v>
      </c>
      <c r="D10153" s="56" t="b">
        <v>0</v>
      </c>
      <c r="E10153" s="56">
        <f ca="1">IF(PV[[#This Row],[Business Date]]=Control!$C$6, PV[[#This Row],[Notional Value Local Cur]], -PV[[#This Row],[Notional Value Local Cur]])</f>
        <v>0</v>
      </c>
    </row>
    <row r="10154" spans="1:5" x14ac:dyDescent="0.25">
      <c r="A10154" s="36" t="b">
        <v>0</v>
      </c>
      <c r="B10154" s="56" t="b">
        <v>0</v>
      </c>
      <c r="C10154" s="56" t="b">
        <v>0</v>
      </c>
      <c r="D10154" s="56" t="b">
        <v>0</v>
      </c>
      <c r="E10154" s="56">
        <f ca="1">IF(PV[[#This Row],[Business Date]]=Control!$C$6, PV[[#This Row],[Notional Value Local Cur]], -PV[[#This Row],[Notional Value Local Cur]])</f>
        <v>0</v>
      </c>
    </row>
    <row r="10155" spans="1:5" x14ac:dyDescent="0.25">
      <c r="A10155" s="36" t="b">
        <v>0</v>
      </c>
      <c r="B10155" s="56" t="b">
        <v>0</v>
      </c>
      <c r="C10155" s="56" t="b">
        <v>0</v>
      </c>
      <c r="D10155" s="56" t="b">
        <v>0</v>
      </c>
      <c r="E10155" s="56">
        <f ca="1">IF(PV[[#This Row],[Business Date]]=Control!$C$6, PV[[#This Row],[Notional Value Local Cur]], -PV[[#This Row],[Notional Value Local Cur]])</f>
        <v>0</v>
      </c>
    </row>
    <row r="10156" spans="1:5" x14ac:dyDescent="0.25">
      <c r="A10156" s="36" t="b">
        <v>0</v>
      </c>
      <c r="B10156" s="56" t="b">
        <v>0</v>
      </c>
      <c r="C10156" s="56" t="b">
        <v>0</v>
      </c>
      <c r="D10156" s="56" t="b">
        <v>0</v>
      </c>
      <c r="E10156" s="56">
        <f ca="1">IF(PV[[#This Row],[Business Date]]=Control!$C$6, PV[[#This Row],[Notional Value Local Cur]], -PV[[#This Row],[Notional Value Local Cur]])</f>
        <v>0</v>
      </c>
    </row>
    <row r="10157" spans="1:5" x14ac:dyDescent="0.25">
      <c r="A10157" s="36" t="b">
        <v>0</v>
      </c>
      <c r="B10157" s="56" t="b">
        <v>0</v>
      </c>
      <c r="C10157" s="56" t="b">
        <v>0</v>
      </c>
      <c r="D10157" s="56" t="b">
        <v>0</v>
      </c>
      <c r="E10157" s="56">
        <f ca="1">IF(PV[[#This Row],[Business Date]]=Control!$C$6, PV[[#This Row],[Notional Value Local Cur]], -PV[[#This Row],[Notional Value Local Cur]])</f>
        <v>0</v>
      </c>
    </row>
    <row r="10158" spans="1:5" x14ac:dyDescent="0.25">
      <c r="A10158" s="36" t="b">
        <v>0</v>
      </c>
      <c r="B10158" s="56" t="b">
        <v>0</v>
      </c>
      <c r="C10158" s="56" t="b">
        <v>0</v>
      </c>
      <c r="D10158" s="56" t="b">
        <v>0</v>
      </c>
      <c r="E10158" s="56">
        <f ca="1">IF(PV[[#This Row],[Business Date]]=Control!$C$6, PV[[#This Row],[Notional Value Local Cur]], -PV[[#This Row],[Notional Value Local Cur]])</f>
        <v>0</v>
      </c>
    </row>
    <row r="10159" spans="1:5" x14ac:dyDescent="0.25">
      <c r="A10159" s="36" t="b">
        <v>0</v>
      </c>
      <c r="B10159" s="56" t="b">
        <v>0</v>
      </c>
      <c r="C10159" s="56" t="b">
        <v>0</v>
      </c>
      <c r="D10159" s="56" t="b">
        <v>0</v>
      </c>
      <c r="E10159" s="56">
        <f ca="1">IF(PV[[#This Row],[Business Date]]=Control!$C$6, PV[[#This Row],[Notional Value Local Cur]], -PV[[#This Row],[Notional Value Local Cur]])</f>
        <v>0</v>
      </c>
    </row>
    <row r="10160" spans="1:5" x14ac:dyDescent="0.25">
      <c r="A10160" s="36" t="b">
        <v>0</v>
      </c>
      <c r="B10160" s="56" t="b">
        <v>0</v>
      </c>
      <c r="C10160" s="56" t="b">
        <v>0</v>
      </c>
      <c r="D10160" s="56" t="b">
        <v>0</v>
      </c>
      <c r="E10160" s="56">
        <f ca="1">IF(PV[[#This Row],[Business Date]]=Control!$C$6, PV[[#This Row],[Notional Value Local Cur]], -PV[[#This Row],[Notional Value Local Cur]])</f>
        <v>0</v>
      </c>
    </row>
    <row r="10161" spans="1:5" x14ac:dyDescent="0.25">
      <c r="A10161" s="36" t="b">
        <v>0</v>
      </c>
      <c r="B10161" s="56" t="b">
        <v>0</v>
      </c>
      <c r="C10161" s="56" t="b">
        <v>0</v>
      </c>
      <c r="D10161" s="56" t="b">
        <v>0</v>
      </c>
      <c r="E10161" s="56">
        <f ca="1">IF(PV[[#This Row],[Business Date]]=Control!$C$6, PV[[#This Row],[Notional Value Local Cur]], -PV[[#This Row],[Notional Value Local Cur]])</f>
        <v>0</v>
      </c>
    </row>
    <row r="10162" spans="1:5" x14ac:dyDescent="0.25">
      <c r="A10162" s="36" t="b">
        <v>0</v>
      </c>
      <c r="B10162" s="56" t="b">
        <v>0</v>
      </c>
      <c r="C10162" s="56" t="b">
        <v>0</v>
      </c>
      <c r="D10162" s="56" t="b">
        <v>0</v>
      </c>
      <c r="E10162" s="56">
        <f ca="1">IF(PV[[#This Row],[Business Date]]=Control!$C$6, PV[[#This Row],[Notional Value Local Cur]], -PV[[#This Row],[Notional Value Local Cur]])</f>
        <v>0</v>
      </c>
    </row>
    <row r="10163" spans="1:5" x14ac:dyDescent="0.25">
      <c r="A10163" s="36" t="b">
        <v>0</v>
      </c>
      <c r="B10163" s="56" t="b">
        <v>0</v>
      </c>
      <c r="C10163" s="56" t="b">
        <v>0</v>
      </c>
      <c r="D10163" s="56" t="b">
        <v>0</v>
      </c>
      <c r="E10163" s="56">
        <f ca="1">IF(PV[[#This Row],[Business Date]]=Control!$C$6, PV[[#This Row],[Notional Value Local Cur]], -PV[[#This Row],[Notional Value Local Cur]])</f>
        <v>0</v>
      </c>
    </row>
    <row r="10164" spans="1:5" x14ac:dyDescent="0.25">
      <c r="A10164" s="36" t="b">
        <v>0</v>
      </c>
      <c r="B10164" s="56" t="b">
        <v>0</v>
      </c>
      <c r="C10164" s="56" t="b">
        <v>0</v>
      </c>
      <c r="D10164" s="56" t="b">
        <v>0</v>
      </c>
      <c r="E10164" s="56">
        <f ca="1">IF(PV[[#This Row],[Business Date]]=Control!$C$6, PV[[#This Row],[Notional Value Local Cur]], -PV[[#This Row],[Notional Value Local Cur]])</f>
        <v>0</v>
      </c>
    </row>
    <row r="10165" spans="1:5" x14ac:dyDescent="0.25">
      <c r="A10165" s="36" t="b">
        <v>0</v>
      </c>
      <c r="B10165" s="56" t="b">
        <v>0</v>
      </c>
      <c r="C10165" s="56" t="b">
        <v>0</v>
      </c>
      <c r="D10165" s="56" t="b">
        <v>0</v>
      </c>
      <c r="E10165" s="56">
        <f ca="1">IF(PV[[#This Row],[Business Date]]=Control!$C$6, PV[[#This Row],[Notional Value Local Cur]], -PV[[#This Row],[Notional Value Local Cur]])</f>
        <v>0</v>
      </c>
    </row>
    <row r="10166" spans="1:5" x14ac:dyDescent="0.25">
      <c r="A10166" s="36" t="b">
        <v>0</v>
      </c>
      <c r="B10166" s="56" t="b">
        <v>0</v>
      </c>
      <c r="C10166" s="56" t="b">
        <v>0</v>
      </c>
      <c r="D10166" s="56" t="b">
        <v>0</v>
      </c>
      <c r="E10166" s="56">
        <f ca="1">IF(PV[[#This Row],[Business Date]]=Control!$C$6, PV[[#This Row],[Notional Value Local Cur]], -PV[[#This Row],[Notional Value Local Cur]])</f>
        <v>0</v>
      </c>
    </row>
    <row r="10167" spans="1:5" x14ac:dyDescent="0.25">
      <c r="A10167" s="36" t="b">
        <v>0</v>
      </c>
      <c r="B10167" s="56" t="b">
        <v>0</v>
      </c>
      <c r="C10167" s="56" t="b">
        <v>0</v>
      </c>
      <c r="D10167" s="56" t="b">
        <v>0</v>
      </c>
      <c r="E10167" s="56">
        <f ca="1">IF(PV[[#This Row],[Business Date]]=Control!$C$6, PV[[#This Row],[Notional Value Local Cur]], -PV[[#This Row],[Notional Value Local Cur]])</f>
        <v>0</v>
      </c>
    </row>
    <row r="10168" spans="1:5" x14ac:dyDescent="0.25">
      <c r="A10168" s="36" t="b">
        <v>0</v>
      </c>
      <c r="B10168" s="56" t="b">
        <v>0</v>
      </c>
      <c r="C10168" s="56" t="b">
        <v>0</v>
      </c>
      <c r="D10168" s="56" t="b">
        <v>0</v>
      </c>
      <c r="E10168" s="56">
        <f ca="1">IF(PV[[#This Row],[Business Date]]=Control!$C$6, PV[[#This Row],[Notional Value Local Cur]], -PV[[#This Row],[Notional Value Local Cur]])</f>
        <v>0</v>
      </c>
    </row>
    <row r="10169" spans="1:5" x14ac:dyDescent="0.25">
      <c r="A10169" s="36" t="b">
        <v>0</v>
      </c>
      <c r="B10169" s="56" t="b">
        <v>0</v>
      </c>
      <c r="C10169" s="56" t="b">
        <v>0</v>
      </c>
      <c r="D10169" s="56" t="b">
        <v>0</v>
      </c>
      <c r="E10169" s="56">
        <f ca="1">IF(PV[[#This Row],[Business Date]]=Control!$C$6, PV[[#This Row],[Notional Value Local Cur]], -PV[[#This Row],[Notional Value Local Cur]])</f>
        <v>0</v>
      </c>
    </row>
    <row r="10170" spans="1:5" x14ac:dyDescent="0.25">
      <c r="A10170" s="36" t="b">
        <v>0</v>
      </c>
      <c r="B10170" s="56" t="b">
        <v>0</v>
      </c>
      <c r="C10170" s="56" t="b">
        <v>0</v>
      </c>
      <c r="D10170" s="56" t="b">
        <v>0</v>
      </c>
      <c r="E10170" s="56">
        <f ca="1">IF(PV[[#This Row],[Business Date]]=Control!$C$6, PV[[#This Row],[Notional Value Local Cur]], -PV[[#This Row],[Notional Value Local Cur]])</f>
        <v>0</v>
      </c>
    </row>
    <row r="10171" spans="1:5" x14ac:dyDescent="0.25">
      <c r="A10171" s="36" t="b">
        <v>0</v>
      </c>
      <c r="B10171" s="56" t="b">
        <v>0</v>
      </c>
      <c r="C10171" s="56" t="b">
        <v>0</v>
      </c>
      <c r="D10171" s="56" t="b">
        <v>0</v>
      </c>
      <c r="E10171" s="56">
        <f ca="1">IF(PV[[#This Row],[Business Date]]=Control!$C$6, PV[[#This Row],[Notional Value Local Cur]], -PV[[#This Row],[Notional Value Local Cur]])</f>
        <v>0</v>
      </c>
    </row>
    <row r="10172" spans="1:5" x14ac:dyDescent="0.25">
      <c r="A10172" s="36" t="b">
        <v>0</v>
      </c>
      <c r="B10172" s="56" t="b">
        <v>0</v>
      </c>
      <c r="C10172" s="56" t="b">
        <v>0</v>
      </c>
      <c r="D10172" s="56" t="b">
        <v>0</v>
      </c>
      <c r="E10172" s="56">
        <f ca="1">IF(PV[[#This Row],[Business Date]]=Control!$C$6, PV[[#This Row],[Notional Value Local Cur]], -PV[[#This Row],[Notional Value Local Cur]])</f>
        <v>0</v>
      </c>
    </row>
    <row r="10173" spans="1:5" x14ac:dyDescent="0.25">
      <c r="A10173" s="36" t="b">
        <v>0</v>
      </c>
      <c r="B10173" s="56" t="b">
        <v>0</v>
      </c>
      <c r="C10173" s="56" t="b">
        <v>0</v>
      </c>
      <c r="D10173" s="56" t="b">
        <v>0</v>
      </c>
      <c r="E10173" s="56">
        <f ca="1">IF(PV[[#This Row],[Business Date]]=Control!$C$6, PV[[#This Row],[Notional Value Local Cur]], -PV[[#This Row],[Notional Value Local Cur]])</f>
        <v>0</v>
      </c>
    </row>
    <row r="10174" spans="1:5" x14ac:dyDescent="0.25">
      <c r="A10174" s="36" t="b">
        <v>0</v>
      </c>
      <c r="B10174" s="56" t="b">
        <v>0</v>
      </c>
      <c r="C10174" s="56" t="b">
        <v>0</v>
      </c>
      <c r="D10174" s="56" t="b">
        <v>0</v>
      </c>
      <c r="E10174" s="56">
        <f ca="1">IF(PV[[#This Row],[Business Date]]=Control!$C$6, PV[[#This Row],[Notional Value Local Cur]], -PV[[#This Row],[Notional Value Local Cur]])</f>
        <v>0</v>
      </c>
    </row>
    <row r="10175" spans="1:5" x14ac:dyDescent="0.25">
      <c r="A10175" s="36" t="b">
        <v>0</v>
      </c>
      <c r="B10175" s="56" t="b">
        <v>0</v>
      </c>
      <c r="C10175" s="56" t="b">
        <v>0</v>
      </c>
      <c r="D10175" s="56" t="b">
        <v>0</v>
      </c>
      <c r="E10175" s="56">
        <f ca="1">IF(PV[[#This Row],[Business Date]]=Control!$C$6, PV[[#This Row],[Notional Value Local Cur]], -PV[[#This Row],[Notional Value Local Cur]])</f>
        <v>0</v>
      </c>
    </row>
    <row r="10176" spans="1:5" x14ac:dyDescent="0.25">
      <c r="A10176" s="36" t="b">
        <v>0</v>
      </c>
      <c r="B10176" s="56" t="b">
        <v>0</v>
      </c>
      <c r="C10176" s="56" t="b">
        <v>0</v>
      </c>
      <c r="D10176" s="56" t="b">
        <v>0</v>
      </c>
      <c r="E10176" s="56">
        <f ca="1">IF(PV[[#This Row],[Business Date]]=Control!$C$6, PV[[#This Row],[Notional Value Local Cur]], -PV[[#This Row],[Notional Value Local Cur]])</f>
        <v>0</v>
      </c>
    </row>
    <row r="10177" spans="1:5" x14ac:dyDescent="0.25">
      <c r="A10177" s="36" t="b">
        <v>0</v>
      </c>
      <c r="B10177" s="56" t="b">
        <v>0</v>
      </c>
      <c r="C10177" s="56" t="b">
        <v>0</v>
      </c>
      <c r="D10177" s="56" t="b">
        <v>0</v>
      </c>
      <c r="E10177" s="56">
        <f ca="1">IF(PV[[#This Row],[Business Date]]=Control!$C$6, PV[[#This Row],[Notional Value Local Cur]], -PV[[#This Row],[Notional Value Local Cur]])</f>
        <v>0</v>
      </c>
    </row>
    <row r="10178" spans="1:5" x14ac:dyDescent="0.25">
      <c r="A10178" s="36" t="b">
        <v>0</v>
      </c>
      <c r="B10178" s="56" t="b">
        <v>0</v>
      </c>
      <c r="C10178" s="56" t="b">
        <v>0</v>
      </c>
      <c r="D10178" s="56" t="b">
        <v>0</v>
      </c>
      <c r="E10178" s="56">
        <f ca="1">IF(PV[[#This Row],[Business Date]]=Control!$C$6, PV[[#This Row],[Notional Value Local Cur]], -PV[[#This Row],[Notional Value Local Cur]])</f>
        <v>0</v>
      </c>
    </row>
    <row r="10179" spans="1:5" x14ac:dyDescent="0.25">
      <c r="A10179" s="36" t="b">
        <v>0</v>
      </c>
      <c r="B10179" s="56" t="b">
        <v>0</v>
      </c>
      <c r="C10179" s="56" t="b">
        <v>0</v>
      </c>
      <c r="D10179" s="56" t="b">
        <v>0</v>
      </c>
      <c r="E10179" s="56">
        <f ca="1">IF(PV[[#This Row],[Business Date]]=Control!$C$6, PV[[#This Row],[Notional Value Local Cur]], -PV[[#This Row],[Notional Value Local Cur]])</f>
        <v>0</v>
      </c>
    </row>
    <row r="10180" spans="1:5" x14ac:dyDescent="0.25">
      <c r="A10180" s="36" t="b">
        <v>0</v>
      </c>
      <c r="B10180" s="56" t="b">
        <v>0</v>
      </c>
      <c r="C10180" s="56" t="b">
        <v>0</v>
      </c>
      <c r="D10180" s="56" t="b">
        <v>0</v>
      </c>
      <c r="E10180" s="56">
        <f ca="1">IF(PV[[#This Row],[Business Date]]=Control!$C$6, PV[[#This Row],[Notional Value Local Cur]], -PV[[#This Row],[Notional Value Local Cur]])</f>
        <v>0</v>
      </c>
    </row>
    <row r="10181" spans="1:5" x14ac:dyDescent="0.25">
      <c r="A10181" s="36" t="b">
        <v>0</v>
      </c>
      <c r="B10181" s="56" t="b">
        <v>0</v>
      </c>
      <c r="C10181" s="56" t="b">
        <v>0</v>
      </c>
      <c r="D10181" s="56" t="b">
        <v>0</v>
      </c>
      <c r="E10181" s="56">
        <f ca="1">IF(PV[[#This Row],[Business Date]]=Control!$C$6, PV[[#This Row],[Notional Value Local Cur]], -PV[[#This Row],[Notional Value Local Cur]])</f>
        <v>0</v>
      </c>
    </row>
    <row r="10182" spans="1:5" x14ac:dyDescent="0.25">
      <c r="A10182" s="36" t="b">
        <v>0</v>
      </c>
      <c r="B10182" s="56" t="b">
        <v>0</v>
      </c>
      <c r="C10182" s="56" t="b">
        <v>0</v>
      </c>
      <c r="D10182" s="56" t="b">
        <v>0</v>
      </c>
      <c r="E10182" s="56">
        <f ca="1">IF(PV[[#This Row],[Business Date]]=Control!$C$6, PV[[#This Row],[Notional Value Local Cur]], -PV[[#This Row],[Notional Value Local Cur]])</f>
        <v>0</v>
      </c>
    </row>
    <row r="10183" spans="1:5" x14ac:dyDescent="0.25">
      <c r="A10183" s="36" t="b">
        <v>0</v>
      </c>
      <c r="B10183" s="56" t="b">
        <v>0</v>
      </c>
      <c r="C10183" s="56" t="b">
        <v>0</v>
      </c>
      <c r="D10183" s="56" t="b">
        <v>0</v>
      </c>
      <c r="E10183" s="56">
        <f ca="1">IF(PV[[#This Row],[Business Date]]=Control!$C$6, PV[[#This Row],[Notional Value Local Cur]], -PV[[#This Row],[Notional Value Local Cur]])</f>
        <v>0</v>
      </c>
    </row>
    <row r="10184" spans="1:5" x14ac:dyDescent="0.25">
      <c r="A10184" s="36" t="b">
        <v>0</v>
      </c>
      <c r="B10184" s="56" t="b">
        <v>0</v>
      </c>
      <c r="C10184" s="56" t="b">
        <v>0</v>
      </c>
      <c r="D10184" s="56" t="b">
        <v>0</v>
      </c>
      <c r="E10184" s="56">
        <f ca="1">IF(PV[[#This Row],[Business Date]]=Control!$C$6, PV[[#This Row],[Notional Value Local Cur]], -PV[[#This Row],[Notional Value Local Cur]])</f>
        <v>0</v>
      </c>
    </row>
    <row r="10185" spans="1:5" x14ac:dyDescent="0.25">
      <c r="A10185" s="36" t="b">
        <v>0</v>
      </c>
      <c r="B10185" s="56" t="b">
        <v>0</v>
      </c>
      <c r="C10185" s="56" t="b">
        <v>0</v>
      </c>
      <c r="D10185" s="56" t="b">
        <v>0</v>
      </c>
      <c r="E10185" s="56">
        <f ca="1">IF(PV[[#This Row],[Business Date]]=Control!$C$6, PV[[#This Row],[Notional Value Local Cur]], -PV[[#This Row],[Notional Value Local Cur]])</f>
        <v>0</v>
      </c>
    </row>
    <row r="10186" spans="1:5" x14ac:dyDescent="0.25">
      <c r="A10186" s="36" t="b">
        <v>0</v>
      </c>
      <c r="B10186" s="56" t="b">
        <v>0</v>
      </c>
      <c r="C10186" s="56" t="b">
        <v>0</v>
      </c>
      <c r="D10186" s="56" t="b">
        <v>0</v>
      </c>
      <c r="E10186" s="56">
        <f ca="1">IF(PV[[#This Row],[Business Date]]=Control!$C$6, PV[[#This Row],[Notional Value Local Cur]], -PV[[#This Row],[Notional Value Local Cur]])</f>
        <v>0</v>
      </c>
    </row>
    <row r="10187" spans="1:5" x14ac:dyDescent="0.25">
      <c r="A10187" s="36" t="b">
        <v>0</v>
      </c>
      <c r="B10187" s="56" t="b">
        <v>0</v>
      </c>
      <c r="C10187" s="56" t="b">
        <v>0</v>
      </c>
      <c r="D10187" s="56" t="b">
        <v>0</v>
      </c>
      <c r="E10187" s="56">
        <f ca="1">IF(PV[[#This Row],[Business Date]]=Control!$C$6, PV[[#This Row],[Notional Value Local Cur]], -PV[[#This Row],[Notional Value Local Cur]])</f>
        <v>0</v>
      </c>
    </row>
    <row r="10188" spans="1:5" x14ac:dyDescent="0.25">
      <c r="A10188" s="36" t="b">
        <v>0</v>
      </c>
      <c r="B10188" s="56" t="b">
        <v>0</v>
      </c>
      <c r="C10188" s="56" t="b">
        <v>0</v>
      </c>
      <c r="D10188" s="56" t="b">
        <v>0</v>
      </c>
      <c r="E10188" s="56">
        <f ca="1">IF(PV[[#This Row],[Business Date]]=Control!$C$6, PV[[#This Row],[Notional Value Local Cur]], -PV[[#This Row],[Notional Value Local Cur]])</f>
        <v>0</v>
      </c>
    </row>
    <row r="10189" spans="1:5" x14ac:dyDescent="0.25">
      <c r="A10189" s="36" t="b">
        <v>0</v>
      </c>
      <c r="B10189" s="56" t="b">
        <v>0</v>
      </c>
      <c r="C10189" s="56" t="b">
        <v>0</v>
      </c>
      <c r="D10189" s="56" t="b">
        <v>0</v>
      </c>
      <c r="E10189" s="56">
        <f ca="1">IF(PV[[#This Row],[Business Date]]=Control!$C$6, PV[[#This Row],[Notional Value Local Cur]], -PV[[#This Row],[Notional Value Local Cur]])</f>
        <v>0</v>
      </c>
    </row>
    <row r="10190" spans="1:5" x14ac:dyDescent="0.25">
      <c r="A10190" s="36" t="b">
        <v>0</v>
      </c>
      <c r="B10190" s="56" t="b">
        <v>0</v>
      </c>
      <c r="C10190" s="56" t="b">
        <v>0</v>
      </c>
      <c r="D10190" s="56" t="b">
        <v>0</v>
      </c>
      <c r="E10190" s="56">
        <f ca="1">IF(PV[[#This Row],[Business Date]]=Control!$C$6, PV[[#This Row],[Notional Value Local Cur]], -PV[[#This Row],[Notional Value Local Cur]])</f>
        <v>0</v>
      </c>
    </row>
    <row r="10191" spans="1:5" x14ac:dyDescent="0.25">
      <c r="A10191" s="36" t="b">
        <v>0</v>
      </c>
      <c r="B10191" s="56" t="b">
        <v>0</v>
      </c>
      <c r="C10191" s="56" t="b">
        <v>0</v>
      </c>
      <c r="D10191" s="56" t="b">
        <v>0</v>
      </c>
      <c r="E10191" s="56">
        <f ca="1">IF(PV[[#This Row],[Business Date]]=Control!$C$6, PV[[#This Row],[Notional Value Local Cur]], -PV[[#This Row],[Notional Value Local Cur]])</f>
        <v>0</v>
      </c>
    </row>
    <row r="10192" spans="1:5" x14ac:dyDescent="0.25">
      <c r="A10192" s="36" t="b">
        <v>0</v>
      </c>
      <c r="B10192" s="56" t="b">
        <v>0</v>
      </c>
      <c r="C10192" s="56" t="b">
        <v>0</v>
      </c>
      <c r="D10192" s="56" t="b">
        <v>0</v>
      </c>
      <c r="E10192" s="56">
        <f ca="1">IF(PV[[#This Row],[Business Date]]=Control!$C$6, PV[[#This Row],[Notional Value Local Cur]], -PV[[#This Row],[Notional Value Local Cur]])</f>
        <v>0</v>
      </c>
    </row>
    <row r="10193" spans="1:5" x14ac:dyDescent="0.25">
      <c r="A10193" s="36" t="b">
        <v>0</v>
      </c>
      <c r="B10193" s="56" t="b">
        <v>0</v>
      </c>
      <c r="C10193" s="56" t="b">
        <v>0</v>
      </c>
      <c r="D10193" s="56" t="b">
        <v>0</v>
      </c>
      <c r="E10193" s="56">
        <f ca="1">IF(PV[[#This Row],[Business Date]]=Control!$C$6, PV[[#This Row],[Notional Value Local Cur]], -PV[[#This Row],[Notional Value Local Cur]])</f>
        <v>0</v>
      </c>
    </row>
    <row r="10194" spans="1:5" x14ac:dyDescent="0.25">
      <c r="A10194" s="36" t="b">
        <v>0</v>
      </c>
      <c r="B10194" s="56" t="b">
        <v>0</v>
      </c>
      <c r="C10194" s="56" t="b">
        <v>0</v>
      </c>
      <c r="D10194" s="56" t="b">
        <v>0</v>
      </c>
      <c r="E10194" s="56">
        <f ca="1">IF(PV[[#This Row],[Business Date]]=Control!$C$6, PV[[#This Row],[Notional Value Local Cur]], -PV[[#This Row],[Notional Value Local Cur]])</f>
        <v>0</v>
      </c>
    </row>
    <row r="10195" spans="1:5" x14ac:dyDescent="0.25">
      <c r="A10195" s="36" t="b">
        <v>0</v>
      </c>
      <c r="B10195" s="56" t="b">
        <v>0</v>
      </c>
      <c r="C10195" s="56" t="b">
        <v>0</v>
      </c>
      <c r="D10195" s="56" t="b">
        <v>0</v>
      </c>
      <c r="E10195" s="56">
        <f ca="1">IF(PV[[#This Row],[Business Date]]=Control!$C$6, PV[[#This Row],[Notional Value Local Cur]], -PV[[#This Row],[Notional Value Local Cur]])</f>
        <v>0</v>
      </c>
    </row>
    <row r="10196" spans="1:5" x14ac:dyDescent="0.25">
      <c r="A10196" s="36" t="b">
        <v>0</v>
      </c>
      <c r="B10196" s="56" t="b">
        <v>0</v>
      </c>
      <c r="C10196" s="56" t="b">
        <v>0</v>
      </c>
      <c r="D10196" s="56" t="b">
        <v>0</v>
      </c>
      <c r="E10196" s="56">
        <f ca="1">IF(PV[[#This Row],[Business Date]]=Control!$C$6, PV[[#This Row],[Notional Value Local Cur]], -PV[[#This Row],[Notional Value Local Cur]])</f>
        <v>0</v>
      </c>
    </row>
    <row r="10197" spans="1:5" x14ac:dyDescent="0.25">
      <c r="A10197" s="36" t="b">
        <v>0</v>
      </c>
      <c r="B10197" s="56" t="b">
        <v>0</v>
      </c>
      <c r="C10197" s="56" t="b">
        <v>0</v>
      </c>
      <c r="D10197" s="56" t="b">
        <v>0</v>
      </c>
      <c r="E10197" s="56">
        <f ca="1">IF(PV[[#This Row],[Business Date]]=Control!$C$6, PV[[#This Row],[Notional Value Local Cur]], -PV[[#This Row],[Notional Value Local Cur]])</f>
        <v>0</v>
      </c>
    </row>
    <row r="10198" spans="1:5" x14ac:dyDescent="0.25">
      <c r="A10198" s="36" t="b">
        <v>0</v>
      </c>
      <c r="B10198" s="56" t="b">
        <v>0</v>
      </c>
      <c r="C10198" s="56" t="b">
        <v>0</v>
      </c>
      <c r="D10198" s="56" t="b">
        <v>0</v>
      </c>
      <c r="E10198" s="56">
        <f ca="1">IF(PV[[#This Row],[Business Date]]=Control!$C$6, PV[[#This Row],[Notional Value Local Cur]], -PV[[#This Row],[Notional Value Local Cur]])</f>
        <v>0</v>
      </c>
    </row>
    <row r="10199" spans="1:5" x14ac:dyDescent="0.25">
      <c r="A10199" s="36" t="b">
        <v>0</v>
      </c>
      <c r="B10199" s="56" t="b">
        <v>0</v>
      </c>
      <c r="C10199" s="56" t="b">
        <v>0</v>
      </c>
      <c r="D10199" s="56" t="b">
        <v>0</v>
      </c>
      <c r="E10199" s="56">
        <f ca="1">IF(PV[[#This Row],[Business Date]]=Control!$C$6, PV[[#This Row],[Notional Value Local Cur]], -PV[[#This Row],[Notional Value Local Cur]])</f>
        <v>0</v>
      </c>
    </row>
    <row r="10200" spans="1:5" x14ac:dyDescent="0.25">
      <c r="A10200" s="36" t="b">
        <v>0</v>
      </c>
      <c r="B10200" s="56" t="b">
        <v>0</v>
      </c>
      <c r="C10200" s="56" t="b">
        <v>0</v>
      </c>
      <c r="D10200" s="56" t="b">
        <v>0</v>
      </c>
      <c r="E10200" s="56">
        <f ca="1">IF(PV[[#This Row],[Business Date]]=Control!$C$6, PV[[#This Row],[Notional Value Local Cur]], -PV[[#This Row],[Notional Value Local Cur]])</f>
        <v>0</v>
      </c>
    </row>
    <row r="10201" spans="1:5" x14ac:dyDescent="0.25">
      <c r="A10201" s="36" t="b">
        <v>0</v>
      </c>
      <c r="B10201" s="56" t="b">
        <v>0</v>
      </c>
      <c r="C10201" s="56" t="b">
        <v>0</v>
      </c>
      <c r="D10201" s="56" t="b">
        <v>0</v>
      </c>
      <c r="E10201" s="56">
        <f ca="1">IF(PV[[#This Row],[Business Date]]=Control!$C$6, PV[[#This Row],[Notional Value Local Cur]], -PV[[#This Row],[Notional Value Local Cur]])</f>
        <v>0</v>
      </c>
    </row>
    <row r="10202" spans="1:5" x14ac:dyDescent="0.25">
      <c r="A10202" s="36" t="b">
        <v>0</v>
      </c>
      <c r="B10202" s="56" t="b">
        <v>0</v>
      </c>
      <c r="C10202" s="56" t="b">
        <v>0</v>
      </c>
      <c r="D10202" s="56" t="b">
        <v>0</v>
      </c>
      <c r="E10202" s="56">
        <f ca="1">IF(PV[[#This Row],[Business Date]]=Control!$C$6, PV[[#This Row],[Notional Value Local Cur]], -PV[[#This Row],[Notional Value Local Cur]])</f>
        <v>0</v>
      </c>
    </row>
    <row r="10203" spans="1:5" x14ac:dyDescent="0.25">
      <c r="A10203" s="36" t="b">
        <v>0</v>
      </c>
      <c r="B10203" s="56" t="b">
        <v>0</v>
      </c>
      <c r="C10203" s="56" t="b">
        <v>0</v>
      </c>
      <c r="D10203" s="56" t="b">
        <v>0</v>
      </c>
      <c r="E10203" s="56">
        <f ca="1">IF(PV[[#This Row],[Business Date]]=Control!$C$6, PV[[#This Row],[Notional Value Local Cur]], -PV[[#This Row],[Notional Value Local Cur]])</f>
        <v>0</v>
      </c>
    </row>
    <row r="10204" spans="1:5" x14ac:dyDescent="0.25">
      <c r="A10204" s="36" t="b">
        <v>0</v>
      </c>
      <c r="B10204" s="56" t="b">
        <v>0</v>
      </c>
      <c r="C10204" s="56" t="b">
        <v>0</v>
      </c>
      <c r="D10204" s="56" t="b">
        <v>0</v>
      </c>
      <c r="E10204" s="56">
        <f ca="1">IF(PV[[#This Row],[Business Date]]=Control!$C$6, PV[[#This Row],[Notional Value Local Cur]], -PV[[#This Row],[Notional Value Local Cur]])</f>
        <v>0</v>
      </c>
    </row>
    <row r="10205" spans="1:5" x14ac:dyDescent="0.25">
      <c r="A10205" s="36" t="b">
        <v>0</v>
      </c>
      <c r="B10205" s="56" t="b">
        <v>0</v>
      </c>
      <c r="C10205" s="56" t="b">
        <v>0</v>
      </c>
      <c r="D10205" s="56" t="b">
        <v>0</v>
      </c>
      <c r="E10205" s="56">
        <f ca="1">IF(PV[[#This Row],[Business Date]]=Control!$C$6, PV[[#This Row],[Notional Value Local Cur]], -PV[[#This Row],[Notional Value Local Cur]])</f>
        <v>0</v>
      </c>
    </row>
    <row r="10206" spans="1:5" x14ac:dyDescent="0.25">
      <c r="A10206" s="36" t="b">
        <v>0</v>
      </c>
      <c r="B10206" s="56" t="b">
        <v>0</v>
      </c>
      <c r="C10206" s="56" t="b">
        <v>0</v>
      </c>
      <c r="D10206" s="56" t="b">
        <v>0</v>
      </c>
      <c r="E10206" s="56">
        <f ca="1">IF(PV[[#This Row],[Business Date]]=Control!$C$6, PV[[#This Row],[Notional Value Local Cur]], -PV[[#This Row],[Notional Value Local Cur]])</f>
        <v>0</v>
      </c>
    </row>
    <row r="10207" spans="1:5" x14ac:dyDescent="0.25">
      <c r="A10207" s="36" t="b">
        <v>0</v>
      </c>
      <c r="B10207" s="56" t="b">
        <v>0</v>
      </c>
      <c r="C10207" s="56" t="b">
        <v>0</v>
      </c>
      <c r="D10207" s="56" t="b">
        <v>0</v>
      </c>
      <c r="E10207" s="56">
        <f ca="1">IF(PV[[#This Row],[Business Date]]=Control!$C$6, PV[[#This Row],[Notional Value Local Cur]], -PV[[#This Row],[Notional Value Local Cur]])</f>
        <v>0</v>
      </c>
    </row>
    <row r="10208" spans="1:5" x14ac:dyDescent="0.25">
      <c r="A10208" s="36" t="b">
        <v>0</v>
      </c>
      <c r="B10208" s="56" t="b">
        <v>0</v>
      </c>
      <c r="C10208" s="56" t="b">
        <v>0</v>
      </c>
      <c r="D10208" s="56" t="b">
        <v>0</v>
      </c>
      <c r="E10208" s="56">
        <f ca="1">IF(PV[[#This Row],[Business Date]]=Control!$C$6, PV[[#This Row],[Notional Value Local Cur]], -PV[[#This Row],[Notional Value Local Cur]])</f>
        <v>0</v>
      </c>
    </row>
    <row r="10209" spans="1:5" x14ac:dyDescent="0.25">
      <c r="A10209" s="36" t="b">
        <v>0</v>
      </c>
      <c r="B10209" s="56" t="b">
        <v>0</v>
      </c>
      <c r="C10209" s="56" t="b">
        <v>0</v>
      </c>
      <c r="D10209" s="56" t="b">
        <v>0</v>
      </c>
      <c r="E10209" s="56">
        <f ca="1">IF(PV[[#This Row],[Business Date]]=Control!$C$6, PV[[#This Row],[Notional Value Local Cur]], -PV[[#This Row],[Notional Value Local Cur]])</f>
        <v>0</v>
      </c>
    </row>
    <row r="10210" spans="1:5" x14ac:dyDescent="0.25">
      <c r="A10210" s="36" t="b">
        <v>0</v>
      </c>
      <c r="B10210" s="56" t="b">
        <v>0</v>
      </c>
      <c r="C10210" s="56" t="b">
        <v>0</v>
      </c>
      <c r="D10210" s="56" t="b">
        <v>0</v>
      </c>
      <c r="E10210" s="56">
        <f ca="1">IF(PV[[#This Row],[Business Date]]=Control!$C$6, PV[[#This Row],[Notional Value Local Cur]], -PV[[#This Row],[Notional Value Local Cur]])</f>
        <v>0</v>
      </c>
    </row>
    <row r="10211" spans="1:5" x14ac:dyDescent="0.25">
      <c r="A10211" s="36" t="b">
        <v>0</v>
      </c>
      <c r="B10211" s="56" t="b">
        <v>0</v>
      </c>
      <c r="C10211" s="56" t="b">
        <v>0</v>
      </c>
      <c r="D10211" s="56" t="b">
        <v>0</v>
      </c>
      <c r="E10211" s="56">
        <f ca="1">IF(PV[[#This Row],[Business Date]]=Control!$C$6, PV[[#This Row],[Notional Value Local Cur]], -PV[[#This Row],[Notional Value Local Cur]])</f>
        <v>0</v>
      </c>
    </row>
    <row r="10212" spans="1:5" x14ac:dyDescent="0.25">
      <c r="A10212" s="36" t="b">
        <v>0</v>
      </c>
      <c r="B10212" s="56" t="b">
        <v>0</v>
      </c>
      <c r="C10212" s="56" t="b">
        <v>0</v>
      </c>
      <c r="D10212" s="56" t="b">
        <v>0</v>
      </c>
      <c r="E10212" s="56">
        <f ca="1">IF(PV[[#This Row],[Business Date]]=Control!$C$6, PV[[#This Row],[Notional Value Local Cur]], -PV[[#This Row],[Notional Value Local Cur]])</f>
        <v>0</v>
      </c>
    </row>
    <row r="10213" spans="1:5" x14ac:dyDescent="0.25">
      <c r="A10213" s="36" t="b">
        <v>0</v>
      </c>
      <c r="B10213" s="56" t="b">
        <v>0</v>
      </c>
      <c r="C10213" s="56" t="b">
        <v>0</v>
      </c>
      <c r="D10213" s="56" t="b">
        <v>0</v>
      </c>
      <c r="E10213" s="56">
        <f ca="1">IF(PV[[#This Row],[Business Date]]=Control!$C$6, PV[[#This Row],[Notional Value Local Cur]], -PV[[#This Row],[Notional Value Local Cur]])</f>
        <v>0</v>
      </c>
    </row>
    <row r="10214" spans="1:5" x14ac:dyDescent="0.25">
      <c r="A10214" s="36" t="b">
        <v>0</v>
      </c>
      <c r="B10214" s="56" t="b">
        <v>0</v>
      </c>
      <c r="C10214" s="56" t="b">
        <v>0</v>
      </c>
      <c r="D10214" s="56" t="b">
        <v>0</v>
      </c>
      <c r="E10214" s="56">
        <f ca="1">IF(PV[[#This Row],[Business Date]]=Control!$C$6, PV[[#This Row],[Notional Value Local Cur]], -PV[[#This Row],[Notional Value Local Cur]])</f>
        <v>0</v>
      </c>
    </row>
    <row r="10215" spans="1:5" x14ac:dyDescent="0.25">
      <c r="A10215" s="36" t="b">
        <v>0</v>
      </c>
      <c r="B10215" s="56" t="b">
        <v>0</v>
      </c>
      <c r="C10215" s="56" t="b">
        <v>0</v>
      </c>
      <c r="D10215" s="56" t="b">
        <v>0</v>
      </c>
      <c r="E10215" s="56">
        <f ca="1">IF(PV[[#This Row],[Business Date]]=Control!$C$6, PV[[#This Row],[Notional Value Local Cur]], -PV[[#This Row],[Notional Value Local Cur]])</f>
        <v>0</v>
      </c>
    </row>
    <row r="10216" spans="1:5" x14ac:dyDescent="0.25">
      <c r="A10216" s="36" t="b">
        <v>0</v>
      </c>
      <c r="B10216" s="56" t="b">
        <v>0</v>
      </c>
      <c r="C10216" s="56" t="b">
        <v>0</v>
      </c>
      <c r="D10216" s="56" t="b">
        <v>0</v>
      </c>
      <c r="E10216" s="56">
        <f ca="1">IF(PV[[#This Row],[Business Date]]=Control!$C$6, PV[[#This Row],[Notional Value Local Cur]], -PV[[#This Row],[Notional Value Local Cur]])</f>
        <v>0</v>
      </c>
    </row>
    <row r="10217" spans="1:5" x14ac:dyDescent="0.25">
      <c r="A10217" s="36" t="b">
        <v>0</v>
      </c>
      <c r="B10217" s="56" t="b">
        <v>0</v>
      </c>
      <c r="C10217" s="56" t="b">
        <v>0</v>
      </c>
      <c r="D10217" s="56" t="b">
        <v>0</v>
      </c>
      <c r="E10217" s="56">
        <f ca="1">IF(PV[[#This Row],[Business Date]]=Control!$C$6, PV[[#This Row],[Notional Value Local Cur]], -PV[[#This Row],[Notional Value Local Cur]])</f>
        <v>0</v>
      </c>
    </row>
    <row r="10218" spans="1:5" x14ac:dyDescent="0.25">
      <c r="A10218" s="36" t="b">
        <v>0</v>
      </c>
      <c r="B10218" s="56" t="b">
        <v>0</v>
      </c>
      <c r="C10218" s="56" t="b">
        <v>0</v>
      </c>
      <c r="D10218" s="56" t="b">
        <v>0</v>
      </c>
      <c r="E10218" s="56">
        <f ca="1">IF(PV[[#This Row],[Business Date]]=Control!$C$6, PV[[#This Row],[Notional Value Local Cur]], -PV[[#This Row],[Notional Value Local Cur]])</f>
        <v>0</v>
      </c>
    </row>
    <row r="10219" spans="1:5" x14ac:dyDescent="0.25">
      <c r="A10219" s="36" t="b">
        <v>0</v>
      </c>
      <c r="B10219" s="56" t="b">
        <v>0</v>
      </c>
      <c r="C10219" s="56" t="b">
        <v>0</v>
      </c>
      <c r="D10219" s="56" t="b">
        <v>0</v>
      </c>
      <c r="E10219" s="56">
        <f ca="1">IF(PV[[#This Row],[Business Date]]=Control!$C$6, PV[[#This Row],[Notional Value Local Cur]], -PV[[#This Row],[Notional Value Local Cur]])</f>
        <v>0</v>
      </c>
    </row>
    <row r="10220" spans="1:5" x14ac:dyDescent="0.25">
      <c r="A10220" s="36" t="b">
        <v>0</v>
      </c>
      <c r="B10220" s="56" t="b">
        <v>0</v>
      </c>
      <c r="C10220" s="56" t="b">
        <v>0</v>
      </c>
      <c r="D10220" s="56" t="b">
        <v>0</v>
      </c>
      <c r="E10220" s="56">
        <f ca="1">IF(PV[[#This Row],[Business Date]]=Control!$C$6, PV[[#This Row],[Notional Value Local Cur]], -PV[[#This Row],[Notional Value Local Cur]])</f>
        <v>0</v>
      </c>
    </row>
    <row r="10221" spans="1:5" x14ac:dyDescent="0.25">
      <c r="A10221" s="36" t="b">
        <v>0</v>
      </c>
      <c r="B10221" s="56" t="b">
        <v>0</v>
      </c>
      <c r="C10221" s="56" t="b">
        <v>0</v>
      </c>
      <c r="D10221" s="56" t="b">
        <v>0</v>
      </c>
      <c r="E10221" s="56">
        <f ca="1">IF(PV[[#This Row],[Business Date]]=Control!$C$6, PV[[#This Row],[Notional Value Local Cur]], -PV[[#This Row],[Notional Value Local Cur]])</f>
        <v>0</v>
      </c>
    </row>
    <row r="10222" spans="1:5" x14ac:dyDescent="0.25">
      <c r="A10222" s="36" t="b">
        <v>0</v>
      </c>
      <c r="B10222" s="56" t="b">
        <v>0</v>
      </c>
      <c r="C10222" s="56" t="b">
        <v>0</v>
      </c>
      <c r="D10222" s="56" t="b">
        <v>0</v>
      </c>
      <c r="E10222" s="56">
        <f ca="1">IF(PV[[#This Row],[Business Date]]=Control!$C$6, PV[[#This Row],[Notional Value Local Cur]], -PV[[#This Row],[Notional Value Local Cur]])</f>
        <v>0</v>
      </c>
    </row>
    <row r="10223" spans="1:5" x14ac:dyDescent="0.25">
      <c r="A10223" s="36" t="b">
        <v>0</v>
      </c>
      <c r="B10223" s="56" t="b">
        <v>0</v>
      </c>
      <c r="C10223" s="56" t="b">
        <v>0</v>
      </c>
      <c r="D10223" s="56" t="b">
        <v>0</v>
      </c>
      <c r="E10223" s="56">
        <f ca="1">IF(PV[[#This Row],[Business Date]]=Control!$C$6, PV[[#This Row],[Notional Value Local Cur]], -PV[[#This Row],[Notional Value Local Cur]])</f>
        <v>0</v>
      </c>
    </row>
    <row r="10224" spans="1:5" x14ac:dyDescent="0.25">
      <c r="A10224" s="36" t="b">
        <v>0</v>
      </c>
      <c r="B10224" s="56" t="b">
        <v>0</v>
      </c>
      <c r="C10224" s="56" t="b">
        <v>0</v>
      </c>
      <c r="D10224" s="56" t="b">
        <v>0</v>
      </c>
      <c r="E10224" s="56">
        <f ca="1">IF(PV[[#This Row],[Business Date]]=Control!$C$6, PV[[#This Row],[Notional Value Local Cur]], -PV[[#This Row],[Notional Value Local Cur]])</f>
        <v>0</v>
      </c>
    </row>
    <row r="10225" spans="1:5" x14ac:dyDescent="0.25">
      <c r="A10225" s="36" t="b">
        <v>0</v>
      </c>
      <c r="B10225" s="56" t="b">
        <v>0</v>
      </c>
      <c r="C10225" s="56" t="b">
        <v>0</v>
      </c>
      <c r="D10225" s="56" t="b">
        <v>0</v>
      </c>
      <c r="E10225" s="56">
        <f ca="1">IF(PV[[#This Row],[Business Date]]=Control!$C$6, PV[[#This Row],[Notional Value Local Cur]], -PV[[#This Row],[Notional Value Local Cur]])</f>
        <v>0</v>
      </c>
    </row>
    <row r="10226" spans="1:5" x14ac:dyDescent="0.25">
      <c r="A10226" s="36" t="b">
        <v>0</v>
      </c>
      <c r="B10226" s="56" t="b">
        <v>0</v>
      </c>
      <c r="C10226" s="56" t="b">
        <v>0</v>
      </c>
      <c r="D10226" s="56" t="b">
        <v>0</v>
      </c>
      <c r="E10226" s="56">
        <f ca="1">IF(PV[[#This Row],[Business Date]]=Control!$C$6, PV[[#This Row],[Notional Value Local Cur]], -PV[[#This Row],[Notional Value Local Cur]])</f>
        <v>0</v>
      </c>
    </row>
    <row r="10227" spans="1:5" x14ac:dyDescent="0.25">
      <c r="A10227" s="36" t="b">
        <v>0</v>
      </c>
      <c r="B10227" s="56" t="b">
        <v>0</v>
      </c>
      <c r="C10227" s="56" t="b">
        <v>0</v>
      </c>
      <c r="D10227" s="56" t="b">
        <v>0</v>
      </c>
      <c r="E10227" s="56">
        <f ca="1">IF(PV[[#This Row],[Business Date]]=Control!$C$6, PV[[#This Row],[Notional Value Local Cur]], -PV[[#This Row],[Notional Value Local Cur]])</f>
        <v>0</v>
      </c>
    </row>
    <row r="10228" spans="1:5" x14ac:dyDescent="0.25">
      <c r="A10228" s="36" t="b">
        <v>0</v>
      </c>
      <c r="B10228" s="56" t="b">
        <v>0</v>
      </c>
      <c r="C10228" s="56" t="b">
        <v>0</v>
      </c>
      <c r="D10228" s="56" t="b">
        <v>0</v>
      </c>
      <c r="E10228" s="56">
        <f ca="1">IF(PV[[#This Row],[Business Date]]=Control!$C$6, PV[[#This Row],[Notional Value Local Cur]], -PV[[#This Row],[Notional Value Local Cur]])</f>
        <v>0</v>
      </c>
    </row>
    <row r="10229" spans="1:5" x14ac:dyDescent="0.25">
      <c r="A10229" s="36" t="b">
        <v>0</v>
      </c>
      <c r="B10229" s="56" t="b">
        <v>0</v>
      </c>
      <c r="C10229" s="56" t="b">
        <v>0</v>
      </c>
      <c r="D10229" s="56" t="b">
        <v>0</v>
      </c>
      <c r="E10229" s="56">
        <f ca="1">IF(PV[[#This Row],[Business Date]]=Control!$C$6, PV[[#This Row],[Notional Value Local Cur]], -PV[[#This Row],[Notional Value Local Cur]])</f>
        <v>0</v>
      </c>
    </row>
    <row r="10230" spans="1:5" x14ac:dyDescent="0.25">
      <c r="A10230" s="36" t="b">
        <v>0</v>
      </c>
      <c r="B10230" s="56" t="b">
        <v>0</v>
      </c>
      <c r="C10230" s="56" t="b">
        <v>0</v>
      </c>
      <c r="D10230" s="56" t="b">
        <v>0</v>
      </c>
      <c r="E10230" s="56">
        <f ca="1">IF(PV[[#This Row],[Business Date]]=Control!$C$6, PV[[#This Row],[Notional Value Local Cur]], -PV[[#This Row],[Notional Value Local Cur]])</f>
        <v>0</v>
      </c>
    </row>
    <row r="10231" spans="1:5" x14ac:dyDescent="0.25">
      <c r="A10231" s="36" t="b">
        <v>0</v>
      </c>
      <c r="B10231" s="56" t="b">
        <v>0</v>
      </c>
      <c r="C10231" s="56" t="b">
        <v>0</v>
      </c>
      <c r="D10231" s="56" t="b">
        <v>0</v>
      </c>
      <c r="E10231" s="56">
        <f ca="1">IF(PV[[#This Row],[Business Date]]=Control!$C$6, PV[[#This Row],[Notional Value Local Cur]], -PV[[#This Row],[Notional Value Local Cur]])</f>
        <v>0</v>
      </c>
    </row>
    <row r="10232" spans="1:5" x14ac:dyDescent="0.25">
      <c r="A10232" s="36" t="b">
        <v>0</v>
      </c>
      <c r="B10232" s="56" t="b">
        <v>0</v>
      </c>
      <c r="C10232" s="56" t="b">
        <v>0</v>
      </c>
      <c r="D10232" s="56" t="b">
        <v>0</v>
      </c>
      <c r="E10232" s="56">
        <f ca="1">IF(PV[[#This Row],[Business Date]]=Control!$C$6, PV[[#This Row],[Notional Value Local Cur]], -PV[[#This Row],[Notional Value Local Cur]])</f>
        <v>0</v>
      </c>
    </row>
    <row r="10233" spans="1:5" x14ac:dyDescent="0.25">
      <c r="A10233" s="36" t="b">
        <v>0</v>
      </c>
      <c r="B10233" s="56" t="b">
        <v>0</v>
      </c>
      <c r="C10233" s="56" t="b">
        <v>0</v>
      </c>
      <c r="D10233" s="56" t="b">
        <v>0</v>
      </c>
      <c r="E10233" s="56">
        <f ca="1">IF(PV[[#This Row],[Business Date]]=Control!$C$6, PV[[#This Row],[Notional Value Local Cur]], -PV[[#This Row],[Notional Value Local Cur]])</f>
        <v>0</v>
      </c>
    </row>
    <row r="10234" spans="1:5" x14ac:dyDescent="0.25">
      <c r="A10234" s="36" t="b">
        <v>0</v>
      </c>
      <c r="B10234" s="56" t="b">
        <v>0</v>
      </c>
      <c r="C10234" s="56" t="b">
        <v>0</v>
      </c>
      <c r="D10234" s="56" t="b">
        <v>0</v>
      </c>
      <c r="E10234" s="56">
        <f ca="1">IF(PV[[#This Row],[Business Date]]=Control!$C$6, PV[[#This Row],[Notional Value Local Cur]], -PV[[#This Row],[Notional Value Local Cur]])</f>
        <v>0</v>
      </c>
    </row>
    <row r="10235" spans="1:5" x14ac:dyDescent="0.25">
      <c r="A10235" s="36" t="b">
        <v>0</v>
      </c>
      <c r="B10235" s="56" t="b">
        <v>0</v>
      </c>
      <c r="C10235" s="56" t="b">
        <v>0</v>
      </c>
      <c r="D10235" s="56" t="b">
        <v>0</v>
      </c>
      <c r="E10235" s="56">
        <f ca="1">IF(PV[[#This Row],[Business Date]]=Control!$C$6, PV[[#This Row],[Notional Value Local Cur]], -PV[[#This Row],[Notional Value Local Cur]])</f>
        <v>0</v>
      </c>
    </row>
    <row r="10236" spans="1:5" x14ac:dyDescent="0.25">
      <c r="A10236" s="36" t="b">
        <v>0</v>
      </c>
      <c r="B10236" s="56" t="b">
        <v>0</v>
      </c>
      <c r="C10236" s="56" t="b">
        <v>0</v>
      </c>
      <c r="D10236" s="56" t="b">
        <v>0</v>
      </c>
      <c r="E10236" s="56">
        <f ca="1">IF(PV[[#This Row],[Business Date]]=Control!$C$6, PV[[#This Row],[Notional Value Local Cur]], -PV[[#This Row],[Notional Value Local Cur]])</f>
        <v>0</v>
      </c>
    </row>
    <row r="10237" spans="1:5" x14ac:dyDescent="0.25">
      <c r="A10237" s="36" t="b">
        <v>0</v>
      </c>
      <c r="B10237" s="56" t="b">
        <v>0</v>
      </c>
      <c r="C10237" s="56" t="b">
        <v>0</v>
      </c>
      <c r="D10237" s="56" t="b">
        <v>0</v>
      </c>
      <c r="E10237" s="56">
        <f ca="1">IF(PV[[#This Row],[Business Date]]=Control!$C$6, PV[[#This Row],[Notional Value Local Cur]], -PV[[#This Row],[Notional Value Local Cur]])</f>
        <v>0</v>
      </c>
    </row>
    <row r="10238" spans="1:5" x14ac:dyDescent="0.25">
      <c r="A10238" s="36" t="b">
        <v>0</v>
      </c>
      <c r="B10238" s="56" t="b">
        <v>0</v>
      </c>
      <c r="C10238" s="56" t="b">
        <v>0</v>
      </c>
      <c r="D10238" s="56" t="b">
        <v>0</v>
      </c>
      <c r="E10238" s="56">
        <f ca="1">IF(PV[[#This Row],[Business Date]]=Control!$C$6, PV[[#This Row],[Notional Value Local Cur]], -PV[[#This Row],[Notional Value Local Cur]])</f>
        <v>0</v>
      </c>
    </row>
    <row r="10239" spans="1:5" x14ac:dyDescent="0.25">
      <c r="A10239" s="36" t="b">
        <v>0</v>
      </c>
      <c r="B10239" s="56" t="b">
        <v>0</v>
      </c>
      <c r="C10239" s="56" t="b">
        <v>0</v>
      </c>
      <c r="D10239" s="56" t="b">
        <v>0</v>
      </c>
      <c r="E10239" s="56">
        <f ca="1">IF(PV[[#This Row],[Business Date]]=Control!$C$6, PV[[#This Row],[Notional Value Local Cur]], -PV[[#This Row],[Notional Value Local Cur]])</f>
        <v>0</v>
      </c>
    </row>
    <row r="10240" spans="1:5" x14ac:dyDescent="0.25">
      <c r="A10240" s="36" t="b">
        <v>0</v>
      </c>
      <c r="B10240" s="56" t="b">
        <v>0</v>
      </c>
      <c r="C10240" s="56" t="b">
        <v>0</v>
      </c>
      <c r="D10240" s="56" t="b">
        <v>0</v>
      </c>
      <c r="E10240" s="56">
        <f ca="1">IF(PV[[#This Row],[Business Date]]=Control!$C$6, PV[[#This Row],[Notional Value Local Cur]], -PV[[#This Row],[Notional Value Local Cur]])</f>
        <v>0</v>
      </c>
    </row>
    <row r="10241" spans="1:5" x14ac:dyDescent="0.25">
      <c r="A10241" s="36" t="b">
        <v>0</v>
      </c>
      <c r="B10241" s="56" t="b">
        <v>0</v>
      </c>
      <c r="C10241" s="56" t="b">
        <v>0</v>
      </c>
      <c r="D10241" s="56" t="b">
        <v>0</v>
      </c>
      <c r="E10241" s="56">
        <f ca="1">IF(PV[[#This Row],[Business Date]]=Control!$C$6, PV[[#This Row],[Notional Value Local Cur]], -PV[[#This Row],[Notional Value Local Cur]])</f>
        <v>0</v>
      </c>
    </row>
    <row r="10242" spans="1:5" x14ac:dyDescent="0.25">
      <c r="A10242" s="36" t="b">
        <v>0</v>
      </c>
      <c r="B10242" s="56" t="b">
        <v>0</v>
      </c>
      <c r="C10242" s="56" t="b">
        <v>0</v>
      </c>
      <c r="D10242" s="56" t="b">
        <v>0</v>
      </c>
      <c r="E10242" s="56">
        <f ca="1">IF(PV[[#This Row],[Business Date]]=Control!$C$6, PV[[#This Row],[Notional Value Local Cur]], -PV[[#This Row],[Notional Value Local Cur]])</f>
        <v>0</v>
      </c>
    </row>
    <row r="10243" spans="1:5" x14ac:dyDescent="0.25">
      <c r="A10243" s="36" t="b">
        <v>0</v>
      </c>
      <c r="B10243" s="56" t="b">
        <v>0</v>
      </c>
      <c r="C10243" s="56" t="b">
        <v>0</v>
      </c>
      <c r="D10243" s="56" t="b">
        <v>0</v>
      </c>
      <c r="E10243" s="56">
        <f ca="1">IF(PV[[#This Row],[Business Date]]=Control!$C$6, PV[[#This Row],[Notional Value Local Cur]], -PV[[#This Row],[Notional Value Local Cur]])</f>
        <v>0</v>
      </c>
    </row>
    <row r="10244" spans="1:5" x14ac:dyDescent="0.25">
      <c r="A10244" s="36" t="b">
        <v>0</v>
      </c>
      <c r="B10244" s="56" t="b">
        <v>0</v>
      </c>
      <c r="C10244" s="56" t="b">
        <v>0</v>
      </c>
      <c r="D10244" s="56" t="b">
        <v>0</v>
      </c>
      <c r="E10244" s="56">
        <f ca="1">IF(PV[[#This Row],[Business Date]]=Control!$C$6, PV[[#This Row],[Notional Value Local Cur]], -PV[[#This Row],[Notional Value Local Cur]])</f>
        <v>0</v>
      </c>
    </row>
    <row r="10245" spans="1:5" x14ac:dyDescent="0.25">
      <c r="A10245" s="36" t="b">
        <v>0</v>
      </c>
      <c r="B10245" s="56" t="b">
        <v>0</v>
      </c>
      <c r="C10245" s="56" t="b">
        <v>0</v>
      </c>
      <c r="D10245" s="56" t="b">
        <v>0</v>
      </c>
      <c r="E10245" s="56">
        <f ca="1">IF(PV[[#This Row],[Business Date]]=Control!$C$6, PV[[#This Row],[Notional Value Local Cur]], -PV[[#This Row],[Notional Value Local Cur]])</f>
        <v>0</v>
      </c>
    </row>
    <row r="10246" spans="1:5" x14ac:dyDescent="0.25">
      <c r="A10246" s="36" t="b">
        <v>0</v>
      </c>
      <c r="B10246" s="56" t="b">
        <v>0</v>
      </c>
      <c r="C10246" s="56" t="b">
        <v>0</v>
      </c>
      <c r="D10246" s="56" t="b">
        <v>0</v>
      </c>
      <c r="E10246" s="56">
        <f ca="1">IF(PV[[#This Row],[Business Date]]=Control!$C$6, PV[[#This Row],[Notional Value Local Cur]], -PV[[#This Row],[Notional Value Local Cur]])</f>
        <v>0</v>
      </c>
    </row>
    <row r="10247" spans="1:5" x14ac:dyDescent="0.25">
      <c r="A10247" s="36" t="b">
        <v>0</v>
      </c>
      <c r="B10247" s="56" t="b">
        <v>0</v>
      </c>
      <c r="C10247" s="56" t="b">
        <v>0</v>
      </c>
      <c r="D10247" s="56" t="b">
        <v>0</v>
      </c>
      <c r="E10247" s="56">
        <f ca="1">IF(PV[[#This Row],[Business Date]]=Control!$C$6, PV[[#This Row],[Notional Value Local Cur]], -PV[[#This Row],[Notional Value Local Cur]])</f>
        <v>0</v>
      </c>
    </row>
    <row r="10248" spans="1:5" x14ac:dyDescent="0.25">
      <c r="A10248" s="36" t="b">
        <v>0</v>
      </c>
      <c r="B10248" s="56" t="b">
        <v>0</v>
      </c>
      <c r="C10248" s="56" t="b">
        <v>0</v>
      </c>
      <c r="D10248" s="56" t="b">
        <v>0</v>
      </c>
      <c r="E10248" s="56">
        <f ca="1">IF(PV[[#This Row],[Business Date]]=Control!$C$6, PV[[#This Row],[Notional Value Local Cur]], -PV[[#This Row],[Notional Value Local Cur]])</f>
        <v>0</v>
      </c>
    </row>
    <row r="10249" spans="1:5" x14ac:dyDescent="0.25">
      <c r="A10249" s="36" t="b">
        <v>0</v>
      </c>
      <c r="B10249" s="56" t="b">
        <v>0</v>
      </c>
      <c r="C10249" s="56" t="b">
        <v>0</v>
      </c>
      <c r="D10249" s="56" t="b">
        <v>0</v>
      </c>
      <c r="E10249" s="56">
        <f ca="1">IF(PV[[#This Row],[Business Date]]=Control!$C$6, PV[[#This Row],[Notional Value Local Cur]], -PV[[#This Row],[Notional Value Local Cur]])</f>
        <v>0</v>
      </c>
    </row>
    <row r="10250" spans="1:5" x14ac:dyDescent="0.25">
      <c r="A10250" s="36" t="b">
        <v>0</v>
      </c>
      <c r="B10250" s="56" t="b">
        <v>0</v>
      </c>
      <c r="C10250" s="56" t="b">
        <v>0</v>
      </c>
      <c r="D10250" s="56" t="b">
        <v>0</v>
      </c>
      <c r="E10250" s="56">
        <f ca="1">IF(PV[[#This Row],[Business Date]]=Control!$C$6, PV[[#This Row],[Notional Value Local Cur]], -PV[[#This Row],[Notional Value Local Cur]])</f>
        <v>0</v>
      </c>
    </row>
    <row r="10251" spans="1:5" x14ac:dyDescent="0.25">
      <c r="A10251" s="36" t="b">
        <v>0</v>
      </c>
      <c r="B10251" s="56" t="b">
        <v>0</v>
      </c>
      <c r="C10251" s="56" t="b">
        <v>0</v>
      </c>
      <c r="D10251" s="56" t="b">
        <v>0</v>
      </c>
      <c r="E10251" s="56">
        <f ca="1">IF(PV[[#This Row],[Business Date]]=Control!$C$6, PV[[#This Row],[Notional Value Local Cur]], -PV[[#This Row],[Notional Value Local Cur]])</f>
        <v>0</v>
      </c>
    </row>
    <row r="10252" spans="1:5" x14ac:dyDescent="0.25">
      <c r="A10252" s="36" t="b">
        <v>0</v>
      </c>
      <c r="B10252" s="56" t="b">
        <v>0</v>
      </c>
      <c r="C10252" s="56" t="b">
        <v>0</v>
      </c>
      <c r="D10252" s="56" t="b">
        <v>0</v>
      </c>
      <c r="E10252" s="56">
        <f ca="1">IF(PV[[#This Row],[Business Date]]=Control!$C$6, PV[[#This Row],[Notional Value Local Cur]], -PV[[#This Row],[Notional Value Local Cur]])</f>
        <v>0</v>
      </c>
    </row>
    <row r="10253" spans="1:5" x14ac:dyDescent="0.25">
      <c r="A10253" s="36" t="b">
        <v>0</v>
      </c>
      <c r="B10253" s="56" t="b">
        <v>0</v>
      </c>
      <c r="C10253" s="56" t="b">
        <v>0</v>
      </c>
      <c r="D10253" s="56" t="b">
        <v>0</v>
      </c>
      <c r="E10253" s="56">
        <f ca="1">IF(PV[[#This Row],[Business Date]]=Control!$C$6, PV[[#This Row],[Notional Value Local Cur]], -PV[[#This Row],[Notional Value Local Cur]])</f>
        <v>0</v>
      </c>
    </row>
    <row r="10254" spans="1:5" x14ac:dyDescent="0.25">
      <c r="A10254" s="36" t="b">
        <v>0</v>
      </c>
      <c r="B10254" s="56" t="b">
        <v>0</v>
      </c>
      <c r="C10254" s="56" t="b">
        <v>0</v>
      </c>
      <c r="D10254" s="56" t="b">
        <v>0</v>
      </c>
      <c r="E10254" s="56">
        <f ca="1">IF(PV[[#This Row],[Business Date]]=Control!$C$6, PV[[#This Row],[Notional Value Local Cur]], -PV[[#This Row],[Notional Value Local Cur]])</f>
        <v>0</v>
      </c>
    </row>
    <row r="10255" spans="1:5" x14ac:dyDescent="0.25">
      <c r="A10255" s="36" t="b">
        <v>0</v>
      </c>
      <c r="B10255" s="56" t="b">
        <v>0</v>
      </c>
      <c r="C10255" s="56" t="b">
        <v>0</v>
      </c>
      <c r="D10255" s="56" t="b">
        <v>0</v>
      </c>
      <c r="E10255" s="56">
        <f ca="1">IF(PV[[#This Row],[Business Date]]=Control!$C$6, PV[[#This Row],[Notional Value Local Cur]], -PV[[#This Row],[Notional Value Local Cur]])</f>
        <v>0</v>
      </c>
    </row>
    <row r="10256" spans="1:5" x14ac:dyDescent="0.25">
      <c r="A10256" s="36" t="b">
        <v>0</v>
      </c>
      <c r="B10256" s="56" t="b">
        <v>0</v>
      </c>
      <c r="C10256" s="56" t="b">
        <v>0</v>
      </c>
      <c r="D10256" s="56" t="b">
        <v>0</v>
      </c>
      <c r="E10256" s="56">
        <f ca="1">IF(PV[[#This Row],[Business Date]]=Control!$C$6, PV[[#This Row],[Notional Value Local Cur]], -PV[[#This Row],[Notional Value Local Cur]])</f>
        <v>0</v>
      </c>
    </row>
    <row r="10257" spans="1:5" x14ac:dyDescent="0.25">
      <c r="A10257" s="36" t="b">
        <v>0</v>
      </c>
      <c r="B10257" s="56" t="b">
        <v>0</v>
      </c>
      <c r="C10257" s="56" t="b">
        <v>0</v>
      </c>
      <c r="D10257" s="56" t="b">
        <v>0</v>
      </c>
      <c r="E10257" s="56">
        <f ca="1">IF(PV[[#This Row],[Business Date]]=Control!$C$6, PV[[#This Row],[Notional Value Local Cur]], -PV[[#This Row],[Notional Value Local Cur]])</f>
        <v>0</v>
      </c>
    </row>
    <row r="10258" spans="1:5" x14ac:dyDescent="0.25">
      <c r="A10258" s="36" t="b">
        <v>0</v>
      </c>
      <c r="B10258" s="56" t="b">
        <v>0</v>
      </c>
      <c r="C10258" s="56" t="b">
        <v>0</v>
      </c>
      <c r="D10258" s="56" t="b">
        <v>0</v>
      </c>
      <c r="E10258" s="56">
        <f ca="1">IF(PV[[#This Row],[Business Date]]=Control!$C$6, PV[[#This Row],[Notional Value Local Cur]], -PV[[#This Row],[Notional Value Local Cur]])</f>
        <v>0</v>
      </c>
    </row>
    <row r="10259" spans="1:5" x14ac:dyDescent="0.25">
      <c r="A10259" s="36" t="b">
        <v>0</v>
      </c>
      <c r="B10259" s="56" t="b">
        <v>0</v>
      </c>
      <c r="C10259" s="56" t="b">
        <v>0</v>
      </c>
      <c r="D10259" s="56" t="b">
        <v>0</v>
      </c>
      <c r="E10259" s="56">
        <f ca="1">IF(PV[[#This Row],[Business Date]]=Control!$C$6, PV[[#This Row],[Notional Value Local Cur]], -PV[[#This Row],[Notional Value Local Cur]])</f>
        <v>0</v>
      </c>
    </row>
    <row r="10260" spans="1:5" x14ac:dyDescent="0.25">
      <c r="A10260" s="36" t="b">
        <v>0</v>
      </c>
      <c r="B10260" s="56" t="b">
        <v>0</v>
      </c>
      <c r="C10260" s="56" t="b">
        <v>0</v>
      </c>
      <c r="D10260" s="56" t="b">
        <v>0</v>
      </c>
      <c r="E10260" s="56">
        <f ca="1">IF(PV[[#This Row],[Business Date]]=Control!$C$6, PV[[#This Row],[Notional Value Local Cur]], -PV[[#This Row],[Notional Value Local Cur]])</f>
        <v>0</v>
      </c>
    </row>
    <row r="10261" spans="1:5" x14ac:dyDescent="0.25">
      <c r="A10261" s="36" t="b">
        <v>0</v>
      </c>
      <c r="B10261" s="56" t="b">
        <v>0</v>
      </c>
      <c r="C10261" s="56" t="b">
        <v>0</v>
      </c>
      <c r="D10261" s="56" t="b">
        <v>0</v>
      </c>
      <c r="E10261" s="56">
        <f ca="1">IF(PV[[#This Row],[Business Date]]=Control!$C$6, PV[[#This Row],[Notional Value Local Cur]], -PV[[#This Row],[Notional Value Local Cur]])</f>
        <v>0</v>
      </c>
    </row>
    <row r="10262" spans="1:5" x14ac:dyDescent="0.25">
      <c r="A10262" s="36" t="b">
        <v>0</v>
      </c>
      <c r="B10262" s="56" t="b">
        <v>0</v>
      </c>
      <c r="C10262" s="56" t="b">
        <v>0</v>
      </c>
      <c r="D10262" s="56" t="b">
        <v>0</v>
      </c>
      <c r="E10262" s="56">
        <f ca="1">IF(PV[[#This Row],[Business Date]]=Control!$C$6, PV[[#This Row],[Notional Value Local Cur]], -PV[[#This Row],[Notional Value Local Cur]])</f>
        <v>0</v>
      </c>
    </row>
    <row r="10263" spans="1:5" x14ac:dyDescent="0.25">
      <c r="A10263" s="36" t="b">
        <v>0</v>
      </c>
      <c r="B10263" s="56" t="b">
        <v>0</v>
      </c>
      <c r="C10263" s="56" t="b">
        <v>0</v>
      </c>
      <c r="D10263" s="56" t="b">
        <v>0</v>
      </c>
      <c r="E10263" s="56">
        <f ca="1">IF(PV[[#This Row],[Business Date]]=Control!$C$6, PV[[#This Row],[Notional Value Local Cur]], -PV[[#This Row],[Notional Value Local Cur]])</f>
        <v>0</v>
      </c>
    </row>
    <row r="10264" spans="1:5" x14ac:dyDescent="0.25">
      <c r="A10264" s="36" t="b">
        <v>0</v>
      </c>
      <c r="B10264" s="56" t="b">
        <v>0</v>
      </c>
      <c r="C10264" s="56" t="b">
        <v>0</v>
      </c>
      <c r="D10264" s="56" t="b">
        <v>0</v>
      </c>
      <c r="E10264" s="56">
        <f ca="1">IF(PV[[#This Row],[Business Date]]=Control!$C$6, PV[[#This Row],[Notional Value Local Cur]], -PV[[#This Row],[Notional Value Local Cur]])</f>
        <v>0</v>
      </c>
    </row>
    <row r="10265" spans="1:5" x14ac:dyDescent="0.25">
      <c r="A10265" s="36" t="b">
        <v>0</v>
      </c>
      <c r="B10265" s="56" t="b">
        <v>0</v>
      </c>
      <c r="C10265" s="56" t="b">
        <v>0</v>
      </c>
      <c r="D10265" s="56" t="b">
        <v>0</v>
      </c>
      <c r="E10265" s="56">
        <f ca="1">IF(PV[[#This Row],[Business Date]]=Control!$C$6, PV[[#This Row],[Notional Value Local Cur]], -PV[[#This Row],[Notional Value Local Cur]])</f>
        <v>0</v>
      </c>
    </row>
    <row r="10266" spans="1:5" x14ac:dyDescent="0.25">
      <c r="A10266" s="36" t="b">
        <v>0</v>
      </c>
      <c r="B10266" s="56" t="b">
        <v>0</v>
      </c>
      <c r="C10266" s="56" t="b">
        <v>0</v>
      </c>
      <c r="D10266" s="56" t="b">
        <v>0</v>
      </c>
      <c r="E10266" s="56">
        <f ca="1">IF(PV[[#This Row],[Business Date]]=Control!$C$6, PV[[#This Row],[Notional Value Local Cur]], -PV[[#This Row],[Notional Value Local Cur]])</f>
        <v>0</v>
      </c>
    </row>
    <row r="10267" spans="1:5" x14ac:dyDescent="0.25">
      <c r="A10267" s="36" t="b">
        <v>0</v>
      </c>
      <c r="B10267" s="56" t="b">
        <v>0</v>
      </c>
      <c r="C10267" s="56" t="b">
        <v>0</v>
      </c>
      <c r="D10267" s="56" t="b">
        <v>0</v>
      </c>
      <c r="E10267" s="56">
        <f ca="1">IF(PV[[#This Row],[Business Date]]=Control!$C$6, PV[[#This Row],[Notional Value Local Cur]], -PV[[#This Row],[Notional Value Local Cur]])</f>
        <v>0</v>
      </c>
    </row>
    <row r="10268" spans="1:5" x14ac:dyDescent="0.25">
      <c r="A10268" s="36" t="b">
        <v>0</v>
      </c>
      <c r="B10268" s="56" t="b">
        <v>0</v>
      </c>
      <c r="C10268" s="56" t="b">
        <v>0</v>
      </c>
      <c r="D10268" s="56" t="b">
        <v>0</v>
      </c>
      <c r="E10268" s="56">
        <f ca="1">IF(PV[[#This Row],[Business Date]]=Control!$C$6, PV[[#This Row],[Notional Value Local Cur]], -PV[[#This Row],[Notional Value Local Cur]])</f>
        <v>0</v>
      </c>
    </row>
    <row r="10269" spans="1:5" x14ac:dyDescent="0.25">
      <c r="A10269" s="36" t="b">
        <v>0</v>
      </c>
      <c r="B10269" s="56" t="b">
        <v>0</v>
      </c>
      <c r="C10269" s="56" t="b">
        <v>0</v>
      </c>
      <c r="D10269" s="56" t="b">
        <v>0</v>
      </c>
      <c r="E10269" s="56">
        <f ca="1">IF(PV[[#This Row],[Business Date]]=Control!$C$6, PV[[#This Row],[Notional Value Local Cur]], -PV[[#This Row],[Notional Value Local Cur]])</f>
        <v>0</v>
      </c>
    </row>
    <row r="10270" spans="1:5" x14ac:dyDescent="0.25">
      <c r="A10270" s="36" t="b">
        <v>0</v>
      </c>
      <c r="B10270" s="56" t="b">
        <v>0</v>
      </c>
      <c r="C10270" s="56" t="b">
        <v>0</v>
      </c>
      <c r="D10270" s="56" t="b">
        <v>0</v>
      </c>
      <c r="E10270" s="56">
        <f ca="1">IF(PV[[#This Row],[Business Date]]=Control!$C$6, PV[[#This Row],[Notional Value Local Cur]], -PV[[#This Row],[Notional Value Local Cur]])</f>
        <v>0</v>
      </c>
    </row>
    <row r="10271" spans="1:5" x14ac:dyDescent="0.25">
      <c r="A10271" s="36" t="b">
        <v>0</v>
      </c>
      <c r="B10271" s="56" t="b">
        <v>0</v>
      </c>
      <c r="C10271" s="56" t="b">
        <v>0</v>
      </c>
      <c r="D10271" s="56" t="b">
        <v>0</v>
      </c>
      <c r="E10271" s="56">
        <f ca="1">IF(PV[[#This Row],[Business Date]]=Control!$C$6, PV[[#This Row],[Notional Value Local Cur]], -PV[[#This Row],[Notional Value Local Cur]])</f>
        <v>0</v>
      </c>
    </row>
    <row r="10272" spans="1:5" x14ac:dyDescent="0.25">
      <c r="A10272" s="36" t="b">
        <v>0</v>
      </c>
      <c r="B10272" s="56" t="b">
        <v>0</v>
      </c>
      <c r="C10272" s="56" t="b">
        <v>0</v>
      </c>
      <c r="D10272" s="56" t="b">
        <v>0</v>
      </c>
      <c r="E10272" s="56">
        <f ca="1">IF(PV[[#This Row],[Business Date]]=Control!$C$6, PV[[#This Row],[Notional Value Local Cur]], -PV[[#This Row],[Notional Value Local Cur]])</f>
        <v>0</v>
      </c>
    </row>
    <row r="10273" spans="1:5" x14ac:dyDescent="0.25">
      <c r="A10273" s="36" t="b">
        <v>0</v>
      </c>
      <c r="B10273" s="56" t="b">
        <v>0</v>
      </c>
      <c r="C10273" s="56" t="b">
        <v>0</v>
      </c>
      <c r="D10273" s="56" t="b">
        <v>0</v>
      </c>
      <c r="E10273" s="56">
        <f ca="1">IF(PV[[#This Row],[Business Date]]=Control!$C$6, PV[[#This Row],[Notional Value Local Cur]], -PV[[#This Row],[Notional Value Local Cur]])</f>
        <v>0</v>
      </c>
    </row>
    <row r="10274" spans="1:5" x14ac:dyDescent="0.25">
      <c r="A10274" s="36" t="b">
        <v>0</v>
      </c>
      <c r="B10274" s="56" t="b">
        <v>0</v>
      </c>
      <c r="C10274" s="56" t="b">
        <v>0</v>
      </c>
      <c r="D10274" s="56" t="b">
        <v>0</v>
      </c>
      <c r="E10274" s="56">
        <f ca="1">IF(PV[[#This Row],[Business Date]]=Control!$C$6, PV[[#This Row],[Notional Value Local Cur]], -PV[[#This Row],[Notional Value Local Cur]])</f>
        <v>0</v>
      </c>
    </row>
    <row r="10275" spans="1:5" x14ac:dyDescent="0.25">
      <c r="A10275" s="36" t="b">
        <v>0</v>
      </c>
      <c r="B10275" s="56" t="b">
        <v>0</v>
      </c>
      <c r="C10275" s="56" t="b">
        <v>0</v>
      </c>
      <c r="D10275" s="56" t="b">
        <v>0</v>
      </c>
      <c r="E10275" s="56">
        <f ca="1">IF(PV[[#This Row],[Business Date]]=Control!$C$6, PV[[#This Row],[Notional Value Local Cur]], -PV[[#This Row],[Notional Value Local Cur]])</f>
        <v>0</v>
      </c>
    </row>
    <row r="10276" spans="1:5" x14ac:dyDescent="0.25">
      <c r="A10276" s="36" t="b">
        <v>0</v>
      </c>
      <c r="B10276" s="56" t="b">
        <v>0</v>
      </c>
      <c r="C10276" s="56" t="b">
        <v>0</v>
      </c>
      <c r="D10276" s="56" t="b">
        <v>0</v>
      </c>
      <c r="E10276" s="56">
        <f ca="1">IF(PV[[#This Row],[Business Date]]=Control!$C$6, PV[[#This Row],[Notional Value Local Cur]], -PV[[#This Row],[Notional Value Local Cur]])</f>
        <v>0</v>
      </c>
    </row>
    <row r="10277" spans="1:5" x14ac:dyDescent="0.25">
      <c r="A10277" s="36" t="b">
        <v>0</v>
      </c>
      <c r="B10277" s="56" t="b">
        <v>0</v>
      </c>
      <c r="C10277" s="56" t="b">
        <v>0</v>
      </c>
      <c r="D10277" s="56" t="b">
        <v>0</v>
      </c>
      <c r="E10277" s="56">
        <f ca="1">IF(PV[[#This Row],[Business Date]]=Control!$C$6, PV[[#This Row],[Notional Value Local Cur]], -PV[[#This Row],[Notional Value Local Cur]])</f>
        <v>0</v>
      </c>
    </row>
    <row r="10278" spans="1:5" x14ac:dyDescent="0.25">
      <c r="A10278" s="36" t="b">
        <v>0</v>
      </c>
      <c r="B10278" s="56" t="b">
        <v>0</v>
      </c>
      <c r="C10278" s="56" t="b">
        <v>0</v>
      </c>
      <c r="D10278" s="56" t="b">
        <v>0</v>
      </c>
      <c r="E10278" s="56">
        <f ca="1">IF(PV[[#This Row],[Business Date]]=Control!$C$6, PV[[#This Row],[Notional Value Local Cur]], -PV[[#This Row],[Notional Value Local Cur]])</f>
        <v>0</v>
      </c>
    </row>
    <row r="10279" spans="1:5" x14ac:dyDescent="0.25">
      <c r="A10279" s="36" t="b">
        <v>0</v>
      </c>
      <c r="B10279" s="56" t="b">
        <v>0</v>
      </c>
      <c r="C10279" s="56" t="b">
        <v>0</v>
      </c>
      <c r="D10279" s="56" t="b">
        <v>0</v>
      </c>
      <c r="E10279" s="56">
        <f ca="1">IF(PV[[#This Row],[Business Date]]=Control!$C$6, PV[[#This Row],[Notional Value Local Cur]], -PV[[#This Row],[Notional Value Local Cur]])</f>
        <v>0</v>
      </c>
    </row>
    <row r="10280" spans="1:5" x14ac:dyDescent="0.25">
      <c r="A10280" s="36" t="b">
        <v>0</v>
      </c>
      <c r="B10280" s="56" t="b">
        <v>0</v>
      </c>
      <c r="C10280" s="56" t="b">
        <v>0</v>
      </c>
      <c r="D10280" s="56" t="b">
        <v>0</v>
      </c>
      <c r="E10280" s="56">
        <f ca="1">IF(PV[[#This Row],[Business Date]]=Control!$C$6, PV[[#This Row],[Notional Value Local Cur]], -PV[[#This Row],[Notional Value Local Cur]])</f>
        <v>0</v>
      </c>
    </row>
    <row r="10281" spans="1:5" x14ac:dyDescent="0.25">
      <c r="A10281" s="36" t="b">
        <v>0</v>
      </c>
      <c r="B10281" s="56" t="b">
        <v>0</v>
      </c>
      <c r="C10281" s="56" t="b">
        <v>0</v>
      </c>
      <c r="D10281" s="56" t="b">
        <v>0</v>
      </c>
      <c r="E10281" s="56">
        <f ca="1">IF(PV[[#This Row],[Business Date]]=Control!$C$6, PV[[#This Row],[Notional Value Local Cur]], -PV[[#This Row],[Notional Value Local Cur]])</f>
        <v>0</v>
      </c>
    </row>
    <row r="10282" spans="1:5" x14ac:dyDescent="0.25">
      <c r="A10282" s="36" t="b">
        <v>0</v>
      </c>
      <c r="B10282" s="56" t="b">
        <v>0</v>
      </c>
      <c r="C10282" s="56" t="b">
        <v>0</v>
      </c>
      <c r="D10282" s="56" t="b">
        <v>0</v>
      </c>
      <c r="E10282" s="56">
        <f ca="1">IF(PV[[#This Row],[Business Date]]=Control!$C$6, PV[[#This Row],[Notional Value Local Cur]], -PV[[#This Row],[Notional Value Local Cur]])</f>
        <v>0</v>
      </c>
    </row>
    <row r="10283" spans="1:5" x14ac:dyDescent="0.25">
      <c r="A10283" s="36" t="b">
        <v>0</v>
      </c>
      <c r="B10283" s="56" t="b">
        <v>0</v>
      </c>
      <c r="C10283" s="56" t="b">
        <v>0</v>
      </c>
      <c r="D10283" s="56" t="b">
        <v>0</v>
      </c>
      <c r="E10283" s="56">
        <f ca="1">IF(PV[[#This Row],[Business Date]]=Control!$C$6, PV[[#This Row],[Notional Value Local Cur]], -PV[[#This Row],[Notional Value Local Cur]])</f>
        <v>0</v>
      </c>
    </row>
    <row r="10284" spans="1:5" x14ac:dyDescent="0.25">
      <c r="A10284" s="36" t="b">
        <v>0</v>
      </c>
      <c r="B10284" s="56" t="b">
        <v>0</v>
      </c>
      <c r="C10284" s="56" t="b">
        <v>0</v>
      </c>
      <c r="D10284" s="56" t="b">
        <v>0</v>
      </c>
      <c r="E10284" s="56">
        <f ca="1">IF(PV[[#This Row],[Business Date]]=Control!$C$6, PV[[#This Row],[Notional Value Local Cur]], -PV[[#This Row],[Notional Value Local Cur]])</f>
        <v>0</v>
      </c>
    </row>
    <row r="10285" spans="1:5" x14ac:dyDescent="0.25">
      <c r="A10285" s="36" t="b">
        <v>0</v>
      </c>
      <c r="B10285" s="56" t="b">
        <v>0</v>
      </c>
      <c r="C10285" s="56" t="b">
        <v>0</v>
      </c>
      <c r="D10285" s="56" t="b">
        <v>0</v>
      </c>
      <c r="E10285" s="56">
        <f ca="1">IF(PV[[#This Row],[Business Date]]=Control!$C$6, PV[[#This Row],[Notional Value Local Cur]], -PV[[#This Row],[Notional Value Local Cur]])</f>
        <v>0</v>
      </c>
    </row>
    <row r="10286" spans="1:5" x14ac:dyDescent="0.25">
      <c r="A10286" s="36" t="b">
        <v>0</v>
      </c>
      <c r="B10286" s="56" t="b">
        <v>0</v>
      </c>
      <c r="C10286" s="56" t="b">
        <v>0</v>
      </c>
      <c r="D10286" s="56" t="b">
        <v>0</v>
      </c>
      <c r="E10286" s="56">
        <f ca="1">IF(PV[[#This Row],[Business Date]]=Control!$C$6, PV[[#This Row],[Notional Value Local Cur]], -PV[[#This Row],[Notional Value Local Cur]])</f>
        <v>0</v>
      </c>
    </row>
    <row r="10287" spans="1:5" x14ac:dyDescent="0.25">
      <c r="A10287" s="36" t="b">
        <v>0</v>
      </c>
      <c r="B10287" s="56" t="b">
        <v>0</v>
      </c>
      <c r="C10287" s="56" t="b">
        <v>0</v>
      </c>
      <c r="D10287" s="56" t="b">
        <v>0</v>
      </c>
      <c r="E10287" s="56">
        <f ca="1">IF(PV[[#This Row],[Business Date]]=Control!$C$6, PV[[#This Row],[Notional Value Local Cur]], -PV[[#This Row],[Notional Value Local Cur]])</f>
        <v>0</v>
      </c>
    </row>
    <row r="10288" spans="1:5" x14ac:dyDescent="0.25">
      <c r="A10288" s="36" t="b">
        <v>0</v>
      </c>
      <c r="B10288" s="56" t="b">
        <v>0</v>
      </c>
      <c r="C10288" s="56" t="b">
        <v>0</v>
      </c>
      <c r="D10288" s="56" t="b">
        <v>0</v>
      </c>
      <c r="E10288" s="56">
        <f ca="1">IF(PV[[#This Row],[Business Date]]=Control!$C$6, PV[[#This Row],[Notional Value Local Cur]], -PV[[#This Row],[Notional Value Local Cur]])</f>
        <v>0</v>
      </c>
    </row>
    <row r="10289" spans="1:5" x14ac:dyDescent="0.25">
      <c r="A10289" s="36" t="b">
        <v>0</v>
      </c>
      <c r="B10289" s="56" t="b">
        <v>0</v>
      </c>
      <c r="C10289" s="56" t="b">
        <v>0</v>
      </c>
      <c r="D10289" s="56" t="b">
        <v>0</v>
      </c>
      <c r="E10289" s="56">
        <f ca="1">IF(PV[[#This Row],[Business Date]]=Control!$C$6, PV[[#This Row],[Notional Value Local Cur]], -PV[[#This Row],[Notional Value Local Cur]])</f>
        <v>0</v>
      </c>
    </row>
    <row r="10290" spans="1:5" x14ac:dyDescent="0.25">
      <c r="A10290" s="36" t="b">
        <v>0</v>
      </c>
      <c r="B10290" s="56" t="b">
        <v>0</v>
      </c>
      <c r="C10290" s="56" t="b">
        <v>0</v>
      </c>
      <c r="D10290" s="56" t="b">
        <v>0</v>
      </c>
      <c r="E10290" s="56">
        <f ca="1">IF(PV[[#This Row],[Business Date]]=Control!$C$6, PV[[#This Row],[Notional Value Local Cur]], -PV[[#This Row],[Notional Value Local Cur]])</f>
        <v>0</v>
      </c>
    </row>
    <row r="10291" spans="1:5" x14ac:dyDescent="0.25">
      <c r="A10291" s="36" t="b">
        <v>0</v>
      </c>
      <c r="B10291" s="56" t="b">
        <v>0</v>
      </c>
      <c r="C10291" s="56" t="b">
        <v>0</v>
      </c>
      <c r="D10291" s="56" t="b">
        <v>0</v>
      </c>
      <c r="E10291" s="56">
        <f ca="1">IF(PV[[#This Row],[Business Date]]=Control!$C$6, PV[[#This Row],[Notional Value Local Cur]], -PV[[#This Row],[Notional Value Local Cur]])</f>
        <v>0</v>
      </c>
    </row>
    <row r="10292" spans="1:5" x14ac:dyDescent="0.25">
      <c r="A10292" s="36" t="b">
        <v>0</v>
      </c>
      <c r="B10292" s="56" t="b">
        <v>0</v>
      </c>
      <c r="C10292" s="56" t="b">
        <v>0</v>
      </c>
      <c r="D10292" s="56" t="b">
        <v>0</v>
      </c>
      <c r="E10292" s="56">
        <f ca="1">IF(PV[[#This Row],[Business Date]]=Control!$C$6, PV[[#This Row],[Notional Value Local Cur]], -PV[[#This Row],[Notional Value Local Cur]])</f>
        <v>0</v>
      </c>
    </row>
    <row r="10293" spans="1:5" x14ac:dyDescent="0.25">
      <c r="A10293" s="36" t="b">
        <v>0</v>
      </c>
      <c r="B10293" s="56" t="b">
        <v>0</v>
      </c>
      <c r="C10293" s="56" t="b">
        <v>0</v>
      </c>
      <c r="D10293" s="56" t="b">
        <v>0</v>
      </c>
      <c r="E10293" s="56">
        <f ca="1">IF(PV[[#This Row],[Business Date]]=Control!$C$6, PV[[#This Row],[Notional Value Local Cur]], -PV[[#This Row],[Notional Value Local Cur]])</f>
        <v>0</v>
      </c>
    </row>
    <row r="10294" spans="1:5" x14ac:dyDescent="0.25">
      <c r="A10294" s="36" t="b">
        <v>0</v>
      </c>
      <c r="B10294" s="56" t="b">
        <v>0</v>
      </c>
      <c r="C10294" s="56" t="b">
        <v>0</v>
      </c>
      <c r="D10294" s="56" t="b">
        <v>0</v>
      </c>
      <c r="E10294" s="56">
        <f ca="1">IF(PV[[#This Row],[Business Date]]=Control!$C$6, PV[[#This Row],[Notional Value Local Cur]], -PV[[#This Row],[Notional Value Local Cur]])</f>
        <v>0</v>
      </c>
    </row>
    <row r="10295" spans="1:5" x14ac:dyDescent="0.25">
      <c r="A10295" s="36" t="b">
        <v>0</v>
      </c>
      <c r="B10295" s="56" t="b">
        <v>0</v>
      </c>
      <c r="C10295" s="56" t="b">
        <v>0</v>
      </c>
      <c r="D10295" s="56" t="b">
        <v>0</v>
      </c>
      <c r="E10295" s="56">
        <f ca="1">IF(PV[[#This Row],[Business Date]]=Control!$C$6, PV[[#This Row],[Notional Value Local Cur]], -PV[[#This Row],[Notional Value Local Cur]])</f>
        <v>0</v>
      </c>
    </row>
    <row r="10296" spans="1:5" x14ac:dyDescent="0.25">
      <c r="A10296" s="36" t="b">
        <v>0</v>
      </c>
      <c r="B10296" s="56" t="b">
        <v>0</v>
      </c>
      <c r="C10296" s="56" t="b">
        <v>0</v>
      </c>
      <c r="D10296" s="56" t="b">
        <v>0</v>
      </c>
      <c r="E10296" s="56">
        <f ca="1">IF(PV[[#This Row],[Business Date]]=Control!$C$6, PV[[#This Row],[Notional Value Local Cur]], -PV[[#This Row],[Notional Value Local Cur]])</f>
        <v>0</v>
      </c>
    </row>
    <row r="10297" spans="1:5" x14ac:dyDescent="0.25">
      <c r="A10297" s="36" t="b">
        <v>0</v>
      </c>
      <c r="B10297" s="56" t="b">
        <v>0</v>
      </c>
      <c r="C10297" s="56" t="b">
        <v>0</v>
      </c>
      <c r="D10297" s="56" t="b">
        <v>0</v>
      </c>
      <c r="E10297" s="56">
        <f ca="1">IF(PV[[#This Row],[Business Date]]=Control!$C$6, PV[[#This Row],[Notional Value Local Cur]], -PV[[#This Row],[Notional Value Local Cur]])</f>
        <v>0</v>
      </c>
    </row>
    <row r="10298" spans="1:5" x14ac:dyDescent="0.25">
      <c r="A10298" s="36" t="b">
        <v>0</v>
      </c>
      <c r="B10298" s="56" t="b">
        <v>0</v>
      </c>
      <c r="C10298" s="56" t="b">
        <v>0</v>
      </c>
      <c r="D10298" s="56" t="b">
        <v>0</v>
      </c>
      <c r="E10298" s="56">
        <f ca="1">IF(PV[[#This Row],[Business Date]]=Control!$C$6, PV[[#This Row],[Notional Value Local Cur]], -PV[[#This Row],[Notional Value Local Cur]])</f>
        <v>0</v>
      </c>
    </row>
    <row r="10299" spans="1:5" x14ac:dyDescent="0.25">
      <c r="A10299" s="36" t="b">
        <v>0</v>
      </c>
      <c r="B10299" s="56" t="b">
        <v>0</v>
      </c>
      <c r="C10299" s="56" t="b">
        <v>0</v>
      </c>
      <c r="D10299" s="56" t="b">
        <v>0</v>
      </c>
      <c r="E10299" s="56">
        <f ca="1">IF(PV[[#This Row],[Business Date]]=Control!$C$6, PV[[#This Row],[Notional Value Local Cur]], -PV[[#This Row],[Notional Value Local Cur]])</f>
        <v>0</v>
      </c>
    </row>
    <row r="10300" spans="1:5" x14ac:dyDescent="0.25">
      <c r="A10300" s="36" t="b">
        <v>0</v>
      </c>
      <c r="B10300" s="56" t="b">
        <v>0</v>
      </c>
      <c r="C10300" s="56" t="b">
        <v>0</v>
      </c>
      <c r="D10300" s="56" t="b">
        <v>0</v>
      </c>
      <c r="E10300" s="56">
        <f ca="1">IF(PV[[#This Row],[Business Date]]=Control!$C$6, PV[[#This Row],[Notional Value Local Cur]], -PV[[#This Row],[Notional Value Local Cur]])</f>
        <v>0</v>
      </c>
    </row>
    <row r="10301" spans="1:5" x14ac:dyDescent="0.25">
      <c r="A10301" s="36" t="b">
        <v>0</v>
      </c>
      <c r="B10301" s="56" t="b">
        <v>0</v>
      </c>
      <c r="C10301" s="56" t="b">
        <v>0</v>
      </c>
      <c r="D10301" s="56" t="b">
        <v>0</v>
      </c>
      <c r="E10301" s="56">
        <f ca="1">IF(PV[[#This Row],[Business Date]]=Control!$C$6, PV[[#This Row],[Notional Value Local Cur]], -PV[[#This Row],[Notional Value Local Cur]])</f>
        <v>0</v>
      </c>
    </row>
    <row r="10302" spans="1:5" x14ac:dyDescent="0.25">
      <c r="A10302" s="36" t="b">
        <v>0</v>
      </c>
      <c r="B10302" s="56" t="b">
        <v>0</v>
      </c>
      <c r="C10302" s="56" t="b">
        <v>0</v>
      </c>
      <c r="D10302" s="56" t="b">
        <v>0</v>
      </c>
      <c r="E10302" s="56">
        <f ca="1">IF(PV[[#This Row],[Business Date]]=Control!$C$6, PV[[#This Row],[Notional Value Local Cur]], -PV[[#This Row],[Notional Value Local Cur]])</f>
        <v>0</v>
      </c>
    </row>
    <row r="10303" spans="1:5" x14ac:dyDescent="0.25">
      <c r="A10303" s="36" t="b">
        <v>0</v>
      </c>
      <c r="B10303" s="56" t="b">
        <v>0</v>
      </c>
      <c r="C10303" s="56" t="b">
        <v>0</v>
      </c>
      <c r="D10303" s="56" t="b">
        <v>0</v>
      </c>
      <c r="E10303" s="56">
        <f ca="1">IF(PV[[#This Row],[Business Date]]=Control!$C$6, PV[[#This Row],[Notional Value Local Cur]], -PV[[#This Row],[Notional Value Local Cur]])</f>
        <v>0</v>
      </c>
    </row>
    <row r="10304" spans="1:5" x14ac:dyDescent="0.25">
      <c r="A10304" s="36" t="b">
        <v>0</v>
      </c>
      <c r="B10304" s="56" t="b">
        <v>0</v>
      </c>
      <c r="C10304" s="56" t="b">
        <v>0</v>
      </c>
      <c r="D10304" s="56" t="b">
        <v>0</v>
      </c>
      <c r="E10304" s="56">
        <f ca="1">IF(PV[[#This Row],[Business Date]]=Control!$C$6, PV[[#This Row],[Notional Value Local Cur]], -PV[[#This Row],[Notional Value Local Cur]])</f>
        <v>0</v>
      </c>
    </row>
    <row r="10305" spans="1:5" x14ac:dyDescent="0.25">
      <c r="A10305" s="36" t="b">
        <v>0</v>
      </c>
      <c r="B10305" s="56" t="b">
        <v>0</v>
      </c>
      <c r="C10305" s="56" t="b">
        <v>0</v>
      </c>
      <c r="D10305" s="56" t="b">
        <v>0</v>
      </c>
      <c r="E10305" s="56">
        <f ca="1">IF(PV[[#This Row],[Business Date]]=Control!$C$6, PV[[#This Row],[Notional Value Local Cur]], -PV[[#This Row],[Notional Value Local Cur]])</f>
        <v>0</v>
      </c>
    </row>
    <row r="10306" spans="1:5" x14ac:dyDescent="0.25">
      <c r="A10306" s="36" t="b">
        <v>0</v>
      </c>
      <c r="B10306" s="56" t="b">
        <v>0</v>
      </c>
      <c r="C10306" s="56" t="b">
        <v>0</v>
      </c>
      <c r="D10306" s="56" t="b">
        <v>0</v>
      </c>
      <c r="E10306" s="56">
        <f ca="1">IF(PV[[#This Row],[Business Date]]=Control!$C$6, PV[[#This Row],[Notional Value Local Cur]], -PV[[#This Row],[Notional Value Local Cur]])</f>
        <v>0</v>
      </c>
    </row>
    <row r="10307" spans="1:5" x14ac:dyDescent="0.25">
      <c r="A10307" s="36" t="b">
        <v>0</v>
      </c>
      <c r="B10307" s="56" t="b">
        <v>0</v>
      </c>
      <c r="C10307" s="56" t="b">
        <v>0</v>
      </c>
      <c r="D10307" s="56" t="b">
        <v>0</v>
      </c>
      <c r="E10307" s="56">
        <f ca="1">IF(PV[[#This Row],[Business Date]]=Control!$C$6, PV[[#This Row],[Notional Value Local Cur]], -PV[[#This Row],[Notional Value Local Cur]])</f>
        <v>0</v>
      </c>
    </row>
    <row r="10308" spans="1:5" x14ac:dyDescent="0.25">
      <c r="A10308" s="36" t="b">
        <v>0</v>
      </c>
      <c r="B10308" s="56" t="b">
        <v>0</v>
      </c>
      <c r="C10308" s="56" t="b">
        <v>0</v>
      </c>
      <c r="D10308" s="56" t="b">
        <v>0</v>
      </c>
      <c r="E10308" s="56">
        <f ca="1">IF(PV[[#This Row],[Business Date]]=Control!$C$6, PV[[#This Row],[Notional Value Local Cur]], -PV[[#This Row],[Notional Value Local Cur]])</f>
        <v>0</v>
      </c>
    </row>
    <row r="10309" spans="1:5" x14ac:dyDescent="0.25">
      <c r="A10309" s="36" t="b">
        <v>0</v>
      </c>
      <c r="B10309" s="56" t="b">
        <v>0</v>
      </c>
      <c r="C10309" s="56" t="b">
        <v>0</v>
      </c>
      <c r="D10309" s="56" t="b">
        <v>0</v>
      </c>
      <c r="E10309" s="56">
        <f ca="1">IF(PV[[#This Row],[Business Date]]=Control!$C$6, PV[[#This Row],[Notional Value Local Cur]], -PV[[#This Row],[Notional Value Local Cur]])</f>
        <v>0</v>
      </c>
    </row>
    <row r="10310" spans="1:5" x14ac:dyDescent="0.25">
      <c r="A10310" s="36" t="b">
        <v>0</v>
      </c>
      <c r="B10310" s="56" t="b">
        <v>0</v>
      </c>
      <c r="C10310" s="56" t="b">
        <v>0</v>
      </c>
      <c r="D10310" s="56" t="b">
        <v>0</v>
      </c>
      <c r="E10310" s="56">
        <f ca="1">IF(PV[[#This Row],[Business Date]]=Control!$C$6, PV[[#This Row],[Notional Value Local Cur]], -PV[[#This Row],[Notional Value Local Cur]])</f>
        <v>0</v>
      </c>
    </row>
    <row r="10311" spans="1:5" x14ac:dyDescent="0.25">
      <c r="A10311" s="36" t="b">
        <v>0</v>
      </c>
      <c r="B10311" s="56" t="b">
        <v>0</v>
      </c>
      <c r="C10311" s="56" t="b">
        <v>0</v>
      </c>
      <c r="D10311" s="56" t="b">
        <v>0</v>
      </c>
      <c r="E10311" s="56">
        <f ca="1">IF(PV[[#This Row],[Business Date]]=Control!$C$6, PV[[#This Row],[Notional Value Local Cur]], -PV[[#This Row],[Notional Value Local Cur]])</f>
        <v>0</v>
      </c>
    </row>
    <row r="10312" spans="1:5" x14ac:dyDescent="0.25">
      <c r="A10312" s="36" t="b">
        <v>0</v>
      </c>
      <c r="B10312" s="56" t="b">
        <v>0</v>
      </c>
      <c r="C10312" s="56" t="b">
        <v>0</v>
      </c>
      <c r="D10312" s="56" t="b">
        <v>0</v>
      </c>
      <c r="E10312" s="56">
        <f ca="1">IF(PV[[#This Row],[Business Date]]=Control!$C$6, PV[[#This Row],[Notional Value Local Cur]], -PV[[#This Row],[Notional Value Local Cur]])</f>
        <v>0</v>
      </c>
    </row>
    <row r="10313" spans="1:5" x14ac:dyDescent="0.25">
      <c r="A10313" s="36" t="b">
        <v>0</v>
      </c>
      <c r="B10313" s="56" t="b">
        <v>0</v>
      </c>
      <c r="C10313" s="56" t="b">
        <v>0</v>
      </c>
      <c r="D10313" s="56" t="b">
        <v>0</v>
      </c>
      <c r="E10313" s="56">
        <f ca="1">IF(PV[[#This Row],[Business Date]]=Control!$C$6, PV[[#This Row],[Notional Value Local Cur]], -PV[[#This Row],[Notional Value Local Cur]])</f>
        <v>0</v>
      </c>
    </row>
    <row r="10314" spans="1:5" x14ac:dyDescent="0.25">
      <c r="A10314" s="36" t="b">
        <v>0</v>
      </c>
      <c r="B10314" s="56" t="b">
        <v>0</v>
      </c>
      <c r="C10314" s="56" t="b">
        <v>0</v>
      </c>
      <c r="D10314" s="56" t="b">
        <v>0</v>
      </c>
      <c r="E10314" s="56">
        <f ca="1">IF(PV[[#This Row],[Business Date]]=Control!$C$6, PV[[#This Row],[Notional Value Local Cur]], -PV[[#This Row],[Notional Value Local Cur]])</f>
        <v>0</v>
      </c>
    </row>
    <row r="10315" spans="1:5" x14ac:dyDescent="0.25">
      <c r="A10315" s="36" t="b">
        <v>0</v>
      </c>
      <c r="B10315" s="56" t="b">
        <v>0</v>
      </c>
      <c r="C10315" s="56" t="b">
        <v>0</v>
      </c>
      <c r="D10315" s="56" t="b">
        <v>0</v>
      </c>
      <c r="E10315" s="56">
        <f ca="1">IF(PV[[#This Row],[Business Date]]=Control!$C$6, PV[[#This Row],[Notional Value Local Cur]], -PV[[#This Row],[Notional Value Local Cur]])</f>
        <v>0</v>
      </c>
    </row>
    <row r="10316" spans="1:5" x14ac:dyDescent="0.25">
      <c r="A10316" s="36" t="b">
        <v>0</v>
      </c>
      <c r="B10316" s="56" t="b">
        <v>0</v>
      </c>
      <c r="C10316" s="56" t="b">
        <v>0</v>
      </c>
      <c r="D10316" s="56" t="b">
        <v>0</v>
      </c>
      <c r="E10316" s="56">
        <f ca="1">IF(PV[[#This Row],[Business Date]]=Control!$C$6, PV[[#This Row],[Notional Value Local Cur]], -PV[[#This Row],[Notional Value Local Cur]])</f>
        <v>0</v>
      </c>
    </row>
    <row r="10317" spans="1:5" x14ac:dyDescent="0.25">
      <c r="A10317" s="36" t="b">
        <v>0</v>
      </c>
      <c r="B10317" s="56" t="b">
        <v>0</v>
      </c>
      <c r="C10317" s="56" t="b">
        <v>0</v>
      </c>
      <c r="D10317" s="56" t="b">
        <v>0</v>
      </c>
      <c r="E10317" s="56">
        <f ca="1">IF(PV[[#This Row],[Business Date]]=Control!$C$6, PV[[#This Row],[Notional Value Local Cur]], -PV[[#This Row],[Notional Value Local Cur]])</f>
        <v>0</v>
      </c>
    </row>
    <row r="10318" spans="1:5" x14ac:dyDescent="0.25">
      <c r="A10318" s="36" t="b">
        <v>0</v>
      </c>
      <c r="B10318" s="56" t="b">
        <v>0</v>
      </c>
      <c r="C10318" s="56" t="b">
        <v>0</v>
      </c>
      <c r="D10318" s="56" t="b">
        <v>0</v>
      </c>
      <c r="E10318" s="56">
        <f ca="1">IF(PV[[#This Row],[Business Date]]=Control!$C$6, PV[[#This Row],[Notional Value Local Cur]], -PV[[#This Row],[Notional Value Local Cur]])</f>
        <v>0</v>
      </c>
    </row>
    <row r="10319" spans="1:5" x14ac:dyDescent="0.25">
      <c r="A10319" s="36" t="b">
        <v>0</v>
      </c>
      <c r="B10319" s="56" t="b">
        <v>0</v>
      </c>
      <c r="C10319" s="56" t="b">
        <v>0</v>
      </c>
      <c r="D10319" s="56" t="b">
        <v>0</v>
      </c>
      <c r="E10319" s="56">
        <f ca="1">IF(PV[[#This Row],[Business Date]]=Control!$C$6, PV[[#This Row],[Notional Value Local Cur]], -PV[[#This Row],[Notional Value Local Cur]])</f>
        <v>0</v>
      </c>
    </row>
    <row r="10320" spans="1:5" x14ac:dyDescent="0.25">
      <c r="A10320" s="36" t="b">
        <v>0</v>
      </c>
      <c r="B10320" s="56" t="b">
        <v>0</v>
      </c>
      <c r="C10320" s="56" t="b">
        <v>0</v>
      </c>
      <c r="D10320" s="56" t="b">
        <v>0</v>
      </c>
      <c r="E10320" s="56">
        <f ca="1">IF(PV[[#This Row],[Business Date]]=Control!$C$6, PV[[#This Row],[Notional Value Local Cur]], -PV[[#This Row],[Notional Value Local Cur]])</f>
        <v>0</v>
      </c>
    </row>
    <row r="10321" spans="1:5" x14ac:dyDescent="0.25">
      <c r="A10321" s="36" t="b">
        <v>0</v>
      </c>
      <c r="B10321" s="56" t="b">
        <v>0</v>
      </c>
      <c r="C10321" s="56" t="b">
        <v>0</v>
      </c>
      <c r="D10321" s="56" t="b">
        <v>0</v>
      </c>
      <c r="E10321" s="56">
        <f ca="1">IF(PV[[#This Row],[Business Date]]=Control!$C$6, PV[[#This Row],[Notional Value Local Cur]], -PV[[#This Row],[Notional Value Local Cur]])</f>
        <v>0</v>
      </c>
    </row>
    <row r="10322" spans="1:5" x14ac:dyDescent="0.25">
      <c r="A10322" s="36" t="b">
        <v>0</v>
      </c>
      <c r="B10322" s="56" t="b">
        <v>0</v>
      </c>
      <c r="C10322" s="56" t="b">
        <v>0</v>
      </c>
      <c r="D10322" s="56" t="b">
        <v>0</v>
      </c>
      <c r="E10322" s="56">
        <f ca="1">IF(PV[[#This Row],[Business Date]]=Control!$C$6, PV[[#This Row],[Notional Value Local Cur]], -PV[[#This Row],[Notional Value Local Cur]])</f>
        <v>0</v>
      </c>
    </row>
    <row r="10323" spans="1:5" x14ac:dyDescent="0.25">
      <c r="A10323" s="36" t="b">
        <v>0</v>
      </c>
      <c r="B10323" s="56" t="b">
        <v>0</v>
      </c>
      <c r="C10323" s="56" t="b">
        <v>0</v>
      </c>
      <c r="D10323" s="56" t="b">
        <v>0</v>
      </c>
      <c r="E10323" s="56">
        <f ca="1">IF(PV[[#This Row],[Business Date]]=Control!$C$6, PV[[#This Row],[Notional Value Local Cur]], -PV[[#This Row],[Notional Value Local Cur]])</f>
        <v>0</v>
      </c>
    </row>
    <row r="10324" spans="1:5" x14ac:dyDescent="0.25">
      <c r="A10324" s="36" t="b">
        <v>0</v>
      </c>
      <c r="B10324" s="56" t="b">
        <v>0</v>
      </c>
      <c r="C10324" s="56" t="b">
        <v>0</v>
      </c>
      <c r="D10324" s="56" t="b">
        <v>0</v>
      </c>
      <c r="E10324" s="56">
        <f ca="1">IF(PV[[#This Row],[Business Date]]=Control!$C$6, PV[[#This Row],[Notional Value Local Cur]], -PV[[#This Row],[Notional Value Local Cur]])</f>
        <v>0</v>
      </c>
    </row>
    <row r="10325" spans="1:5" x14ac:dyDescent="0.25">
      <c r="A10325" s="36" t="b">
        <v>0</v>
      </c>
      <c r="B10325" s="56" t="b">
        <v>0</v>
      </c>
      <c r="C10325" s="56" t="b">
        <v>0</v>
      </c>
      <c r="D10325" s="56" t="b">
        <v>0</v>
      </c>
      <c r="E10325" s="56">
        <f ca="1">IF(PV[[#This Row],[Business Date]]=Control!$C$6, PV[[#This Row],[Notional Value Local Cur]], -PV[[#This Row],[Notional Value Local Cur]])</f>
        <v>0</v>
      </c>
    </row>
    <row r="10326" spans="1:5" x14ac:dyDescent="0.25">
      <c r="A10326" s="36" t="b">
        <v>0</v>
      </c>
      <c r="B10326" s="56" t="b">
        <v>0</v>
      </c>
      <c r="C10326" s="56" t="b">
        <v>0</v>
      </c>
      <c r="D10326" s="56" t="b">
        <v>0</v>
      </c>
      <c r="E10326" s="56">
        <f ca="1">IF(PV[[#This Row],[Business Date]]=Control!$C$6, PV[[#This Row],[Notional Value Local Cur]], -PV[[#This Row],[Notional Value Local Cur]])</f>
        <v>0</v>
      </c>
    </row>
    <row r="10327" spans="1:5" x14ac:dyDescent="0.25">
      <c r="A10327" s="36" t="b">
        <v>0</v>
      </c>
      <c r="B10327" s="56" t="b">
        <v>0</v>
      </c>
      <c r="C10327" s="56" t="b">
        <v>0</v>
      </c>
      <c r="D10327" s="56" t="b">
        <v>0</v>
      </c>
      <c r="E10327" s="56">
        <f ca="1">IF(PV[[#This Row],[Business Date]]=Control!$C$6, PV[[#This Row],[Notional Value Local Cur]], -PV[[#This Row],[Notional Value Local Cur]])</f>
        <v>0</v>
      </c>
    </row>
    <row r="10328" spans="1:5" x14ac:dyDescent="0.25">
      <c r="A10328" s="36" t="b">
        <v>0</v>
      </c>
      <c r="B10328" s="56" t="b">
        <v>0</v>
      </c>
      <c r="C10328" s="56" t="b">
        <v>0</v>
      </c>
      <c r="D10328" s="56" t="b">
        <v>0</v>
      </c>
      <c r="E10328" s="56">
        <f ca="1">IF(PV[[#This Row],[Business Date]]=Control!$C$6, PV[[#This Row],[Notional Value Local Cur]], -PV[[#This Row],[Notional Value Local Cur]])</f>
        <v>0</v>
      </c>
    </row>
    <row r="10329" spans="1:5" x14ac:dyDescent="0.25">
      <c r="A10329" s="36" t="b">
        <v>0</v>
      </c>
      <c r="B10329" s="56" t="b">
        <v>0</v>
      </c>
      <c r="C10329" s="56" t="b">
        <v>0</v>
      </c>
      <c r="D10329" s="56" t="b">
        <v>0</v>
      </c>
      <c r="E10329" s="56">
        <f ca="1">IF(PV[[#This Row],[Business Date]]=Control!$C$6, PV[[#This Row],[Notional Value Local Cur]], -PV[[#This Row],[Notional Value Local Cur]])</f>
        <v>0</v>
      </c>
    </row>
    <row r="10330" spans="1:5" x14ac:dyDescent="0.25">
      <c r="A10330" s="36" t="b">
        <v>0</v>
      </c>
      <c r="B10330" s="56" t="b">
        <v>0</v>
      </c>
      <c r="C10330" s="56" t="b">
        <v>0</v>
      </c>
      <c r="D10330" s="56" t="b">
        <v>0</v>
      </c>
      <c r="E10330" s="56">
        <f ca="1">IF(PV[[#This Row],[Business Date]]=Control!$C$6, PV[[#This Row],[Notional Value Local Cur]], -PV[[#This Row],[Notional Value Local Cur]])</f>
        <v>0</v>
      </c>
    </row>
    <row r="10331" spans="1:5" x14ac:dyDescent="0.25">
      <c r="A10331" s="36" t="b">
        <v>0</v>
      </c>
      <c r="B10331" s="56" t="b">
        <v>0</v>
      </c>
      <c r="C10331" s="56" t="b">
        <v>0</v>
      </c>
      <c r="D10331" s="56" t="b">
        <v>0</v>
      </c>
      <c r="E10331" s="56">
        <f ca="1">IF(PV[[#This Row],[Business Date]]=Control!$C$6, PV[[#This Row],[Notional Value Local Cur]], -PV[[#This Row],[Notional Value Local Cur]])</f>
        <v>0</v>
      </c>
    </row>
    <row r="10332" spans="1:5" x14ac:dyDescent="0.25">
      <c r="A10332" s="36" t="b">
        <v>0</v>
      </c>
      <c r="B10332" s="56" t="b">
        <v>0</v>
      </c>
      <c r="C10332" s="56" t="b">
        <v>0</v>
      </c>
      <c r="D10332" s="56" t="b">
        <v>0</v>
      </c>
      <c r="E10332" s="56">
        <f ca="1">IF(PV[[#This Row],[Business Date]]=Control!$C$6, PV[[#This Row],[Notional Value Local Cur]], -PV[[#This Row],[Notional Value Local Cur]])</f>
        <v>0</v>
      </c>
    </row>
    <row r="10333" spans="1:5" x14ac:dyDescent="0.25">
      <c r="A10333" s="36" t="b">
        <v>0</v>
      </c>
      <c r="B10333" s="56" t="b">
        <v>0</v>
      </c>
      <c r="C10333" s="56" t="b">
        <v>0</v>
      </c>
      <c r="D10333" s="56" t="b">
        <v>0</v>
      </c>
      <c r="E10333" s="56">
        <f ca="1">IF(PV[[#This Row],[Business Date]]=Control!$C$6, PV[[#This Row],[Notional Value Local Cur]], -PV[[#This Row],[Notional Value Local Cur]])</f>
        <v>0</v>
      </c>
    </row>
    <row r="10334" spans="1:5" x14ac:dyDescent="0.25">
      <c r="A10334" s="36" t="b">
        <v>0</v>
      </c>
      <c r="B10334" s="56" t="b">
        <v>0</v>
      </c>
      <c r="C10334" s="56" t="b">
        <v>0</v>
      </c>
      <c r="D10334" s="56" t="b">
        <v>0</v>
      </c>
      <c r="E10334" s="56">
        <f ca="1">IF(PV[[#This Row],[Business Date]]=Control!$C$6, PV[[#This Row],[Notional Value Local Cur]], -PV[[#This Row],[Notional Value Local Cur]])</f>
        <v>0</v>
      </c>
    </row>
    <row r="10335" spans="1:5" x14ac:dyDescent="0.25">
      <c r="A10335" s="36" t="b">
        <v>0</v>
      </c>
      <c r="B10335" s="56" t="b">
        <v>0</v>
      </c>
      <c r="C10335" s="56" t="b">
        <v>0</v>
      </c>
      <c r="D10335" s="56" t="b">
        <v>0</v>
      </c>
      <c r="E10335" s="56">
        <f ca="1">IF(PV[[#This Row],[Business Date]]=Control!$C$6, PV[[#This Row],[Notional Value Local Cur]], -PV[[#This Row],[Notional Value Local Cur]])</f>
        <v>0</v>
      </c>
    </row>
    <row r="10336" spans="1:5" x14ac:dyDescent="0.25">
      <c r="A10336" s="36" t="b">
        <v>0</v>
      </c>
      <c r="B10336" s="56" t="b">
        <v>0</v>
      </c>
      <c r="C10336" s="56" t="b">
        <v>0</v>
      </c>
      <c r="D10336" s="56" t="b">
        <v>0</v>
      </c>
      <c r="E10336" s="56">
        <f ca="1">IF(PV[[#This Row],[Business Date]]=Control!$C$6, PV[[#This Row],[Notional Value Local Cur]], -PV[[#This Row],[Notional Value Local Cur]])</f>
        <v>0</v>
      </c>
    </row>
    <row r="10337" spans="1:5" x14ac:dyDescent="0.25">
      <c r="A10337" s="36" t="b">
        <v>0</v>
      </c>
      <c r="B10337" s="56" t="b">
        <v>0</v>
      </c>
      <c r="C10337" s="56" t="b">
        <v>0</v>
      </c>
      <c r="D10337" s="56" t="b">
        <v>0</v>
      </c>
      <c r="E10337" s="56">
        <f ca="1">IF(PV[[#This Row],[Business Date]]=Control!$C$6, PV[[#This Row],[Notional Value Local Cur]], -PV[[#This Row],[Notional Value Local Cur]])</f>
        <v>0</v>
      </c>
    </row>
    <row r="10338" spans="1:5" x14ac:dyDescent="0.25">
      <c r="A10338" s="36" t="b">
        <v>0</v>
      </c>
      <c r="B10338" s="56" t="b">
        <v>0</v>
      </c>
      <c r="C10338" s="56" t="b">
        <v>0</v>
      </c>
      <c r="D10338" s="56" t="b">
        <v>0</v>
      </c>
      <c r="E10338" s="56">
        <f ca="1">IF(PV[[#This Row],[Business Date]]=Control!$C$6, PV[[#This Row],[Notional Value Local Cur]], -PV[[#This Row],[Notional Value Local Cur]])</f>
        <v>0</v>
      </c>
    </row>
    <row r="10339" spans="1:5" x14ac:dyDescent="0.25">
      <c r="A10339" s="36" t="b">
        <v>0</v>
      </c>
      <c r="B10339" s="56" t="b">
        <v>0</v>
      </c>
      <c r="C10339" s="56" t="b">
        <v>0</v>
      </c>
      <c r="D10339" s="56" t="b">
        <v>0</v>
      </c>
      <c r="E10339" s="56">
        <f ca="1">IF(PV[[#This Row],[Business Date]]=Control!$C$6, PV[[#This Row],[Notional Value Local Cur]], -PV[[#This Row],[Notional Value Local Cur]])</f>
        <v>0</v>
      </c>
    </row>
    <row r="10340" spans="1:5" x14ac:dyDescent="0.25">
      <c r="A10340" s="36" t="b">
        <v>0</v>
      </c>
      <c r="B10340" s="56" t="b">
        <v>0</v>
      </c>
      <c r="C10340" s="56" t="b">
        <v>0</v>
      </c>
      <c r="D10340" s="56" t="b">
        <v>0</v>
      </c>
      <c r="E10340" s="56">
        <f ca="1">IF(PV[[#This Row],[Business Date]]=Control!$C$6, PV[[#This Row],[Notional Value Local Cur]], -PV[[#This Row],[Notional Value Local Cur]])</f>
        <v>0</v>
      </c>
    </row>
    <row r="10341" spans="1:5" x14ac:dyDescent="0.25">
      <c r="A10341" s="36" t="b">
        <v>0</v>
      </c>
      <c r="B10341" s="56" t="b">
        <v>0</v>
      </c>
      <c r="C10341" s="56" t="b">
        <v>0</v>
      </c>
      <c r="D10341" s="56" t="b">
        <v>0</v>
      </c>
      <c r="E10341" s="56">
        <f ca="1">IF(PV[[#This Row],[Business Date]]=Control!$C$6, PV[[#This Row],[Notional Value Local Cur]], -PV[[#This Row],[Notional Value Local Cur]])</f>
        <v>0</v>
      </c>
    </row>
    <row r="10342" spans="1:5" x14ac:dyDescent="0.25">
      <c r="A10342" s="36" t="b">
        <v>0</v>
      </c>
      <c r="B10342" s="56" t="b">
        <v>0</v>
      </c>
      <c r="C10342" s="56" t="b">
        <v>0</v>
      </c>
      <c r="D10342" s="56" t="b">
        <v>0</v>
      </c>
      <c r="E10342" s="56">
        <f ca="1">IF(PV[[#This Row],[Business Date]]=Control!$C$6, PV[[#This Row],[Notional Value Local Cur]], -PV[[#This Row],[Notional Value Local Cur]])</f>
        <v>0</v>
      </c>
    </row>
    <row r="10343" spans="1:5" x14ac:dyDescent="0.25">
      <c r="A10343" s="36" t="b">
        <v>0</v>
      </c>
      <c r="B10343" s="56" t="b">
        <v>0</v>
      </c>
      <c r="C10343" s="56" t="b">
        <v>0</v>
      </c>
      <c r="D10343" s="56" t="b">
        <v>0</v>
      </c>
      <c r="E10343" s="56">
        <f ca="1">IF(PV[[#This Row],[Business Date]]=Control!$C$6, PV[[#This Row],[Notional Value Local Cur]], -PV[[#This Row],[Notional Value Local Cur]])</f>
        <v>0</v>
      </c>
    </row>
    <row r="10344" spans="1:5" x14ac:dyDescent="0.25">
      <c r="A10344" s="36" t="b">
        <v>0</v>
      </c>
      <c r="B10344" s="56" t="b">
        <v>0</v>
      </c>
      <c r="C10344" s="56" t="b">
        <v>0</v>
      </c>
      <c r="D10344" s="56" t="b">
        <v>0</v>
      </c>
      <c r="E10344" s="56">
        <f ca="1">IF(PV[[#This Row],[Business Date]]=Control!$C$6, PV[[#This Row],[Notional Value Local Cur]], -PV[[#This Row],[Notional Value Local Cur]])</f>
        <v>0</v>
      </c>
    </row>
    <row r="10345" spans="1:5" x14ac:dyDescent="0.25">
      <c r="A10345" s="36" t="b">
        <v>0</v>
      </c>
      <c r="B10345" s="56" t="b">
        <v>0</v>
      </c>
      <c r="C10345" s="56" t="b">
        <v>0</v>
      </c>
      <c r="D10345" s="56" t="b">
        <v>0</v>
      </c>
      <c r="E10345" s="56">
        <f ca="1">IF(PV[[#This Row],[Business Date]]=Control!$C$6, PV[[#This Row],[Notional Value Local Cur]], -PV[[#This Row],[Notional Value Local Cur]])</f>
        <v>0</v>
      </c>
    </row>
    <row r="10346" spans="1:5" x14ac:dyDescent="0.25">
      <c r="A10346" s="36" t="b">
        <v>0</v>
      </c>
      <c r="B10346" s="56" t="b">
        <v>0</v>
      </c>
      <c r="C10346" s="56" t="b">
        <v>0</v>
      </c>
      <c r="D10346" s="56" t="b">
        <v>0</v>
      </c>
      <c r="E10346" s="56">
        <f ca="1">IF(PV[[#This Row],[Business Date]]=Control!$C$6, PV[[#This Row],[Notional Value Local Cur]], -PV[[#This Row],[Notional Value Local Cur]])</f>
        <v>0</v>
      </c>
    </row>
    <row r="10347" spans="1:5" x14ac:dyDescent="0.25">
      <c r="A10347" s="36" t="b">
        <v>0</v>
      </c>
      <c r="B10347" s="56" t="b">
        <v>0</v>
      </c>
      <c r="C10347" s="56" t="b">
        <v>0</v>
      </c>
      <c r="D10347" s="56" t="b">
        <v>0</v>
      </c>
      <c r="E10347" s="56">
        <f ca="1">IF(PV[[#This Row],[Business Date]]=Control!$C$6, PV[[#This Row],[Notional Value Local Cur]], -PV[[#This Row],[Notional Value Local Cur]])</f>
        <v>0</v>
      </c>
    </row>
    <row r="10348" spans="1:5" x14ac:dyDescent="0.25">
      <c r="A10348" s="36" t="b">
        <v>0</v>
      </c>
      <c r="B10348" s="56" t="b">
        <v>0</v>
      </c>
      <c r="C10348" s="56" t="b">
        <v>0</v>
      </c>
      <c r="D10348" s="56" t="b">
        <v>0</v>
      </c>
      <c r="E10348" s="56">
        <f ca="1">IF(PV[[#This Row],[Business Date]]=Control!$C$6, PV[[#This Row],[Notional Value Local Cur]], -PV[[#This Row],[Notional Value Local Cur]])</f>
        <v>0</v>
      </c>
    </row>
    <row r="10349" spans="1:5" x14ac:dyDescent="0.25">
      <c r="A10349" s="36" t="b">
        <v>0</v>
      </c>
      <c r="B10349" s="56" t="b">
        <v>0</v>
      </c>
      <c r="C10349" s="56" t="b">
        <v>0</v>
      </c>
      <c r="D10349" s="56" t="b">
        <v>0</v>
      </c>
      <c r="E10349" s="56">
        <f ca="1">IF(PV[[#This Row],[Business Date]]=Control!$C$6, PV[[#This Row],[Notional Value Local Cur]], -PV[[#This Row],[Notional Value Local Cur]])</f>
        <v>0</v>
      </c>
    </row>
    <row r="10350" spans="1:5" x14ac:dyDescent="0.25">
      <c r="A10350" s="36" t="b">
        <v>0</v>
      </c>
      <c r="B10350" s="56" t="b">
        <v>0</v>
      </c>
      <c r="C10350" s="56" t="b">
        <v>0</v>
      </c>
      <c r="D10350" s="56" t="b">
        <v>0</v>
      </c>
      <c r="E10350" s="56">
        <f ca="1">IF(PV[[#This Row],[Business Date]]=Control!$C$6, PV[[#This Row],[Notional Value Local Cur]], -PV[[#This Row],[Notional Value Local Cur]])</f>
        <v>0</v>
      </c>
    </row>
    <row r="10351" spans="1:5" x14ac:dyDescent="0.25">
      <c r="A10351" s="36" t="b">
        <v>0</v>
      </c>
      <c r="B10351" s="56" t="b">
        <v>0</v>
      </c>
      <c r="C10351" s="56" t="b">
        <v>0</v>
      </c>
      <c r="D10351" s="56" t="b">
        <v>0</v>
      </c>
      <c r="E10351" s="56">
        <f ca="1">IF(PV[[#This Row],[Business Date]]=Control!$C$6, PV[[#This Row],[Notional Value Local Cur]], -PV[[#This Row],[Notional Value Local Cur]])</f>
        <v>0</v>
      </c>
    </row>
    <row r="10352" spans="1:5" x14ac:dyDescent="0.25">
      <c r="A10352" s="36" t="b">
        <v>0</v>
      </c>
      <c r="B10352" s="56" t="b">
        <v>0</v>
      </c>
      <c r="C10352" s="56" t="b">
        <v>0</v>
      </c>
      <c r="D10352" s="56" t="b">
        <v>0</v>
      </c>
      <c r="E10352" s="56">
        <f ca="1">IF(PV[[#This Row],[Business Date]]=Control!$C$6, PV[[#This Row],[Notional Value Local Cur]], -PV[[#This Row],[Notional Value Local Cur]])</f>
        <v>0</v>
      </c>
    </row>
    <row r="10353" spans="1:5" x14ac:dyDescent="0.25">
      <c r="A10353" s="36" t="b">
        <v>0</v>
      </c>
      <c r="B10353" s="56" t="b">
        <v>0</v>
      </c>
      <c r="C10353" s="56" t="b">
        <v>0</v>
      </c>
      <c r="D10353" s="56" t="b">
        <v>0</v>
      </c>
      <c r="E10353" s="56">
        <f ca="1">IF(PV[[#This Row],[Business Date]]=Control!$C$6, PV[[#This Row],[Notional Value Local Cur]], -PV[[#This Row],[Notional Value Local Cur]])</f>
        <v>0</v>
      </c>
    </row>
    <row r="10354" spans="1:5" x14ac:dyDescent="0.25">
      <c r="A10354" s="36" t="b">
        <v>0</v>
      </c>
      <c r="B10354" s="56" t="b">
        <v>0</v>
      </c>
      <c r="C10354" s="56" t="b">
        <v>0</v>
      </c>
      <c r="D10354" s="56" t="b">
        <v>0</v>
      </c>
      <c r="E10354" s="56">
        <f ca="1">IF(PV[[#This Row],[Business Date]]=Control!$C$6, PV[[#This Row],[Notional Value Local Cur]], -PV[[#This Row],[Notional Value Local Cur]])</f>
        <v>0</v>
      </c>
    </row>
    <row r="10355" spans="1:5" x14ac:dyDescent="0.25">
      <c r="A10355" s="36" t="b">
        <v>0</v>
      </c>
      <c r="B10355" s="56" t="b">
        <v>0</v>
      </c>
      <c r="C10355" s="56" t="b">
        <v>0</v>
      </c>
      <c r="D10355" s="56" t="b">
        <v>0</v>
      </c>
      <c r="E10355" s="56">
        <f ca="1">IF(PV[[#This Row],[Business Date]]=Control!$C$6, PV[[#This Row],[Notional Value Local Cur]], -PV[[#This Row],[Notional Value Local Cur]])</f>
        <v>0</v>
      </c>
    </row>
    <row r="10356" spans="1:5" x14ac:dyDescent="0.25">
      <c r="A10356" s="36" t="b">
        <v>0</v>
      </c>
      <c r="B10356" s="56" t="b">
        <v>0</v>
      </c>
      <c r="C10356" s="56" t="b">
        <v>0</v>
      </c>
      <c r="D10356" s="56" t="b">
        <v>0</v>
      </c>
      <c r="E10356" s="56">
        <f ca="1">IF(PV[[#This Row],[Business Date]]=Control!$C$6, PV[[#This Row],[Notional Value Local Cur]], -PV[[#This Row],[Notional Value Local Cur]])</f>
        <v>0</v>
      </c>
    </row>
    <row r="10357" spans="1:5" x14ac:dyDescent="0.25">
      <c r="A10357" s="36" t="b">
        <v>0</v>
      </c>
      <c r="B10357" s="56" t="b">
        <v>0</v>
      </c>
      <c r="C10357" s="56" t="b">
        <v>0</v>
      </c>
      <c r="D10357" s="56" t="b">
        <v>0</v>
      </c>
      <c r="E10357" s="56">
        <f ca="1">IF(PV[[#This Row],[Business Date]]=Control!$C$6, PV[[#This Row],[Notional Value Local Cur]], -PV[[#This Row],[Notional Value Local Cur]])</f>
        <v>0</v>
      </c>
    </row>
    <row r="10358" spans="1:5" x14ac:dyDescent="0.25">
      <c r="A10358" s="36" t="b">
        <v>0</v>
      </c>
      <c r="B10358" s="56" t="b">
        <v>0</v>
      </c>
      <c r="C10358" s="56" t="b">
        <v>0</v>
      </c>
      <c r="D10358" s="56" t="b">
        <v>0</v>
      </c>
      <c r="E10358" s="56">
        <f ca="1">IF(PV[[#This Row],[Business Date]]=Control!$C$6, PV[[#This Row],[Notional Value Local Cur]], -PV[[#This Row],[Notional Value Local Cur]])</f>
        <v>0</v>
      </c>
    </row>
    <row r="10359" spans="1:5" x14ac:dyDescent="0.25">
      <c r="A10359" s="36" t="b">
        <v>0</v>
      </c>
      <c r="B10359" s="56" t="b">
        <v>0</v>
      </c>
      <c r="C10359" s="56" t="b">
        <v>0</v>
      </c>
      <c r="D10359" s="56" t="b">
        <v>0</v>
      </c>
      <c r="E10359" s="56">
        <f ca="1">IF(PV[[#This Row],[Business Date]]=Control!$C$6, PV[[#This Row],[Notional Value Local Cur]], -PV[[#This Row],[Notional Value Local Cur]])</f>
        <v>0</v>
      </c>
    </row>
    <row r="10360" spans="1:5" x14ac:dyDescent="0.25">
      <c r="A10360" s="36" t="b">
        <v>0</v>
      </c>
      <c r="B10360" s="56" t="b">
        <v>0</v>
      </c>
      <c r="C10360" s="56" t="b">
        <v>0</v>
      </c>
      <c r="D10360" s="56" t="b">
        <v>0</v>
      </c>
      <c r="E10360" s="56">
        <f ca="1">IF(PV[[#This Row],[Business Date]]=Control!$C$6, PV[[#This Row],[Notional Value Local Cur]], -PV[[#This Row],[Notional Value Local Cur]])</f>
        <v>0</v>
      </c>
    </row>
    <row r="10361" spans="1:5" x14ac:dyDescent="0.25">
      <c r="A10361" s="36" t="b">
        <v>0</v>
      </c>
      <c r="B10361" s="56" t="b">
        <v>0</v>
      </c>
      <c r="C10361" s="56" t="b">
        <v>0</v>
      </c>
      <c r="D10361" s="56" t="b">
        <v>0</v>
      </c>
      <c r="E10361" s="56">
        <f ca="1">IF(PV[[#This Row],[Business Date]]=Control!$C$6, PV[[#This Row],[Notional Value Local Cur]], -PV[[#This Row],[Notional Value Local Cur]])</f>
        <v>0</v>
      </c>
    </row>
    <row r="10362" spans="1:5" x14ac:dyDescent="0.25">
      <c r="A10362" s="36" t="b">
        <v>0</v>
      </c>
      <c r="B10362" s="56" t="b">
        <v>0</v>
      </c>
      <c r="C10362" s="56" t="b">
        <v>0</v>
      </c>
      <c r="D10362" s="56" t="b">
        <v>0</v>
      </c>
      <c r="E10362" s="56">
        <f ca="1">IF(PV[[#This Row],[Business Date]]=Control!$C$6, PV[[#This Row],[Notional Value Local Cur]], -PV[[#This Row],[Notional Value Local Cur]])</f>
        <v>0</v>
      </c>
    </row>
    <row r="10363" spans="1:5" x14ac:dyDescent="0.25">
      <c r="A10363" s="36" t="b">
        <v>0</v>
      </c>
      <c r="B10363" s="56" t="b">
        <v>0</v>
      </c>
      <c r="C10363" s="56" t="b">
        <v>0</v>
      </c>
      <c r="D10363" s="56" t="b">
        <v>0</v>
      </c>
      <c r="E10363" s="56">
        <f ca="1">IF(PV[[#This Row],[Business Date]]=Control!$C$6, PV[[#This Row],[Notional Value Local Cur]], -PV[[#This Row],[Notional Value Local Cur]])</f>
        <v>0</v>
      </c>
    </row>
    <row r="10364" spans="1:5" x14ac:dyDescent="0.25">
      <c r="A10364" s="36" t="b">
        <v>0</v>
      </c>
      <c r="B10364" s="56" t="b">
        <v>0</v>
      </c>
      <c r="C10364" s="56" t="b">
        <v>0</v>
      </c>
      <c r="D10364" s="56" t="b">
        <v>0</v>
      </c>
      <c r="E10364" s="56">
        <f ca="1">IF(PV[[#This Row],[Business Date]]=Control!$C$6, PV[[#This Row],[Notional Value Local Cur]], -PV[[#This Row],[Notional Value Local Cur]])</f>
        <v>0</v>
      </c>
    </row>
    <row r="10365" spans="1:5" x14ac:dyDescent="0.25">
      <c r="A10365" s="36" t="b">
        <v>0</v>
      </c>
      <c r="B10365" s="56" t="b">
        <v>0</v>
      </c>
      <c r="C10365" s="56" t="b">
        <v>0</v>
      </c>
      <c r="D10365" s="56" t="b">
        <v>0</v>
      </c>
      <c r="E10365" s="56">
        <f ca="1">IF(PV[[#This Row],[Business Date]]=Control!$C$6, PV[[#This Row],[Notional Value Local Cur]], -PV[[#This Row],[Notional Value Local Cur]])</f>
        <v>0</v>
      </c>
    </row>
    <row r="10366" spans="1:5" x14ac:dyDescent="0.25">
      <c r="A10366" s="36" t="b">
        <v>0</v>
      </c>
      <c r="B10366" s="56" t="b">
        <v>0</v>
      </c>
      <c r="C10366" s="56" t="b">
        <v>0</v>
      </c>
      <c r="D10366" s="56" t="b">
        <v>0</v>
      </c>
      <c r="E10366" s="56">
        <f ca="1">IF(PV[[#This Row],[Business Date]]=Control!$C$6, PV[[#This Row],[Notional Value Local Cur]], -PV[[#This Row],[Notional Value Local Cur]])</f>
        <v>0</v>
      </c>
    </row>
    <row r="10367" spans="1:5" x14ac:dyDescent="0.25">
      <c r="A10367" s="36" t="b">
        <v>0</v>
      </c>
      <c r="B10367" s="56" t="b">
        <v>0</v>
      </c>
      <c r="C10367" s="56" t="b">
        <v>0</v>
      </c>
      <c r="D10367" s="56" t="b">
        <v>0</v>
      </c>
      <c r="E10367" s="56">
        <f ca="1">IF(PV[[#This Row],[Business Date]]=Control!$C$6, PV[[#This Row],[Notional Value Local Cur]], -PV[[#This Row],[Notional Value Local Cur]])</f>
        <v>0</v>
      </c>
    </row>
    <row r="10368" spans="1:5" x14ac:dyDescent="0.25">
      <c r="A10368" s="36" t="b">
        <v>0</v>
      </c>
      <c r="B10368" s="56" t="b">
        <v>0</v>
      </c>
      <c r="C10368" s="56" t="b">
        <v>0</v>
      </c>
      <c r="D10368" s="56" t="b">
        <v>0</v>
      </c>
      <c r="E10368" s="56">
        <f ca="1">IF(PV[[#This Row],[Business Date]]=Control!$C$6, PV[[#This Row],[Notional Value Local Cur]], -PV[[#This Row],[Notional Value Local Cur]])</f>
        <v>0</v>
      </c>
    </row>
    <row r="10369" spans="1:5" x14ac:dyDescent="0.25">
      <c r="A10369" s="36" t="b">
        <v>0</v>
      </c>
      <c r="B10369" s="56" t="b">
        <v>0</v>
      </c>
      <c r="C10369" s="56" t="b">
        <v>0</v>
      </c>
      <c r="D10369" s="56" t="b">
        <v>0</v>
      </c>
      <c r="E10369" s="56">
        <f ca="1">IF(PV[[#This Row],[Business Date]]=Control!$C$6, PV[[#This Row],[Notional Value Local Cur]], -PV[[#This Row],[Notional Value Local Cur]])</f>
        <v>0</v>
      </c>
    </row>
    <row r="10370" spans="1:5" x14ac:dyDescent="0.25">
      <c r="A10370" s="36" t="b">
        <v>0</v>
      </c>
      <c r="B10370" s="56" t="b">
        <v>0</v>
      </c>
      <c r="C10370" s="56" t="b">
        <v>0</v>
      </c>
      <c r="D10370" s="56" t="b">
        <v>0</v>
      </c>
      <c r="E10370" s="56">
        <f ca="1">IF(PV[[#This Row],[Business Date]]=Control!$C$6, PV[[#This Row],[Notional Value Local Cur]], -PV[[#This Row],[Notional Value Local Cur]])</f>
        <v>0</v>
      </c>
    </row>
    <row r="10371" spans="1:5" x14ac:dyDescent="0.25">
      <c r="A10371" s="36" t="b">
        <v>0</v>
      </c>
      <c r="B10371" s="56" t="b">
        <v>0</v>
      </c>
      <c r="C10371" s="56" t="b">
        <v>0</v>
      </c>
      <c r="D10371" s="56" t="b">
        <v>0</v>
      </c>
      <c r="E10371" s="56">
        <f ca="1">IF(PV[[#This Row],[Business Date]]=Control!$C$6, PV[[#This Row],[Notional Value Local Cur]], -PV[[#This Row],[Notional Value Local Cur]])</f>
        <v>0</v>
      </c>
    </row>
    <row r="10372" spans="1:5" x14ac:dyDescent="0.25">
      <c r="A10372" s="36" t="b">
        <v>0</v>
      </c>
      <c r="B10372" s="56" t="b">
        <v>0</v>
      </c>
      <c r="C10372" s="56" t="b">
        <v>0</v>
      </c>
      <c r="D10372" s="56" t="b">
        <v>0</v>
      </c>
      <c r="E10372" s="56">
        <f ca="1">IF(PV[[#This Row],[Business Date]]=Control!$C$6, PV[[#This Row],[Notional Value Local Cur]], -PV[[#This Row],[Notional Value Local Cur]])</f>
        <v>0</v>
      </c>
    </row>
    <row r="10373" spans="1:5" x14ac:dyDescent="0.25">
      <c r="A10373" s="36" t="b">
        <v>0</v>
      </c>
      <c r="B10373" s="56" t="b">
        <v>0</v>
      </c>
      <c r="C10373" s="56" t="b">
        <v>0</v>
      </c>
      <c r="D10373" s="56" t="b">
        <v>0</v>
      </c>
      <c r="E10373" s="56">
        <f ca="1">IF(PV[[#This Row],[Business Date]]=Control!$C$6, PV[[#This Row],[Notional Value Local Cur]], -PV[[#This Row],[Notional Value Local Cur]])</f>
        <v>0</v>
      </c>
    </row>
    <row r="10374" spans="1:5" x14ac:dyDescent="0.25">
      <c r="A10374" s="36" t="b">
        <v>0</v>
      </c>
      <c r="B10374" s="56" t="b">
        <v>0</v>
      </c>
      <c r="C10374" s="56" t="b">
        <v>0</v>
      </c>
      <c r="D10374" s="56" t="b">
        <v>0</v>
      </c>
      <c r="E10374" s="56">
        <f ca="1">IF(PV[[#This Row],[Business Date]]=Control!$C$6, PV[[#This Row],[Notional Value Local Cur]], -PV[[#This Row],[Notional Value Local Cur]])</f>
        <v>0</v>
      </c>
    </row>
    <row r="10375" spans="1:5" x14ac:dyDescent="0.25">
      <c r="A10375" s="36" t="b">
        <v>0</v>
      </c>
      <c r="B10375" s="56" t="b">
        <v>0</v>
      </c>
      <c r="C10375" s="56" t="b">
        <v>0</v>
      </c>
      <c r="D10375" s="56" t="b">
        <v>0</v>
      </c>
      <c r="E10375" s="56">
        <f ca="1">IF(PV[[#This Row],[Business Date]]=Control!$C$6, PV[[#This Row],[Notional Value Local Cur]], -PV[[#This Row],[Notional Value Local Cur]])</f>
        <v>0</v>
      </c>
    </row>
    <row r="10376" spans="1:5" x14ac:dyDescent="0.25">
      <c r="A10376" s="36" t="b">
        <v>0</v>
      </c>
      <c r="B10376" s="56" t="b">
        <v>0</v>
      </c>
      <c r="C10376" s="56" t="b">
        <v>0</v>
      </c>
      <c r="D10376" s="56" t="b">
        <v>0</v>
      </c>
      <c r="E10376" s="56">
        <f ca="1">IF(PV[[#This Row],[Business Date]]=Control!$C$6, PV[[#This Row],[Notional Value Local Cur]], -PV[[#This Row],[Notional Value Local Cur]])</f>
        <v>0</v>
      </c>
    </row>
    <row r="10377" spans="1:5" x14ac:dyDescent="0.25">
      <c r="A10377" s="36" t="b">
        <v>0</v>
      </c>
      <c r="B10377" s="56" t="b">
        <v>0</v>
      </c>
      <c r="C10377" s="56" t="b">
        <v>0</v>
      </c>
      <c r="D10377" s="56" t="b">
        <v>0</v>
      </c>
      <c r="E10377" s="56">
        <f ca="1">IF(PV[[#This Row],[Business Date]]=Control!$C$6, PV[[#This Row],[Notional Value Local Cur]], -PV[[#This Row],[Notional Value Local Cur]])</f>
        <v>0</v>
      </c>
    </row>
    <row r="10378" spans="1:5" x14ac:dyDescent="0.25">
      <c r="A10378" s="36" t="b">
        <v>0</v>
      </c>
      <c r="B10378" s="56" t="b">
        <v>0</v>
      </c>
      <c r="C10378" s="56" t="b">
        <v>0</v>
      </c>
      <c r="D10378" s="56" t="b">
        <v>0</v>
      </c>
      <c r="E10378" s="56">
        <f ca="1">IF(PV[[#This Row],[Business Date]]=Control!$C$6, PV[[#This Row],[Notional Value Local Cur]], -PV[[#This Row],[Notional Value Local Cur]])</f>
        <v>0</v>
      </c>
    </row>
    <row r="10379" spans="1:5" x14ac:dyDescent="0.25">
      <c r="A10379" s="36" t="b">
        <v>0</v>
      </c>
      <c r="B10379" s="56" t="b">
        <v>0</v>
      </c>
      <c r="C10379" s="56" t="b">
        <v>0</v>
      </c>
      <c r="D10379" s="56" t="b">
        <v>0</v>
      </c>
      <c r="E10379" s="56">
        <f ca="1">IF(PV[[#This Row],[Business Date]]=Control!$C$6, PV[[#This Row],[Notional Value Local Cur]], -PV[[#This Row],[Notional Value Local Cur]])</f>
        <v>0</v>
      </c>
    </row>
    <row r="10380" spans="1:5" x14ac:dyDescent="0.25">
      <c r="A10380" s="36" t="b">
        <v>0</v>
      </c>
      <c r="B10380" s="56" t="b">
        <v>0</v>
      </c>
      <c r="C10380" s="56" t="b">
        <v>0</v>
      </c>
      <c r="D10380" s="56" t="b">
        <v>0</v>
      </c>
      <c r="E10380" s="56">
        <f ca="1">IF(PV[[#This Row],[Business Date]]=Control!$C$6, PV[[#This Row],[Notional Value Local Cur]], -PV[[#This Row],[Notional Value Local Cur]])</f>
        <v>0</v>
      </c>
    </row>
    <row r="10381" spans="1:5" x14ac:dyDescent="0.25">
      <c r="A10381" s="36" t="b">
        <v>0</v>
      </c>
      <c r="B10381" s="56" t="b">
        <v>0</v>
      </c>
      <c r="C10381" s="56" t="b">
        <v>0</v>
      </c>
      <c r="D10381" s="56" t="b">
        <v>0</v>
      </c>
      <c r="E10381" s="56">
        <f ca="1">IF(PV[[#This Row],[Business Date]]=Control!$C$6, PV[[#This Row],[Notional Value Local Cur]], -PV[[#This Row],[Notional Value Local Cur]])</f>
        <v>0</v>
      </c>
    </row>
    <row r="10382" spans="1:5" x14ac:dyDescent="0.25">
      <c r="A10382" s="36" t="b">
        <v>0</v>
      </c>
      <c r="B10382" s="56" t="b">
        <v>0</v>
      </c>
      <c r="C10382" s="56" t="b">
        <v>0</v>
      </c>
      <c r="D10382" s="56" t="b">
        <v>0</v>
      </c>
      <c r="E10382" s="56">
        <f ca="1">IF(PV[[#This Row],[Business Date]]=Control!$C$6, PV[[#This Row],[Notional Value Local Cur]], -PV[[#This Row],[Notional Value Local Cur]])</f>
        <v>0</v>
      </c>
    </row>
    <row r="10383" spans="1:5" x14ac:dyDescent="0.25">
      <c r="A10383" s="36" t="b">
        <v>0</v>
      </c>
      <c r="B10383" s="56" t="b">
        <v>0</v>
      </c>
      <c r="C10383" s="56" t="b">
        <v>0</v>
      </c>
      <c r="D10383" s="56" t="b">
        <v>0</v>
      </c>
      <c r="E10383" s="56">
        <f ca="1">IF(PV[[#This Row],[Business Date]]=Control!$C$6, PV[[#This Row],[Notional Value Local Cur]], -PV[[#This Row],[Notional Value Local Cur]])</f>
        <v>0</v>
      </c>
    </row>
    <row r="10384" spans="1:5" x14ac:dyDescent="0.25">
      <c r="A10384" s="36" t="b">
        <v>0</v>
      </c>
      <c r="B10384" s="56" t="b">
        <v>0</v>
      </c>
      <c r="C10384" s="56" t="b">
        <v>0</v>
      </c>
      <c r="D10384" s="56" t="b">
        <v>0</v>
      </c>
      <c r="E10384" s="56">
        <f ca="1">IF(PV[[#This Row],[Business Date]]=Control!$C$6, PV[[#This Row],[Notional Value Local Cur]], -PV[[#This Row],[Notional Value Local Cur]])</f>
        <v>0</v>
      </c>
    </row>
    <row r="10385" spans="1:5" x14ac:dyDescent="0.25">
      <c r="A10385" s="36" t="b">
        <v>0</v>
      </c>
      <c r="B10385" s="56" t="b">
        <v>0</v>
      </c>
      <c r="C10385" s="56" t="b">
        <v>0</v>
      </c>
      <c r="D10385" s="56" t="b">
        <v>0</v>
      </c>
      <c r="E10385" s="56">
        <f ca="1">IF(PV[[#This Row],[Business Date]]=Control!$C$6, PV[[#This Row],[Notional Value Local Cur]], -PV[[#This Row],[Notional Value Local Cur]])</f>
        <v>0</v>
      </c>
    </row>
    <row r="10386" spans="1:5" x14ac:dyDescent="0.25">
      <c r="A10386" s="36" t="b">
        <v>0</v>
      </c>
      <c r="B10386" s="56" t="b">
        <v>0</v>
      </c>
      <c r="C10386" s="56" t="b">
        <v>0</v>
      </c>
      <c r="D10386" s="56" t="b">
        <v>0</v>
      </c>
      <c r="E10386" s="56">
        <f ca="1">IF(PV[[#This Row],[Business Date]]=Control!$C$6, PV[[#This Row],[Notional Value Local Cur]], -PV[[#This Row],[Notional Value Local Cur]])</f>
        <v>0</v>
      </c>
    </row>
    <row r="10387" spans="1:5" x14ac:dyDescent="0.25">
      <c r="A10387" s="36" t="b">
        <v>0</v>
      </c>
      <c r="B10387" s="56" t="b">
        <v>0</v>
      </c>
      <c r="C10387" s="56" t="b">
        <v>0</v>
      </c>
      <c r="D10387" s="56" t="b">
        <v>0</v>
      </c>
      <c r="E10387" s="56">
        <f ca="1">IF(PV[[#This Row],[Business Date]]=Control!$C$6, PV[[#This Row],[Notional Value Local Cur]], -PV[[#This Row],[Notional Value Local Cur]])</f>
        <v>0</v>
      </c>
    </row>
    <row r="10388" spans="1:5" x14ac:dyDescent="0.25">
      <c r="A10388" s="36" t="b">
        <v>0</v>
      </c>
      <c r="B10388" s="56" t="b">
        <v>0</v>
      </c>
      <c r="C10388" s="56" t="b">
        <v>0</v>
      </c>
      <c r="D10388" s="56" t="b">
        <v>0</v>
      </c>
      <c r="E10388" s="56">
        <f ca="1">IF(PV[[#This Row],[Business Date]]=Control!$C$6, PV[[#This Row],[Notional Value Local Cur]], -PV[[#This Row],[Notional Value Local Cur]])</f>
        <v>0</v>
      </c>
    </row>
    <row r="10389" spans="1:5" x14ac:dyDescent="0.25">
      <c r="A10389" s="36" t="b">
        <v>0</v>
      </c>
      <c r="B10389" s="56" t="b">
        <v>0</v>
      </c>
      <c r="C10389" s="56" t="b">
        <v>0</v>
      </c>
      <c r="D10389" s="56" t="b">
        <v>0</v>
      </c>
      <c r="E10389" s="56">
        <f ca="1">IF(PV[[#This Row],[Business Date]]=Control!$C$6, PV[[#This Row],[Notional Value Local Cur]], -PV[[#This Row],[Notional Value Local Cur]])</f>
        <v>0</v>
      </c>
    </row>
    <row r="10390" spans="1:5" x14ac:dyDescent="0.25">
      <c r="A10390" s="36" t="b">
        <v>0</v>
      </c>
      <c r="B10390" s="56" t="b">
        <v>0</v>
      </c>
      <c r="C10390" s="56" t="b">
        <v>0</v>
      </c>
      <c r="D10390" s="56" t="b">
        <v>0</v>
      </c>
      <c r="E10390" s="56">
        <f ca="1">IF(PV[[#This Row],[Business Date]]=Control!$C$6, PV[[#This Row],[Notional Value Local Cur]], -PV[[#This Row],[Notional Value Local Cur]])</f>
        <v>0</v>
      </c>
    </row>
    <row r="10391" spans="1:5" x14ac:dyDescent="0.25">
      <c r="A10391" s="36" t="b">
        <v>0</v>
      </c>
      <c r="B10391" s="56" t="b">
        <v>0</v>
      </c>
      <c r="C10391" s="56" t="b">
        <v>0</v>
      </c>
      <c r="D10391" s="56" t="b">
        <v>0</v>
      </c>
      <c r="E10391" s="56">
        <f ca="1">IF(PV[[#This Row],[Business Date]]=Control!$C$6, PV[[#This Row],[Notional Value Local Cur]], -PV[[#This Row],[Notional Value Local Cur]])</f>
        <v>0</v>
      </c>
    </row>
    <row r="10392" spans="1:5" x14ac:dyDescent="0.25">
      <c r="A10392" s="36" t="b">
        <v>0</v>
      </c>
      <c r="B10392" s="56" t="b">
        <v>0</v>
      </c>
      <c r="C10392" s="56" t="b">
        <v>0</v>
      </c>
      <c r="D10392" s="56" t="b">
        <v>0</v>
      </c>
      <c r="E10392" s="56">
        <f ca="1">IF(PV[[#This Row],[Business Date]]=Control!$C$6, PV[[#This Row],[Notional Value Local Cur]], -PV[[#This Row],[Notional Value Local Cur]])</f>
        <v>0</v>
      </c>
    </row>
    <row r="10393" spans="1:5" x14ac:dyDescent="0.25">
      <c r="A10393" s="36" t="b">
        <v>0</v>
      </c>
      <c r="B10393" s="56" t="b">
        <v>0</v>
      </c>
      <c r="C10393" s="56" t="b">
        <v>0</v>
      </c>
      <c r="D10393" s="56" t="b">
        <v>0</v>
      </c>
      <c r="E10393" s="56">
        <f ca="1">IF(PV[[#This Row],[Business Date]]=Control!$C$6, PV[[#This Row],[Notional Value Local Cur]], -PV[[#This Row],[Notional Value Local Cur]])</f>
        <v>0</v>
      </c>
    </row>
    <row r="10394" spans="1:5" x14ac:dyDescent="0.25">
      <c r="A10394" s="36" t="b">
        <v>0</v>
      </c>
      <c r="B10394" s="56" t="b">
        <v>0</v>
      </c>
      <c r="C10394" s="56" t="b">
        <v>0</v>
      </c>
      <c r="D10394" s="56" t="b">
        <v>0</v>
      </c>
      <c r="E10394" s="56">
        <f ca="1">IF(PV[[#This Row],[Business Date]]=Control!$C$6, PV[[#This Row],[Notional Value Local Cur]], -PV[[#This Row],[Notional Value Local Cur]])</f>
        <v>0</v>
      </c>
    </row>
    <row r="10395" spans="1:5" x14ac:dyDescent="0.25">
      <c r="A10395" s="36" t="b">
        <v>0</v>
      </c>
      <c r="B10395" s="56" t="b">
        <v>0</v>
      </c>
      <c r="C10395" s="56" t="b">
        <v>0</v>
      </c>
      <c r="D10395" s="56" t="b">
        <v>0</v>
      </c>
      <c r="E10395" s="56">
        <f ca="1">IF(PV[[#This Row],[Business Date]]=Control!$C$6, PV[[#This Row],[Notional Value Local Cur]], -PV[[#This Row],[Notional Value Local Cur]])</f>
        <v>0</v>
      </c>
    </row>
    <row r="10396" spans="1:5" x14ac:dyDescent="0.25">
      <c r="A10396" s="36" t="b">
        <v>0</v>
      </c>
      <c r="B10396" s="56" t="b">
        <v>0</v>
      </c>
      <c r="C10396" s="56" t="b">
        <v>0</v>
      </c>
      <c r="D10396" s="56" t="b">
        <v>0</v>
      </c>
      <c r="E10396" s="56">
        <f ca="1">IF(PV[[#This Row],[Business Date]]=Control!$C$6, PV[[#This Row],[Notional Value Local Cur]], -PV[[#This Row],[Notional Value Local Cur]])</f>
        <v>0</v>
      </c>
    </row>
    <row r="10397" spans="1:5" x14ac:dyDescent="0.25">
      <c r="A10397" s="36" t="b">
        <v>0</v>
      </c>
      <c r="B10397" s="56" t="b">
        <v>0</v>
      </c>
      <c r="C10397" s="56" t="b">
        <v>0</v>
      </c>
      <c r="D10397" s="56" t="b">
        <v>0</v>
      </c>
      <c r="E10397" s="56">
        <f ca="1">IF(PV[[#This Row],[Business Date]]=Control!$C$6, PV[[#This Row],[Notional Value Local Cur]], -PV[[#This Row],[Notional Value Local Cur]])</f>
        <v>0</v>
      </c>
    </row>
    <row r="10398" spans="1:5" x14ac:dyDescent="0.25">
      <c r="A10398" s="36" t="b">
        <v>0</v>
      </c>
      <c r="B10398" s="56" t="b">
        <v>0</v>
      </c>
      <c r="C10398" s="56" t="b">
        <v>0</v>
      </c>
      <c r="D10398" s="56" t="b">
        <v>0</v>
      </c>
      <c r="E10398" s="56">
        <f ca="1">IF(PV[[#This Row],[Business Date]]=Control!$C$6, PV[[#This Row],[Notional Value Local Cur]], -PV[[#This Row],[Notional Value Local Cur]])</f>
        <v>0</v>
      </c>
    </row>
    <row r="10399" spans="1:5" x14ac:dyDescent="0.25">
      <c r="A10399" s="36" t="b">
        <v>0</v>
      </c>
      <c r="B10399" s="56" t="b">
        <v>0</v>
      </c>
      <c r="C10399" s="56" t="b">
        <v>0</v>
      </c>
      <c r="D10399" s="56" t="b">
        <v>0</v>
      </c>
      <c r="E10399" s="56">
        <f ca="1">IF(PV[[#This Row],[Business Date]]=Control!$C$6, PV[[#This Row],[Notional Value Local Cur]], -PV[[#This Row],[Notional Value Local Cur]])</f>
        <v>0</v>
      </c>
    </row>
    <row r="10400" spans="1:5" x14ac:dyDescent="0.25">
      <c r="A10400" s="36" t="b">
        <v>0</v>
      </c>
      <c r="B10400" s="56" t="b">
        <v>0</v>
      </c>
      <c r="C10400" s="56" t="b">
        <v>0</v>
      </c>
      <c r="D10400" s="56" t="b">
        <v>0</v>
      </c>
      <c r="E10400" s="56">
        <f ca="1">IF(PV[[#This Row],[Business Date]]=Control!$C$6, PV[[#This Row],[Notional Value Local Cur]], -PV[[#This Row],[Notional Value Local Cur]])</f>
        <v>0</v>
      </c>
    </row>
    <row r="10401" spans="1:5" x14ac:dyDescent="0.25">
      <c r="A10401" s="36" t="b">
        <v>0</v>
      </c>
      <c r="B10401" s="56" t="b">
        <v>0</v>
      </c>
      <c r="C10401" s="56" t="b">
        <v>0</v>
      </c>
      <c r="D10401" s="56" t="b">
        <v>0</v>
      </c>
      <c r="E10401" s="56">
        <f ca="1">IF(PV[[#This Row],[Business Date]]=Control!$C$6, PV[[#This Row],[Notional Value Local Cur]], -PV[[#This Row],[Notional Value Local Cur]])</f>
        <v>0</v>
      </c>
    </row>
    <row r="10402" spans="1:5" x14ac:dyDescent="0.25">
      <c r="A10402" s="36" t="b">
        <v>0</v>
      </c>
      <c r="B10402" s="56" t="b">
        <v>0</v>
      </c>
      <c r="C10402" s="56" t="b">
        <v>0</v>
      </c>
      <c r="D10402" s="56" t="b">
        <v>0</v>
      </c>
      <c r="E10402" s="56">
        <f ca="1">IF(PV[[#This Row],[Business Date]]=Control!$C$6, PV[[#This Row],[Notional Value Local Cur]], -PV[[#This Row],[Notional Value Local Cur]])</f>
        <v>0</v>
      </c>
    </row>
    <row r="10403" spans="1:5" x14ac:dyDescent="0.25">
      <c r="A10403" s="36" t="b">
        <v>0</v>
      </c>
      <c r="B10403" s="56" t="b">
        <v>0</v>
      </c>
      <c r="C10403" s="56" t="b">
        <v>0</v>
      </c>
      <c r="D10403" s="56" t="b">
        <v>0</v>
      </c>
      <c r="E10403" s="56">
        <f ca="1">IF(PV[[#This Row],[Business Date]]=Control!$C$6, PV[[#This Row],[Notional Value Local Cur]], -PV[[#This Row],[Notional Value Local Cur]])</f>
        <v>0</v>
      </c>
    </row>
    <row r="10404" spans="1:5" x14ac:dyDescent="0.25">
      <c r="A10404" s="36" t="b">
        <v>0</v>
      </c>
      <c r="B10404" s="56" t="b">
        <v>0</v>
      </c>
      <c r="C10404" s="56" t="b">
        <v>0</v>
      </c>
      <c r="D10404" s="56" t="b">
        <v>0</v>
      </c>
      <c r="E10404" s="56">
        <f ca="1">IF(PV[[#This Row],[Business Date]]=Control!$C$6, PV[[#This Row],[Notional Value Local Cur]], -PV[[#This Row],[Notional Value Local Cur]])</f>
        <v>0</v>
      </c>
    </row>
    <row r="10405" spans="1:5" x14ac:dyDescent="0.25">
      <c r="A10405" s="36" t="b">
        <v>0</v>
      </c>
      <c r="B10405" s="56" t="b">
        <v>0</v>
      </c>
      <c r="C10405" s="56" t="b">
        <v>0</v>
      </c>
      <c r="D10405" s="56" t="b">
        <v>0</v>
      </c>
      <c r="E10405" s="56">
        <f ca="1">IF(PV[[#This Row],[Business Date]]=Control!$C$6, PV[[#This Row],[Notional Value Local Cur]], -PV[[#This Row],[Notional Value Local Cur]])</f>
        <v>0</v>
      </c>
    </row>
    <row r="10406" spans="1:5" x14ac:dyDescent="0.25">
      <c r="A10406" s="36" t="b">
        <v>0</v>
      </c>
      <c r="B10406" s="56" t="b">
        <v>0</v>
      </c>
      <c r="C10406" s="56" t="b">
        <v>0</v>
      </c>
      <c r="D10406" s="56" t="b">
        <v>0</v>
      </c>
      <c r="E10406" s="56">
        <f ca="1">IF(PV[[#This Row],[Business Date]]=Control!$C$6, PV[[#This Row],[Notional Value Local Cur]], -PV[[#This Row],[Notional Value Local Cur]])</f>
        <v>0</v>
      </c>
    </row>
    <row r="10407" spans="1:5" x14ac:dyDescent="0.25">
      <c r="A10407" s="36" t="b">
        <v>0</v>
      </c>
      <c r="B10407" s="56" t="b">
        <v>0</v>
      </c>
      <c r="C10407" s="56" t="b">
        <v>0</v>
      </c>
      <c r="D10407" s="56" t="b">
        <v>0</v>
      </c>
      <c r="E10407" s="56">
        <f ca="1">IF(PV[[#This Row],[Business Date]]=Control!$C$6, PV[[#This Row],[Notional Value Local Cur]], -PV[[#This Row],[Notional Value Local Cur]])</f>
        <v>0</v>
      </c>
    </row>
    <row r="10408" spans="1:5" x14ac:dyDescent="0.25">
      <c r="A10408" s="36" t="b">
        <v>0</v>
      </c>
      <c r="B10408" s="56" t="b">
        <v>0</v>
      </c>
      <c r="C10408" s="56" t="b">
        <v>0</v>
      </c>
      <c r="D10408" s="56" t="b">
        <v>0</v>
      </c>
      <c r="E10408" s="56">
        <f ca="1">IF(PV[[#This Row],[Business Date]]=Control!$C$6, PV[[#This Row],[Notional Value Local Cur]], -PV[[#This Row],[Notional Value Local Cur]])</f>
        <v>0</v>
      </c>
    </row>
    <row r="10409" spans="1:5" x14ac:dyDescent="0.25">
      <c r="A10409" s="36" t="b">
        <v>0</v>
      </c>
      <c r="B10409" s="56" t="b">
        <v>0</v>
      </c>
      <c r="C10409" s="56" t="b">
        <v>0</v>
      </c>
      <c r="D10409" s="56" t="b">
        <v>0</v>
      </c>
      <c r="E10409" s="56">
        <f ca="1">IF(PV[[#This Row],[Business Date]]=Control!$C$6, PV[[#This Row],[Notional Value Local Cur]], -PV[[#This Row],[Notional Value Local Cur]])</f>
        <v>0</v>
      </c>
    </row>
    <row r="10410" spans="1:5" x14ac:dyDescent="0.25">
      <c r="A10410" s="36" t="b">
        <v>0</v>
      </c>
      <c r="B10410" s="56" t="b">
        <v>0</v>
      </c>
      <c r="C10410" s="56" t="b">
        <v>0</v>
      </c>
      <c r="D10410" s="56" t="b">
        <v>0</v>
      </c>
      <c r="E10410" s="56">
        <f ca="1">IF(PV[[#This Row],[Business Date]]=Control!$C$6, PV[[#This Row],[Notional Value Local Cur]], -PV[[#This Row],[Notional Value Local Cur]])</f>
        <v>0</v>
      </c>
    </row>
    <row r="10411" spans="1:5" x14ac:dyDescent="0.25">
      <c r="A10411" s="36" t="b">
        <v>0</v>
      </c>
      <c r="B10411" s="56" t="b">
        <v>0</v>
      </c>
      <c r="C10411" s="56" t="b">
        <v>0</v>
      </c>
      <c r="D10411" s="56" t="b">
        <v>0</v>
      </c>
      <c r="E10411" s="56">
        <f ca="1">IF(PV[[#This Row],[Business Date]]=Control!$C$6, PV[[#This Row],[Notional Value Local Cur]], -PV[[#This Row],[Notional Value Local Cur]])</f>
        <v>0</v>
      </c>
    </row>
    <row r="10412" spans="1:5" x14ac:dyDescent="0.25">
      <c r="A10412" s="36" t="b">
        <v>0</v>
      </c>
      <c r="B10412" s="56" t="b">
        <v>0</v>
      </c>
      <c r="C10412" s="56" t="b">
        <v>0</v>
      </c>
      <c r="D10412" s="56" t="b">
        <v>0</v>
      </c>
      <c r="E10412" s="56">
        <f ca="1">IF(PV[[#This Row],[Business Date]]=Control!$C$6, PV[[#This Row],[Notional Value Local Cur]], -PV[[#This Row],[Notional Value Local Cur]])</f>
        <v>0</v>
      </c>
    </row>
    <row r="10413" spans="1:5" x14ac:dyDescent="0.25">
      <c r="A10413" s="36" t="b">
        <v>0</v>
      </c>
      <c r="B10413" s="56" t="b">
        <v>0</v>
      </c>
      <c r="C10413" s="56" t="b">
        <v>0</v>
      </c>
      <c r="D10413" s="56" t="b">
        <v>0</v>
      </c>
      <c r="E10413" s="56">
        <f ca="1">IF(PV[[#This Row],[Business Date]]=Control!$C$6, PV[[#This Row],[Notional Value Local Cur]], -PV[[#This Row],[Notional Value Local Cur]])</f>
        <v>0</v>
      </c>
    </row>
    <row r="10414" spans="1:5" x14ac:dyDescent="0.25">
      <c r="A10414" s="36" t="b">
        <v>0</v>
      </c>
      <c r="B10414" s="56" t="b">
        <v>0</v>
      </c>
      <c r="C10414" s="56" t="b">
        <v>0</v>
      </c>
      <c r="D10414" s="56" t="b">
        <v>0</v>
      </c>
      <c r="E10414" s="56">
        <f ca="1">IF(PV[[#This Row],[Business Date]]=Control!$C$6, PV[[#This Row],[Notional Value Local Cur]], -PV[[#This Row],[Notional Value Local Cur]])</f>
        <v>0</v>
      </c>
    </row>
    <row r="10415" spans="1:5" x14ac:dyDescent="0.25">
      <c r="A10415" s="36" t="b">
        <v>0</v>
      </c>
      <c r="B10415" s="56" t="b">
        <v>0</v>
      </c>
      <c r="C10415" s="56" t="b">
        <v>0</v>
      </c>
      <c r="D10415" s="56" t="b">
        <v>0</v>
      </c>
      <c r="E10415" s="56">
        <f ca="1">IF(PV[[#This Row],[Business Date]]=Control!$C$6, PV[[#This Row],[Notional Value Local Cur]], -PV[[#This Row],[Notional Value Local Cur]])</f>
        <v>0</v>
      </c>
    </row>
    <row r="10416" spans="1:5" x14ac:dyDescent="0.25">
      <c r="A10416" s="36" t="b">
        <v>0</v>
      </c>
      <c r="B10416" s="56" t="b">
        <v>0</v>
      </c>
      <c r="C10416" s="56" t="b">
        <v>0</v>
      </c>
      <c r="D10416" s="56" t="b">
        <v>0</v>
      </c>
      <c r="E10416" s="56">
        <f ca="1">IF(PV[[#This Row],[Business Date]]=Control!$C$6, PV[[#This Row],[Notional Value Local Cur]], -PV[[#This Row],[Notional Value Local Cur]])</f>
        <v>0</v>
      </c>
    </row>
    <row r="10417" spans="1:5" x14ac:dyDescent="0.25">
      <c r="A10417" s="36" t="b">
        <v>0</v>
      </c>
      <c r="B10417" s="56" t="b">
        <v>0</v>
      </c>
      <c r="C10417" s="56" t="b">
        <v>0</v>
      </c>
      <c r="D10417" s="56" t="b">
        <v>0</v>
      </c>
      <c r="E10417" s="56">
        <f ca="1">IF(PV[[#This Row],[Business Date]]=Control!$C$6, PV[[#This Row],[Notional Value Local Cur]], -PV[[#This Row],[Notional Value Local Cur]])</f>
        <v>0</v>
      </c>
    </row>
    <row r="10418" spans="1:5" x14ac:dyDescent="0.25">
      <c r="A10418" s="36" t="b">
        <v>0</v>
      </c>
      <c r="B10418" s="56" t="b">
        <v>0</v>
      </c>
      <c r="C10418" s="56" t="b">
        <v>0</v>
      </c>
      <c r="D10418" s="56" t="b">
        <v>0</v>
      </c>
      <c r="E10418" s="56">
        <f ca="1">IF(PV[[#This Row],[Business Date]]=Control!$C$6, PV[[#This Row],[Notional Value Local Cur]], -PV[[#This Row],[Notional Value Local Cur]])</f>
        <v>0</v>
      </c>
    </row>
    <row r="10419" spans="1:5" x14ac:dyDescent="0.25">
      <c r="A10419" s="36" t="b">
        <v>0</v>
      </c>
      <c r="B10419" s="56" t="b">
        <v>0</v>
      </c>
      <c r="C10419" s="56" t="b">
        <v>0</v>
      </c>
      <c r="D10419" s="56" t="b">
        <v>0</v>
      </c>
      <c r="E10419" s="56">
        <f ca="1">IF(PV[[#This Row],[Business Date]]=Control!$C$6, PV[[#This Row],[Notional Value Local Cur]], -PV[[#This Row],[Notional Value Local Cur]])</f>
        <v>0</v>
      </c>
    </row>
    <row r="10420" spans="1:5" x14ac:dyDescent="0.25">
      <c r="A10420" s="36" t="b">
        <v>0</v>
      </c>
      <c r="B10420" s="56" t="b">
        <v>0</v>
      </c>
      <c r="C10420" s="56" t="b">
        <v>0</v>
      </c>
      <c r="D10420" s="56" t="b">
        <v>0</v>
      </c>
      <c r="E10420" s="56">
        <f ca="1">IF(PV[[#This Row],[Business Date]]=Control!$C$6, PV[[#This Row],[Notional Value Local Cur]], -PV[[#This Row],[Notional Value Local Cur]])</f>
        <v>0</v>
      </c>
    </row>
    <row r="10421" spans="1:5" x14ac:dyDescent="0.25">
      <c r="A10421" s="36" t="b">
        <v>0</v>
      </c>
      <c r="B10421" s="56" t="b">
        <v>0</v>
      </c>
      <c r="C10421" s="56" t="b">
        <v>0</v>
      </c>
      <c r="D10421" s="56" t="b">
        <v>0</v>
      </c>
      <c r="E10421" s="56">
        <f ca="1">IF(PV[[#This Row],[Business Date]]=Control!$C$6, PV[[#This Row],[Notional Value Local Cur]], -PV[[#This Row],[Notional Value Local Cur]])</f>
        <v>0</v>
      </c>
    </row>
    <row r="10422" spans="1:5" x14ac:dyDescent="0.25">
      <c r="A10422" s="36" t="b">
        <v>0</v>
      </c>
      <c r="B10422" s="56" t="b">
        <v>0</v>
      </c>
      <c r="C10422" s="56" t="b">
        <v>0</v>
      </c>
      <c r="D10422" s="56" t="b">
        <v>0</v>
      </c>
      <c r="E10422" s="56">
        <f ca="1">IF(PV[[#This Row],[Business Date]]=Control!$C$6, PV[[#This Row],[Notional Value Local Cur]], -PV[[#This Row],[Notional Value Local Cur]])</f>
        <v>0</v>
      </c>
    </row>
    <row r="10423" spans="1:5" x14ac:dyDescent="0.25">
      <c r="A10423" s="36" t="b">
        <v>0</v>
      </c>
      <c r="B10423" s="56" t="b">
        <v>0</v>
      </c>
      <c r="C10423" s="56" t="b">
        <v>0</v>
      </c>
      <c r="D10423" s="56" t="b">
        <v>0</v>
      </c>
      <c r="E10423" s="56">
        <f ca="1">IF(PV[[#This Row],[Business Date]]=Control!$C$6, PV[[#This Row],[Notional Value Local Cur]], -PV[[#This Row],[Notional Value Local Cur]])</f>
        <v>0</v>
      </c>
    </row>
    <row r="10424" spans="1:5" x14ac:dyDescent="0.25">
      <c r="A10424" s="36" t="b">
        <v>0</v>
      </c>
      <c r="B10424" s="56" t="b">
        <v>0</v>
      </c>
      <c r="C10424" s="56" t="b">
        <v>0</v>
      </c>
      <c r="D10424" s="56" t="b">
        <v>0</v>
      </c>
      <c r="E10424" s="56">
        <f ca="1">IF(PV[[#This Row],[Business Date]]=Control!$C$6, PV[[#This Row],[Notional Value Local Cur]], -PV[[#This Row],[Notional Value Local Cur]])</f>
        <v>0</v>
      </c>
    </row>
    <row r="10425" spans="1:5" x14ac:dyDescent="0.25">
      <c r="A10425" s="36" t="b">
        <v>0</v>
      </c>
      <c r="B10425" s="56" t="b">
        <v>0</v>
      </c>
      <c r="C10425" s="56" t="b">
        <v>0</v>
      </c>
      <c r="D10425" s="56" t="b">
        <v>0</v>
      </c>
      <c r="E10425" s="56">
        <f ca="1">IF(PV[[#This Row],[Business Date]]=Control!$C$6, PV[[#This Row],[Notional Value Local Cur]], -PV[[#This Row],[Notional Value Local Cur]])</f>
        <v>0</v>
      </c>
    </row>
    <row r="10426" spans="1:5" x14ac:dyDescent="0.25">
      <c r="A10426" s="36" t="b">
        <v>0</v>
      </c>
      <c r="B10426" s="56" t="b">
        <v>0</v>
      </c>
      <c r="C10426" s="56" t="b">
        <v>0</v>
      </c>
      <c r="D10426" s="56" t="b">
        <v>0</v>
      </c>
      <c r="E10426" s="56">
        <f ca="1">IF(PV[[#This Row],[Business Date]]=Control!$C$6, PV[[#This Row],[Notional Value Local Cur]], -PV[[#This Row],[Notional Value Local Cur]])</f>
        <v>0</v>
      </c>
    </row>
    <row r="10427" spans="1:5" x14ac:dyDescent="0.25">
      <c r="A10427" s="36" t="b">
        <v>0</v>
      </c>
      <c r="B10427" s="56" t="b">
        <v>0</v>
      </c>
      <c r="C10427" s="56" t="b">
        <v>0</v>
      </c>
      <c r="D10427" s="56" t="b">
        <v>0</v>
      </c>
      <c r="E10427" s="56">
        <f ca="1">IF(PV[[#This Row],[Business Date]]=Control!$C$6, PV[[#This Row],[Notional Value Local Cur]], -PV[[#This Row],[Notional Value Local Cur]])</f>
        <v>0</v>
      </c>
    </row>
    <row r="10428" spans="1:5" x14ac:dyDescent="0.25">
      <c r="A10428" s="36" t="b">
        <v>0</v>
      </c>
      <c r="B10428" s="56" t="b">
        <v>0</v>
      </c>
      <c r="C10428" s="56" t="b">
        <v>0</v>
      </c>
      <c r="D10428" s="56" t="b">
        <v>0</v>
      </c>
      <c r="E10428" s="56">
        <f ca="1">IF(PV[[#This Row],[Business Date]]=Control!$C$6, PV[[#This Row],[Notional Value Local Cur]], -PV[[#This Row],[Notional Value Local Cur]])</f>
        <v>0</v>
      </c>
    </row>
    <row r="10429" spans="1:5" x14ac:dyDescent="0.25">
      <c r="A10429" s="36" t="b">
        <v>0</v>
      </c>
      <c r="B10429" s="56" t="b">
        <v>0</v>
      </c>
      <c r="C10429" s="56" t="b">
        <v>0</v>
      </c>
      <c r="D10429" s="56" t="b">
        <v>0</v>
      </c>
      <c r="E10429" s="56">
        <f ca="1">IF(PV[[#This Row],[Business Date]]=Control!$C$6, PV[[#This Row],[Notional Value Local Cur]], -PV[[#This Row],[Notional Value Local Cur]])</f>
        <v>0</v>
      </c>
    </row>
    <row r="10430" spans="1:5" x14ac:dyDescent="0.25">
      <c r="A10430" s="36" t="b">
        <v>0</v>
      </c>
      <c r="B10430" s="56" t="b">
        <v>0</v>
      </c>
      <c r="C10430" s="56" t="b">
        <v>0</v>
      </c>
      <c r="D10430" s="56" t="b">
        <v>0</v>
      </c>
      <c r="E10430" s="56">
        <f ca="1">IF(PV[[#This Row],[Business Date]]=Control!$C$6, PV[[#This Row],[Notional Value Local Cur]], -PV[[#This Row],[Notional Value Local Cur]])</f>
        <v>0</v>
      </c>
    </row>
    <row r="10431" spans="1:5" x14ac:dyDescent="0.25">
      <c r="A10431" s="36" t="b">
        <v>0</v>
      </c>
      <c r="B10431" s="56" t="b">
        <v>0</v>
      </c>
      <c r="C10431" s="56" t="b">
        <v>0</v>
      </c>
      <c r="D10431" s="56" t="b">
        <v>0</v>
      </c>
      <c r="E10431" s="56">
        <f ca="1">IF(PV[[#This Row],[Business Date]]=Control!$C$6, PV[[#This Row],[Notional Value Local Cur]], -PV[[#This Row],[Notional Value Local Cur]])</f>
        <v>0</v>
      </c>
    </row>
    <row r="10432" spans="1:5" x14ac:dyDescent="0.25">
      <c r="A10432" s="36" t="b">
        <v>0</v>
      </c>
      <c r="B10432" s="56" t="b">
        <v>0</v>
      </c>
      <c r="C10432" s="56" t="b">
        <v>0</v>
      </c>
      <c r="D10432" s="56" t="b">
        <v>0</v>
      </c>
      <c r="E10432" s="56">
        <f ca="1">IF(PV[[#This Row],[Business Date]]=Control!$C$6, PV[[#This Row],[Notional Value Local Cur]], -PV[[#This Row],[Notional Value Local Cur]])</f>
        <v>0</v>
      </c>
    </row>
    <row r="10433" spans="1:5" x14ac:dyDescent="0.25">
      <c r="A10433" s="36" t="b">
        <v>0</v>
      </c>
      <c r="B10433" s="56" t="b">
        <v>0</v>
      </c>
      <c r="C10433" s="56" t="b">
        <v>0</v>
      </c>
      <c r="D10433" s="56" t="b">
        <v>0</v>
      </c>
      <c r="E10433" s="56">
        <f ca="1">IF(PV[[#This Row],[Business Date]]=Control!$C$6, PV[[#This Row],[Notional Value Local Cur]], -PV[[#This Row],[Notional Value Local Cur]])</f>
        <v>0</v>
      </c>
    </row>
    <row r="10434" spans="1:5" x14ac:dyDescent="0.25">
      <c r="A10434" s="36" t="b">
        <v>0</v>
      </c>
      <c r="B10434" s="56" t="b">
        <v>0</v>
      </c>
      <c r="C10434" s="56" t="b">
        <v>0</v>
      </c>
      <c r="D10434" s="56" t="b">
        <v>0</v>
      </c>
      <c r="E10434" s="56">
        <f ca="1">IF(PV[[#This Row],[Business Date]]=Control!$C$6, PV[[#This Row],[Notional Value Local Cur]], -PV[[#This Row],[Notional Value Local Cur]])</f>
        <v>0</v>
      </c>
    </row>
    <row r="10435" spans="1:5" x14ac:dyDescent="0.25">
      <c r="A10435" s="36" t="b">
        <v>0</v>
      </c>
      <c r="B10435" s="56" t="b">
        <v>0</v>
      </c>
      <c r="C10435" s="56" t="b">
        <v>0</v>
      </c>
      <c r="D10435" s="56" t="b">
        <v>0</v>
      </c>
      <c r="E10435" s="56">
        <f ca="1">IF(PV[[#This Row],[Business Date]]=Control!$C$6, PV[[#This Row],[Notional Value Local Cur]], -PV[[#This Row],[Notional Value Local Cur]])</f>
        <v>0</v>
      </c>
    </row>
    <row r="10436" spans="1:5" x14ac:dyDescent="0.25">
      <c r="A10436" s="36" t="b">
        <v>0</v>
      </c>
      <c r="B10436" s="56" t="b">
        <v>0</v>
      </c>
      <c r="C10436" s="56" t="b">
        <v>0</v>
      </c>
      <c r="D10436" s="56" t="b">
        <v>0</v>
      </c>
      <c r="E10436" s="56">
        <f ca="1">IF(PV[[#This Row],[Business Date]]=Control!$C$6, PV[[#This Row],[Notional Value Local Cur]], -PV[[#This Row],[Notional Value Local Cur]])</f>
        <v>0</v>
      </c>
    </row>
    <row r="10437" spans="1:5" x14ac:dyDescent="0.25">
      <c r="A10437" s="36" t="b">
        <v>0</v>
      </c>
      <c r="B10437" s="56" t="b">
        <v>0</v>
      </c>
      <c r="C10437" s="56" t="b">
        <v>0</v>
      </c>
      <c r="D10437" s="56" t="b">
        <v>0</v>
      </c>
      <c r="E10437" s="56">
        <f ca="1">IF(PV[[#This Row],[Business Date]]=Control!$C$6, PV[[#This Row],[Notional Value Local Cur]], -PV[[#This Row],[Notional Value Local Cur]])</f>
        <v>0</v>
      </c>
    </row>
    <row r="10438" spans="1:5" x14ac:dyDescent="0.25">
      <c r="A10438" s="36" t="b">
        <v>0</v>
      </c>
      <c r="B10438" s="56" t="b">
        <v>0</v>
      </c>
      <c r="C10438" s="56" t="b">
        <v>0</v>
      </c>
      <c r="D10438" s="56" t="b">
        <v>0</v>
      </c>
      <c r="E10438" s="56">
        <f ca="1">IF(PV[[#This Row],[Business Date]]=Control!$C$6, PV[[#This Row],[Notional Value Local Cur]], -PV[[#This Row],[Notional Value Local Cur]])</f>
        <v>0</v>
      </c>
    </row>
    <row r="10439" spans="1:5" x14ac:dyDescent="0.25">
      <c r="A10439" s="36" t="b">
        <v>0</v>
      </c>
      <c r="B10439" s="56" t="b">
        <v>0</v>
      </c>
      <c r="C10439" s="56" t="b">
        <v>0</v>
      </c>
      <c r="D10439" s="56" t="b">
        <v>0</v>
      </c>
      <c r="E10439" s="56">
        <f ca="1">IF(PV[[#This Row],[Business Date]]=Control!$C$6, PV[[#This Row],[Notional Value Local Cur]], -PV[[#This Row],[Notional Value Local Cur]])</f>
        <v>0</v>
      </c>
    </row>
    <row r="10440" spans="1:5" x14ac:dyDescent="0.25">
      <c r="A10440" s="36" t="b">
        <v>0</v>
      </c>
      <c r="B10440" s="56" t="b">
        <v>0</v>
      </c>
      <c r="C10440" s="56" t="b">
        <v>0</v>
      </c>
      <c r="D10440" s="56" t="b">
        <v>0</v>
      </c>
      <c r="E10440" s="56">
        <f ca="1">IF(PV[[#This Row],[Business Date]]=Control!$C$6, PV[[#This Row],[Notional Value Local Cur]], -PV[[#This Row],[Notional Value Local Cur]])</f>
        <v>0</v>
      </c>
    </row>
    <row r="10441" spans="1:5" x14ac:dyDescent="0.25">
      <c r="A10441" s="36" t="b">
        <v>0</v>
      </c>
      <c r="B10441" s="56" t="b">
        <v>0</v>
      </c>
      <c r="C10441" s="56" t="b">
        <v>0</v>
      </c>
      <c r="D10441" s="56" t="b">
        <v>0</v>
      </c>
      <c r="E10441" s="56">
        <f ca="1">IF(PV[[#This Row],[Business Date]]=Control!$C$6, PV[[#This Row],[Notional Value Local Cur]], -PV[[#This Row],[Notional Value Local Cur]])</f>
        <v>0</v>
      </c>
    </row>
    <row r="10442" spans="1:5" x14ac:dyDescent="0.25">
      <c r="A10442" s="36" t="b">
        <v>0</v>
      </c>
      <c r="B10442" s="56" t="b">
        <v>0</v>
      </c>
      <c r="C10442" s="56" t="b">
        <v>0</v>
      </c>
      <c r="D10442" s="56" t="b">
        <v>0</v>
      </c>
      <c r="E10442" s="56">
        <f ca="1">IF(PV[[#This Row],[Business Date]]=Control!$C$6, PV[[#This Row],[Notional Value Local Cur]], -PV[[#This Row],[Notional Value Local Cur]])</f>
        <v>0</v>
      </c>
    </row>
    <row r="10443" spans="1:5" x14ac:dyDescent="0.25">
      <c r="A10443" s="36" t="b">
        <v>0</v>
      </c>
      <c r="B10443" s="56" t="b">
        <v>0</v>
      </c>
      <c r="C10443" s="56" t="b">
        <v>0</v>
      </c>
      <c r="D10443" s="56" t="b">
        <v>0</v>
      </c>
      <c r="E10443" s="56">
        <f ca="1">IF(PV[[#This Row],[Business Date]]=Control!$C$6, PV[[#This Row],[Notional Value Local Cur]], -PV[[#This Row],[Notional Value Local Cur]])</f>
        <v>0</v>
      </c>
    </row>
    <row r="10444" spans="1:5" x14ac:dyDescent="0.25">
      <c r="A10444" s="36" t="b">
        <v>0</v>
      </c>
      <c r="B10444" s="56" t="b">
        <v>0</v>
      </c>
      <c r="C10444" s="56" t="b">
        <v>0</v>
      </c>
      <c r="D10444" s="56" t="b">
        <v>0</v>
      </c>
      <c r="E10444" s="56">
        <f ca="1">IF(PV[[#This Row],[Business Date]]=Control!$C$6, PV[[#This Row],[Notional Value Local Cur]], -PV[[#This Row],[Notional Value Local Cur]])</f>
        <v>0</v>
      </c>
    </row>
    <row r="10445" spans="1:5" x14ac:dyDescent="0.25">
      <c r="A10445" s="36" t="b">
        <v>0</v>
      </c>
      <c r="B10445" s="56" t="b">
        <v>0</v>
      </c>
      <c r="C10445" s="56" t="b">
        <v>0</v>
      </c>
      <c r="D10445" s="56" t="b">
        <v>0</v>
      </c>
      <c r="E10445" s="56">
        <f ca="1">IF(PV[[#This Row],[Business Date]]=Control!$C$6, PV[[#This Row],[Notional Value Local Cur]], -PV[[#This Row],[Notional Value Local Cur]])</f>
        <v>0</v>
      </c>
    </row>
    <row r="10446" spans="1:5" x14ac:dyDescent="0.25">
      <c r="A10446" s="36" t="b">
        <v>0</v>
      </c>
      <c r="B10446" s="56" t="b">
        <v>0</v>
      </c>
      <c r="C10446" s="56" t="b">
        <v>0</v>
      </c>
      <c r="D10446" s="56" t="b">
        <v>0</v>
      </c>
      <c r="E10446" s="56">
        <f ca="1">IF(PV[[#This Row],[Business Date]]=Control!$C$6, PV[[#This Row],[Notional Value Local Cur]], -PV[[#This Row],[Notional Value Local Cur]])</f>
        <v>0</v>
      </c>
    </row>
    <row r="10447" spans="1:5" x14ac:dyDescent="0.25">
      <c r="A10447" s="36" t="b">
        <v>0</v>
      </c>
      <c r="B10447" s="56" t="b">
        <v>0</v>
      </c>
      <c r="C10447" s="56" t="b">
        <v>0</v>
      </c>
      <c r="D10447" s="56" t="b">
        <v>0</v>
      </c>
      <c r="E10447" s="56">
        <f ca="1">IF(PV[[#This Row],[Business Date]]=Control!$C$6, PV[[#This Row],[Notional Value Local Cur]], -PV[[#This Row],[Notional Value Local Cur]])</f>
        <v>0</v>
      </c>
    </row>
    <row r="10448" spans="1:5" x14ac:dyDescent="0.25">
      <c r="A10448" s="36" t="b">
        <v>0</v>
      </c>
      <c r="B10448" s="56" t="b">
        <v>0</v>
      </c>
      <c r="C10448" s="56" t="b">
        <v>0</v>
      </c>
      <c r="D10448" s="56" t="b">
        <v>0</v>
      </c>
      <c r="E10448" s="56">
        <f ca="1">IF(PV[[#This Row],[Business Date]]=Control!$C$6, PV[[#This Row],[Notional Value Local Cur]], -PV[[#This Row],[Notional Value Local Cur]])</f>
        <v>0</v>
      </c>
    </row>
    <row r="10449" spans="1:5" x14ac:dyDescent="0.25">
      <c r="A10449" s="36" t="b">
        <v>0</v>
      </c>
      <c r="B10449" s="56" t="b">
        <v>0</v>
      </c>
      <c r="C10449" s="56" t="b">
        <v>0</v>
      </c>
      <c r="D10449" s="56" t="b">
        <v>0</v>
      </c>
      <c r="E10449" s="56">
        <f ca="1">IF(PV[[#This Row],[Business Date]]=Control!$C$6, PV[[#This Row],[Notional Value Local Cur]], -PV[[#This Row],[Notional Value Local Cur]])</f>
        <v>0</v>
      </c>
    </row>
    <row r="10450" spans="1:5" x14ac:dyDescent="0.25">
      <c r="A10450" s="36" t="b">
        <v>0</v>
      </c>
      <c r="B10450" s="56" t="b">
        <v>0</v>
      </c>
      <c r="C10450" s="56" t="b">
        <v>0</v>
      </c>
      <c r="D10450" s="56" t="b">
        <v>0</v>
      </c>
      <c r="E10450" s="56">
        <f ca="1">IF(PV[[#This Row],[Business Date]]=Control!$C$6, PV[[#This Row],[Notional Value Local Cur]], -PV[[#This Row],[Notional Value Local Cur]])</f>
        <v>0</v>
      </c>
    </row>
    <row r="10451" spans="1:5" x14ac:dyDescent="0.25">
      <c r="A10451" s="36" t="b">
        <v>0</v>
      </c>
      <c r="B10451" s="56" t="b">
        <v>0</v>
      </c>
      <c r="C10451" s="56" t="b">
        <v>0</v>
      </c>
      <c r="D10451" s="56" t="b">
        <v>0</v>
      </c>
      <c r="E10451" s="56">
        <f ca="1">IF(PV[[#This Row],[Business Date]]=Control!$C$6, PV[[#This Row],[Notional Value Local Cur]], -PV[[#This Row],[Notional Value Local Cur]])</f>
        <v>0</v>
      </c>
    </row>
    <row r="10452" spans="1:5" x14ac:dyDescent="0.25">
      <c r="A10452" s="36" t="b">
        <v>0</v>
      </c>
      <c r="B10452" s="56" t="b">
        <v>0</v>
      </c>
      <c r="C10452" s="56" t="b">
        <v>0</v>
      </c>
      <c r="D10452" s="56" t="b">
        <v>0</v>
      </c>
      <c r="E10452" s="56">
        <f ca="1">IF(PV[[#This Row],[Business Date]]=Control!$C$6, PV[[#This Row],[Notional Value Local Cur]], -PV[[#This Row],[Notional Value Local Cur]])</f>
        <v>0</v>
      </c>
    </row>
    <row r="10453" spans="1:5" x14ac:dyDescent="0.25">
      <c r="A10453" s="36" t="b">
        <v>0</v>
      </c>
      <c r="B10453" s="56" t="b">
        <v>0</v>
      </c>
      <c r="C10453" s="56" t="b">
        <v>0</v>
      </c>
      <c r="D10453" s="56" t="b">
        <v>0</v>
      </c>
      <c r="E10453" s="56">
        <f ca="1">IF(PV[[#This Row],[Business Date]]=Control!$C$6, PV[[#This Row],[Notional Value Local Cur]], -PV[[#This Row],[Notional Value Local Cur]])</f>
        <v>0</v>
      </c>
    </row>
    <row r="10454" spans="1:5" x14ac:dyDescent="0.25">
      <c r="A10454" s="36" t="b">
        <v>0</v>
      </c>
      <c r="B10454" s="56" t="b">
        <v>0</v>
      </c>
      <c r="C10454" s="56" t="b">
        <v>0</v>
      </c>
      <c r="D10454" s="56" t="b">
        <v>0</v>
      </c>
      <c r="E10454" s="56">
        <f ca="1">IF(PV[[#This Row],[Business Date]]=Control!$C$6, PV[[#This Row],[Notional Value Local Cur]], -PV[[#This Row],[Notional Value Local Cur]])</f>
        <v>0</v>
      </c>
    </row>
    <row r="10455" spans="1:5" x14ac:dyDescent="0.25">
      <c r="A10455" s="36" t="b">
        <v>0</v>
      </c>
      <c r="B10455" s="56" t="b">
        <v>0</v>
      </c>
      <c r="C10455" s="56" t="b">
        <v>0</v>
      </c>
      <c r="D10455" s="56" t="b">
        <v>0</v>
      </c>
      <c r="E10455" s="56">
        <f ca="1">IF(PV[[#This Row],[Business Date]]=Control!$C$6, PV[[#This Row],[Notional Value Local Cur]], -PV[[#This Row],[Notional Value Local Cur]])</f>
        <v>0</v>
      </c>
    </row>
    <row r="10456" spans="1:5" x14ac:dyDescent="0.25">
      <c r="A10456" s="36" t="b">
        <v>0</v>
      </c>
      <c r="B10456" s="56" t="b">
        <v>0</v>
      </c>
      <c r="C10456" s="56" t="b">
        <v>0</v>
      </c>
      <c r="D10456" s="56" t="b">
        <v>0</v>
      </c>
      <c r="E10456" s="56">
        <f ca="1">IF(PV[[#This Row],[Business Date]]=Control!$C$6, PV[[#This Row],[Notional Value Local Cur]], -PV[[#This Row],[Notional Value Local Cur]])</f>
        <v>0</v>
      </c>
    </row>
    <row r="10457" spans="1:5" x14ac:dyDescent="0.25">
      <c r="A10457" s="36" t="b">
        <v>0</v>
      </c>
      <c r="B10457" s="56" t="b">
        <v>0</v>
      </c>
      <c r="C10457" s="56" t="b">
        <v>0</v>
      </c>
      <c r="D10457" s="56" t="b">
        <v>0</v>
      </c>
      <c r="E10457" s="56">
        <f ca="1">IF(PV[[#This Row],[Business Date]]=Control!$C$6, PV[[#This Row],[Notional Value Local Cur]], -PV[[#This Row],[Notional Value Local Cur]])</f>
        <v>0</v>
      </c>
    </row>
    <row r="10458" spans="1:5" x14ac:dyDescent="0.25">
      <c r="A10458" s="36" t="b">
        <v>0</v>
      </c>
      <c r="B10458" s="56" t="b">
        <v>0</v>
      </c>
      <c r="C10458" s="56" t="b">
        <v>0</v>
      </c>
      <c r="D10458" s="56" t="b">
        <v>0</v>
      </c>
      <c r="E10458" s="56">
        <f ca="1">IF(PV[[#This Row],[Business Date]]=Control!$C$6, PV[[#This Row],[Notional Value Local Cur]], -PV[[#This Row],[Notional Value Local Cur]])</f>
        <v>0</v>
      </c>
    </row>
    <row r="10459" spans="1:5" x14ac:dyDescent="0.25">
      <c r="A10459" s="36" t="b">
        <v>0</v>
      </c>
      <c r="B10459" s="56" t="b">
        <v>0</v>
      </c>
      <c r="C10459" s="56" t="b">
        <v>0</v>
      </c>
      <c r="D10459" s="56" t="b">
        <v>0</v>
      </c>
      <c r="E10459" s="56">
        <f ca="1">IF(PV[[#This Row],[Business Date]]=Control!$C$6, PV[[#This Row],[Notional Value Local Cur]], -PV[[#This Row],[Notional Value Local Cur]])</f>
        <v>0</v>
      </c>
    </row>
    <row r="10460" spans="1:5" x14ac:dyDescent="0.25">
      <c r="A10460" s="36" t="b">
        <v>0</v>
      </c>
      <c r="B10460" s="56" t="b">
        <v>0</v>
      </c>
      <c r="C10460" s="56" t="b">
        <v>0</v>
      </c>
      <c r="D10460" s="56" t="b">
        <v>0</v>
      </c>
      <c r="E10460" s="56">
        <f ca="1">IF(PV[[#This Row],[Business Date]]=Control!$C$6, PV[[#This Row],[Notional Value Local Cur]], -PV[[#This Row],[Notional Value Local Cur]])</f>
        <v>0</v>
      </c>
    </row>
    <row r="10461" spans="1:5" x14ac:dyDescent="0.25">
      <c r="A10461" s="36" t="b">
        <v>0</v>
      </c>
      <c r="B10461" s="56" t="b">
        <v>0</v>
      </c>
      <c r="C10461" s="56" t="b">
        <v>0</v>
      </c>
      <c r="D10461" s="56" t="b">
        <v>0</v>
      </c>
      <c r="E10461" s="56">
        <f ca="1">IF(PV[[#This Row],[Business Date]]=Control!$C$6, PV[[#This Row],[Notional Value Local Cur]], -PV[[#This Row],[Notional Value Local Cur]])</f>
        <v>0</v>
      </c>
    </row>
    <row r="10462" spans="1:5" x14ac:dyDescent="0.25">
      <c r="A10462" s="36" t="b">
        <v>0</v>
      </c>
      <c r="B10462" s="56" t="b">
        <v>0</v>
      </c>
      <c r="C10462" s="56" t="b">
        <v>0</v>
      </c>
      <c r="D10462" s="56" t="b">
        <v>0</v>
      </c>
      <c r="E10462" s="56">
        <f ca="1">IF(PV[[#This Row],[Business Date]]=Control!$C$6, PV[[#This Row],[Notional Value Local Cur]], -PV[[#This Row],[Notional Value Local Cur]])</f>
        <v>0</v>
      </c>
    </row>
    <row r="10463" spans="1:5" x14ac:dyDescent="0.25">
      <c r="A10463" s="36" t="b">
        <v>0</v>
      </c>
      <c r="B10463" s="56" t="b">
        <v>0</v>
      </c>
      <c r="C10463" s="56" t="b">
        <v>0</v>
      </c>
      <c r="D10463" s="56" t="b">
        <v>0</v>
      </c>
      <c r="E10463" s="56">
        <f ca="1">IF(PV[[#This Row],[Business Date]]=Control!$C$6, PV[[#This Row],[Notional Value Local Cur]], -PV[[#This Row],[Notional Value Local Cur]])</f>
        <v>0</v>
      </c>
    </row>
    <row r="10464" spans="1:5" x14ac:dyDescent="0.25">
      <c r="A10464" s="36" t="b">
        <v>0</v>
      </c>
      <c r="B10464" s="56" t="b">
        <v>0</v>
      </c>
      <c r="C10464" s="56" t="b">
        <v>0</v>
      </c>
      <c r="D10464" s="56" t="b">
        <v>0</v>
      </c>
      <c r="E10464" s="56">
        <f ca="1">IF(PV[[#This Row],[Business Date]]=Control!$C$6, PV[[#This Row],[Notional Value Local Cur]], -PV[[#This Row],[Notional Value Local Cur]])</f>
        <v>0</v>
      </c>
    </row>
    <row r="10465" spans="1:5" x14ac:dyDescent="0.25">
      <c r="A10465" s="36" t="b">
        <v>0</v>
      </c>
      <c r="B10465" s="56" t="b">
        <v>0</v>
      </c>
      <c r="C10465" s="56" t="b">
        <v>0</v>
      </c>
      <c r="D10465" s="56" t="b">
        <v>0</v>
      </c>
      <c r="E10465" s="56">
        <f ca="1">IF(PV[[#This Row],[Business Date]]=Control!$C$6, PV[[#This Row],[Notional Value Local Cur]], -PV[[#This Row],[Notional Value Local Cur]])</f>
        <v>0</v>
      </c>
    </row>
    <row r="10466" spans="1:5" x14ac:dyDescent="0.25">
      <c r="A10466" s="36" t="b">
        <v>0</v>
      </c>
      <c r="B10466" s="56" t="b">
        <v>0</v>
      </c>
      <c r="C10466" s="56" t="b">
        <v>0</v>
      </c>
      <c r="D10466" s="56" t="b">
        <v>0</v>
      </c>
      <c r="E10466" s="56">
        <f ca="1">IF(PV[[#This Row],[Business Date]]=Control!$C$6, PV[[#This Row],[Notional Value Local Cur]], -PV[[#This Row],[Notional Value Local Cur]])</f>
        <v>0</v>
      </c>
    </row>
    <row r="10467" spans="1:5" x14ac:dyDescent="0.25">
      <c r="A10467" s="36" t="b">
        <v>0</v>
      </c>
      <c r="B10467" s="56" t="b">
        <v>0</v>
      </c>
      <c r="C10467" s="56" t="b">
        <v>0</v>
      </c>
      <c r="D10467" s="56" t="b">
        <v>0</v>
      </c>
      <c r="E10467" s="56">
        <f ca="1">IF(PV[[#This Row],[Business Date]]=Control!$C$6, PV[[#This Row],[Notional Value Local Cur]], -PV[[#This Row],[Notional Value Local Cur]])</f>
        <v>0</v>
      </c>
    </row>
    <row r="10468" spans="1:5" x14ac:dyDescent="0.25">
      <c r="A10468" s="36" t="b">
        <v>0</v>
      </c>
      <c r="B10468" s="56" t="b">
        <v>0</v>
      </c>
      <c r="C10468" s="56" t="b">
        <v>0</v>
      </c>
      <c r="D10468" s="56" t="b">
        <v>0</v>
      </c>
      <c r="E10468" s="56">
        <f ca="1">IF(PV[[#This Row],[Business Date]]=Control!$C$6, PV[[#This Row],[Notional Value Local Cur]], -PV[[#This Row],[Notional Value Local Cur]])</f>
        <v>0</v>
      </c>
    </row>
    <row r="10469" spans="1:5" x14ac:dyDescent="0.25">
      <c r="A10469" s="36" t="b">
        <v>0</v>
      </c>
      <c r="B10469" s="56" t="b">
        <v>0</v>
      </c>
      <c r="C10469" s="56" t="b">
        <v>0</v>
      </c>
      <c r="D10469" s="56" t="b">
        <v>0</v>
      </c>
      <c r="E10469" s="56">
        <f ca="1">IF(PV[[#This Row],[Business Date]]=Control!$C$6, PV[[#This Row],[Notional Value Local Cur]], -PV[[#This Row],[Notional Value Local Cur]])</f>
        <v>0</v>
      </c>
    </row>
    <row r="10470" spans="1:5" x14ac:dyDescent="0.25">
      <c r="A10470" s="36" t="b">
        <v>0</v>
      </c>
      <c r="B10470" s="56" t="b">
        <v>0</v>
      </c>
      <c r="C10470" s="56" t="b">
        <v>0</v>
      </c>
      <c r="D10470" s="56" t="b">
        <v>0</v>
      </c>
      <c r="E10470" s="56">
        <f ca="1">IF(PV[[#This Row],[Business Date]]=Control!$C$6, PV[[#This Row],[Notional Value Local Cur]], -PV[[#This Row],[Notional Value Local Cur]])</f>
        <v>0</v>
      </c>
    </row>
    <row r="10471" spans="1:5" x14ac:dyDescent="0.25">
      <c r="A10471" s="36" t="b">
        <v>0</v>
      </c>
      <c r="B10471" s="56" t="b">
        <v>0</v>
      </c>
      <c r="C10471" s="56" t="b">
        <v>0</v>
      </c>
      <c r="D10471" s="56" t="b">
        <v>0</v>
      </c>
      <c r="E10471" s="56">
        <f ca="1">IF(PV[[#This Row],[Business Date]]=Control!$C$6, PV[[#This Row],[Notional Value Local Cur]], -PV[[#This Row],[Notional Value Local Cur]])</f>
        <v>0</v>
      </c>
    </row>
    <row r="10472" spans="1:5" x14ac:dyDescent="0.25">
      <c r="A10472" s="36" t="b">
        <v>0</v>
      </c>
      <c r="B10472" s="56" t="b">
        <v>0</v>
      </c>
      <c r="C10472" s="56" t="b">
        <v>0</v>
      </c>
      <c r="D10472" s="56" t="b">
        <v>0</v>
      </c>
      <c r="E10472" s="56">
        <f ca="1">IF(PV[[#This Row],[Business Date]]=Control!$C$6, PV[[#This Row],[Notional Value Local Cur]], -PV[[#This Row],[Notional Value Local Cur]])</f>
        <v>0</v>
      </c>
    </row>
    <row r="10473" spans="1:5" x14ac:dyDescent="0.25">
      <c r="A10473" s="36" t="b">
        <v>0</v>
      </c>
      <c r="B10473" s="56" t="b">
        <v>0</v>
      </c>
      <c r="C10473" s="56" t="b">
        <v>0</v>
      </c>
      <c r="D10473" s="56" t="b">
        <v>0</v>
      </c>
      <c r="E10473" s="56">
        <f ca="1">IF(PV[[#This Row],[Business Date]]=Control!$C$6, PV[[#This Row],[Notional Value Local Cur]], -PV[[#This Row],[Notional Value Local Cur]])</f>
        <v>0</v>
      </c>
    </row>
    <row r="10474" spans="1:5" x14ac:dyDescent="0.25">
      <c r="A10474" s="36" t="b">
        <v>0</v>
      </c>
      <c r="B10474" s="56" t="b">
        <v>0</v>
      </c>
      <c r="C10474" s="56" t="b">
        <v>0</v>
      </c>
      <c r="D10474" s="56" t="b">
        <v>0</v>
      </c>
      <c r="E10474" s="56">
        <f ca="1">IF(PV[[#This Row],[Business Date]]=Control!$C$6, PV[[#This Row],[Notional Value Local Cur]], -PV[[#This Row],[Notional Value Local Cur]])</f>
        <v>0</v>
      </c>
    </row>
    <row r="10475" spans="1:5" x14ac:dyDescent="0.25">
      <c r="A10475" s="36" t="b">
        <v>0</v>
      </c>
      <c r="B10475" s="56" t="b">
        <v>0</v>
      </c>
      <c r="C10475" s="56" t="b">
        <v>0</v>
      </c>
      <c r="D10475" s="56" t="b">
        <v>0</v>
      </c>
      <c r="E10475" s="56">
        <f ca="1">IF(PV[[#This Row],[Business Date]]=Control!$C$6, PV[[#This Row],[Notional Value Local Cur]], -PV[[#This Row],[Notional Value Local Cur]])</f>
        <v>0</v>
      </c>
    </row>
    <row r="10476" spans="1:5" x14ac:dyDescent="0.25">
      <c r="A10476" s="36" t="b">
        <v>0</v>
      </c>
      <c r="B10476" s="56" t="b">
        <v>0</v>
      </c>
      <c r="C10476" s="56" t="b">
        <v>0</v>
      </c>
      <c r="D10476" s="56" t="b">
        <v>0</v>
      </c>
      <c r="E10476" s="56">
        <f ca="1">IF(PV[[#This Row],[Business Date]]=Control!$C$6, PV[[#This Row],[Notional Value Local Cur]], -PV[[#This Row],[Notional Value Local Cur]])</f>
        <v>0</v>
      </c>
    </row>
    <row r="10477" spans="1:5" x14ac:dyDescent="0.25">
      <c r="A10477" s="36" t="b">
        <v>0</v>
      </c>
      <c r="B10477" s="56" t="b">
        <v>0</v>
      </c>
      <c r="C10477" s="56" t="b">
        <v>0</v>
      </c>
      <c r="D10477" s="56" t="b">
        <v>0</v>
      </c>
      <c r="E10477" s="56">
        <f ca="1">IF(PV[[#This Row],[Business Date]]=Control!$C$6, PV[[#This Row],[Notional Value Local Cur]], -PV[[#This Row],[Notional Value Local Cur]])</f>
        <v>0</v>
      </c>
    </row>
    <row r="10478" spans="1:5" x14ac:dyDescent="0.25">
      <c r="A10478" s="36" t="b">
        <v>0</v>
      </c>
      <c r="B10478" s="56" t="b">
        <v>0</v>
      </c>
      <c r="C10478" s="56" t="b">
        <v>0</v>
      </c>
      <c r="D10478" s="56" t="b">
        <v>0</v>
      </c>
      <c r="E10478" s="56">
        <f ca="1">IF(PV[[#This Row],[Business Date]]=Control!$C$6, PV[[#This Row],[Notional Value Local Cur]], -PV[[#This Row],[Notional Value Local Cur]])</f>
        <v>0</v>
      </c>
    </row>
    <row r="10479" spans="1:5" x14ac:dyDescent="0.25">
      <c r="A10479" s="36" t="b">
        <v>0</v>
      </c>
      <c r="B10479" s="56" t="b">
        <v>0</v>
      </c>
      <c r="C10479" s="56" t="b">
        <v>0</v>
      </c>
      <c r="D10479" s="56" t="b">
        <v>0</v>
      </c>
      <c r="E10479" s="56">
        <f ca="1">IF(PV[[#This Row],[Business Date]]=Control!$C$6, PV[[#This Row],[Notional Value Local Cur]], -PV[[#This Row],[Notional Value Local Cur]])</f>
        <v>0</v>
      </c>
    </row>
    <row r="10480" spans="1:5" x14ac:dyDescent="0.25">
      <c r="A10480" s="36" t="b">
        <v>0</v>
      </c>
      <c r="B10480" s="56" t="b">
        <v>0</v>
      </c>
      <c r="C10480" s="56" t="b">
        <v>0</v>
      </c>
      <c r="D10480" s="56" t="b">
        <v>0</v>
      </c>
      <c r="E10480" s="56">
        <f ca="1">IF(PV[[#This Row],[Business Date]]=Control!$C$6, PV[[#This Row],[Notional Value Local Cur]], -PV[[#This Row],[Notional Value Local Cur]])</f>
        <v>0</v>
      </c>
    </row>
    <row r="10481" spans="1:5" x14ac:dyDescent="0.25">
      <c r="A10481" s="36" t="b">
        <v>0</v>
      </c>
      <c r="B10481" s="56" t="b">
        <v>0</v>
      </c>
      <c r="C10481" s="56" t="b">
        <v>0</v>
      </c>
      <c r="D10481" s="56" t="b">
        <v>0</v>
      </c>
      <c r="E10481" s="56">
        <f ca="1">IF(PV[[#This Row],[Business Date]]=Control!$C$6, PV[[#This Row],[Notional Value Local Cur]], -PV[[#This Row],[Notional Value Local Cur]])</f>
        <v>0</v>
      </c>
    </row>
    <row r="10482" spans="1:5" x14ac:dyDescent="0.25">
      <c r="A10482" s="36" t="b">
        <v>0</v>
      </c>
      <c r="B10482" s="56" t="b">
        <v>0</v>
      </c>
      <c r="C10482" s="56" t="b">
        <v>0</v>
      </c>
      <c r="D10482" s="56" t="b">
        <v>0</v>
      </c>
      <c r="E10482" s="56">
        <f ca="1">IF(PV[[#This Row],[Business Date]]=Control!$C$6, PV[[#This Row],[Notional Value Local Cur]], -PV[[#This Row],[Notional Value Local Cur]])</f>
        <v>0</v>
      </c>
    </row>
    <row r="10483" spans="1:5" x14ac:dyDescent="0.25">
      <c r="A10483" s="36" t="b">
        <v>0</v>
      </c>
      <c r="B10483" s="56" t="b">
        <v>0</v>
      </c>
      <c r="C10483" s="56" t="b">
        <v>0</v>
      </c>
      <c r="D10483" s="56" t="b">
        <v>0</v>
      </c>
      <c r="E10483" s="56">
        <f ca="1">IF(PV[[#This Row],[Business Date]]=Control!$C$6, PV[[#This Row],[Notional Value Local Cur]], -PV[[#This Row],[Notional Value Local Cur]])</f>
        <v>0</v>
      </c>
    </row>
    <row r="10484" spans="1:5" x14ac:dyDescent="0.25">
      <c r="A10484" s="36" t="b">
        <v>0</v>
      </c>
      <c r="B10484" s="56" t="b">
        <v>0</v>
      </c>
      <c r="C10484" s="56" t="b">
        <v>0</v>
      </c>
      <c r="D10484" s="56" t="b">
        <v>0</v>
      </c>
      <c r="E10484" s="56">
        <f ca="1">IF(PV[[#This Row],[Business Date]]=Control!$C$6, PV[[#This Row],[Notional Value Local Cur]], -PV[[#This Row],[Notional Value Local Cur]])</f>
        <v>0</v>
      </c>
    </row>
    <row r="10485" spans="1:5" x14ac:dyDescent="0.25">
      <c r="A10485" s="36" t="b">
        <v>0</v>
      </c>
      <c r="B10485" s="56" t="b">
        <v>0</v>
      </c>
      <c r="C10485" s="56" t="b">
        <v>0</v>
      </c>
      <c r="D10485" s="56" t="b">
        <v>0</v>
      </c>
      <c r="E10485" s="56">
        <f ca="1">IF(PV[[#This Row],[Business Date]]=Control!$C$6, PV[[#This Row],[Notional Value Local Cur]], -PV[[#This Row],[Notional Value Local Cur]])</f>
        <v>0</v>
      </c>
    </row>
    <row r="10486" spans="1:5" x14ac:dyDescent="0.25">
      <c r="A10486" s="36" t="b">
        <v>0</v>
      </c>
      <c r="B10486" s="56" t="b">
        <v>0</v>
      </c>
      <c r="C10486" s="56" t="b">
        <v>0</v>
      </c>
      <c r="D10486" s="56" t="b">
        <v>0</v>
      </c>
      <c r="E10486" s="56">
        <f ca="1">IF(PV[[#This Row],[Business Date]]=Control!$C$6, PV[[#This Row],[Notional Value Local Cur]], -PV[[#This Row],[Notional Value Local Cur]])</f>
        <v>0</v>
      </c>
    </row>
    <row r="10487" spans="1:5" x14ac:dyDescent="0.25">
      <c r="A10487" s="36" t="b">
        <v>0</v>
      </c>
      <c r="B10487" s="56" t="b">
        <v>0</v>
      </c>
      <c r="C10487" s="56" t="b">
        <v>0</v>
      </c>
      <c r="D10487" s="56" t="b">
        <v>0</v>
      </c>
      <c r="E10487" s="56">
        <f ca="1">IF(PV[[#This Row],[Business Date]]=Control!$C$6, PV[[#This Row],[Notional Value Local Cur]], -PV[[#This Row],[Notional Value Local Cur]])</f>
        <v>0</v>
      </c>
    </row>
    <row r="10488" spans="1:5" x14ac:dyDescent="0.25">
      <c r="A10488" s="36" t="b">
        <v>0</v>
      </c>
      <c r="B10488" s="56" t="b">
        <v>0</v>
      </c>
      <c r="C10488" s="56" t="b">
        <v>0</v>
      </c>
      <c r="D10488" s="56" t="b">
        <v>0</v>
      </c>
      <c r="E10488" s="56">
        <f ca="1">IF(PV[[#This Row],[Business Date]]=Control!$C$6, PV[[#This Row],[Notional Value Local Cur]], -PV[[#This Row],[Notional Value Local Cur]])</f>
        <v>0</v>
      </c>
    </row>
    <row r="10489" spans="1:5" x14ac:dyDescent="0.25">
      <c r="A10489" s="36" t="b">
        <v>0</v>
      </c>
      <c r="B10489" s="56" t="b">
        <v>0</v>
      </c>
      <c r="C10489" s="56" t="b">
        <v>0</v>
      </c>
      <c r="D10489" s="56" t="b">
        <v>0</v>
      </c>
      <c r="E10489" s="56">
        <f ca="1">IF(PV[[#This Row],[Business Date]]=Control!$C$6, PV[[#This Row],[Notional Value Local Cur]], -PV[[#This Row],[Notional Value Local Cur]])</f>
        <v>0</v>
      </c>
    </row>
    <row r="10490" spans="1:5" x14ac:dyDescent="0.25">
      <c r="A10490" s="36" t="b">
        <v>0</v>
      </c>
      <c r="B10490" s="56" t="b">
        <v>0</v>
      </c>
      <c r="C10490" s="56" t="b">
        <v>0</v>
      </c>
      <c r="D10490" s="56" t="b">
        <v>0</v>
      </c>
      <c r="E10490" s="56">
        <f ca="1">IF(PV[[#This Row],[Business Date]]=Control!$C$6, PV[[#This Row],[Notional Value Local Cur]], -PV[[#This Row],[Notional Value Local Cur]])</f>
        <v>0</v>
      </c>
    </row>
    <row r="10491" spans="1:5" x14ac:dyDescent="0.25">
      <c r="A10491" s="36" t="b">
        <v>0</v>
      </c>
      <c r="B10491" s="56" t="b">
        <v>0</v>
      </c>
      <c r="C10491" s="56" t="b">
        <v>0</v>
      </c>
      <c r="D10491" s="56" t="b">
        <v>0</v>
      </c>
      <c r="E10491" s="56">
        <f ca="1">IF(PV[[#This Row],[Business Date]]=Control!$C$6, PV[[#This Row],[Notional Value Local Cur]], -PV[[#This Row],[Notional Value Local Cur]])</f>
        <v>0</v>
      </c>
    </row>
    <row r="10492" spans="1:5" x14ac:dyDescent="0.25">
      <c r="A10492" s="36" t="b">
        <v>0</v>
      </c>
      <c r="B10492" s="56" t="b">
        <v>0</v>
      </c>
      <c r="C10492" s="56" t="b">
        <v>0</v>
      </c>
      <c r="D10492" s="56" t="b">
        <v>0</v>
      </c>
      <c r="E10492" s="56">
        <f ca="1">IF(PV[[#This Row],[Business Date]]=Control!$C$6, PV[[#This Row],[Notional Value Local Cur]], -PV[[#This Row],[Notional Value Local Cur]])</f>
        <v>0</v>
      </c>
    </row>
    <row r="10493" spans="1:5" x14ac:dyDescent="0.25">
      <c r="A10493" s="36" t="b">
        <v>0</v>
      </c>
      <c r="B10493" s="56" t="b">
        <v>0</v>
      </c>
      <c r="C10493" s="56" t="b">
        <v>0</v>
      </c>
      <c r="D10493" s="56" t="b">
        <v>0</v>
      </c>
      <c r="E10493" s="56">
        <f ca="1">IF(PV[[#This Row],[Business Date]]=Control!$C$6, PV[[#This Row],[Notional Value Local Cur]], -PV[[#This Row],[Notional Value Local Cur]])</f>
        <v>0</v>
      </c>
    </row>
    <row r="10494" spans="1:5" x14ac:dyDescent="0.25">
      <c r="A10494" s="36" t="b">
        <v>0</v>
      </c>
      <c r="B10494" s="56" t="b">
        <v>0</v>
      </c>
      <c r="C10494" s="56" t="b">
        <v>0</v>
      </c>
      <c r="D10494" s="56" t="b">
        <v>0</v>
      </c>
      <c r="E10494" s="56">
        <f ca="1">IF(PV[[#This Row],[Business Date]]=Control!$C$6, PV[[#This Row],[Notional Value Local Cur]], -PV[[#This Row],[Notional Value Local Cur]])</f>
        <v>0</v>
      </c>
    </row>
    <row r="10495" spans="1:5" x14ac:dyDescent="0.25">
      <c r="A10495" s="36" t="b">
        <v>0</v>
      </c>
      <c r="B10495" s="56" t="b">
        <v>0</v>
      </c>
      <c r="C10495" s="56" t="b">
        <v>0</v>
      </c>
      <c r="D10495" s="56" t="b">
        <v>0</v>
      </c>
      <c r="E10495" s="56">
        <f ca="1">IF(PV[[#This Row],[Business Date]]=Control!$C$6, PV[[#This Row],[Notional Value Local Cur]], -PV[[#This Row],[Notional Value Local Cur]])</f>
        <v>0</v>
      </c>
    </row>
    <row r="10496" spans="1:5" x14ac:dyDescent="0.25">
      <c r="A10496" s="36" t="b">
        <v>0</v>
      </c>
      <c r="B10496" s="56" t="b">
        <v>0</v>
      </c>
      <c r="C10496" s="56" t="b">
        <v>0</v>
      </c>
      <c r="D10496" s="56" t="b">
        <v>0</v>
      </c>
      <c r="E10496" s="56">
        <f ca="1">IF(PV[[#This Row],[Business Date]]=Control!$C$6, PV[[#This Row],[Notional Value Local Cur]], -PV[[#This Row],[Notional Value Local Cur]])</f>
        <v>0</v>
      </c>
    </row>
    <row r="10497" spans="1:5" x14ac:dyDescent="0.25">
      <c r="A10497" s="36" t="b">
        <v>0</v>
      </c>
      <c r="B10497" s="56" t="b">
        <v>0</v>
      </c>
      <c r="C10497" s="56" t="b">
        <v>0</v>
      </c>
      <c r="D10497" s="56" t="b">
        <v>0</v>
      </c>
      <c r="E10497" s="56">
        <f ca="1">IF(PV[[#This Row],[Business Date]]=Control!$C$6, PV[[#This Row],[Notional Value Local Cur]], -PV[[#This Row],[Notional Value Local Cur]])</f>
        <v>0</v>
      </c>
    </row>
    <row r="10498" spans="1:5" x14ac:dyDescent="0.25">
      <c r="A10498" s="36" t="b">
        <v>0</v>
      </c>
      <c r="B10498" s="56" t="b">
        <v>0</v>
      </c>
      <c r="C10498" s="56" t="b">
        <v>0</v>
      </c>
      <c r="D10498" s="56" t="b">
        <v>0</v>
      </c>
      <c r="E10498" s="56">
        <f ca="1">IF(PV[[#This Row],[Business Date]]=Control!$C$6, PV[[#This Row],[Notional Value Local Cur]], -PV[[#This Row],[Notional Value Local Cur]])</f>
        <v>0</v>
      </c>
    </row>
    <row r="10499" spans="1:5" x14ac:dyDescent="0.25">
      <c r="A10499" s="36" t="b">
        <v>0</v>
      </c>
      <c r="B10499" s="56" t="b">
        <v>0</v>
      </c>
      <c r="C10499" s="56" t="b">
        <v>0</v>
      </c>
      <c r="D10499" s="56" t="b">
        <v>0</v>
      </c>
      <c r="E10499" s="56">
        <f ca="1">IF(PV[[#This Row],[Business Date]]=Control!$C$6, PV[[#This Row],[Notional Value Local Cur]], -PV[[#This Row],[Notional Value Local Cur]])</f>
        <v>0</v>
      </c>
    </row>
    <row r="10500" spans="1:5" x14ac:dyDescent="0.25">
      <c r="A10500" s="36" t="b">
        <v>0</v>
      </c>
      <c r="B10500" s="56" t="b">
        <v>0</v>
      </c>
      <c r="C10500" s="56" t="b">
        <v>0</v>
      </c>
      <c r="D10500" s="56" t="b">
        <v>0</v>
      </c>
      <c r="E10500" s="56">
        <f ca="1">IF(PV[[#This Row],[Business Date]]=Control!$C$6, PV[[#This Row],[Notional Value Local Cur]], -PV[[#This Row],[Notional Value Local Cur]])</f>
        <v>0</v>
      </c>
    </row>
    <row r="10501" spans="1:5" x14ac:dyDescent="0.25">
      <c r="A10501" s="36" t="b">
        <v>0</v>
      </c>
      <c r="B10501" s="56" t="b">
        <v>0</v>
      </c>
      <c r="C10501" s="56" t="b">
        <v>0</v>
      </c>
      <c r="D10501" s="56" t="b">
        <v>0</v>
      </c>
      <c r="E10501" s="56">
        <f ca="1">IF(PV[[#This Row],[Business Date]]=Control!$C$6, PV[[#This Row],[Notional Value Local Cur]], -PV[[#This Row],[Notional Value Local Cur]])</f>
        <v>0</v>
      </c>
    </row>
    <row r="10502" spans="1:5" x14ac:dyDescent="0.25">
      <c r="A10502" s="36" t="b">
        <v>0</v>
      </c>
      <c r="B10502" s="56" t="b">
        <v>0</v>
      </c>
      <c r="C10502" s="56" t="b">
        <v>0</v>
      </c>
      <c r="D10502" s="56" t="b">
        <v>0</v>
      </c>
      <c r="E10502" s="56">
        <f ca="1">IF(PV[[#This Row],[Business Date]]=Control!$C$6, PV[[#This Row],[Notional Value Local Cur]], -PV[[#This Row],[Notional Value Local Cur]])</f>
        <v>0</v>
      </c>
    </row>
    <row r="10503" spans="1:5" x14ac:dyDescent="0.25">
      <c r="A10503" s="36" t="b">
        <v>0</v>
      </c>
      <c r="B10503" s="56" t="b">
        <v>0</v>
      </c>
      <c r="C10503" s="56" t="b">
        <v>0</v>
      </c>
      <c r="D10503" s="56" t="b">
        <v>0</v>
      </c>
      <c r="E10503" s="56">
        <f ca="1">IF(PV[[#This Row],[Business Date]]=Control!$C$6, PV[[#This Row],[Notional Value Local Cur]], -PV[[#This Row],[Notional Value Local Cur]])</f>
        <v>0</v>
      </c>
    </row>
    <row r="10504" spans="1:5" x14ac:dyDescent="0.25">
      <c r="A10504" s="36" t="b">
        <v>0</v>
      </c>
      <c r="B10504" s="56" t="b">
        <v>0</v>
      </c>
      <c r="C10504" s="56" t="b">
        <v>0</v>
      </c>
      <c r="D10504" s="56" t="b">
        <v>0</v>
      </c>
      <c r="E10504" s="56">
        <f ca="1">IF(PV[[#This Row],[Business Date]]=Control!$C$6, PV[[#This Row],[Notional Value Local Cur]], -PV[[#This Row],[Notional Value Local Cur]])</f>
        <v>0</v>
      </c>
    </row>
    <row r="10505" spans="1:5" x14ac:dyDescent="0.25">
      <c r="A10505" s="36" t="b">
        <v>0</v>
      </c>
      <c r="B10505" s="56" t="b">
        <v>0</v>
      </c>
      <c r="C10505" s="56" t="b">
        <v>0</v>
      </c>
      <c r="D10505" s="56" t="b">
        <v>0</v>
      </c>
      <c r="E10505" s="56">
        <f ca="1">IF(PV[[#This Row],[Business Date]]=Control!$C$6, PV[[#This Row],[Notional Value Local Cur]], -PV[[#This Row],[Notional Value Local Cur]])</f>
        <v>0</v>
      </c>
    </row>
    <row r="10506" spans="1:5" x14ac:dyDescent="0.25">
      <c r="A10506" s="36" t="b">
        <v>0</v>
      </c>
      <c r="B10506" s="56" t="b">
        <v>0</v>
      </c>
      <c r="C10506" s="56" t="b">
        <v>0</v>
      </c>
      <c r="D10506" s="56" t="b">
        <v>0</v>
      </c>
      <c r="E10506" s="56">
        <f ca="1">IF(PV[[#This Row],[Business Date]]=Control!$C$6, PV[[#This Row],[Notional Value Local Cur]], -PV[[#This Row],[Notional Value Local Cur]])</f>
        <v>0</v>
      </c>
    </row>
    <row r="10507" spans="1:5" x14ac:dyDescent="0.25">
      <c r="A10507" s="36" t="b">
        <v>0</v>
      </c>
      <c r="B10507" s="56" t="b">
        <v>0</v>
      </c>
      <c r="C10507" s="56" t="b">
        <v>0</v>
      </c>
      <c r="D10507" s="56" t="b">
        <v>0</v>
      </c>
      <c r="E10507" s="56">
        <f ca="1">IF(PV[[#This Row],[Business Date]]=Control!$C$6, PV[[#This Row],[Notional Value Local Cur]], -PV[[#This Row],[Notional Value Local Cur]])</f>
        <v>0</v>
      </c>
    </row>
    <row r="10508" spans="1:5" x14ac:dyDescent="0.25">
      <c r="A10508" s="36" t="b">
        <v>0</v>
      </c>
      <c r="B10508" s="56" t="b">
        <v>0</v>
      </c>
      <c r="C10508" s="56" t="b">
        <v>0</v>
      </c>
      <c r="D10508" s="56" t="b">
        <v>0</v>
      </c>
      <c r="E10508" s="56">
        <f ca="1">IF(PV[[#This Row],[Business Date]]=Control!$C$6, PV[[#This Row],[Notional Value Local Cur]], -PV[[#This Row],[Notional Value Local Cur]])</f>
        <v>0</v>
      </c>
    </row>
    <row r="10509" spans="1:5" x14ac:dyDescent="0.25">
      <c r="A10509" s="36" t="b">
        <v>0</v>
      </c>
      <c r="B10509" s="56" t="b">
        <v>0</v>
      </c>
      <c r="C10509" s="56" t="b">
        <v>0</v>
      </c>
      <c r="D10509" s="56" t="b">
        <v>0</v>
      </c>
      <c r="E10509" s="56">
        <f ca="1">IF(PV[[#This Row],[Business Date]]=Control!$C$6, PV[[#This Row],[Notional Value Local Cur]], -PV[[#This Row],[Notional Value Local Cur]])</f>
        <v>0</v>
      </c>
    </row>
    <row r="10510" spans="1:5" x14ac:dyDescent="0.25">
      <c r="A10510" s="36" t="b">
        <v>0</v>
      </c>
      <c r="B10510" s="56" t="b">
        <v>0</v>
      </c>
      <c r="C10510" s="56" t="b">
        <v>0</v>
      </c>
      <c r="D10510" s="56" t="b">
        <v>0</v>
      </c>
      <c r="E10510" s="56">
        <f ca="1">IF(PV[[#This Row],[Business Date]]=Control!$C$6, PV[[#This Row],[Notional Value Local Cur]], -PV[[#This Row],[Notional Value Local Cur]])</f>
        <v>0</v>
      </c>
    </row>
    <row r="10511" spans="1:5" x14ac:dyDescent="0.25">
      <c r="A10511" s="36" t="b">
        <v>0</v>
      </c>
      <c r="B10511" s="56" t="b">
        <v>0</v>
      </c>
      <c r="C10511" s="56" t="b">
        <v>0</v>
      </c>
      <c r="D10511" s="56" t="b">
        <v>0</v>
      </c>
      <c r="E10511" s="56">
        <f ca="1">IF(PV[[#This Row],[Business Date]]=Control!$C$6, PV[[#This Row],[Notional Value Local Cur]], -PV[[#This Row],[Notional Value Local Cur]])</f>
        <v>0</v>
      </c>
    </row>
    <row r="10512" spans="1:5" x14ac:dyDescent="0.25">
      <c r="A10512" s="36" t="b">
        <v>0</v>
      </c>
      <c r="B10512" s="56" t="b">
        <v>0</v>
      </c>
      <c r="C10512" s="56" t="b">
        <v>0</v>
      </c>
      <c r="D10512" s="56" t="b">
        <v>0</v>
      </c>
      <c r="E10512" s="56">
        <f ca="1">IF(PV[[#This Row],[Business Date]]=Control!$C$6, PV[[#This Row],[Notional Value Local Cur]], -PV[[#This Row],[Notional Value Local Cur]])</f>
        <v>0</v>
      </c>
    </row>
    <row r="10513" spans="1:5" x14ac:dyDescent="0.25">
      <c r="A10513" s="36" t="b">
        <v>0</v>
      </c>
      <c r="B10513" s="56" t="b">
        <v>0</v>
      </c>
      <c r="C10513" s="56" t="b">
        <v>0</v>
      </c>
      <c r="D10513" s="56" t="b">
        <v>0</v>
      </c>
      <c r="E10513" s="56">
        <f ca="1">IF(PV[[#This Row],[Business Date]]=Control!$C$6, PV[[#This Row],[Notional Value Local Cur]], -PV[[#This Row],[Notional Value Local Cur]])</f>
        <v>0</v>
      </c>
    </row>
    <row r="10514" spans="1:5" x14ac:dyDescent="0.25">
      <c r="A10514" s="36" t="b">
        <v>0</v>
      </c>
      <c r="B10514" s="56" t="b">
        <v>0</v>
      </c>
      <c r="C10514" s="56" t="b">
        <v>0</v>
      </c>
      <c r="D10514" s="56" t="b">
        <v>0</v>
      </c>
      <c r="E10514" s="56">
        <f ca="1">IF(PV[[#This Row],[Business Date]]=Control!$C$6, PV[[#This Row],[Notional Value Local Cur]], -PV[[#This Row],[Notional Value Local Cur]])</f>
        <v>0</v>
      </c>
    </row>
    <row r="10515" spans="1:5" x14ac:dyDescent="0.25">
      <c r="A10515" s="36" t="b">
        <v>0</v>
      </c>
      <c r="B10515" s="56" t="b">
        <v>0</v>
      </c>
      <c r="C10515" s="56" t="b">
        <v>0</v>
      </c>
      <c r="D10515" s="56" t="b">
        <v>0</v>
      </c>
      <c r="E10515" s="56">
        <f ca="1">IF(PV[[#This Row],[Business Date]]=Control!$C$6, PV[[#This Row],[Notional Value Local Cur]], -PV[[#This Row],[Notional Value Local Cur]])</f>
        <v>0</v>
      </c>
    </row>
    <row r="10516" spans="1:5" x14ac:dyDescent="0.25">
      <c r="A10516" s="36" t="b">
        <v>0</v>
      </c>
      <c r="B10516" s="56" t="b">
        <v>0</v>
      </c>
      <c r="C10516" s="56" t="b">
        <v>0</v>
      </c>
      <c r="D10516" s="56" t="b">
        <v>0</v>
      </c>
      <c r="E10516" s="56">
        <f ca="1">IF(PV[[#This Row],[Business Date]]=Control!$C$6, PV[[#This Row],[Notional Value Local Cur]], -PV[[#This Row],[Notional Value Local Cur]])</f>
        <v>0</v>
      </c>
    </row>
    <row r="10517" spans="1:5" x14ac:dyDescent="0.25">
      <c r="A10517" s="36" t="b">
        <v>0</v>
      </c>
      <c r="B10517" s="56" t="b">
        <v>0</v>
      </c>
      <c r="C10517" s="56" t="b">
        <v>0</v>
      </c>
      <c r="D10517" s="56" t="b">
        <v>0</v>
      </c>
      <c r="E10517" s="56">
        <f ca="1">IF(PV[[#This Row],[Business Date]]=Control!$C$6, PV[[#This Row],[Notional Value Local Cur]], -PV[[#This Row],[Notional Value Local Cur]])</f>
        <v>0</v>
      </c>
    </row>
    <row r="10518" spans="1:5" x14ac:dyDescent="0.25">
      <c r="A10518" s="36" t="b">
        <v>0</v>
      </c>
      <c r="B10518" s="56" t="b">
        <v>0</v>
      </c>
      <c r="C10518" s="56" t="b">
        <v>0</v>
      </c>
      <c r="D10518" s="56" t="b">
        <v>0</v>
      </c>
      <c r="E10518" s="56">
        <f ca="1">IF(PV[[#This Row],[Business Date]]=Control!$C$6, PV[[#This Row],[Notional Value Local Cur]], -PV[[#This Row],[Notional Value Local Cur]])</f>
        <v>0</v>
      </c>
    </row>
    <row r="10519" spans="1:5" x14ac:dyDescent="0.25">
      <c r="A10519" s="36" t="b">
        <v>0</v>
      </c>
      <c r="B10519" s="56" t="b">
        <v>0</v>
      </c>
      <c r="C10519" s="56" t="b">
        <v>0</v>
      </c>
      <c r="D10519" s="56" t="b">
        <v>0</v>
      </c>
      <c r="E10519" s="56">
        <f ca="1">IF(PV[[#This Row],[Business Date]]=Control!$C$6, PV[[#This Row],[Notional Value Local Cur]], -PV[[#This Row],[Notional Value Local Cur]])</f>
        <v>0</v>
      </c>
    </row>
    <row r="10520" spans="1:5" x14ac:dyDescent="0.25">
      <c r="A10520" s="36" t="b">
        <v>0</v>
      </c>
      <c r="B10520" s="56" t="b">
        <v>0</v>
      </c>
      <c r="C10520" s="56" t="b">
        <v>0</v>
      </c>
      <c r="D10520" s="56" t="b">
        <v>0</v>
      </c>
      <c r="E10520" s="56">
        <f ca="1">IF(PV[[#This Row],[Business Date]]=Control!$C$6, PV[[#This Row],[Notional Value Local Cur]], -PV[[#This Row],[Notional Value Local Cur]])</f>
        <v>0</v>
      </c>
    </row>
    <row r="10521" spans="1:5" x14ac:dyDescent="0.25">
      <c r="A10521" s="36" t="b">
        <v>0</v>
      </c>
      <c r="B10521" s="56" t="b">
        <v>0</v>
      </c>
      <c r="C10521" s="56" t="b">
        <v>0</v>
      </c>
      <c r="D10521" s="56" t="b">
        <v>0</v>
      </c>
      <c r="E10521" s="56">
        <f ca="1">IF(PV[[#This Row],[Business Date]]=Control!$C$6, PV[[#This Row],[Notional Value Local Cur]], -PV[[#This Row],[Notional Value Local Cur]])</f>
        <v>0</v>
      </c>
    </row>
    <row r="10522" spans="1:5" x14ac:dyDescent="0.25">
      <c r="A10522" s="36" t="b">
        <v>0</v>
      </c>
      <c r="B10522" s="56" t="b">
        <v>0</v>
      </c>
      <c r="C10522" s="56" t="b">
        <v>0</v>
      </c>
      <c r="D10522" s="56" t="b">
        <v>0</v>
      </c>
      <c r="E10522" s="56">
        <f ca="1">IF(PV[[#This Row],[Business Date]]=Control!$C$6, PV[[#This Row],[Notional Value Local Cur]], -PV[[#This Row],[Notional Value Local Cur]])</f>
        <v>0</v>
      </c>
    </row>
    <row r="10523" spans="1:5" x14ac:dyDescent="0.25">
      <c r="A10523" s="36" t="b">
        <v>0</v>
      </c>
      <c r="B10523" s="56" t="b">
        <v>0</v>
      </c>
      <c r="C10523" s="56" t="b">
        <v>0</v>
      </c>
      <c r="D10523" s="56" t="b">
        <v>0</v>
      </c>
      <c r="E10523" s="56">
        <f ca="1">IF(PV[[#This Row],[Business Date]]=Control!$C$6, PV[[#This Row],[Notional Value Local Cur]], -PV[[#This Row],[Notional Value Local Cur]])</f>
        <v>0</v>
      </c>
    </row>
    <row r="10524" spans="1:5" x14ac:dyDescent="0.25">
      <c r="A10524" s="36" t="b">
        <v>0</v>
      </c>
      <c r="B10524" s="56" t="b">
        <v>0</v>
      </c>
      <c r="C10524" s="56" t="b">
        <v>0</v>
      </c>
      <c r="D10524" s="56" t="b">
        <v>0</v>
      </c>
      <c r="E10524" s="56">
        <f ca="1">IF(PV[[#This Row],[Business Date]]=Control!$C$6, PV[[#This Row],[Notional Value Local Cur]], -PV[[#This Row],[Notional Value Local Cur]])</f>
        <v>0</v>
      </c>
    </row>
    <row r="10525" spans="1:5" x14ac:dyDescent="0.25">
      <c r="A10525" s="36" t="b">
        <v>0</v>
      </c>
      <c r="B10525" s="56" t="b">
        <v>0</v>
      </c>
      <c r="C10525" s="56" t="b">
        <v>0</v>
      </c>
      <c r="D10525" s="56" t="b">
        <v>0</v>
      </c>
      <c r="E10525" s="56">
        <f ca="1">IF(PV[[#This Row],[Business Date]]=Control!$C$6, PV[[#This Row],[Notional Value Local Cur]], -PV[[#This Row],[Notional Value Local Cur]])</f>
        <v>0</v>
      </c>
    </row>
    <row r="10526" spans="1:5" x14ac:dyDescent="0.25">
      <c r="A10526" s="36" t="b">
        <v>0</v>
      </c>
      <c r="B10526" s="56" t="b">
        <v>0</v>
      </c>
      <c r="C10526" s="56" t="b">
        <v>0</v>
      </c>
      <c r="D10526" s="56" t="b">
        <v>0</v>
      </c>
      <c r="E10526" s="56">
        <f ca="1">IF(PV[[#This Row],[Business Date]]=Control!$C$6, PV[[#This Row],[Notional Value Local Cur]], -PV[[#This Row],[Notional Value Local Cur]])</f>
        <v>0</v>
      </c>
    </row>
    <row r="10527" spans="1:5" x14ac:dyDescent="0.25">
      <c r="A10527" s="36" t="b">
        <v>0</v>
      </c>
      <c r="B10527" s="56" t="b">
        <v>0</v>
      </c>
      <c r="C10527" s="56" t="b">
        <v>0</v>
      </c>
      <c r="D10527" s="56" t="b">
        <v>0</v>
      </c>
      <c r="E10527" s="56">
        <f ca="1">IF(PV[[#This Row],[Business Date]]=Control!$C$6, PV[[#This Row],[Notional Value Local Cur]], -PV[[#This Row],[Notional Value Local Cur]])</f>
        <v>0</v>
      </c>
    </row>
    <row r="10528" spans="1:5" x14ac:dyDescent="0.25">
      <c r="A10528" s="36" t="b">
        <v>0</v>
      </c>
      <c r="B10528" s="56" t="b">
        <v>0</v>
      </c>
      <c r="C10528" s="56" t="b">
        <v>0</v>
      </c>
      <c r="D10528" s="56" t="b">
        <v>0</v>
      </c>
      <c r="E10528" s="56">
        <f ca="1">IF(PV[[#This Row],[Business Date]]=Control!$C$6, PV[[#This Row],[Notional Value Local Cur]], -PV[[#This Row],[Notional Value Local Cur]])</f>
        <v>0</v>
      </c>
    </row>
    <row r="10529" spans="1:5" x14ac:dyDescent="0.25">
      <c r="A10529" s="36" t="b">
        <v>0</v>
      </c>
      <c r="B10529" s="56" t="b">
        <v>0</v>
      </c>
      <c r="C10529" s="56" t="b">
        <v>0</v>
      </c>
      <c r="D10529" s="56" t="b">
        <v>0</v>
      </c>
      <c r="E10529" s="56">
        <f ca="1">IF(PV[[#This Row],[Business Date]]=Control!$C$6, PV[[#This Row],[Notional Value Local Cur]], -PV[[#This Row],[Notional Value Local Cur]])</f>
        <v>0</v>
      </c>
    </row>
    <row r="10530" spans="1:5" x14ac:dyDescent="0.25">
      <c r="A10530" s="36" t="b">
        <v>0</v>
      </c>
      <c r="B10530" s="56" t="b">
        <v>0</v>
      </c>
      <c r="C10530" s="56" t="b">
        <v>0</v>
      </c>
      <c r="D10530" s="56" t="b">
        <v>0</v>
      </c>
      <c r="E10530" s="56">
        <f ca="1">IF(PV[[#This Row],[Business Date]]=Control!$C$6, PV[[#This Row],[Notional Value Local Cur]], -PV[[#This Row],[Notional Value Local Cur]])</f>
        <v>0</v>
      </c>
    </row>
    <row r="10531" spans="1:5" x14ac:dyDescent="0.25">
      <c r="A10531" s="36" t="b">
        <v>0</v>
      </c>
      <c r="B10531" s="56" t="b">
        <v>0</v>
      </c>
      <c r="C10531" s="56" t="b">
        <v>0</v>
      </c>
      <c r="D10531" s="56" t="b">
        <v>0</v>
      </c>
      <c r="E10531" s="56">
        <f ca="1">IF(PV[[#This Row],[Business Date]]=Control!$C$6, PV[[#This Row],[Notional Value Local Cur]], -PV[[#This Row],[Notional Value Local Cur]])</f>
        <v>0</v>
      </c>
    </row>
    <row r="10532" spans="1:5" x14ac:dyDescent="0.25">
      <c r="A10532" s="36" t="b">
        <v>0</v>
      </c>
      <c r="B10532" s="56" t="b">
        <v>0</v>
      </c>
      <c r="C10532" s="56" t="b">
        <v>0</v>
      </c>
      <c r="D10532" s="56" t="b">
        <v>0</v>
      </c>
      <c r="E10532" s="56">
        <f ca="1">IF(PV[[#This Row],[Business Date]]=Control!$C$6, PV[[#This Row],[Notional Value Local Cur]], -PV[[#This Row],[Notional Value Local Cur]])</f>
        <v>0</v>
      </c>
    </row>
    <row r="10533" spans="1:5" x14ac:dyDescent="0.25">
      <c r="A10533" s="36" t="b">
        <v>0</v>
      </c>
      <c r="B10533" s="56" t="b">
        <v>0</v>
      </c>
      <c r="C10533" s="56" t="b">
        <v>0</v>
      </c>
      <c r="D10533" s="56" t="b">
        <v>0</v>
      </c>
      <c r="E10533" s="56">
        <f ca="1">IF(PV[[#This Row],[Business Date]]=Control!$C$6, PV[[#This Row],[Notional Value Local Cur]], -PV[[#This Row],[Notional Value Local Cur]])</f>
        <v>0</v>
      </c>
    </row>
    <row r="10534" spans="1:5" x14ac:dyDescent="0.25">
      <c r="A10534" s="36" t="b">
        <v>0</v>
      </c>
      <c r="B10534" s="56" t="b">
        <v>0</v>
      </c>
      <c r="C10534" s="56" t="b">
        <v>0</v>
      </c>
      <c r="D10534" s="56" t="b">
        <v>0</v>
      </c>
      <c r="E10534" s="56">
        <f ca="1">IF(PV[[#This Row],[Business Date]]=Control!$C$6, PV[[#This Row],[Notional Value Local Cur]], -PV[[#This Row],[Notional Value Local Cur]])</f>
        <v>0</v>
      </c>
    </row>
    <row r="10535" spans="1:5" x14ac:dyDescent="0.25">
      <c r="A10535" s="36" t="b">
        <v>0</v>
      </c>
      <c r="B10535" s="56" t="b">
        <v>0</v>
      </c>
      <c r="C10535" s="56" t="b">
        <v>0</v>
      </c>
      <c r="D10535" s="56" t="b">
        <v>0</v>
      </c>
      <c r="E10535" s="56">
        <f ca="1">IF(PV[[#This Row],[Business Date]]=Control!$C$6, PV[[#This Row],[Notional Value Local Cur]], -PV[[#This Row],[Notional Value Local Cur]])</f>
        <v>0</v>
      </c>
    </row>
    <row r="10536" spans="1:5" x14ac:dyDescent="0.25">
      <c r="A10536" s="36" t="b">
        <v>0</v>
      </c>
      <c r="B10536" s="56" t="b">
        <v>0</v>
      </c>
      <c r="C10536" s="56" t="b">
        <v>0</v>
      </c>
      <c r="D10536" s="56" t="b">
        <v>0</v>
      </c>
      <c r="E10536" s="56">
        <f ca="1">IF(PV[[#This Row],[Business Date]]=Control!$C$6, PV[[#This Row],[Notional Value Local Cur]], -PV[[#This Row],[Notional Value Local Cur]])</f>
        <v>0</v>
      </c>
    </row>
    <row r="10537" spans="1:5" x14ac:dyDescent="0.25">
      <c r="A10537" s="36" t="b">
        <v>0</v>
      </c>
      <c r="B10537" s="56" t="b">
        <v>0</v>
      </c>
      <c r="C10537" s="56" t="b">
        <v>0</v>
      </c>
      <c r="D10537" s="56" t="b">
        <v>0</v>
      </c>
      <c r="E10537" s="56">
        <f ca="1">IF(PV[[#This Row],[Business Date]]=Control!$C$6, PV[[#This Row],[Notional Value Local Cur]], -PV[[#This Row],[Notional Value Local Cur]])</f>
        <v>0</v>
      </c>
    </row>
    <row r="10538" spans="1:5" x14ac:dyDescent="0.25">
      <c r="A10538" s="36" t="b">
        <v>0</v>
      </c>
      <c r="B10538" s="56" t="b">
        <v>0</v>
      </c>
      <c r="C10538" s="56" t="b">
        <v>0</v>
      </c>
      <c r="D10538" s="56" t="b">
        <v>0</v>
      </c>
      <c r="E10538" s="56">
        <f ca="1">IF(PV[[#This Row],[Business Date]]=Control!$C$6, PV[[#This Row],[Notional Value Local Cur]], -PV[[#This Row],[Notional Value Local Cur]])</f>
        <v>0</v>
      </c>
    </row>
    <row r="10539" spans="1:5" x14ac:dyDescent="0.25">
      <c r="A10539" s="36" t="b">
        <v>0</v>
      </c>
      <c r="B10539" s="56" t="b">
        <v>0</v>
      </c>
      <c r="C10539" s="56" t="b">
        <v>0</v>
      </c>
      <c r="D10539" s="56" t="b">
        <v>0</v>
      </c>
      <c r="E10539" s="56">
        <f ca="1">IF(PV[[#This Row],[Business Date]]=Control!$C$6, PV[[#This Row],[Notional Value Local Cur]], -PV[[#This Row],[Notional Value Local Cur]])</f>
        <v>0</v>
      </c>
    </row>
    <row r="10540" spans="1:5" x14ac:dyDescent="0.25">
      <c r="A10540" s="36" t="b">
        <v>0</v>
      </c>
      <c r="B10540" s="56" t="b">
        <v>0</v>
      </c>
      <c r="C10540" s="56" t="b">
        <v>0</v>
      </c>
      <c r="D10540" s="56" t="b">
        <v>0</v>
      </c>
      <c r="E10540" s="56">
        <f ca="1">IF(PV[[#This Row],[Business Date]]=Control!$C$6, PV[[#This Row],[Notional Value Local Cur]], -PV[[#This Row],[Notional Value Local Cur]])</f>
        <v>0</v>
      </c>
    </row>
    <row r="10541" spans="1:5" x14ac:dyDescent="0.25">
      <c r="A10541" s="36" t="b">
        <v>0</v>
      </c>
      <c r="B10541" s="56" t="b">
        <v>0</v>
      </c>
      <c r="C10541" s="56" t="b">
        <v>0</v>
      </c>
      <c r="D10541" s="56" t="b">
        <v>0</v>
      </c>
      <c r="E10541" s="56">
        <f ca="1">IF(PV[[#This Row],[Business Date]]=Control!$C$6, PV[[#This Row],[Notional Value Local Cur]], -PV[[#This Row],[Notional Value Local Cur]])</f>
        <v>0</v>
      </c>
    </row>
    <row r="10542" spans="1:5" x14ac:dyDescent="0.25">
      <c r="A10542" s="36" t="b">
        <v>0</v>
      </c>
      <c r="B10542" s="56" t="b">
        <v>0</v>
      </c>
      <c r="C10542" s="56" t="b">
        <v>0</v>
      </c>
      <c r="D10542" s="56" t="b">
        <v>0</v>
      </c>
      <c r="E10542" s="56">
        <f ca="1">IF(PV[[#This Row],[Business Date]]=Control!$C$6, PV[[#This Row],[Notional Value Local Cur]], -PV[[#This Row],[Notional Value Local Cur]])</f>
        <v>0</v>
      </c>
    </row>
    <row r="10543" spans="1:5" x14ac:dyDescent="0.25">
      <c r="A10543" s="36" t="b">
        <v>0</v>
      </c>
      <c r="B10543" s="56" t="b">
        <v>0</v>
      </c>
      <c r="C10543" s="56" t="b">
        <v>0</v>
      </c>
      <c r="D10543" s="56" t="b">
        <v>0</v>
      </c>
      <c r="E10543" s="56">
        <f ca="1">IF(PV[[#This Row],[Business Date]]=Control!$C$6, PV[[#This Row],[Notional Value Local Cur]], -PV[[#This Row],[Notional Value Local Cur]])</f>
        <v>0</v>
      </c>
    </row>
    <row r="10544" spans="1:5" x14ac:dyDescent="0.25">
      <c r="A10544" s="36" t="b">
        <v>0</v>
      </c>
      <c r="B10544" s="56" t="b">
        <v>0</v>
      </c>
      <c r="C10544" s="56" t="b">
        <v>0</v>
      </c>
      <c r="D10544" s="56" t="b">
        <v>0</v>
      </c>
      <c r="E10544" s="56">
        <f ca="1">IF(PV[[#This Row],[Business Date]]=Control!$C$6, PV[[#This Row],[Notional Value Local Cur]], -PV[[#This Row],[Notional Value Local Cur]])</f>
        <v>0</v>
      </c>
    </row>
    <row r="10545" spans="1:5" x14ac:dyDescent="0.25">
      <c r="A10545" s="36" t="b">
        <v>0</v>
      </c>
      <c r="B10545" s="56" t="b">
        <v>0</v>
      </c>
      <c r="C10545" s="56" t="b">
        <v>0</v>
      </c>
      <c r="D10545" s="56" t="b">
        <v>0</v>
      </c>
      <c r="E10545" s="56">
        <f ca="1">IF(PV[[#This Row],[Business Date]]=Control!$C$6, PV[[#This Row],[Notional Value Local Cur]], -PV[[#This Row],[Notional Value Local Cur]])</f>
        <v>0</v>
      </c>
    </row>
    <row r="10546" spans="1:5" x14ac:dyDescent="0.25">
      <c r="A10546" s="36" t="b">
        <v>0</v>
      </c>
      <c r="B10546" s="56" t="b">
        <v>0</v>
      </c>
      <c r="C10546" s="56" t="b">
        <v>0</v>
      </c>
      <c r="D10546" s="56" t="b">
        <v>0</v>
      </c>
      <c r="E10546" s="56">
        <f ca="1">IF(PV[[#This Row],[Business Date]]=Control!$C$6, PV[[#This Row],[Notional Value Local Cur]], -PV[[#This Row],[Notional Value Local Cur]])</f>
        <v>0</v>
      </c>
    </row>
    <row r="10547" spans="1:5" x14ac:dyDescent="0.25">
      <c r="A10547" s="36" t="b">
        <v>0</v>
      </c>
      <c r="B10547" s="56" t="b">
        <v>0</v>
      </c>
      <c r="C10547" s="56" t="b">
        <v>0</v>
      </c>
      <c r="D10547" s="56" t="b">
        <v>0</v>
      </c>
      <c r="E10547" s="56">
        <f ca="1">IF(PV[[#This Row],[Business Date]]=Control!$C$6, PV[[#This Row],[Notional Value Local Cur]], -PV[[#This Row],[Notional Value Local Cur]])</f>
        <v>0</v>
      </c>
    </row>
    <row r="10548" spans="1:5" x14ac:dyDescent="0.25">
      <c r="A10548" s="36" t="b">
        <v>0</v>
      </c>
      <c r="B10548" s="56" t="b">
        <v>0</v>
      </c>
      <c r="C10548" s="56" t="b">
        <v>0</v>
      </c>
      <c r="D10548" s="56" t="b">
        <v>0</v>
      </c>
      <c r="E10548" s="56">
        <f ca="1">IF(PV[[#This Row],[Business Date]]=Control!$C$6, PV[[#This Row],[Notional Value Local Cur]], -PV[[#This Row],[Notional Value Local Cur]])</f>
        <v>0</v>
      </c>
    </row>
    <row r="10549" spans="1:5" x14ac:dyDescent="0.25">
      <c r="A10549" s="36" t="b">
        <v>0</v>
      </c>
      <c r="B10549" s="56" t="b">
        <v>0</v>
      </c>
      <c r="C10549" s="56" t="b">
        <v>0</v>
      </c>
      <c r="D10549" s="56" t="b">
        <v>0</v>
      </c>
      <c r="E10549" s="56">
        <f ca="1">IF(PV[[#This Row],[Business Date]]=Control!$C$6, PV[[#This Row],[Notional Value Local Cur]], -PV[[#This Row],[Notional Value Local Cur]])</f>
        <v>0</v>
      </c>
    </row>
    <row r="10550" spans="1:5" x14ac:dyDescent="0.25">
      <c r="A10550" s="36" t="b">
        <v>0</v>
      </c>
      <c r="B10550" s="56" t="b">
        <v>0</v>
      </c>
      <c r="C10550" s="56" t="b">
        <v>0</v>
      </c>
      <c r="D10550" s="56" t="b">
        <v>0</v>
      </c>
      <c r="E10550" s="56">
        <f ca="1">IF(PV[[#This Row],[Business Date]]=Control!$C$6, PV[[#This Row],[Notional Value Local Cur]], -PV[[#This Row],[Notional Value Local Cur]])</f>
        <v>0</v>
      </c>
    </row>
    <row r="10551" spans="1:5" x14ac:dyDescent="0.25">
      <c r="A10551" s="36" t="b">
        <v>0</v>
      </c>
      <c r="B10551" s="56" t="b">
        <v>0</v>
      </c>
      <c r="C10551" s="56" t="b">
        <v>0</v>
      </c>
      <c r="D10551" s="56" t="b">
        <v>0</v>
      </c>
      <c r="E10551" s="56">
        <f ca="1">IF(PV[[#This Row],[Business Date]]=Control!$C$6, PV[[#This Row],[Notional Value Local Cur]], -PV[[#This Row],[Notional Value Local Cur]])</f>
        <v>0</v>
      </c>
    </row>
    <row r="10552" spans="1:5" x14ac:dyDescent="0.25">
      <c r="A10552" s="36" t="b">
        <v>0</v>
      </c>
      <c r="B10552" s="56" t="b">
        <v>0</v>
      </c>
      <c r="C10552" s="56" t="b">
        <v>0</v>
      </c>
      <c r="D10552" s="56" t="b">
        <v>0</v>
      </c>
      <c r="E10552" s="56">
        <f ca="1">IF(PV[[#This Row],[Business Date]]=Control!$C$6, PV[[#This Row],[Notional Value Local Cur]], -PV[[#This Row],[Notional Value Local Cur]])</f>
        <v>0</v>
      </c>
    </row>
    <row r="10553" spans="1:5" x14ac:dyDescent="0.25">
      <c r="A10553" s="36" t="b">
        <v>0</v>
      </c>
      <c r="B10553" s="56" t="b">
        <v>0</v>
      </c>
      <c r="C10553" s="56" t="b">
        <v>0</v>
      </c>
      <c r="D10553" s="56" t="b">
        <v>0</v>
      </c>
      <c r="E10553" s="56">
        <f ca="1">IF(PV[[#This Row],[Business Date]]=Control!$C$6, PV[[#This Row],[Notional Value Local Cur]], -PV[[#This Row],[Notional Value Local Cur]])</f>
        <v>0</v>
      </c>
    </row>
    <row r="10554" spans="1:5" x14ac:dyDescent="0.25">
      <c r="A10554" s="36" t="b">
        <v>0</v>
      </c>
      <c r="B10554" s="56" t="b">
        <v>0</v>
      </c>
      <c r="C10554" s="56" t="b">
        <v>0</v>
      </c>
      <c r="D10554" s="56" t="b">
        <v>0</v>
      </c>
      <c r="E10554" s="56">
        <f ca="1">IF(PV[[#This Row],[Business Date]]=Control!$C$6, PV[[#This Row],[Notional Value Local Cur]], -PV[[#This Row],[Notional Value Local Cur]])</f>
        <v>0</v>
      </c>
    </row>
    <row r="10555" spans="1:5" x14ac:dyDescent="0.25">
      <c r="A10555" s="36" t="b">
        <v>0</v>
      </c>
      <c r="B10555" s="56" t="b">
        <v>0</v>
      </c>
      <c r="C10555" s="56" t="b">
        <v>0</v>
      </c>
      <c r="D10555" s="56" t="b">
        <v>0</v>
      </c>
      <c r="E10555" s="56">
        <f ca="1">IF(PV[[#This Row],[Business Date]]=Control!$C$6, PV[[#This Row],[Notional Value Local Cur]], -PV[[#This Row],[Notional Value Local Cur]])</f>
        <v>0</v>
      </c>
    </row>
    <row r="10556" spans="1:5" x14ac:dyDescent="0.25">
      <c r="A10556" s="36" t="b">
        <v>0</v>
      </c>
      <c r="B10556" s="56" t="b">
        <v>0</v>
      </c>
      <c r="C10556" s="56" t="b">
        <v>0</v>
      </c>
      <c r="D10556" s="56" t="b">
        <v>0</v>
      </c>
      <c r="E10556" s="56">
        <f ca="1">IF(PV[[#This Row],[Business Date]]=Control!$C$6, PV[[#This Row],[Notional Value Local Cur]], -PV[[#This Row],[Notional Value Local Cur]])</f>
        <v>0</v>
      </c>
    </row>
    <row r="10557" spans="1:5" x14ac:dyDescent="0.25">
      <c r="A10557" s="36" t="b">
        <v>0</v>
      </c>
      <c r="B10557" s="56" t="b">
        <v>0</v>
      </c>
      <c r="C10557" s="56" t="b">
        <v>0</v>
      </c>
      <c r="D10557" s="56" t="b">
        <v>0</v>
      </c>
      <c r="E10557" s="56">
        <f ca="1">IF(PV[[#This Row],[Business Date]]=Control!$C$6, PV[[#This Row],[Notional Value Local Cur]], -PV[[#This Row],[Notional Value Local Cur]])</f>
        <v>0</v>
      </c>
    </row>
    <row r="10558" spans="1:5" x14ac:dyDescent="0.25">
      <c r="A10558" s="36" t="b">
        <v>0</v>
      </c>
      <c r="B10558" s="56" t="b">
        <v>0</v>
      </c>
      <c r="C10558" s="56" t="b">
        <v>0</v>
      </c>
      <c r="D10558" s="56" t="b">
        <v>0</v>
      </c>
      <c r="E10558" s="56">
        <f ca="1">IF(PV[[#This Row],[Business Date]]=Control!$C$6, PV[[#This Row],[Notional Value Local Cur]], -PV[[#This Row],[Notional Value Local Cur]])</f>
        <v>0</v>
      </c>
    </row>
    <row r="10559" spans="1:5" x14ac:dyDescent="0.25">
      <c r="A10559" s="36" t="b">
        <v>0</v>
      </c>
      <c r="B10559" s="56" t="b">
        <v>0</v>
      </c>
      <c r="C10559" s="56" t="b">
        <v>0</v>
      </c>
      <c r="D10559" s="56" t="b">
        <v>0</v>
      </c>
      <c r="E10559" s="56">
        <f ca="1">IF(PV[[#This Row],[Business Date]]=Control!$C$6, PV[[#This Row],[Notional Value Local Cur]], -PV[[#This Row],[Notional Value Local Cur]])</f>
        <v>0</v>
      </c>
    </row>
    <row r="10560" spans="1:5" x14ac:dyDescent="0.25">
      <c r="A10560" s="36" t="b">
        <v>0</v>
      </c>
      <c r="B10560" s="56" t="b">
        <v>0</v>
      </c>
      <c r="C10560" s="56" t="b">
        <v>0</v>
      </c>
      <c r="D10560" s="56" t="b">
        <v>0</v>
      </c>
      <c r="E10560" s="56">
        <f ca="1">IF(PV[[#This Row],[Business Date]]=Control!$C$6, PV[[#This Row],[Notional Value Local Cur]], -PV[[#This Row],[Notional Value Local Cur]])</f>
        <v>0</v>
      </c>
    </row>
    <row r="10561" spans="1:5" x14ac:dyDescent="0.25">
      <c r="A10561" s="36" t="b">
        <v>0</v>
      </c>
      <c r="B10561" s="56" t="b">
        <v>0</v>
      </c>
      <c r="C10561" s="56" t="b">
        <v>0</v>
      </c>
      <c r="D10561" s="56" t="b">
        <v>0</v>
      </c>
      <c r="E10561" s="56">
        <f ca="1">IF(PV[[#This Row],[Business Date]]=Control!$C$6, PV[[#This Row],[Notional Value Local Cur]], -PV[[#This Row],[Notional Value Local Cur]])</f>
        <v>0</v>
      </c>
    </row>
    <row r="10562" spans="1:5" x14ac:dyDescent="0.25">
      <c r="A10562" s="36" t="b">
        <v>0</v>
      </c>
      <c r="B10562" s="56" t="b">
        <v>0</v>
      </c>
      <c r="C10562" s="56" t="b">
        <v>0</v>
      </c>
      <c r="D10562" s="56" t="b">
        <v>0</v>
      </c>
      <c r="E10562" s="56">
        <f ca="1">IF(PV[[#This Row],[Business Date]]=Control!$C$6, PV[[#This Row],[Notional Value Local Cur]], -PV[[#This Row],[Notional Value Local Cur]])</f>
        <v>0</v>
      </c>
    </row>
    <row r="10563" spans="1:5" x14ac:dyDescent="0.25">
      <c r="A10563" s="36" t="b">
        <v>0</v>
      </c>
      <c r="B10563" s="56" t="b">
        <v>0</v>
      </c>
      <c r="C10563" s="56" t="b">
        <v>0</v>
      </c>
      <c r="D10563" s="56" t="b">
        <v>0</v>
      </c>
      <c r="E10563" s="56">
        <f ca="1">IF(PV[[#This Row],[Business Date]]=Control!$C$6, PV[[#This Row],[Notional Value Local Cur]], -PV[[#This Row],[Notional Value Local Cur]])</f>
        <v>0</v>
      </c>
    </row>
    <row r="10564" spans="1:5" x14ac:dyDescent="0.25">
      <c r="A10564" s="36" t="b">
        <v>0</v>
      </c>
      <c r="B10564" s="56" t="b">
        <v>0</v>
      </c>
      <c r="C10564" s="56" t="b">
        <v>0</v>
      </c>
      <c r="D10564" s="56" t="b">
        <v>0</v>
      </c>
      <c r="E10564" s="56">
        <f ca="1">IF(PV[[#This Row],[Business Date]]=Control!$C$6, PV[[#This Row],[Notional Value Local Cur]], -PV[[#This Row],[Notional Value Local Cur]])</f>
        <v>0</v>
      </c>
    </row>
    <row r="10565" spans="1:5" x14ac:dyDescent="0.25">
      <c r="A10565" s="36" t="b">
        <v>0</v>
      </c>
      <c r="B10565" s="56" t="b">
        <v>0</v>
      </c>
      <c r="C10565" s="56" t="b">
        <v>0</v>
      </c>
      <c r="D10565" s="56" t="b">
        <v>0</v>
      </c>
      <c r="E10565" s="56">
        <f ca="1">IF(PV[[#This Row],[Business Date]]=Control!$C$6, PV[[#This Row],[Notional Value Local Cur]], -PV[[#This Row],[Notional Value Local Cur]])</f>
        <v>0</v>
      </c>
    </row>
    <row r="10566" spans="1:5" x14ac:dyDescent="0.25">
      <c r="A10566" s="36" t="b">
        <v>0</v>
      </c>
      <c r="B10566" s="56" t="b">
        <v>0</v>
      </c>
      <c r="C10566" s="56" t="b">
        <v>0</v>
      </c>
      <c r="D10566" s="56" t="b">
        <v>0</v>
      </c>
      <c r="E10566" s="56">
        <f ca="1">IF(PV[[#This Row],[Business Date]]=Control!$C$6, PV[[#This Row],[Notional Value Local Cur]], -PV[[#This Row],[Notional Value Local Cur]])</f>
        <v>0</v>
      </c>
    </row>
    <row r="10567" spans="1:5" x14ac:dyDescent="0.25">
      <c r="A10567" s="36" t="b">
        <v>0</v>
      </c>
      <c r="B10567" s="56" t="b">
        <v>0</v>
      </c>
      <c r="C10567" s="56" t="b">
        <v>0</v>
      </c>
      <c r="D10567" s="56" t="b">
        <v>0</v>
      </c>
      <c r="E10567" s="56">
        <f ca="1">IF(PV[[#This Row],[Business Date]]=Control!$C$6, PV[[#This Row],[Notional Value Local Cur]], -PV[[#This Row],[Notional Value Local Cur]])</f>
        <v>0</v>
      </c>
    </row>
    <row r="10568" spans="1:5" x14ac:dyDescent="0.25">
      <c r="A10568" s="36" t="b">
        <v>0</v>
      </c>
      <c r="B10568" s="56" t="b">
        <v>0</v>
      </c>
      <c r="C10568" s="56" t="b">
        <v>0</v>
      </c>
      <c r="D10568" s="56" t="b">
        <v>0</v>
      </c>
      <c r="E10568" s="56">
        <f ca="1">IF(PV[[#This Row],[Business Date]]=Control!$C$6, PV[[#This Row],[Notional Value Local Cur]], -PV[[#This Row],[Notional Value Local Cur]])</f>
        <v>0</v>
      </c>
    </row>
    <row r="10569" spans="1:5" x14ac:dyDescent="0.25">
      <c r="A10569" s="36" t="b">
        <v>0</v>
      </c>
      <c r="B10569" s="56" t="b">
        <v>0</v>
      </c>
      <c r="C10569" s="56" t="b">
        <v>0</v>
      </c>
      <c r="D10569" s="56" t="b">
        <v>0</v>
      </c>
      <c r="E10569" s="56">
        <f ca="1">IF(PV[[#This Row],[Business Date]]=Control!$C$6, PV[[#This Row],[Notional Value Local Cur]], -PV[[#This Row],[Notional Value Local Cur]])</f>
        <v>0</v>
      </c>
    </row>
    <row r="10570" spans="1:5" x14ac:dyDescent="0.25">
      <c r="A10570" s="36" t="b">
        <v>0</v>
      </c>
      <c r="B10570" s="56" t="b">
        <v>0</v>
      </c>
      <c r="C10570" s="56" t="b">
        <v>0</v>
      </c>
      <c r="D10570" s="56" t="b">
        <v>0</v>
      </c>
      <c r="E10570" s="56">
        <f ca="1">IF(PV[[#This Row],[Business Date]]=Control!$C$6, PV[[#This Row],[Notional Value Local Cur]], -PV[[#This Row],[Notional Value Local Cur]])</f>
        <v>0</v>
      </c>
    </row>
    <row r="10571" spans="1:5" x14ac:dyDescent="0.25">
      <c r="A10571" s="36" t="b">
        <v>0</v>
      </c>
      <c r="B10571" s="56" t="b">
        <v>0</v>
      </c>
      <c r="C10571" s="56" t="b">
        <v>0</v>
      </c>
      <c r="D10571" s="56" t="b">
        <v>0</v>
      </c>
      <c r="E10571" s="56">
        <f ca="1">IF(PV[[#This Row],[Business Date]]=Control!$C$6, PV[[#This Row],[Notional Value Local Cur]], -PV[[#This Row],[Notional Value Local Cur]])</f>
        <v>0</v>
      </c>
    </row>
    <row r="10572" spans="1:5" x14ac:dyDescent="0.25">
      <c r="A10572" s="36" t="b">
        <v>0</v>
      </c>
      <c r="B10572" s="56" t="b">
        <v>0</v>
      </c>
      <c r="C10572" s="56" t="b">
        <v>0</v>
      </c>
      <c r="D10572" s="56" t="b">
        <v>0</v>
      </c>
      <c r="E10572" s="56">
        <f ca="1">IF(PV[[#This Row],[Business Date]]=Control!$C$6, PV[[#This Row],[Notional Value Local Cur]], -PV[[#This Row],[Notional Value Local Cur]])</f>
        <v>0</v>
      </c>
    </row>
    <row r="10573" spans="1:5" x14ac:dyDescent="0.25">
      <c r="A10573" s="36" t="b">
        <v>0</v>
      </c>
      <c r="B10573" s="56" t="b">
        <v>0</v>
      </c>
      <c r="C10573" s="56" t="b">
        <v>0</v>
      </c>
      <c r="D10573" s="56" t="b">
        <v>0</v>
      </c>
      <c r="E10573" s="56">
        <f ca="1">IF(PV[[#This Row],[Business Date]]=Control!$C$6, PV[[#This Row],[Notional Value Local Cur]], -PV[[#This Row],[Notional Value Local Cur]])</f>
        <v>0</v>
      </c>
    </row>
    <row r="10574" spans="1:5" x14ac:dyDescent="0.25">
      <c r="A10574" s="36" t="b">
        <v>0</v>
      </c>
      <c r="B10574" s="56" t="b">
        <v>0</v>
      </c>
      <c r="C10574" s="56" t="b">
        <v>0</v>
      </c>
      <c r="D10574" s="56" t="b">
        <v>0</v>
      </c>
      <c r="E10574" s="56">
        <f ca="1">IF(PV[[#This Row],[Business Date]]=Control!$C$6, PV[[#This Row],[Notional Value Local Cur]], -PV[[#This Row],[Notional Value Local Cur]])</f>
        <v>0</v>
      </c>
    </row>
    <row r="10575" spans="1:5" x14ac:dyDescent="0.25">
      <c r="A10575" s="36" t="b">
        <v>0</v>
      </c>
      <c r="B10575" s="56" t="b">
        <v>0</v>
      </c>
      <c r="C10575" s="56" t="b">
        <v>0</v>
      </c>
      <c r="D10575" s="56" t="b">
        <v>0</v>
      </c>
      <c r="E10575" s="56">
        <f ca="1">IF(PV[[#This Row],[Business Date]]=Control!$C$6, PV[[#This Row],[Notional Value Local Cur]], -PV[[#This Row],[Notional Value Local Cur]])</f>
        <v>0</v>
      </c>
    </row>
    <row r="10576" spans="1:5" x14ac:dyDescent="0.25">
      <c r="A10576" s="36" t="b">
        <v>0</v>
      </c>
      <c r="B10576" s="56" t="b">
        <v>0</v>
      </c>
      <c r="C10576" s="56" t="b">
        <v>0</v>
      </c>
      <c r="D10576" s="56" t="b">
        <v>0</v>
      </c>
      <c r="E10576" s="56">
        <f ca="1">IF(PV[[#This Row],[Business Date]]=Control!$C$6, PV[[#This Row],[Notional Value Local Cur]], -PV[[#This Row],[Notional Value Local Cur]])</f>
        <v>0</v>
      </c>
    </row>
    <row r="10577" spans="1:5" x14ac:dyDescent="0.25">
      <c r="A10577" s="36" t="b">
        <v>0</v>
      </c>
      <c r="B10577" s="56" t="b">
        <v>0</v>
      </c>
      <c r="C10577" s="56" t="b">
        <v>0</v>
      </c>
      <c r="D10577" s="56" t="b">
        <v>0</v>
      </c>
      <c r="E10577" s="56">
        <f ca="1">IF(PV[[#This Row],[Business Date]]=Control!$C$6, PV[[#This Row],[Notional Value Local Cur]], -PV[[#This Row],[Notional Value Local Cur]])</f>
        <v>0</v>
      </c>
    </row>
    <row r="10578" spans="1:5" x14ac:dyDescent="0.25">
      <c r="A10578" s="36" t="b">
        <v>0</v>
      </c>
      <c r="B10578" s="56" t="b">
        <v>0</v>
      </c>
      <c r="C10578" s="56" t="b">
        <v>0</v>
      </c>
      <c r="D10578" s="56" t="b">
        <v>0</v>
      </c>
      <c r="E10578" s="56">
        <f ca="1">IF(PV[[#This Row],[Business Date]]=Control!$C$6, PV[[#This Row],[Notional Value Local Cur]], -PV[[#This Row],[Notional Value Local Cur]])</f>
        <v>0</v>
      </c>
    </row>
    <row r="10579" spans="1:5" x14ac:dyDescent="0.25">
      <c r="A10579" s="36" t="b">
        <v>0</v>
      </c>
      <c r="B10579" s="56" t="b">
        <v>0</v>
      </c>
      <c r="C10579" s="56" t="b">
        <v>0</v>
      </c>
      <c r="D10579" s="56" t="b">
        <v>0</v>
      </c>
      <c r="E10579" s="56">
        <f ca="1">IF(PV[[#This Row],[Business Date]]=Control!$C$6, PV[[#This Row],[Notional Value Local Cur]], -PV[[#This Row],[Notional Value Local Cur]])</f>
        <v>0</v>
      </c>
    </row>
    <row r="10580" spans="1:5" x14ac:dyDescent="0.25">
      <c r="A10580" s="36" t="b">
        <v>0</v>
      </c>
      <c r="B10580" s="56" t="b">
        <v>0</v>
      </c>
      <c r="C10580" s="56" t="b">
        <v>0</v>
      </c>
      <c r="D10580" s="56" t="b">
        <v>0</v>
      </c>
      <c r="E10580" s="56">
        <f ca="1">IF(PV[[#This Row],[Business Date]]=Control!$C$6, PV[[#This Row],[Notional Value Local Cur]], -PV[[#This Row],[Notional Value Local Cur]])</f>
        <v>0</v>
      </c>
    </row>
    <row r="10581" spans="1:5" x14ac:dyDescent="0.25">
      <c r="A10581" s="36" t="b">
        <v>0</v>
      </c>
      <c r="B10581" s="56" t="b">
        <v>0</v>
      </c>
      <c r="C10581" s="56" t="b">
        <v>0</v>
      </c>
      <c r="D10581" s="56" t="b">
        <v>0</v>
      </c>
      <c r="E10581" s="56">
        <f ca="1">IF(PV[[#This Row],[Business Date]]=Control!$C$6, PV[[#This Row],[Notional Value Local Cur]], -PV[[#This Row],[Notional Value Local Cur]])</f>
        <v>0</v>
      </c>
    </row>
    <row r="10582" spans="1:5" x14ac:dyDescent="0.25">
      <c r="A10582" s="36" t="b">
        <v>0</v>
      </c>
      <c r="B10582" s="56" t="b">
        <v>0</v>
      </c>
      <c r="C10582" s="56" t="b">
        <v>0</v>
      </c>
      <c r="D10582" s="56" t="b">
        <v>0</v>
      </c>
      <c r="E10582" s="56">
        <f ca="1">IF(PV[[#This Row],[Business Date]]=Control!$C$6, PV[[#This Row],[Notional Value Local Cur]], -PV[[#This Row],[Notional Value Local Cur]])</f>
        <v>0</v>
      </c>
    </row>
    <row r="10583" spans="1:5" x14ac:dyDescent="0.25">
      <c r="A10583" s="36" t="b">
        <v>0</v>
      </c>
      <c r="B10583" s="56" t="b">
        <v>0</v>
      </c>
      <c r="C10583" s="56" t="b">
        <v>0</v>
      </c>
      <c r="D10583" s="56" t="b">
        <v>0</v>
      </c>
      <c r="E10583" s="56">
        <f ca="1">IF(PV[[#This Row],[Business Date]]=Control!$C$6, PV[[#This Row],[Notional Value Local Cur]], -PV[[#This Row],[Notional Value Local Cur]])</f>
        <v>0</v>
      </c>
    </row>
    <row r="10584" spans="1:5" x14ac:dyDescent="0.25">
      <c r="A10584" s="36" t="b">
        <v>0</v>
      </c>
      <c r="B10584" s="56" t="b">
        <v>0</v>
      </c>
      <c r="C10584" s="56" t="b">
        <v>0</v>
      </c>
      <c r="D10584" s="56" t="b">
        <v>0</v>
      </c>
      <c r="E10584" s="56">
        <f ca="1">IF(PV[[#This Row],[Business Date]]=Control!$C$6, PV[[#This Row],[Notional Value Local Cur]], -PV[[#This Row],[Notional Value Local Cur]])</f>
        <v>0</v>
      </c>
    </row>
    <row r="10585" spans="1:5" x14ac:dyDescent="0.25">
      <c r="A10585" s="36" t="b">
        <v>0</v>
      </c>
      <c r="B10585" s="56" t="b">
        <v>0</v>
      </c>
      <c r="C10585" s="56" t="b">
        <v>0</v>
      </c>
      <c r="D10585" s="56" t="b">
        <v>0</v>
      </c>
      <c r="E10585" s="56">
        <f ca="1">IF(PV[[#This Row],[Business Date]]=Control!$C$6, PV[[#This Row],[Notional Value Local Cur]], -PV[[#This Row],[Notional Value Local Cur]])</f>
        <v>0</v>
      </c>
    </row>
    <row r="10586" spans="1:5" x14ac:dyDescent="0.25">
      <c r="A10586" s="36" t="b">
        <v>0</v>
      </c>
      <c r="B10586" s="56" t="b">
        <v>0</v>
      </c>
      <c r="C10586" s="56" t="b">
        <v>0</v>
      </c>
      <c r="D10586" s="56" t="b">
        <v>0</v>
      </c>
      <c r="E10586" s="56">
        <f ca="1">IF(PV[[#This Row],[Business Date]]=Control!$C$6, PV[[#This Row],[Notional Value Local Cur]], -PV[[#This Row],[Notional Value Local Cur]])</f>
        <v>0</v>
      </c>
    </row>
    <row r="10587" spans="1:5" x14ac:dyDescent="0.25">
      <c r="A10587" s="36" t="b">
        <v>0</v>
      </c>
      <c r="B10587" s="56" t="b">
        <v>0</v>
      </c>
      <c r="C10587" s="56" t="b">
        <v>0</v>
      </c>
      <c r="D10587" s="56" t="b">
        <v>0</v>
      </c>
      <c r="E10587" s="56">
        <f ca="1">IF(PV[[#This Row],[Business Date]]=Control!$C$6, PV[[#This Row],[Notional Value Local Cur]], -PV[[#This Row],[Notional Value Local Cur]])</f>
        <v>0</v>
      </c>
    </row>
    <row r="10588" spans="1:5" x14ac:dyDescent="0.25">
      <c r="A10588" s="36" t="b">
        <v>0</v>
      </c>
      <c r="B10588" s="56" t="b">
        <v>0</v>
      </c>
      <c r="C10588" s="56" t="b">
        <v>0</v>
      </c>
      <c r="D10588" s="56" t="b">
        <v>0</v>
      </c>
      <c r="E10588" s="56">
        <f ca="1">IF(PV[[#This Row],[Business Date]]=Control!$C$6, PV[[#This Row],[Notional Value Local Cur]], -PV[[#This Row],[Notional Value Local Cur]])</f>
        <v>0</v>
      </c>
    </row>
    <row r="10589" spans="1:5" x14ac:dyDescent="0.25">
      <c r="A10589" s="36" t="b">
        <v>0</v>
      </c>
      <c r="B10589" s="56" t="b">
        <v>0</v>
      </c>
      <c r="C10589" s="56" t="b">
        <v>0</v>
      </c>
      <c r="D10589" s="56" t="b">
        <v>0</v>
      </c>
      <c r="E10589" s="56">
        <f ca="1">IF(PV[[#This Row],[Business Date]]=Control!$C$6, PV[[#This Row],[Notional Value Local Cur]], -PV[[#This Row],[Notional Value Local Cur]])</f>
        <v>0</v>
      </c>
    </row>
    <row r="10590" spans="1:5" x14ac:dyDescent="0.25">
      <c r="A10590" s="36" t="b">
        <v>0</v>
      </c>
      <c r="B10590" s="56" t="b">
        <v>0</v>
      </c>
      <c r="C10590" s="56" t="b">
        <v>0</v>
      </c>
      <c r="D10590" s="56" t="b">
        <v>0</v>
      </c>
      <c r="E10590" s="56">
        <f ca="1">IF(PV[[#This Row],[Business Date]]=Control!$C$6, PV[[#This Row],[Notional Value Local Cur]], -PV[[#This Row],[Notional Value Local Cur]])</f>
        <v>0</v>
      </c>
    </row>
    <row r="10591" spans="1:5" x14ac:dyDescent="0.25">
      <c r="A10591" s="36" t="b">
        <v>0</v>
      </c>
      <c r="B10591" s="56" t="b">
        <v>0</v>
      </c>
      <c r="C10591" s="56" t="b">
        <v>0</v>
      </c>
      <c r="D10591" s="56" t="b">
        <v>0</v>
      </c>
      <c r="E10591" s="56">
        <f ca="1">IF(PV[[#This Row],[Business Date]]=Control!$C$6, PV[[#This Row],[Notional Value Local Cur]], -PV[[#This Row],[Notional Value Local Cur]])</f>
        <v>0</v>
      </c>
    </row>
    <row r="10592" spans="1:5" x14ac:dyDescent="0.25">
      <c r="A10592" s="36" t="b">
        <v>0</v>
      </c>
      <c r="B10592" s="56" t="b">
        <v>0</v>
      </c>
      <c r="C10592" s="56" t="b">
        <v>0</v>
      </c>
      <c r="D10592" s="56" t="b">
        <v>0</v>
      </c>
      <c r="E10592" s="56">
        <f ca="1">IF(PV[[#This Row],[Business Date]]=Control!$C$6, PV[[#This Row],[Notional Value Local Cur]], -PV[[#This Row],[Notional Value Local Cur]])</f>
        <v>0</v>
      </c>
    </row>
    <row r="10593" spans="1:5" x14ac:dyDescent="0.25">
      <c r="A10593" s="36" t="b">
        <v>0</v>
      </c>
      <c r="B10593" s="56" t="b">
        <v>0</v>
      </c>
      <c r="C10593" s="56" t="b">
        <v>0</v>
      </c>
      <c r="D10593" s="56" t="b">
        <v>0</v>
      </c>
      <c r="E10593" s="56">
        <f ca="1">IF(PV[[#This Row],[Business Date]]=Control!$C$6, PV[[#This Row],[Notional Value Local Cur]], -PV[[#This Row],[Notional Value Local Cur]])</f>
        <v>0</v>
      </c>
    </row>
    <row r="10594" spans="1:5" x14ac:dyDescent="0.25">
      <c r="A10594" s="36" t="b">
        <v>0</v>
      </c>
      <c r="B10594" s="56" t="b">
        <v>0</v>
      </c>
      <c r="C10594" s="56" t="b">
        <v>0</v>
      </c>
      <c r="D10594" s="56" t="b">
        <v>0</v>
      </c>
      <c r="E10594" s="56">
        <f ca="1">IF(PV[[#This Row],[Business Date]]=Control!$C$6, PV[[#This Row],[Notional Value Local Cur]], -PV[[#This Row],[Notional Value Local Cur]])</f>
        <v>0</v>
      </c>
    </row>
    <row r="10595" spans="1:5" x14ac:dyDescent="0.25">
      <c r="A10595" s="36" t="b">
        <v>0</v>
      </c>
      <c r="B10595" s="56" t="b">
        <v>0</v>
      </c>
      <c r="C10595" s="56" t="b">
        <v>0</v>
      </c>
      <c r="D10595" s="56" t="b">
        <v>0</v>
      </c>
      <c r="E10595" s="56">
        <f ca="1">IF(PV[[#This Row],[Business Date]]=Control!$C$6, PV[[#This Row],[Notional Value Local Cur]], -PV[[#This Row],[Notional Value Local Cur]])</f>
        <v>0</v>
      </c>
    </row>
    <row r="10596" spans="1:5" x14ac:dyDescent="0.25">
      <c r="A10596" s="36" t="b">
        <v>0</v>
      </c>
      <c r="B10596" s="56" t="b">
        <v>0</v>
      </c>
      <c r="C10596" s="56" t="b">
        <v>0</v>
      </c>
      <c r="D10596" s="56" t="b">
        <v>0</v>
      </c>
      <c r="E10596" s="56">
        <f ca="1">IF(PV[[#This Row],[Business Date]]=Control!$C$6, PV[[#This Row],[Notional Value Local Cur]], -PV[[#This Row],[Notional Value Local Cur]])</f>
        <v>0</v>
      </c>
    </row>
    <row r="10597" spans="1:5" x14ac:dyDescent="0.25">
      <c r="A10597" s="36" t="b">
        <v>0</v>
      </c>
      <c r="B10597" s="56" t="b">
        <v>0</v>
      </c>
      <c r="C10597" s="56" t="b">
        <v>0</v>
      </c>
      <c r="D10597" s="56" t="b">
        <v>0</v>
      </c>
      <c r="E10597" s="56">
        <f ca="1">IF(PV[[#This Row],[Business Date]]=Control!$C$6, PV[[#This Row],[Notional Value Local Cur]], -PV[[#This Row],[Notional Value Local Cur]])</f>
        <v>0</v>
      </c>
    </row>
    <row r="10598" spans="1:5" x14ac:dyDescent="0.25">
      <c r="A10598" s="36" t="b">
        <v>0</v>
      </c>
      <c r="B10598" s="56" t="b">
        <v>0</v>
      </c>
      <c r="C10598" s="56" t="b">
        <v>0</v>
      </c>
      <c r="D10598" s="56" t="b">
        <v>0</v>
      </c>
      <c r="E10598" s="56">
        <f ca="1">IF(PV[[#This Row],[Business Date]]=Control!$C$6, PV[[#This Row],[Notional Value Local Cur]], -PV[[#This Row],[Notional Value Local Cur]])</f>
        <v>0</v>
      </c>
    </row>
    <row r="10599" spans="1:5" x14ac:dyDescent="0.25">
      <c r="A10599" s="36" t="b">
        <v>0</v>
      </c>
      <c r="B10599" s="56" t="b">
        <v>0</v>
      </c>
      <c r="C10599" s="56" t="b">
        <v>0</v>
      </c>
      <c r="D10599" s="56" t="b">
        <v>0</v>
      </c>
      <c r="E10599" s="56">
        <f ca="1">IF(PV[[#This Row],[Business Date]]=Control!$C$6, PV[[#This Row],[Notional Value Local Cur]], -PV[[#This Row],[Notional Value Local Cur]])</f>
        <v>0</v>
      </c>
    </row>
    <row r="10600" spans="1:5" x14ac:dyDescent="0.25">
      <c r="A10600" s="36" t="b">
        <v>0</v>
      </c>
      <c r="B10600" s="56" t="b">
        <v>0</v>
      </c>
      <c r="C10600" s="56" t="b">
        <v>0</v>
      </c>
      <c r="D10600" s="56" t="b">
        <v>0</v>
      </c>
      <c r="E10600" s="56">
        <f ca="1">IF(PV[[#This Row],[Business Date]]=Control!$C$6, PV[[#This Row],[Notional Value Local Cur]], -PV[[#This Row],[Notional Value Local Cur]])</f>
        <v>0</v>
      </c>
    </row>
    <row r="10601" spans="1:5" x14ac:dyDescent="0.25">
      <c r="A10601" s="36" t="b">
        <v>0</v>
      </c>
      <c r="B10601" s="56" t="b">
        <v>0</v>
      </c>
      <c r="C10601" s="56" t="b">
        <v>0</v>
      </c>
      <c r="D10601" s="56" t="b">
        <v>0</v>
      </c>
      <c r="E10601" s="56">
        <f ca="1">IF(PV[[#This Row],[Business Date]]=Control!$C$6, PV[[#This Row],[Notional Value Local Cur]], -PV[[#This Row],[Notional Value Local Cur]])</f>
        <v>0</v>
      </c>
    </row>
    <row r="10602" spans="1:5" x14ac:dyDescent="0.25">
      <c r="A10602" s="36" t="b">
        <v>0</v>
      </c>
      <c r="B10602" s="56" t="b">
        <v>0</v>
      </c>
      <c r="C10602" s="56" t="b">
        <v>0</v>
      </c>
      <c r="D10602" s="56" t="b">
        <v>0</v>
      </c>
      <c r="E10602" s="56">
        <f ca="1">IF(PV[[#This Row],[Business Date]]=Control!$C$6, PV[[#This Row],[Notional Value Local Cur]], -PV[[#This Row],[Notional Value Local Cur]])</f>
        <v>0</v>
      </c>
    </row>
    <row r="10603" spans="1:5" x14ac:dyDescent="0.25">
      <c r="A10603" s="36" t="b">
        <v>0</v>
      </c>
      <c r="B10603" s="56" t="b">
        <v>0</v>
      </c>
      <c r="C10603" s="56" t="b">
        <v>0</v>
      </c>
      <c r="D10603" s="56" t="b">
        <v>0</v>
      </c>
      <c r="E10603" s="56">
        <f ca="1">IF(PV[[#This Row],[Business Date]]=Control!$C$6, PV[[#This Row],[Notional Value Local Cur]], -PV[[#This Row],[Notional Value Local Cur]])</f>
        <v>0</v>
      </c>
    </row>
    <row r="10604" spans="1:5" x14ac:dyDescent="0.25">
      <c r="A10604" s="36" t="b">
        <v>0</v>
      </c>
      <c r="B10604" s="56" t="b">
        <v>0</v>
      </c>
      <c r="C10604" s="56" t="b">
        <v>0</v>
      </c>
      <c r="D10604" s="56" t="b">
        <v>0</v>
      </c>
      <c r="E10604" s="56">
        <f ca="1">IF(PV[[#This Row],[Business Date]]=Control!$C$6, PV[[#This Row],[Notional Value Local Cur]], -PV[[#This Row],[Notional Value Local Cur]])</f>
        <v>0</v>
      </c>
    </row>
    <row r="10605" spans="1:5" x14ac:dyDescent="0.25">
      <c r="A10605" s="36" t="b">
        <v>0</v>
      </c>
      <c r="B10605" s="56" t="b">
        <v>0</v>
      </c>
      <c r="C10605" s="56" t="b">
        <v>0</v>
      </c>
      <c r="D10605" s="56" t="b">
        <v>0</v>
      </c>
      <c r="E10605" s="56">
        <f ca="1">IF(PV[[#This Row],[Business Date]]=Control!$C$6, PV[[#This Row],[Notional Value Local Cur]], -PV[[#This Row],[Notional Value Local Cur]])</f>
        <v>0</v>
      </c>
    </row>
    <row r="10606" spans="1:5" x14ac:dyDescent="0.25">
      <c r="A10606" s="36" t="b">
        <v>0</v>
      </c>
      <c r="B10606" s="56" t="b">
        <v>0</v>
      </c>
      <c r="C10606" s="56" t="b">
        <v>0</v>
      </c>
      <c r="D10606" s="56" t="b">
        <v>0</v>
      </c>
      <c r="E10606" s="56">
        <f ca="1">IF(PV[[#This Row],[Business Date]]=Control!$C$6, PV[[#This Row],[Notional Value Local Cur]], -PV[[#This Row],[Notional Value Local Cur]])</f>
        <v>0</v>
      </c>
    </row>
    <row r="10607" spans="1:5" x14ac:dyDescent="0.25">
      <c r="A10607" s="36" t="b">
        <v>0</v>
      </c>
      <c r="B10607" s="56" t="b">
        <v>0</v>
      </c>
      <c r="C10607" s="56" t="b">
        <v>0</v>
      </c>
      <c r="D10607" s="56" t="b">
        <v>0</v>
      </c>
      <c r="E10607" s="56">
        <f ca="1">IF(PV[[#This Row],[Business Date]]=Control!$C$6, PV[[#This Row],[Notional Value Local Cur]], -PV[[#This Row],[Notional Value Local Cur]])</f>
        <v>0</v>
      </c>
    </row>
    <row r="10608" spans="1:5" x14ac:dyDescent="0.25">
      <c r="A10608" s="36" t="b">
        <v>0</v>
      </c>
      <c r="B10608" s="56" t="b">
        <v>0</v>
      </c>
      <c r="C10608" s="56" t="b">
        <v>0</v>
      </c>
      <c r="D10608" s="56" t="b">
        <v>0</v>
      </c>
      <c r="E10608" s="56">
        <f ca="1">IF(PV[[#This Row],[Business Date]]=Control!$C$6, PV[[#This Row],[Notional Value Local Cur]], -PV[[#This Row],[Notional Value Local Cur]])</f>
        <v>0</v>
      </c>
    </row>
    <row r="10609" spans="1:5" x14ac:dyDescent="0.25">
      <c r="A10609" s="36" t="b">
        <v>0</v>
      </c>
      <c r="B10609" s="56" t="b">
        <v>0</v>
      </c>
      <c r="C10609" s="56" t="b">
        <v>0</v>
      </c>
      <c r="D10609" s="56" t="b">
        <v>0</v>
      </c>
      <c r="E10609" s="56">
        <f ca="1">IF(PV[[#This Row],[Business Date]]=Control!$C$6, PV[[#This Row],[Notional Value Local Cur]], -PV[[#This Row],[Notional Value Local Cur]])</f>
        <v>0</v>
      </c>
    </row>
    <row r="10610" spans="1:5" x14ac:dyDescent="0.25">
      <c r="A10610" s="36" t="b">
        <v>0</v>
      </c>
      <c r="B10610" s="56" t="b">
        <v>0</v>
      </c>
      <c r="C10610" s="56" t="b">
        <v>0</v>
      </c>
      <c r="D10610" s="56" t="b">
        <v>0</v>
      </c>
      <c r="E10610" s="56">
        <f ca="1">IF(PV[[#This Row],[Business Date]]=Control!$C$6, PV[[#This Row],[Notional Value Local Cur]], -PV[[#This Row],[Notional Value Local Cur]])</f>
        <v>0</v>
      </c>
    </row>
    <row r="10611" spans="1:5" x14ac:dyDescent="0.25">
      <c r="A10611" s="36" t="b">
        <v>0</v>
      </c>
      <c r="B10611" s="56" t="b">
        <v>0</v>
      </c>
      <c r="C10611" s="56" t="b">
        <v>0</v>
      </c>
      <c r="D10611" s="56" t="b">
        <v>0</v>
      </c>
      <c r="E10611" s="56">
        <f ca="1">IF(PV[[#This Row],[Business Date]]=Control!$C$6, PV[[#This Row],[Notional Value Local Cur]], -PV[[#This Row],[Notional Value Local Cur]])</f>
        <v>0</v>
      </c>
    </row>
    <row r="10612" spans="1:5" x14ac:dyDescent="0.25">
      <c r="A10612" s="36" t="b">
        <v>0</v>
      </c>
      <c r="B10612" s="56" t="b">
        <v>0</v>
      </c>
      <c r="C10612" s="56" t="b">
        <v>0</v>
      </c>
      <c r="D10612" s="56" t="b">
        <v>0</v>
      </c>
      <c r="E10612" s="56">
        <f ca="1">IF(PV[[#This Row],[Business Date]]=Control!$C$6, PV[[#This Row],[Notional Value Local Cur]], -PV[[#This Row],[Notional Value Local Cur]])</f>
        <v>0</v>
      </c>
    </row>
    <row r="10613" spans="1:5" x14ac:dyDescent="0.25">
      <c r="A10613" s="36" t="b">
        <v>0</v>
      </c>
      <c r="B10613" s="56" t="b">
        <v>0</v>
      </c>
      <c r="C10613" s="56" t="b">
        <v>0</v>
      </c>
      <c r="D10613" s="56" t="b">
        <v>0</v>
      </c>
      <c r="E10613" s="56">
        <f ca="1">IF(PV[[#This Row],[Business Date]]=Control!$C$6, PV[[#This Row],[Notional Value Local Cur]], -PV[[#This Row],[Notional Value Local Cur]])</f>
        <v>0</v>
      </c>
    </row>
    <row r="10614" spans="1:5" x14ac:dyDescent="0.25">
      <c r="A10614" s="36" t="b">
        <v>0</v>
      </c>
      <c r="B10614" s="56" t="b">
        <v>0</v>
      </c>
      <c r="C10614" s="56" t="b">
        <v>0</v>
      </c>
      <c r="D10614" s="56" t="b">
        <v>0</v>
      </c>
      <c r="E10614" s="56">
        <f ca="1">IF(PV[[#This Row],[Business Date]]=Control!$C$6, PV[[#This Row],[Notional Value Local Cur]], -PV[[#This Row],[Notional Value Local Cur]])</f>
        <v>0</v>
      </c>
    </row>
    <row r="10615" spans="1:5" x14ac:dyDescent="0.25">
      <c r="A10615" s="36" t="b">
        <v>0</v>
      </c>
      <c r="B10615" s="56" t="b">
        <v>0</v>
      </c>
      <c r="C10615" s="56" t="b">
        <v>0</v>
      </c>
      <c r="D10615" s="56" t="b">
        <v>0</v>
      </c>
      <c r="E10615" s="56">
        <f ca="1">IF(PV[[#This Row],[Business Date]]=Control!$C$6, PV[[#This Row],[Notional Value Local Cur]], -PV[[#This Row],[Notional Value Local Cur]])</f>
        <v>0</v>
      </c>
    </row>
    <row r="10616" spans="1:5" x14ac:dyDescent="0.25">
      <c r="A10616" s="36" t="b">
        <v>0</v>
      </c>
      <c r="B10616" s="56" t="b">
        <v>0</v>
      </c>
      <c r="C10616" s="56" t="b">
        <v>0</v>
      </c>
      <c r="D10616" s="56" t="b">
        <v>0</v>
      </c>
      <c r="E10616" s="56">
        <f ca="1">IF(PV[[#This Row],[Business Date]]=Control!$C$6, PV[[#This Row],[Notional Value Local Cur]], -PV[[#This Row],[Notional Value Local Cur]])</f>
        <v>0</v>
      </c>
    </row>
    <row r="10617" spans="1:5" x14ac:dyDescent="0.25">
      <c r="A10617" s="36" t="b">
        <v>0</v>
      </c>
      <c r="B10617" s="56" t="b">
        <v>0</v>
      </c>
      <c r="C10617" s="56" t="b">
        <v>0</v>
      </c>
      <c r="D10617" s="56" t="b">
        <v>0</v>
      </c>
      <c r="E10617" s="56">
        <f ca="1">IF(PV[[#This Row],[Business Date]]=Control!$C$6, PV[[#This Row],[Notional Value Local Cur]], -PV[[#This Row],[Notional Value Local Cur]])</f>
        <v>0</v>
      </c>
    </row>
    <row r="10618" spans="1:5" x14ac:dyDescent="0.25">
      <c r="A10618" s="36" t="b">
        <v>0</v>
      </c>
      <c r="B10618" s="56" t="b">
        <v>0</v>
      </c>
      <c r="C10618" s="56" t="b">
        <v>0</v>
      </c>
      <c r="D10618" s="56" t="b">
        <v>0</v>
      </c>
      <c r="E10618" s="56">
        <f ca="1">IF(PV[[#This Row],[Business Date]]=Control!$C$6, PV[[#This Row],[Notional Value Local Cur]], -PV[[#This Row],[Notional Value Local Cur]])</f>
        <v>0</v>
      </c>
    </row>
    <row r="10619" spans="1:5" x14ac:dyDescent="0.25">
      <c r="A10619" s="36" t="b">
        <v>0</v>
      </c>
      <c r="B10619" s="56" t="b">
        <v>0</v>
      </c>
      <c r="C10619" s="56" t="b">
        <v>0</v>
      </c>
      <c r="D10619" s="56" t="b">
        <v>0</v>
      </c>
      <c r="E10619" s="56">
        <f ca="1">IF(PV[[#This Row],[Business Date]]=Control!$C$6, PV[[#This Row],[Notional Value Local Cur]], -PV[[#This Row],[Notional Value Local Cur]])</f>
        <v>0</v>
      </c>
    </row>
    <row r="10620" spans="1:5" x14ac:dyDescent="0.25">
      <c r="A10620" s="36" t="b">
        <v>0</v>
      </c>
      <c r="B10620" s="56" t="b">
        <v>0</v>
      </c>
      <c r="C10620" s="56" t="b">
        <v>0</v>
      </c>
      <c r="D10620" s="56" t="b">
        <v>0</v>
      </c>
      <c r="E10620" s="56">
        <f ca="1">IF(PV[[#This Row],[Business Date]]=Control!$C$6, PV[[#This Row],[Notional Value Local Cur]], -PV[[#This Row],[Notional Value Local Cur]])</f>
        <v>0</v>
      </c>
    </row>
    <row r="10621" spans="1:5" x14ac:dyDescent="0.25">
      <c r="A10621" s="36" t="b">
        <v>0</v>
      </c>
      <c r="B10621" s="56" t="b">
        <v>0</v>
      </c>
      <c r="C10621" s="56" t="b">
        <v>0</v>
      </c>
      <c r="D10621" s="56" t="b">
        <v>0</v>
      </c>
      <c r="E10621" s="56">
        <f ca="1">IF(PV[[#This Row],[Business Date]]=Control!$C$6, PV[[#This Row],[Notional Value Local Cur]], -PV[[#This Row],[Notional Value Local Cur]])</f>
        <v>0</v>
      </c>
    </row>
    <row r="10622" spans="1:5" x14ac:dyDescent="0.25">
      <c r="A10622" s="36" t="b">
        <v>0</v>
      </c>
      <c r="B10622" s="56" t="b">
        <v>0</v>
      </c>
      <c r="C10622" s="56" t="b">
        <v>0</v>
      </c>
      <c r="D10622" s="56" t="b">
        <v>0</v>
      </c>
      <c r="E10622" s="56">
        <f ca="1">IF(PV[[#This Row],[Business Date]]=Control!$C$6, PV[[#This Row],[Notional Value Local Cur]], -PV[[#This Row],[Notional Value Local Cur]])</f>
        <v>0</v>
      </c>
    </row>
    <row r="10623" spans="1:5" x14ac:dyDescent="0.25">
      <c r="A10623" s="36" t="b">
        <v>0</v>
      </c>
      <c r="B10623" s="56" t="b">
        <v>0</v>
      </c>
      <c r="C10623" s="56" t="b">
        <v>0</v>
      </c>
      <c r="D10623" s="56" t="b">
        <v>0</v>
      </c>
      <c r="E10623" s="56">
        <f ca="1">IF(PV[[#This Row],[Business Date]]=Control!$C$6, PV[[#This Row],[Notional Value Local Cur]], -PV[[#This Row],[Notional Value Local Cur]])</f>
        <v>0</v>
      </c>
    </row>
    <row r="10624" spans="1:5" x14ac:dyDescent="0.25">
      <c r="A10624" s="36" t="b">
        <v>0</v>
      </c>
      <c r="B10624" s="56" t="b">
        <v>0</v>
      </c>
      <c r="C10624" s="56" t="b">
        <v>0</v>
      </c>
      <c r="D10624" s="56" t="b">
        <v>0</v>
      </c>
      <c r="E10624" s="56">
        <f ca="1">IF(PV[[#This Row],[Business Date]]=Control!$C$6, PV[[#This Row],[Notional Value Local Cur]], -PV[[#This Row],[Notional Value Local Cur]])</f>
        <v>0</v>
      </c>
    </row>
    <row r="10625" spans="1:5" x14ac:dyDescent="0.25">
      <c r="A10625" s="36" t="b">
        <v>0</v>
      </c>
      <c r="B10625" s="56" t="b">
        <v>0</v>
      </c>
      <c r="C10625" s="56" t="b">
        <v>0</v>
      </c>
      <c r="D10625" s="56" t="b">
        <v>0</v>
      </c>
      <c r="E10625" s="56">
        <f ca="1">IF(PV[[#This Row],[Business Date]]=Control!$C$6, PV[[#This Row],[Notional Value Local Cur]], -PV[[#This Row],[Notional Value Local Cur]])</f>
        <v>0</v>
      </c>
    </row>
    <row r="10626" spans="1:5" x14ac:dyDescent="0.25">
      <c r="A10626" s="36" t="b">
        <v>0</v>
      </c>
      <c r="B10626" s="56" t="b">
        <v>0</v>
      </c>
      <c r="C10626" s="56" t="b">
        <v>0</v>
      </c>
      <c r="D10626" s="56" t="b">
        <v>0</v>
      </c>
      <c r="E10626" s="56">
        <f ca="1">IF(PV[[#This Row],[Business Date]]=Control!$C$6, PV[[#This Row],[Notional Value Local Cur]], -PV[[#This Row],[Notional Value Local Cur]])</f>
        <v>0</v>
      </c>
    </row>
    <row r="10627" spans="1:5" x14ac:dyDescent="0.25">
      <c r="A10627" s="36" t="b">
        <v>0</v>
      </c>
      <c r="B10627" s="56" t="b">
        <v>0</v>
      </c>
      <c r="C10627" s="56" t="b">
        <v>0</v>
      </c>
      <c r="D10627" s="56" t="b">
        <v>0</v>
      </c>
      <c r="E10627" s="56">
        <f ca="1">IF(PV[[#This Row],[Business Date]]=Control!$C$6, PV[[#This Row],[Notional Value Local Cur]], -PV[[#This Row],[Notional Value Local Cur]])</f>
        <v>0</v>
      </c>
    </row>
    <row r="10628" spans="1:5" x14ac:dyDescent="0.25">
      <c r="A10628" s="36" t="b">
        <v>0</v>
      </c>
      <c r="B10628" s="56" t="b">
        <v>0</v>
      </c>
      <c r="C10628" s="56" t="b">
        <v>0</v>
      </c>
      <c r="D10628" s="56" t="b">
        <v>0</v>
      </c>
      <c r="E10628" s="56">
        <f ca="1">IF(PV[[#This Row],[Business Date]]=Control!$C$6, PV[[#This Row],[Notional Value Local Cur]], -PV[[#This Row],[Notional Value Local Cur]])</f>
        <v>0</v>
      </c>
    </row>
    <row r="10629" spans="1:5" x14ac:dyDescent="0.25">
      <c r="A10629" s="36" t="b">
        <v>0</v>
      </c>
      <c r="B10629" s="56" t="b">
        <v>0</v>
      </c>
      <c r="C10629" s="56" t="b">
        <v>0</v>
      </c>
      <c r="D10629" s="56" t="b">
        <v>0</v>
      </c>
      <c r="E10629" s="56">
        <f ca="1">IF(PV[[#This Row],[Business Date]]=Control!$C$6, PV[[#This Row],[Notional Value Local Cur]], -PV[[#This Row],[Notional Value Local Cur]])</f>
        <v>0</v>
      </c>
    </row>
    <row r="10630" spans="1:5" x14ac:dyDescent="0.25">
      <c r="A10630" s="36" t="b">
        <v>0</v>
      </c>
      <c r="B10630" s="56" t="b">
        <v>0</v>
      </c>
      <c r="C10630" s="56" t="b">
        <v>0</v>
      </c>
      <c r="D10630" s="56" t="b">
        <v>0</v>
      </c>
      <c r="E10630" s="56">
        <f ca="1">IF(PV[[#This Row],[Business Date]]=Control!$C$6, PV[[#This Row],[Notional Value Local Cur]], -PV[[#This Row],[Notional Value Local Cur]])</f>
        <v>0</v>
      </c>
    </row>
    <row r="10631" spans="1:5" x14ac:dyDescent="0.25">
      <c r="A10631" s="36" t="b">
        <v>0</v>
      </c>
      <c r="B10631" s="56" t="b">
        <v>0</v>
      </c>
      <c r="C10631" s="56" t="b">
        <v>0</v>
      </c>
      <c r="D10631" s="56" t="b">
        <v>0</v>
      </c>
      <c r="E10631" s="56">
        <f ca="1">IF(PV[[#This Row],[Business Date]]=Control!$C$6, PV[[#This Row],[Notional Value Local Cur]], -PV[[#This Row],[Notional Value Local Cur]])</f>
        <v>0</v>
      </c>
    </row>
    <row r="10632" spans="1:5" x14ac:dyDescent="0.25">
      <c r="A10632" s="36" t="b">
        <v>0</v>
      </c>
      <c r="B10632" s="56" t="b">
        <v>0</v>
      </c>
      <c r="C10632" s="56" t="b">
        <v>0</v>
      </c>
      <c r="D10632" s="56" t="b">
        <v>0</v>
      </c>
      <c r="E10632" s="56">
        <f ca="1">IF(PV[[#This Row],[Business Date]]=Control!$C$6, PV[[#This Row],[Notional Value Local Cur]], -PV[[#This Row],[Notional Value Local Cur]])</f>
        <v>0</v>
      </c>
    </row>
    <row r="10633" spans="1:5" x14ac:dyDescent="0.25">
      <c r="A10633" s="36" t="b">
        <v>0</v>
      </c>
      <c r="B10633" s="56" t="b">
        <v>0</v>
      </c>
      <c r="C10633" s="56" t="b">
        <v>0</v>
      </c>
      <c r="D10633" s="56" t="b">
        <v>0</v>
      </c>
      <c r="E10633" s="56">
        <f ca="1">IF(PV[[#This Row],[Business Date]]=Control!$C$6, PV[[#This Row],[Notional Value Local Cur]], -PV[[#This Row],[Notional Value Local Cur]])</f>
        <v>0</v>
      </c>
    </row>
    <row r="10634" spans="1:5" x14ac:dyDescent="0.25">
      <c r="A10634" s="36" t="b">
        <v>0</v>
      </c>
      <c r="B10634" s="56" t="b">
        <v>0</v>
      </c>
      <c r="C10634" s="56" t="b">
        <v>0</v>
      </c>
      <c r="D10634" s="56" t="b">
        <v>0</v>
      </c>
      <c r="E10634" s="56">
        <f ca="1">IF(PV[[#This Row],[Business Date]]=Control!$C$6, PV[[#This Row],[Notional Value Local Cur]], -PV[[#This Row],[Notional Value Local Cur]])</f>
        <v>0</v>
      </c>
    </row>
    <row r="10635" spans="1:5" x14ac:dyDescent="0.25">
      <c r="A10635" s="36" t="b">
        <v>0</v>
      </c>
      <c r="B10635" s="56" t="b">
        <v>0</v>
      </c>
      <c r="C10635" s="56" t="b">
        <v>0</v>
      </c>
      <c r="D10635" s="56" t="b">
        <v>0</v>
      </c>
      <c r="E10635" s="56">
        <f ca="1">IF(PV[[#This Row],[Business Date]]=Control!$C$6, PV[[#This Row],[Notional Value Local Cur]], -PV[[#This Row],[Notional Value Local Cur]])</f>
        <v>0</v>
      </c>
    </row>
    <row r="10636" spans="1:5" x14ac:dyDescent="0.25">
      <c r="A10636" s="36" t="b">
        <v>0</v>
      </c>
      <c r="B10636" s="56" t="b">
        <v>0</v>
      </c>
      <c r="C10636" s="56" t="b">
        <v>0</v>
      </c>
      <c r="D10636" s="56" t="b">
        <v>0</v>
      </c>
      <c r="E10636" s="56">
        <f ca="1">IF(PV[[#This Row],[Business Date]]=Control!$C$6, PV[[#This Row],[Notional Value Local Cur]], -PV[[#This Row],[Notional Value Local Cur]])</f>
        <v>0</v>
      </c>
    </row>
    <row r="10637" spans="1:5" x14ac:dyDescent="0.25">
      <c r="A10637" s="36" t="b">
        <v>0</v>
      </c>
      <c r="B10637" s="56" t="b">
        <v>0</v>
      </c>
      <c r="C10637" s="56" t="b">
        <v>0</v>
      </c>
      <c r="D10637" s="56" t="b">
        <v>0</v>
      </c>
      <c r="E10637" s="56">
        <f ca="1">IF(PV[[#This Row],[Business Date]]=Control!$C$6, PV[[#This Row],[Notional Value Local Cur]], -PV[[#This Row],[Notional Value Local Cur]])</f>
        <v>0</v>
      </c>
    </row>
    <row r="10638" spans="1:5" x14ac:dyDescent="0.25">
      <c r="A10638" s="36" t="b">
        <v>0</v>
      </c>
      <c r="B10638" s="56" t="b">
        <v>0</v>
      </c>
      <c r="C10638" s="56" t="b">
        <v>0</v>
      </c>
      <c r="D10638" s="56" t="b">
        <v>0</v>
      </c>
      <c r="E10638" s="56">
        <f ca="1">IF(PV[[#This Row],[Business Date]]=Control!$C$6, PV[[#This Row],[Notional Value Local Cur]], -PV[[#This Row],[Notional Value Local Cur]])</f>
        <v>0</v>
      </c>
    </row>
    <row r="10639" spans="1:5" x14ac:dyDescent="0.25">
      <c r="A10639" s="36" t="b">
        <v>0</v>
      </c>
      <c r="B10639" s="56" t="b">
        <v>0</v>
      </c>
      <c r="C10639" s="56" t="b">
        <v>0</v>
      </c>
      <c r="D10639" s="56" t="b">
        <v>0</v>
      </c>
      <c r="E10639" s="56">
        <f ca="1">IF(PV[[#This Row],[Business Date]]=Control!$C$6, PV[[#This Row],[Notional Value Local Cur]], -PV[[#This Row],[Notional Value Local Cur]])</f>
        <v>0</v>
      </c>
    </row>
    <row r="10640" spans="1:5" x14ac:dyDescent="0.25">
      <c r="A10640" s="36" t="b">
        <v>0</v>
      </c>
      <c r="B10640" s="56" t="b">
        <v>0</v>
      </c>
      <c r="C10640" s="56" t="b">
        <v>0</v>
      </c>
      <c r="D10640" s="56" t="b">
        <v>0</v>
      </c>
      <c r="E10640" s="56">
        <f ca="1">IF(PV[[#This Row],[Business Date]]=Control!$C$6, PV[[#This Row],[Notional Value Local Cur]], -PV[[#This Row],[Notional Value Local Cur]])</f>
        <v>0</v>
      </c>
    </row>
    <row r="10641" spans="1:5" x14ac:dyDescent="0.25">
      <c r="A10641" s="36" t="b">
        <v>0</v>
      </c>
      <c r="B10641" s="56" t="b">
        <v>0</v>
      </c>
      <c r="C10641" s="56" t="b">
        <v>0</v>
      </c>
      <c r="D10641" s="56" t="b">
        <v>0</v>
      </c>
      <c r="E10641" s="56">
        <f ca="1">IF(PV[[#This Row],[Business Date]]=Control!$C$6, PV[[#This Row],[Notional Value Local Cur]], -PV[[#This Row],[Notional Value Local Cur]])</f>
        <v>0</v>
      </c>
    </row>
    <row r="10642" spans="1:5" x14ac:dyDescent="0.25">
      <c r="A10642" s="36" t="b">
        <v>0</v>
      </c>
      <c r="B10642" s="56" t="b">
        <v>0</v>
      </c>
      <c r="C10642" s="56" t="b">
        <v>0</v>
      </c>
      <c r="D10642" s="56" t="b">
        <v>0</v>
      </c>
      <c r="E10642" s="56">
        <f ca="1">IF(PV[[#This Row],[Business Date]]=Control!$C$6, PV[[#This Row],[Notional Value Local Cur]], -PV[[#This Row],[Notional Value Local Cur]])</f>
        <v>0</v>
      </c>
    </row>
    <row r="10643" spans="1:5" x14ac:dyDescent="0.25">
      <c r="A10643" s="36" t="b">
        <v>0</v>
      </c>
      <c r="B10643" s="56" t="b">
        <v>0</v>
      </c>
      <c r="C10643" s="56" t="b">
        <v>0</v>
      </c>
      <c r="D10643" s="56" t="b">
        <v>0</v>
      </c>
      <c r="E10643" s="56">
        <f ca="1">IF(PV[[#This Row],[Business Date]]=Control!$C$6, PV[[#This Row],[Notional Value Local Cur]], -PV[[#This Row],[Notional Value Local Cur]])</f>
        <v>0</v>
      </c>
    </row>
    <row r="10644" spans="1:5" x14ac:dyDescent="0.25">
      <c r="A10644" s="36" t="b">
        <v>0</v>
      </c>
      <c r="B10644" s="56" t="b">
        <v>0</v>
      </c>
      <c r="C10644" s="56" t="b">
        <v>0</v>
      </c>
      <c r="D10644" s="56" t="b">
        <v>0</v>
      </c>
      <c r="E10644" s="56">
        <f ca="1">IF(PV[[#This Row],[Business Date]]=Control!$C$6, PV[[#This Row],[Notional Value Local Cur]], -PV[[#This Row],[Notional Value Local Cur]])</f>
        <v>0</v>
      </c>
    </row>
    <row r="10645" spans="1:5" x14ac:dyDescent="0.25">
      <c r="A10645" s="36" t="b">
        <v>0</v>
      </c>
      <c r="B10645" s="56" t="b">
        <v>0</v>
      </c>
      <c r="C10645" s="56" t="b">
        <v>0</v>
      </c>
      <c r="D10645" s="56" t="b">
        <v>0</v>
      </c>
      <c r="E10645" s="56">
        <f ca="1">IF(PV[[#This Row],[Business Date]]=Control!$C$6, PV[[#This Row],[Notional Value Local Cur]], -PV[[#This Row],[Notional Value Local Cur]])</f>
        <v>0</v>
      </c>
    </row>
    <row r="10646" spans="1:5" x14ac:dyDescent="0.25">
      <c r="A10646" s="36" t="b">
        <v>0</v>
      </c>
      <c r="B10646" s="56" t="b">
        <v>0</v>
      </c>
      <c r="C10646" s="56" t="b">
        <v>0</v>
      </c>
      <c r="D10646" s="56" t="b">
        <v>0</v>
      </c>
      <c r="E10646" s="56">
        <f ca="1">IF(PV[[#This Row],[Business Date]]=Control!$C$6, PV[[#This Row],[Notional Value Local Cur]], -PV[[#This Row],[Notional Value Local Cur]])</f>
        <v>0</v>
      </c>
    </row>
    <row r="10647" spans="1:5" x14ac:dyDescent="0.25">
      <c r="A10647" s="36" t="b">
        <v>0</v>
      </c>
      <c r="B10647" s="56" t="b">
        <v>0</v>
      </c>
      <c r="C10647" s="56" t="b">
        <v>0</v>
      </c>
      <c r="D10647" s="56" t="b">
        <v>0</v>
      </c>
      <c r="E10647" s="56">
        <f ca="1">IF(PV[[#This Row],[Business Date]]=Control!$C$6, PV[[#This Row],[Notional Value Local Cur]], -PV[[#This Row],[Notional Value Local Cur]])</f>
        <v>0</v>
      </c>
    </row>
    <row r="10648" spans="1:5" x14ac:dyDescent="0.25">
      <c r="A10648" s="36" t="b">
        <v>0</v>
      </c>
      <c r="B10648" s="56" t="b">
        <v>0</v>
      </c>
      <c r="C10648" s="56" t="b">
        <v>0</v>
      </c>
      <c r="D10648" s="56" t="b">
        <v>0</v>
      </c>
      <c r="E10648" s="56">
        <f ca="1">IF(PV[[#This Row],[Business Date]]=Control!$C$6, PV[[#This Row],[Notional Value Local Cur]], -PV[[#This Row],[Notional Value Local Cur]])</f>
        <v>0</v>
      </c>
    </row>
    <row r="10649" spans="1:5" x14ac:dyDescent="0.25">
      <c r="A10649" s="36" t="b">
        <v>0</v>
      </c>
      <c r="B10649" s="56" t="b">
        <v>0</v>
      </c>
      <c r="C10649" s="56" t="b">
        <v>0</v>
      </c>
      <c r="D10649" s="56" t="b">
        <v>0</v>
      </c>
      <c r="E10649" s="56">
        <f ca="1">IF(PV[[#This Row],[Business Date]]=Control!$C$6, PV[[#This Row],[Notional Value Local Cur]], -PV[[#This Row],[Notional Value Local Cur]])</f>
        <v>0</v>
      </c>
    </row>
    <row r="10650" spans="1:5" x14ac:dyDescent="0.25">
      <c r="A10650" s="36" t="b">
        <v>0</v>
      </c>
      <c r="B10650" s="56" t="b">
        <v>0</v>
      </c>
      <c r="C10650" s="56" t="b">
        <v>0</v>
      </c>
      <c r="D10650" s="56" t="b">
        <v>0</v>
      </c>
      <c r="E10650" s="56">
        <f ca="1">IF(PV[[#This Row],[Business Date]]=Control!$C$6, PV[[#This Row],[Notional Value Local Cur]], -PV[[#This Row],[Notional Value Local Cur]])</f>
        <v>0</v>
      </c>
    </row>
    <row r="10651" spans="1:5" x14ac:dyDescent="0.25">
      <c r="A10651" s="36" t="b">
        <v>0</v>
      </c>
      <c r="B10651" s="56" t="b">
        <v>0</v>
      </c>
      <c r="C10651" s="56" t="b">
        <v>0</v>
      </c>
      <c r="D10651" s="56" t="b">
        <v>0</v>
      </c>
      <c r="E10651" s="56">
        <f ca="1">IF(PV[[#This Row],[Business Date]]=Control!$C$6, PV[[#This Row],[Notional Value Local Cur]], -PV[[#This Row],[Notional Value Local Cur]])</f>
        <v>0</v>
      </c>
    </row>
    <row r="10652" spans="1:5" x14ac:dyDescent="0.25">
      <c r="A10652" s="36" t="b">
        <v>0</v>
      </c>
      <c r="B10652" s="56" t="b">
        <v>0</v>
      </c>
      <c r="C10652" s="56" t="b">
        <v>0</v>
      </c>
      <c r="D10652" s="56" t="b">
        <v>0</v>
      </c>
      <c r="E10652" s="56">
        <f ca="1">IF(PV[[#This Row],[Business Date]]=Control!$C$6, PV[[#This Row],[Notional Value Local Cur]], -PV[[#This Row],[Notional Value Local Cur]])</f>
        <v>0</v>
      </c>
    </row>
    <row r="10653" spans="1:5" x14ac:dyDescent="0.25">
      <c r="A10653" s="36" t="b">
        <v>0</v>
      </c>
      <c r="B10653" s="56" t="b">
        <v>0</v>
      </c>
      <c r="C10653" s="56" t="b">
        <v>0</v>
      </c>
      <c r="D10653" s="56" t="b">
        <v>0</v>
      </c>
      <c r="E10653" s="56">
        <f ca="1">IF(PV[[#This Row],[Business Date]]=Control!$C$6, PV[[#This Row],[Notional Value Local Cur]], -PV[[#This Row],[Notional Value Local Cur]])</f>
        <v>0</v>
      </c>
    </row>
    <row r="10654" spans="1:5" x14ac:dyDescent="0.25">
      <c r="A10654" s="36" t="b">
        <v>0</v>
      </c>
      <c r="B10654" s="56" t="b">
        <v>0</v>
      </c>
      <c r="C10654" s="56" t="b">
        <v>0</v>
      </c>
      <c r="D10654" s="56" t="b">
        <v>0</v>
      </c>
      <c r="E10654" s="56">
        <f ca="1">IF(PV[[#This Row],[Business Date]]=Control!$C$6, PV[[#This Row],[Notional Value Local Cur]], -PV[[#This Row],[Notional Value Local Cur]])</f>
        <v>0</v>
      </c>
    </row>
    <row r="10655" spans="1:5" x14ac:dyDescent="0.25">
      <c r="A10655" s="36" t="b">
        <v>0</v>
      </c>
      <c r="B10655" s="56" t="b">
        <v>0</v>
      </c>
      <c r="C10655" s="56" t="b">
        <v>0</v>
      </c>
      <c r="D10655" s="56" t="b">
        <v>0</v>
      </c>
      <c r="E10655" s="56">
        <f ca="1">IF(PV[[#This Row],[Business Date]]=Control!$C$6, PV[[#This Row],[Notional Value Local Cur]], -PV[[#This Row],[Notional Value Local Cur]])</f>
        <v>0</v>
      </c>
    </row>
    <row r="10656" spans="1:5" x14ac:dyDescent="0.25">
      <c r="A10656" s="36" t="b">
        <v>0</v>
      </c>
      <c r="B10656" s="56" t="b">
        <v>0</v>
      </c>
      <c r="C10656" s="56" t="b">
        <v>0</v>
      </c>
      <c r="D10656" s="56" t="b">
        <v>0</v>
      </c>
      <c r="E10656" s="56">
        <f ca="1">IF(PV[[#This Row],[Business Date]]=Control!$C$6, PV[[#This Row],[Notional Value Local Cur]], -PV[[#This Row],[Notional Value Local Cur]])</f>
        <v>0</v>
      </c>
    </row>
    <row r="10657" spans="1:5" x14ac:dyDescent="0.25">
      <c r="A10657" s="36" t="b">
        <v>0</v>
      </c>
      <c r="B10657" s="56" t="b">
        <v>0</v>
      </c>
      <c r="C10657" s="56" t="b">
        <v>0</v>
      </c>
      <c r="D10657" s="56" t="b">
        <v>0</v>
      </c>
      <c r="E10657" s="56">
        <f ca="1">IF(PV[[#This Row],[Business Date]]=Control!$C$6, PV[[#This Row],[Notional Value Local Cur]], -PV[[#This Row],[Notional Value Local Cur]])</f>
        <v>0</v>
      </c>
    </row>
    <row r="10658" spans="1:5" x14ac:dyDescent="0.25">
      <c r="A10658" s="36" t="b">
        <v>0</v>
      </c>
      <c r="B10658" s="56" t="b">
        <v>0</v>
      </c>
      <c r="C10658" s="56" t="b">
        <v>0</v>
      </c>
      <c r="D10658" s="56" t="b">
        <v>0</v>
      </c>
      <c r="E10658" s="56">
        <f ca="1">IF(PV[[#This Row],[Business Date]]=Control!$C$6, PV[[#This Row],[Notional Value Local Cur]], -PV[[#This Row],[Notional Value Local Cur]])</f>
        <v>0</v>
      </c>
    </row>
    <row r="10659" spans="1:5" x14ac:dyDescent="0.25">
      <c r="A10659" s="36" t="b">
        <v>0</v>
      </c>
      <c r="B10659" s="56" t="b">
        <v>0</v>
      </c>
      <c r="C10659" s="56" t="b">
        <v>0</v>
      </c>
      <c r="D10659" s="56" t="b">
        <v>0</v>
      </c>
      <c r="E10659" s="56">
        <f ca="1">IF(PV[[#This Row],[Business Date]]=Control!$C$6, PV[[#This Row],[Notional Value Local Cur]], -PV[[#This Row],[Notional Value Local Cur]])</f>
        <v>0</v>
      </c>
    </row>
    <row r="10660" spans="1:5" x14ac:dyDescent="0.25">
      <c r="A10660" s="36" t="b">
        <v>0</v>
      </c>
      <c r="B10660" s="56" t="b">
        <v>0</v>
      </c>
      <c r="C10660" s="56" t="b">
        <v>0</v>
      </c>
      <c r="D10660" s="56" t="b">
        <v>0</v>
      </c>
      <c r="E10660" s="56">
        <f ca="1">IF(PV[[#This Row],[Business Date]]=Control!$C$6, PV[[#This Row],[Notional Value Local Cur]], -PV[[#This Row],[Notional Value Local Cur]])</f>
        <v>0</v>
      </c>
    </row>
    <row r="10661" spans="1:5" x14ac:dyDescent="0.25">
      <c r="A10661" s="36" t="b">
        <v>0</v>
      </c>
      <c r="B10661" s="56" t="b">
        <v>0</v>
      </c>
      <c r="C10661" s="56" t="b">
        <v>0</v>
      </c>
      <c r="D10661" s="56" t="b">
        <v>0</v>
      </c>
      <c r="E10661" s="56">
        <f ca="1">IF(PV[[#This Row],[Business Date]]=Control!$C$6, PV[[#This Row],[Notional Value Local Cur]], -PV[[#This Row],[Notional Value Local Cur]])</f>
        <v>0</v>
      </c>
    </row>
    <row r="10662" spans="1:5" x14ac:dyDescent="0.25">
      <c r="A10662" s="36" t="b">
        <v>0</v>
      </c>
      <c r="B10662" s="56" t="b">
        <v>0</v>
      </c>
      <c r="C10662" s="56" t="b">
        <v>0</v>
      </c>
      <c r="D10662" s="56" t="b">
        <v>0</v>
      </c>
      <c r="E10662" s="56">
        <f ca="1">IF(PV[[#This Row],[Business Date]]=Control!$C$6, PV[[#This Row],[Notional Value Local Cur]], -PV[[#This Row],[Notional Value Local Cur]])</f>
        <v>0</v>
      </c>
    </row>
    <row r="10663" spans="1:5" x14ac:dyDescent="0.25">
      <c r="A10663" s="36" t="b">
        <v>0</v>
      </c>
      <c r="B10663" s="56" t="b">
        <v>0</v>
      </c>
      <c r="C10663" s="56" t="b">
        <v>0</v>
      </c>
      <c r="D10663" s="56" t="b">
        <v>0</v>
      </c>
      <c r="E10663" s="56">
        <f ca="1">IF(PV[[#This Row],[Business Date]]=Control!$C$6, PV[[#This Row],[Notional Value Local Cur]], -PV[[#This Row],[Notional Value Local Cur]])</f>
        <v>0</v>
      </c>
    </row>
    <row r="10664" spans="1:5" x14ac:dyDescent="0.25">
      <c r="A10664" s="36" t="b">
        <v>0</v>
      </c>
      <c r="B10664" s="56" t="b">
        <v>0</v>
      </c>
      <c r="C10664" s="56" t="b">
        <v>0</v>
      </c>
      <c r="D10664" s="56" t="b">
        <v>0</v>
      </c>
      <c r="E10664" s="56">
        <f ca="1">IF(PV[[#This Row],[Business Date]]=Control!$C$6, PV[[#This Row],[Notional Value Local Cur]], -PV[[#This Row],[Notional Value Local Cur]])</f>
        <v>0</v>
      </c>
    </row>
    <row r="10665" spans="1:5" x14ac:dyDescent="0.25">
      <c r="A10665" s="36" t="b">
        <v>0</v>
      </c>
      <c r="B10665" s="56" t="b">
        <v>0</v>
      </c>
      <c r="C10665" s="56" t="b">
        <v>0</v>
      </c>
      <c r="D10665" s="56" t="b">
        <v>0</v>
      </c>
      <c r="E10665" s="56">
        <f ca="1">IF(PV[[#This Row],[Business Date]]=Control!$C$6, PV[[#This Row],[Notional Value Local Cur]], -PV[[#This Row],[Notional Value Local Cur]])</f>
        <v>0</v>
      </c>
    </row>
    <row r="10666" spans="1:5" x14ac:dyDescent="0.25">
      <c r="A10666" s="36" t="b">
        <v>0</v>
      </c>
      <c r="B10666" s="56" t="b">
        <v>0</v>
      </c>
      <c r="C10666" s="56" t="b">
        <v>0</v>
      </c>
      <c r="D10666" s="56" t="b">
        <v>0</v>
      </c>
      <c r="E10666" s="56">
        <f ca="1">IF(PV[[#This Row],[Business Date]]=Control!$C$6, PV[[#This Row],[Notional Value Local Cur]], -PV[[#This Row],[Notional Value Local Cur]])</f>
        <v>0</v>
      </c>
    </row>
    <row r="10667" spans="1:5" x14ac:dyDescent="0.25">
      <c r="A10667" s="36" t="b">
        <v>0</v>
      </c>
      <c r="B10667" s="56" t="b">
        <v>0</v>
      </c>
      <c r="C10667" s="56" t="b">
        <v>0</v>
      </c>
      <c r="D10667" s="56" t="b">
        <v>0</v>
      </c>
      <c r="E10667" s="56">
        <f ca="1">IF(PV[[#This Row],[Business Date]]=Control!$C$6, PV[[#This Row],[Notional Value Local Cur]], -PV[[#This Row],[Notional Value Local Cur]])</f>
        <v>0</v>
      </c>
    </row>
    <row r="10668" spans="1:5" x14ac:dyDescent="0.25">
      <c r="A10668" s="36" t="b">
        <v>0</v>
      </c>
      <c r="B10668" s="56" t="b">
        <v>0</v>
      </c>
      <c r="C10668" s="56" t="b">
        <v>0</v>
      </c>
      <c r="D10668" s="56" t="b">
        <v>0</v>
      </c>
      <c r="E10668" s="56">
        <f ca="1">IF(PV[[#This Row],[Business Date]]=Control!$C$6, PV[[#This Row],[Notional Value Local Cur]], -PV[[#This Row],[Notional Value Local Cur]])</f>
        <v>0</v>
      </c>
    </row>
    <row r="10669" spans="1:5" x14ac:dyDescent="0.25">
      <c r="A10669" s="36" t="b">
        <v>0</v>
      </c>
      <c r="B10669" s="56" t="b">
        <v>0</v>
      </c>
      <c r="C10669" s="56" t="b">
        <v>0</v>
      </c>
      <c r="D10669" s="56" t="b">
        <v>0</v>
      </c>
      <c r="E10669" s="56">
        <f ca="1">IF(PV[[#This Row],[Business Date]]=Control!$C$6, PV[[#This Row],[Notional Value Local Cur]], -PV[[#This Row],[Notional Value Local Cur]])</f>
        <v>0</v>
      </c>
    </row>
    <row r="10670" spans="1:5" x14ac:dyDescent="0.25">
      <c r="A10670" s="36" t="b">
        <v>0</v>
      </c>
      <c r="B10670" s="56" t="b">
        <v>0</v>
      </c>
      <c r="C10670" s="56" t="b">
        <v>0</v>
      </c>
      <c r="D10670" s="56" t="b">
        <v>0</v>
      </c>
      <c r="E10670" s="56">
        <f ca="1">IF(PV[[#This Row],[Business Date]]=Control!$C$6, PV[[#This Row],[Notional Value Local Cur]], -PV[[#This Row],[Notional Value Local Cur]])</f>
        <v>0</v>
      </c>
    </row>
    <row r="10671" spans="1:5" x14ac:dyDescent="0.25">
      <c r="A10671" s="36" t="b">
        <v>0</v>
      </c>
      <c r="B10671" s="56" t="b">
        <v>0</v>
      </c>
      <c r="C10671" s="56" t="b">
        <v>0</v>
      </c>
      <c r="D10671" s="56" t="b">
        <v>0</v>
      </c>
      <c r="E10671" s="56">
        <f ca="1">IF(PV[[#This Row],[Business Date]]=Control!$C$6, PV[[#This Row],[Notional Value Local Cur]], -PV[[#This Row],[Notional Value Local Cur]])</f>
        <v>0</v>
      </c>
    </row>
    <row r="10672" spans="1:5" x14ac:dyDescent="0.25">
      <c r="A10672" s="36" t="b">
        <v>0</v>
      </c>
      <c r="B10672" s="56" t="b">
        <v>0</v>
      </c>
      <c r="C10672" s="56" t="b">
        <v>0</v>
      </c>
      <c r="D10672" s="56" t="b">
        <v>0</v>
      </c>
      <c r="E10672" s="56">
        <f ca="1">IF(PV[[#This Row],[Business Date]]=Control!$C$6, PV[[#This Row],[Notional Value Local Cur]], -PV[[#This Row],[Notional Value Local Cur]])</f>
        <v>0</v>
      </c>
    </row>
    <row r="10673" spans="1:5" x14ac:dyDescent="0.25">
      <c r="A10673" s="36" t="b">
        <v>0</v>
      </c>
      <c r="B10673" s="56" t="b">
        <v>0</v>
      </c>
      <c r="C10673" s="56" t="b">
        <v>0</v>
      </c>
      <c r="D10673" s="56" t="b">
        <v>0</v>
      </c>
      <c r="E10673" s="56">
        <f ca="1">IF(PV[[#This Row],[Business Date]]=Control!$C$6, PV[[#This Row],[Notional Value Local Cur]], -PV[[#This Row],[Notional Value Local Cur]])</f>
        <v>0</v>
      </c>
    </row>
    <row r="10674" spans="1:5" x14ac:dyDescent="0.25">
      <c r="A10674" s="36" t="b">
        <v>0</v>
      </c>
      <c r="B10674" s="56" t="b">
        <v>0</v>
      </c>
      <c r="C10674" s="56" t="b">
        <v>0</v>
      </c>
      <c r="D10674" s="56" t="b">
        <v>0</v>
      </c>
      <c r="E10674" s="56">
        <f ca="1">IF(PV[[#This Row],[Business Date]]=Control!$C$6, PV[[#This Row],[Notional Value Local Cur]], -PV[[#This Row],[Notional Value Local Cur]])</f>
        <v>0</v>
      </c>
    </row>
    <row r="10675" spans="1:5" x14ac:dyDescent="0.25">
      <c r="A10675" s="36" t="b">
        <v>0</v>
      </c>
      <c r="B10675" s="56" t="b">
        <v>0</v>
      </c>
      <c r="C10675" s="56" t="b">
        <v>0</v>
      </c>
      <c r="D10675" s="56" t="b">
        <v>0</v>
      </c>
      <c r="E10675" s="56">
        <f ca="1">IF(PV[[#This Row],[Business Date]]=Control!$C$6, PV[[#This Row],[Notional Value Local Cur]], -PV[[#This Row],[Notional Value Local Cur]])</f>
        <v>0</v>
      </c>
    </row>
    <row r="10676" spans="1:5" x14ac:dyDescent="0.25">
      <c r="A10676" s="36" t="b">
        <v>0</v>
      </c>
      <c r="B10676" s="56" t="b">
        <v>0</v>
      </c>
      <c r="C10676" s="56" t="b">
        <v>0</v>
      </c>
      <c r="D10676" s="56" t="b">
        <v>0</v>
      </c>
      <c r="E10676" s="56">
        <f ca="1">IF(PV[[#This Row],[Business Date]]=Control!$C$6, PV[[#This Row],[Notional Value Local Cur]], -PV[[#This Row],[Notional Value Local Cur]])</f>
        <v>0</v>
      </c>
    </row>
    <row r="10677" spans="1:5" x14ac:dyDescent="0.25">
      <c r="A10677" s="36" t="b">
        <v>0</v>
      </c>
      <c r="B10677" s="56" t="b">
        <v>0</v>
      </c>
      <c r="C10677" s="56" t="b">
        <v>0</v>
      </c>
      <c r="D10677" s="56" t="b">
        <v>0</v>
      </c>
      <c r="E10677" s="56">
        <f ca="1">IF(PV[[#This Row],[Business Date]]=Control!$C$6, PV[[#This Row],[Notional Value Local Cur]], -PV[[#This Row],[Notional Value Local Cur]])</f>
        <v>0</v>
      </c>
    </row>
    <row r="10678" spans="1:5" x14ac:dyDescent="0.25">
      <c r="A10678" s="36" t="b">
        <v>0</v>
      </c>
      <c r="B10678" s="56" t="b">
        <v>0</v>
      </c>
      <c r="C10678" s="56" t="b">
        <v>0</v>
      </c>
      <c r="D10678" s="56" t="b">
        <v>0</v>
      </c>
      <c r="E10678" s="56">
        <f ca="1">IF(PV[[#This Row],[Business Date]]=Control!$C$6, PV[[#This Row],[Notional Value Local Cur]], -PV[[#This Row],[Notional Value Local Cur]])</f>
        <v>0</v>
      </c>
    </row>
    <row r="10679" spans="1:5" x14ac:dyDescent="0.25">
      <c r="A10679" s="36" t="b">
        <v>0</v>
      </c>
      <c r="B10679" s="56" t="b">
        <v>0</v>
      </c>
      <c r="C10679" s="56" t="b">
        <v>0</v>
      </c>
      <c r="D10679" s="56" t="b">
        <v>0</v>
      </c>
      <c r="E10679" s="56">
        <f ca="1">IF(PV[[#This Row],[Business Date]]=Control!$C$6, PV[[#This Row],[Notional Value Local Cur]], -PV[[#This Row],[Notional Value Local Cur]])</f>
        <v>0</v>
      </c>
    </row>
    <row r="10680" spans="1:5" x14ac:dyDescent="0.25">
      <c r="A10680" s="36" t="b">
        <v>0</v>
      </c>
      <c r="B10680" s="56" t="b">
        <v>0</v>
      </c>
      <c r="C10680" s="56" t="b">
        <v>0</v>
      </c>
      <c r="D10680" s="56" t="b">
        <v>0</v>
      </c>
      <c r="E10680" s="56">
        <f ca="1">IF(PV[[#This Row],[Business Date]]=Control!$C$6, PV[[#This Row],[Notional Value Local Cur]], -PV[[#This Row],[Notional Value Local Cur]])</f>
        <v>0</v>
      </c>
    </row>
    <row r="10681" spans="1:5" x14ac:dyDescent="0.25">
      <c r="A10681" s="36" t="b">
        <v>0</v>
      </c>
      <c r="B10681" s="56" t="b">
        <v>0</v>
      </c>
      <c r="C10681" s="56" t="b">
        <v>0</v>
      </c>
      <c r="D10681" s="56" t="b">
        <v>0</v>
      </c>
      <c r="E10681" s="56">
        <f ca="1">IF(PV[[#This Row],[Business Date]]=Control!$C$6, PV[[#This Row],[Notional Value Local Cur]], -PV[[#This Row],[Notional Value Local Cur]])</f>
        <v>0</v>
      </c>
    </row>
    <row r="10682" spans="1:5" x14ac:dyDescent="0.25">
      <c r="A10682" s="36" t="b">
        <v>0</v>
      </c>
      <c r="B10682" s="56" t="b">
        <v>0</v>
      </c>
      <c r="C10682" s="56" t="b">
        <v>0</v>
      </c>
      <c r="D10682" s="56" t="b">
        <v>0</v>
      </c>
      <c r="E10682" s="56">
        <f ca="1">IF(PV[[#This Row],[Business Date]]=Control!$C$6, PV[[#This Row],[Notional Value Local Cur]], -PV[[#This Row],[Notional Value Local Cur]])</f>
        <v>0</v>
      </c>
    </row>
    <row r="10683" spans="1:5" x14ac:dyDescent="0.25">
      <c r="A10683" s="36" t="b">
        <v>0</v>
      </c>
      <c r="B10683" s="56" t="b">
        <v>0</v>
      </c>
      <c r="C10683" s="56" t="b">
        <v>0</v>
      </c>
      <c r="D10683" s="56" t="b">
        <v>0</v>
      </c>
      <c r="E10683" s="56">
        <f ca="1">IF(PV[[#This Row],[Business Date]]=Control!$C$6, PV[[#This Row],[Notional Value Local Cur]], -PV[[#This Row],[Notional Value Local Cur]])</f>
        <v>0</v>
      </c>
    </row>
    <row r="10684" spans="1:5" x14ac:dyDescent="0.25">
      <c r="A10684" s="36" t="b">
        <v>0</v>
      </c>
      <c r="B10684" s="56" t="b">
        <v>0</v>
      </c>
      <c r="C10684" s="56" t="b">
        <v>0</v>
      </c>
      <c r="D10684" s="56" t="b">
        <v>0</v>
      </c>
      <c r="E10684" s="56">
        <f ca="1">IF(PV[[#This Row],[Business Date]]=Control!$C$6, PV[[#This Row],[Notional Value Local Cur]], -PV[[#This Row],[Notional Value Local Cur]])</f>
        <v>0</v>
      </c>
    </row>
    <row r="10685" spans="1:5" x14ac:dyDescent="0.25">
      <c r="A10685" s="36" t="b">
        <v>0</v>
      </c>
      <c r="B10685" s="56" t="b">
        <v>0</v>
      </c>
      <c r="C10685" s="56" t="b">
        <v>0</v>
      </c>
      <c r="D10685" s="56" t="b">
        <v>0</v>
      </c>
      <c r="E10685" s="56">
        <f ca="1">IF(PV[[#This Row],[Business Date]]=Control!$C$6, PV[[#This Row],[Notional Value Local Cur]], -PV[[#This Row],[Notional Value Local Cur]])</f>
        <v>0</v>
      </c>
    </row>
    <row r="10686" spans="1:5" x14ac:dyDescent="0.25">
      <c r="A10686" s="36" t="b">
        <v>0</v>
      </c>
      <c r="B10686" s="56" t="b">
        <v>0</v>
      </c>
      <c r="C10686" s="56" t="b">
        <v>0</v>
      </c>
      <c r="D10686" s="56" t="b">
        <v>0</v>
      </c>
      <c r="E10686" s="56">
        <f ca="1">IF(PV[[#This Row],[Business Date]]=Control!$C$6, PV[[#This Row],[Notional Value Local Cur]], -PV[[#This Row],[Notional Value Local Cur]])</f>
        <v>0</v>
      </c>
    </row>
    <row r="10687" spans="1:5" x14ac:dyDescent="0.25">
      <c r="A10687" s="36" t="b">
        <v>0</v>
      </c>
      <c r="B10687" s="56" t="b">
        <v>0</v>
      </c>
      <c r="C10687" s="56" t="b">
        <v>0</v>
      </c>
      <c r="D10687" s="56" t="b">
        <v>0</v>
      </c>
      <c r="E10687" s="56">
        <f ca="1">IF(PV[[#This Row],[Business Date]]=Control!$C$6, PV[[#This Row],[Notional Value Local Cur]], -PV[[#This Row],[Notional Value Local Cur]])</f>
        <v>0</v>
      </c>
    </row>
    <row r="10688" spans="1:5" x14ac:dyDescent="0.25">
      <c r="A10688" s="36" t="b">
        <v>0</v>
      </c>
      <c r="B10688" s="56" t="b">
        <v>0</v>
      </c>
      <c r="C10688" s="56" t="b">
        <v>0</v>
      </c>
      <c r="D10688" s="56" t="b">
        <v>0</v>
      </c>
      <c r="E10688" s="56">
        <f ca="1">IF(PV[[#This Row],[Business Date]]=Control!$C$6, PV[[#This Row],[Notional Value Local Cur]], -PV[[#This Row],[Notional Value Local Cur]])</f>
        <v>0</v>
      </c>
    </row>
    <row r="10689" spans="1:5" x14ac:dyDescent="0.25">
      <c r="A10689" s="36" t="b">
        <v>0</v>
      </c>
      <c r="B10689" s="56" t="b">
        <v>0</v>
      </c>
      <c r="C10689" s="56" t="b">
        <v>0</v>
      </c>
      <c r="D10689" s="56" t="b">
        <v>0</v>
      </c>
      <c r="E10689" s="56">
        <f ca="1">IF(PV[[#This Row],[Business Date]]=Control!$C$6, PV[[#This Row],[Notional Value Local Cur]], -PV[[#This Row],[Notional Value Local Cur]])</f>
        <v>0</v>
      </c>
    </row>
    <row r="10690" spans="1:5" x14ac:dyDescent="0.25">
      <c r="A10690" s="36" t="b">
        <v>0</v>
      </c>
      <c r="B10690" s="56" t="b">
        <v>0</v>
      </c>
      <c r="C10690" s="56" t="b">
        <v>0</v>
      </c>
      <c r="D10690" s="56" t="b">
        <v>0</v>
      </c>
      <c r="E10690" s="56">
        <f ca="1">IF(PV[[#This Row],[Business Date]]=Control!$C$6, PV[[#This Row],[Notional Value Local Cur]], -PV[[#This Row],[Notional Value Local Cur]])</f>
        <v>0</v>
      </c>
    </row>
    <row r="10691" spans="1:5" x14ac:dyDescent="0.25">
      <c r="A10691" s="36" t="b">
        <v>0</v>
      </c>
      <c r="B10691" s="56" t="b">
        <v>0</v>
      </c>
      <c r="C10691" s="56" t="b">
        <v>0</v>
      </c>
      <c r="D10691" s="56" t="b">
        <v>0</v>
      </c>
      <c r="E10691" s="56">
        <f ca="1">IF(PV[[#This Row],[Business Date]]=Control!$C$6, PV[[#This Row],[Notional Value Local Cur]], -PV[[#This Row],[Notional Value Local Cur]])</f>
        <v>0</v>
      </c>
    </row>
    <row r="10692" spans="1:5" x14ac:dyDescent="0.25">
      <c r="A10692" s="36" t="b">
        <v>0</v>
      </c>
      <c r="B10692" s="56" t="b">
        <v>0</v>
      </c>
      <c r="C10692" s="56" t="b">
        <v>0</v>
      </c>
      <c r="D10692" s="56" t="b">
        <v>0</v>
      </c>
      <c r="E10692" s="56">
        <f ca="1">IF(PV[[#This Row],[Business Date]]=Control!$C$6, PV[[#This Row],[Notional Value Local Cur]], -PV[[#This Row],[Notional Value Local Cur]])</f>
        <v>0</v>
      </c>
    </row>
    <row r="10693" spans="1:5" x14ac:dyDescent="0.25">
      <c r="A10693" s="36" t="b">
        <v>0</v>
      </c>
      <c r="B10693" s="56" t="b">
        <v>0</v>
      </c>
      <c r="C10693" s="56" t="b">
        <v>0</v>
      </c>
      <c r="D10693" s="56" t="b">
        <v>0</v>
      </c>
      <c r="E10693" s="56">
        <f ca="1">IF(PV[[#This Row],[Business Date]]=Control!$C$6, PV[[#This Row],[Notional Value Local Cur]], -PV[[#This Row],[Notional Value Local Cur]])</f>
        <v>0</v>
      </c>
    </row>
    <row r="10694" spans="1:5" x14ac:dyDescent="0.25">
      <c r="A10694" s="36" t="b">
        <v>0</v>
      </c>
      <c r="B10694" s="56" t="b">
        <v>0</v>
      </c>
      <c r="C10694" s="56" t="b">
        <v>0</v>
      </c>
      <c r="D10694" s="56" t="b">
        <v>0</v>
      </c>
      <c r="E10694" s="56">
        <f ca="1">IF(PV[[#This Row],[Business Date]]=Control!$C$6, PV[[#This Row],[Notional Value Local Cur]], -PV[[#This Row],[Notional Value Local Cur]])</f>
        <v>0</v>
      </c>
    </row>
    <row r="10695" spans="1:5" x14ac:dyDescent="0.25">
      <c r="A10695" s="36" t="b">
        <v>0</v>
      </c>
      <c r="B10695" s="56" t="b">
        <v>0</v>
      </c>
      <c r="C10695" s="56" t="b">
        <v>0</v>
      </c>
      <c r="D10695" s="56" t="b">
        <v>0</v>
      </c>
      <c r="E10695" s="56">
        <f ca="1">IF(PV[[#This Row],[Business Date]]=Control!$C$6, PV[[#This Row],[Notional Value Local Cur]], -PV[[#This Row],[Notional Value Local Cur]])</f>
        <v>0</v>
      </c>
    </row>
    <row r="10696" spans="1:5" x14ac:dyDescent="0.25">
      <c r="A10696" s="36" t="b">
        <v>0</v>
      </c>
      <c r="B10696" s="56" t="b">
        <v>0</v>
      </c>
      <c r="C10696" s="56" t="b">
        <v>0</v>
      </c>
      <c r="D10696" s="56" t="b">
        <v>0</v>
      </c>
      <c r="E10696" s="56">
        <f ca="1">IF(PV[[#This Row],[Business Date]]=Control!$C$6, PV[[#This Row],[Notional Value Local Cur]], -PV[[#This Row],[Notional Value Local Cur]])</f>
        <v>0</v>
      </c>
    </row>
    <row r="10697" spans="1:5" x14ac:dyDescent="0.25">
      <c r="A10697" s="36" t="b">
        <v>0</v>
      </c>
      <c r="B10697" s="56" t="b">
        <v>0</v>
      </c>
      <c r="C10697" s="56" t="b">
        <v>0</v>
      </c>
      <c r="D10697" s="56" t="b">
        <v>0</v>
      </c>
      <c r="E10697" s="56">
        <f ca="1">IF(PV[[#This Row],[Business Date]]=Control!$C$6, PV[[#This Row],[Notional Value Local Cur]], -PV[[#This Row],[Notional Value Local Cur]])</f>
        <v>0</v>
      </c>
    </row>
    <row r="10698" spans="1:5" x14ac:dyDescent="0.25">
      <c r="A10698" s="36" t="b">
        <v>0</v>
      </c>
      <c r="B10698" s="56" t="b">
        <v>0</v>
      </c>
      <c r="C10698" s="56" t="b">
        <v>0</v>
      </c>
      <c r="D10698" s="56" t="b">
        <v>0</v>
      </c>
      <c r="E10698" s="56">
        <f ca="1">IF(PV[[#This Row],[Business Date]]=Control!$C$6, PV[[#This Row],[Notional Value Local Cur]], -PV[[#This Row],[Notional Value Local Cur]])</f>
        <v>0</v>
      </c>
    </row>
    <row r="10699" spans="1:5" x14ac:dyDescent="0.25">
      <c r="A10699" s="36" t="b">
        <v>0</v>
      </c>
      <c r="B10699" s="56" t="b">
        <v>0</v>
      </c>
      <c r="C10699" s="56" t="b">
        <v>0</v>
      </c>
      <c r="D10699" s="56" t="b">
        <v>0</v>
      </c>
      <c r="E10699" s="56">
        <f ca="1">IF(PV[[#This Row],[Business Date]]=Control!$C$6, PV[[#This Row],[Notional Value Local Cur]], -PV[[#This Row],[Notional Value Local Cur]])</f>
        <v>0</v>
      </c>
    </row>
    <row r="10700" spans="1:5" x14ac:dyDescent="0.25">
      <c r="A10700" s="36" t="b">
        <v>0</v>
      </c>
      <c r="B10700" s="56" t="b">
        <v>0</v>
      </c>
      <c r="C10700" s="56" t="b">
        <v>0</v>
      </c>
      <c r="D10700" s="56" t="b">
        <v>0</v>
      </c>
      <c r="E10700" s="56">
        <f ca="1">IF(PV[[#This Row],[Business Date]]=Control!$C$6, PV[[#This Row],[Notional Value Local Cur]], -PV[[#This Row],[Notional Value Local Cur]])</f>
        <v>0</v>
      </c>
    </row>
    <row r="10701" spans="1:5" x14ac:dyDescent="0.25">
      <c r="A10701" s="36" t="b">
        <v>0</v>
      </c>
      <c r="B10701" s="56" t="b">
        <v>0</v>
      </c>
      <c r="C10701" s="56" t="b">
        <v>0</v>
      </c>
      <c r="D10701" s="56" t="b">
        <v>0</v>
      </c>
      <c r="E10701" s="56">
        <f ca="1">IF(PV[[#This Row],[Business Date]]=Control!$C$6, PV[[#This Row],[Notional Value Local Cur]], -PV[[#This Row],[Notional Value Local Cur]])</f>
        <v>0</v>
      </c>
    </row>
    <row r="10702" spans="1:5" x14ac:dyDescent="0.25">
      <c r="A10702" s="36" t="b">
        <v>0</v>
      </c>
      <c r="B10702" s="56" t="b">
        <v>0</v>
      </c>
      <c r="C10702" s="56" t="b">
        <v>0</v>
      </c>
      <c r="D10702" s="56" t="b">
        <v>0</v>
      </c>
      <c r="E10702" s="56">
        <f ca="1">IF(PV[[#This Row],[Business Date]]=Control!$C$6, PV[[#This Row],[Notional Value Local Cur]], -PV[[#This Row],[Notional Value Local Cur]])</f>
        <v>0</v>
      </c>
    </row>
    <row r="10703" spans="1:5" x14ac:dyDescent="0.25">
      <c r="A10703" s="36" t="b">
        <v>0</v>
      </c>
      <c r="B10703" s="56" t="b">
        <v>0</v>
      </c>
      <c r="C10703" s="56" t="b">
        <v>0</v>
      </c>
      <c r="D10703" s="56" t="b">
        <v>0</v>
      </c>
      <c r="E10703" s="56">
        <f ca="1">IF(PV[[#This Row],[Business Date]]=Control!$C$6, PV[[#This Row],[Notional Value Local Cur]], -PV[[#This Row],[Notional Value Local Cur]])</f>
        <v>0</v>
      </c>
    </row>
    <row r="10704" spans="1:5" x14ac:dyDescent="0.25">
      <c r="A10704" s="36" t="b">
        <v>0</v>
      </c>
      <c r="B10704" s="56" t="b">
        <v>0</v>
      </c>
      <c r="C10704" s="56" t="b">
        <v>0</v>
      </c>
      <c r="D10704" s="56" t="b">
        <v>0</v>
      </c>
      <c r="E10704" s="56">
        <f ca="1">IF(PV[[#This Row],[Business Date]]=Control!$C$6, PV[[#This Row],[Notional Value Local Cur]], -PV[[#This Row],[Notional Value Local Cur]])</f>
        <v>0</v>
      </c>
    </row>
    <row r="10705" spans="1:5" x14ac:dyDescent="0.25">
      <c r="A10705" s="36" t="b">
        <v>0</v>
      </c>
      <c r="B10705" s="56" t="b">
        <v>0</v>
      </c>
      <c r="C10705" s="56" t="b">
        <v>0</v>
      </c>
      <c r="D10705" s="56" t="b">
        <v>0</v>
      </c>
      <c r="E10705" s="56">
        <f ca="1">IF(PV[[#This Row],[Business Date]]=Control!$C$6, PV[[#This Row],[Notional Value Local Cur]], -PV[[#This Row],[Notional Value Local Cur]])</f>
        <v>0</v>
      </c>
    </row>
    <row r="10706" spans="1:5" x14ac:dyDescent="0.25">
      <c r="A10706" s="36" t="b">
        <v>0</v>
      </c>
      <c r="B10706" s="56" t="b">
        <v>0</v>
      </c>
      <c r="C10706" s="56" t="b">
        <v>0</v>
      </c>
      <c r="D10706" s="56" t="b">
        <v>0</v>
      </c>
      <c r="E10706" s="56">
        <f ca="1">IF(PV[[#This Row],[Business Date]]=Control!$C$6, PV[[#This Row],[Notional Value Local Cur]], -PV[[#This Row],[Notional Value Local Cur]])</f>
        <v>0</v>
      </c>
    </row>
    <row r="10707" spans="1:5" x14ac:dyDescent="0.25">
      <c r="A10707" s="36" t="b">
        <v>0</v>
      </c>
      <c r="B10707" s="56" t="b">
        <v>0</v>
      </c>
      <c r="C10707" s="56" t="b">
        <v>0</v>
      </c>
      <c r="D10707" s="56" t="b">
        <v>0</v>
      </c>
      <c r="E10707" s="56">
        <f ca="1">IF(PV[[#This Row],[Business Date]]=Control!$C$6, PV[[#This Row],[Notional Value Local Cur]], -PV[[#This Row],[Notional Value Local Cur]])</f>
        <v>0</v>
      </c>
    </row>
    <row r="10708" spans="1:5" x14ac:dyDescent="0.25">
      <c r="A10708" s="36" t="b">
        <v>0</v>
      </c>
      <c r="B10708" s="56" t="b">
        <v>0</v>
      </c>
      <c r="C10708" s="56" t="b">
        <v>0</v>
      </c>
      <c r="D10708" s="56" t="b">
        <v>0</v>
      </c>
      <c r="E10708" s="56">
        <f ca="1">IF(PV[[#This Row],[Business Date]]=Control!$C$6, PV[[#This Row],[Notional Value Local Cur]], -PV[[#This Row],[Notional Value Local Cur]])</f>
        <v>0</v>
      </c>
    </row>
    <row r="10709" spans="1:5" x14ac:dyDescent="0.25">
      <c r="A10709" s="36" t="b">
        <v>0</v>
      </c>
      <c r="B10709" s="56" t="b">
        <v>0</v>
      </c>
      <c r="C10709" s="56" t="b">
        <v>0</v>
      </c>
      <c r="D10709" s="56" t="b">
        <v>0</v>
      </c>
      <c r="E10709" s="56">
        <f ca="1">IF(PV[[#This Row],[Business Date]]=Control!$C$6, PV[[#This Row],[Notional Value Local Cur]], -PV[[#This Row],[Notional Value Local Cur]])</f>
        <v>0</v>
      </c>
    </row>
    <row r="10710" spans="1:5" x14ac:dyDescent="0.25">
      <c r="A10710" s="36" t="b">
        <v>0</v>
      </c>
      <c r="B10710" s="56" t="b">
        <v>0</v>
      </c>
      <c r="C10710" s="56" t="b">
        <v>0</v>
      </c>
      <c r="D10710" s="56" t="b">
        <v>0</v>
      </c>
      <c r="E10710" s="56">
        <f ca="1">IF(PV[[#This Row],[Business Date]]=Control!$C$6, PV[[#This Row],[Notional Value Local Cur]], -PV[[#This Row],[Notional Value Local Cur]])</f>
        <v>0</v>
      </c>
    </row>
    <row r="10711" spans="1:5" x14ac:dyDescent="0.25">
      <c r="A10711" s="36" t="b">
        <v>0</v>
      </c>
      <c r="B10711" s="56" t="b">
        <v>0</v>
      </c>
      <c r="C10711" s="56" t="b">
        <v>0</v>
      </c>
      <c r="D10711" s="56" t="b">
        <v>0</v>
      </c>
      <c r="E10711" s="56">
        <f ca="1">IF(PV[[#This Row],[Business Date]]=Control!$C$6, PV[[#This Row],[Notional Value Local Cur]], -PV[[#This Row],[Notional Value Local Cur]])</f>
        <v>0</v>
      </c>
    </row>
    <row r="10712" spans="1:5" x14ac:dyDescent="0.25">
      <c r="A10712" s="36" t="b">
        <v>0</v>
      </c>
      <c r="B10712" s="56" t="b">
        <v>0</v>
      </c>
      <c r="C10712" s="56" t="b">
        <v>0</v>
      </c>
      <c r="D10712" s="56" t="b">
        <v>0</v>
      </c>
      <c r="E10712" s="56">
        <f ca="1">IF(PV[[#This Row],[Business Date]]=Control!$C$6, PV[[#This Row],[Notional Value Local Cur]], -PV[[#This Row],[Notional Value Local Cur]])</f>
        <v>0</v>
      </c>
    </row>
    <row r="10713" spans="1:5" x14ac:dyDescent="0.25">
      <c r="A10713" s="36" t="b">
        <v>0</v>
      </c>
      <c r="B10713" s="56" t="b">
        <v>0</v>
      </c>
      <c r="C10713" s="56" t="b">
        <v>0</v>
      </c>
      <c r="D10713" s="56" t="b">
        <v>0</v>
      </c>
      <c r="E10713" s="56">
        <f ca="1">IF(PV[[#This Row],[Business Date]]=Control!$C$6, PV[[#This Row],[Notional Value Local Cur]], -PV[[#This Row],[Notional Value Local Cur]])</f>
        <v>0</v>
      </c>
    </row>
    <row r="10714" spans="1:5" x14ac:dyDescent="0.25">
      <c r="A10714" s="36" t="b">
        <v>0</v>
      </c>
      <c r="B10714" s="56" t="b">
        <v>0</v>
      </c>
      <c r="C10714" s="56" t="b">
        <v>0</v>
      </c>
      <c r="D10714" s="56" t="b">
        <v>0</v>
      </c>
      <c r="E10714" s="56">
        <f ca="1">IF(PV[[#This Row],[Business Date]]=Control!$C$6, PV[[#This Row],[Notional Value Local Cur]], -PV[[#This Row],[Notional Value Local Cur]])</f>
        <v>0</v>
      </c>
    </row>
    <row r="10715" spans="1:5" x14ac:dyDescent="0.25">
      <c r="A10715" s="36" t="b">
        <v>0</v>
      </c>
      <c r="B10715" s="56" t="b">
        <v>0</v>
      </c>
      <c r="C10715" s="56" t="b">
        <v>0</v>
      </c>
      <c r="D10715" s="56" t="b">
        <v>0</v>
      </c>
      <c r="E10715" s="56">
        <f ca="1">IF(PV[[#This Row],[Business Date]]=Control!$C$6, PV[[#This Row],[Notional Value Local Cur]], -PV[[#This Row],[Notional Value Local Cur]])</f>
        <v>0</v>
      </c>
    </row>
    <row r="10716" spans="1:5" x14ac:dyDescent="0.25">
      <c r="A10716" s="36" t="b">
        <v>0</v>
      </c>
      <c r="B10716" s="56" t="b">
        <v>0</v>
      </c>
      <c r="C10716" s="56" t="b">
        <v>0</v>
      </c>
      <c r="D10716" s="56" t="b">
        <v>0</v>
      </c>
      <c r="E10716" s="56">
        <f ca="1">IF(PV[[#This Row],[Business Date]]=Control!$C$6, PV[[#This Row],[Notional Value Local Cur]], -PV[[#This Row],[Notional Value Local Cur]])</f>
        <v>0</v>
      </c>
    </row>
    <row r="10717" spans="1:5" x14ac:dyDescent="0.25">
      <c r="A10717" s="36" t="b">
        <v>0</v>
      </c>
      <c r="B10717" s="56" t="b">
        <v>0</v>
      </c>
      <c r="C10717" s="56" t="b">
        <v>0</v>
      </c>
      <c r="D10717" s="56" t="b">
        <v>0</v>
      </c>
      <c r="E10717" s="56">
        <f ca="1">IF(PV[[#This Row],[Business Date]]=Control!$C$6, PV[[#This Row],[Notional Value Local Cur]], -PV[[#This Row],[Notional Value Local Cur]])</f>
        <v>0</v>
      </c>
    </row>
    <row r="10718" spans="1:5" x14ac:dyDescent="0.25">
      <c r="A10718" s="36" t="b">
        <v>0</v>
      </c>
      <c r="B10718" s="56" t="b">
        <v>0</v>
      </c>
      <c r="C10718" s="56" t="b">
        <v>0</v>
      </c>
      <c r="D10718" s="56" t="b">
        <v>0</v>
      </c>
      <c r="E10718" s="56">
        <f ca="1">IF(PV[[#This Row],[Business Date]]=Control!$C$6, PV[[#This Row],[Notional Value Local Cur]], -PV[[#This Row],[Notional Value Local Cur]])</f>
        <v>0</v>
      </c>
    </row>
    <row r="10719" spans="1:5" x14ac:dyDescent="0.25">
      <c r="A10719" s="36" t="b">
        <v>0</v>
      </c>
      <c r="B10719" s="56" t="b">
        <v>0</v>
      </c>
      <c r="C10719" s="56" t="b">
        <v>0</v>
      </c>
      <c r="D10719" s="56" t="b">
        <v>0</v>
      </c>
      <c r="E10719" s="56">
        <f ca="1">IF(PV[[#This Row],[Business Date]]=Control!$C$6, PV[[#This Row],[Notional Value Local Cur]], -PV[[#This Row],[Notional Value Local Cur]])</f>
        <v>0</v>
      </c>
    </row>
    <row r="10720" spans="1:5" x14ac:dyDescent="0.25">
      <c r="A10720" s="36" t="b">
        <v>0</v>
      </c>
      <c r="B10720" s="56" t="b">
        <v>0</v>
      </c>
      <c r="C10720" s="56" t="b">
        <v>0</v>
      </c>
      <c r="D10720" s="56" t="b">
        <v>0</v>
      </c>
      <c r="E10720" s="56">
        <f ca="1">IF(PV[[#This Row],[Business Date]]=Control!$C$6, PV[[#This Row],[Notional Value Local Cur]], -PV[[#This Row],[Notional Value Local Cur]])</f>
        <v>0</v>
      </c>
    </row>
    <row r="10721" spans="1:5" x14ac:dyDescent="0.25">
      <c r="A10721" s="36" t="b">
        <v>0</v>
      </c>
      <c r="B10721" s="56" t="b">
        <v>0</v>
      </c>
      <c r="C10721" s="56" t="b">
        <v>0</v>
      </c>
      <c r="D10721" s="56" t="b">
        <v>0</v>
      </c>
      <c r="E10721" s="56">
        <f ca="1">IF(PV[[#This Row],[Business Date]]=Control!$C$6, PV[[#This Row],[Notional Value Local Cur]], -PV[[#This Row],[Notional Value Local Cur]])</f>
        <v>0</v>
      </c>
    </row>
    <row r="10722" spans="1:5" x14ac:dyDescent="0.25">
      <c r="A10722" s="36" t="b">
        <v>0</v>
      </c>
      <c r="B10722" s="56" t="b">
        <v>0</v>
      </c>
      <c r="C10722" s="56" t="b">
        <v>0</v>
      </c>
      <c r="D10722" s="56" t="b">
        <v>0</v>
      </c>
      <c r="E10722" s="56">
        <f ca="1">IF(PV[[#This Row],[Business Date]]=Control!$C$6, PV[[#This Row],[Notional Value Local Cur]], -PV[[#This Row],[Notional Value Local Cur]])</f>
        <v>0</v>
      </c>
    </row>
    <row r="10723" spans="1:5" x14ac:dyDescent="0.25">
      <c r="A10723" s="36" t="b">
        <v>0</v>
      </c>
      <c r="B10723" s="56" t="b">
        <v>0</v>
      </c>
      <c r="C10723" s="56" t="b">
        <v>0</v>
      </c>
      <c r="D10723" s="56" t="b">
        <v>0</v>
      </c>
      <c r="E10723" s="56">
        <f ca="1">IF(PV[[#This Row],[Business Date]]=Control!$C$6, PV[[#This Row],[Notional Value Local Cur]], -PV[[#This Row],[Notional Value Local Cur]])</f>
        <v>0</v>
      </c>
    </row>
    <row r="10724" spans="1:5" x14ac:dyDescent="0.25">
      <c r="A10724" s="36" t="b">
        <v>0</v>
      </c>
      <c r="B10724" s="56" t="b">
        <v>0</v>
      </c>
      <c r="C10724" s="56" t="b">
        <v>0</v>
      </c>
      <c r="D10724" s="56" t="b">
        <v>0</v>
      </c>
      <c r="E10724" s="56">
        <f ca="1">IF(PV[[#This Row],[Business Date]]=Control!$C$6, PV[[#This Row],[Notional Value Local Cur]], -PV[[#This Row],[Notional Value Local Cur]])</f>
        <v>0</v>
      </c>
    </row>
    <row r="10725" spans="1:5" x14ac:dyDescent="0.25">
      <c r="A10725" s="36" t="b">
        <v>0</v>
      </c>
      <c r="B10725" s="56" t="b">
        <v>0</v>
      </c>
      <c r="C10725" s="56" t="b">
        <v>0</v>
      </c>
      <c r="D10725" s="56" t="b">
        <v>0</v>
      </c>
      <c r="E10725" s="56">
        <f ca="1">IF(PV[[#This Row],[Business Date]]=Control!$C$6, PV[[#This Row],[Notional Value Local Cur]], -PV[[#This Row],[Notional Value Local Cur]])</f>
        <v>0</v>
      </c>
    </row>
    <row r="10726" spans="1:5" x14ac:dyDescent="0.25">
      <c r="A10726" s="36" t="b">
        <v>0</v>
      </c>
      <c r="B10726" s="56" t="b">
        <v>0</v>
      </c>
      <c r="C10726" s="56" t="b">
        <v>0</v>
      </c>
      <c r="D10726" s="56" t="b">
        <v>0</v>
      </c>
      <c r="E10726" s="56">
        <f ca="1">IF(PV[[#This Row],[Business Date]]=Control!$C$6, PV[[#This Row],[Notional Value Local Cur]], -PV[[#This Row],[Notional Value Local Cur]])</f>
        <v>0</v>
      </c>
    </row>
    <row r="10727" spans="1:5" x14ac:dyDescent="0.25">
      <c r="A10727" s="36" t="b">
        <v>0</v>
      </c>
      <c r="B10727" s="56" t="b">
        <v>0</v>
      </c>
      <c r="C10727" s="56" t="b">
        <v>0</v>
      </c>
      <c r="D10727" s="56" t="b">
        <v>0</v>
      </c>
      <c r="E10727" s="56">
        <f ca="1">IF(PV[[#This Row],[Business Date]]=Control!$C$6, PV[[#This Row],[Notional Value Local Cur]], -PV[[#This Row],[Notional Value Local Cur]])</f>
        <v>0</v>
      </c>
    </row>
    <row r="10728" spans="1:5" x14ac:dyDescent="0.25">
      <c r="A10728" s="36" t="b">
        <v>0</v>
      </c>
      <c r="B10728" s="56" t="b">
        <v>0</v>
      </c>
      <c r="C10728" s="56" t="b">
        <v>0</v>
      </c>
      <c r="D10728" s="56" t="b">
        <v>0</v>
      </c>
      <c r="E10728" s="56">
        <f ca="1">IF(PV[[#This Row],[Business Date]]=Control!$C$6, PV[[#This Row],[Notional Value Local Cur]], -PV[[#This Row],[Notional Value Local Cur]])</f>
        <v>0</v>
      </c>
    </row>
    <row r="10729" spans="1:5" x14ac:dyDescent="0.25">
      <c r="A10729" s="36" t="b">
        <v>0</v>
      </c>
      <c r="B10729" s="56" t="b">
        <v>0</v>
      </c>
      <c r="C10729" s="56" t="b">
        <v>0</v>
      </c>
      <c r="D10729" s="56" t="b">
        <v>0</v>
      </c>
      <c r="E10729" s="56">
        <f ca="1">IF(PV[[#This Row],[Business Date]]=Control!$C$6, PV[[#This Row],[Notional Value Local Cur]], -PV[[#This Row],[Notional Value Local Cur]])</f>
        <v>0</v>
      </c>
    </row>
    <row r="10730" spans="1:5" x14ac:dyDescent="0.25">
      <c r="A10730" s="36" t="b">
        <v>0</v>
      </c>
      <c r="B10730" s="56" t="b">
        <v>0</v>
      </c>
      <c r="C10730" s="56" t="b">
        <v>0</v>
      </c>
      <c r="D10730" s="56" t="b">
        <v>0</v>
      </c>
      <c r="E10730" s="56">
        <f ca="1">IF(PV[[#This Row],[Business Date]]=Control!$C$6, PV[[#This Row],[Notional Value Local Cur]], -PV[[#This Row],[Notional Value Local Cur]])</f>
        <v>0</v>
      </c>
    </row>
    <row r="10731" spans="1:5" x14ac:dyDescent="0.25">
      <c r="A10731" s="36" t="b">
        <v>0</v>
      </c>
      <c r="B10731" s="56" t="b">
        <v>0</v>
      </c>
      <c r="C10731" s="56" t="b">
        <v>0</v>
      </c>
      <c r="D10731" s="56" t="b">
        <v>0</v>
      </c>
      <c r="E10731" s="56">
        <f ca="1">IF(PV[[#This Row],[Business Date]]=Control!$C$6, PV[[#This Row],[Notional Value Local Cur]], -PV[[#This Row],[Notional Value Local Cur]])</f>
        <v>0</v>
      </c>
    </row>
    <row r="10732" spans="1:5" x14ac:dyDescent="0.25">
      <c r="A10732" s="36" t="b">
        <v>0</v>
      </c>
      <c r="B10732" s="56" t="b">
        <v>0</v>
      </c>
      <c r="C10732" s="56" t="b">
        <v>0</v>
      </c>
      <c r="D10732" s="56" t="b">
        <v>0</v>
      </c>
      <c r="E10732" s="56">
        <f ca="1">IF(PV[[#This Row],[Business Date]]=Control!$C$6, PV[[#This Row],[Notional Value Local Cur]], -PV[[#This Row],[Notional Value Local Cur]])</f>
        <v>0</v>
      </c>
    </row>
    <row r="10733" spans="1:5" x14ac:dyDescent="0.25">
      <c r="A10733" s="36" t="b">
        <v>0</v>
      </c>
      <c r="B10733" s="56" t="b">
        <v>0</v>
      </c>
      <c r="C10733" s="56" t="b">
        <v>0</v>
      </c>
      <c r="D10733" s="56" t="b">
        <v>0</v>
      </c>
      <c r="E10733" s="56">
        <f ca="1">IF(PV[[#This Row],[Business Date]]=Control!$C$6, PV[[#This Row],[Notional Value Local Cur]], -PV[[#This Row],[Notional Value Local Cur]])</f>
        <v>0</v>
      </c>
    </row>
    <row r="10734" spans="1:5" x14ac:dyDescent="0.25">
      <c r="A10734" s="36" t="b">
        <v>0</v>
      </c>
      <c r="B10734" s="56" t="b">
        <v>0</v>
      </c>
      <c r="C10734" s="56" t="b">
        <v>0</v>
      </c>
      <c r="D10734" s="56" t="b">
        <v>0</v>
      </c>
      <c r="E10734" s="56">
        <f ca="1">IF(PV[[#This Row],[Business Date]]=Control!$C$6, PV[[#This Row],[Notional Value Local Cur]], -PV[[#This Row],[Notional Value Local Cur]])</f>
        <v>0</v>
      </c>
    </row>
    <row r="10735" spans="1:5" x14ac:dyDescent="0.25">
      <c r="A10735" s="36" t="b">
        <v>0</v>
      </c>
      <c r="B10735" s="56" t="b">
        <v>0</v>
      </c>
      <c r="C10735" s="56" t="b">
        <v>0</v>
      </c>
      <c r="D10735" s="56" t="b">
        <v>0</v>
      </c>
      <c r="E10735" s="56">
        <f ca="1">IF(PV[[#This Row],[Business Date]]=Control!$C$6, PV[[#This Row],[Notional Value Local Cur]], -PV[[#This Row],[Notional Value Local Cur]])</f>
        <v>0</v>
      </c>
    </row>
    <row r="10736" spans="1:5" x14ac:dyDescent="0.25">
      <c r="A10736" s="36" t="b">
        <v>0</v>
      </c>
      <c r="B10736" s="56" t="b">
        <v>0</v>
      </c>
      <c r="C10736" s="56" t="b">
        <v>0</v>
      </c>
      <c r="D10736" s="56" t="b">
        <v>0</v>
      </c>
      <c r="E10736" s="56">
        <f ca="1">IF(PV[[#This Row],[Business Date]]=Control!$C$6, PV[[#This Row],[Notional Value Local Cur]], -PV[[#This Row],[Notional Value Local Cur]])</f>
        <v>0</v>
      </c>
    </row>
    <row r="10737" spans="1:5" x14ac:dyDescent="0.25">
      <c r="A10737" s="36" t="b">
        <v>0</v>
      </c>
      <c r="B10737" s="56" t="b">
        <v>0</v>
      </c>
      <c r="C10737" s="56" t="b">
        <v>0</v>
      </c>
      <c r="D10737" s="56" t="b">
        <v>0</v>
      </c>
      <c r="E10737" s="56">
        <f ca="1">IF(PV[[#This Row],[Business Date]]=Control!$C$6, PV[[#This Row],[Notional Value Local Cur]], -PV[[#This Row],[Notional Value Local Cur]])</f>
        <v>0</v>
      </c>
    </row>
    <row r="10738" spans="1:5" x14ac:dyDescent="0.25">
      <c r="A10738" s="36" t="b">
        <v>0</v>
      </c>
      <c r="B10738" s="56" t="b">
        <v>0</v>
      </c>
      <c r="C10738" s="56" t="b">
        <v>0</v>
      </c>
      <c r="D10738" s="56" t="b">
        <v>0</v>
      </c>
      <c r="E10738" s="56">
        <f ca="1">IF(PV[[#This Row],[Business Date]]=Control!$C$6, PV[[#This Row],[Notional Value Local Cur]], -PV[[#This Row],[Notional Value Local Cur]])</f>
        <v>0</v>
      </c>
    </row>
    <row r="10739" spans="1:5" x14ac:dyDescent="0.25">
      <c r="A10739" s="36" t="b">
        <v>0</v>
      </c>
      <c r="B10739" s="56" t="b">
        <v>0</v>
      </c>
      <c r="C10739" s="56" t="b">
        <v>0</v>
      </c>
      <c r="D10739" s="56" t="b">
        <v>0</v>
      </c>
      <c r="E10739" s="56">
        <f ca="1">IF(PV[[#This Row],[Business Date]]=Control!$C$6, PV[[#This Row],[Notional Value Local Cur]], -PV[[#This Row],[Notional Value Local Cur]])</f>
        <v>0</v>
      </c>
    </row>
    <row r="10740" spans="1:5" x14ac:dyDescent="0.25">
      <c r="A10740" s="36" t="b">
        <v>0</v>
      </c>
      <c r="B10740" s="56" t="b">
        <v>0</v>
      </c>
      <c r="C10740" s="56" t="b">
        <v>0</v>
      </c>
      <c r="D10740" s="56" t="b">
        <v>0</v>
      </c>
      <c r="E10740" s="56">
        <f ca="1">IF(PV[[#This Row],[Business Date]]=Control!$C$6, PV[[#This Row],[Notional Value Local Cur]], -PV[[#This Row],[Notional Value Local Cur]])</f>
        <v>0</v>
      </c>
    </row>
    <row r="10741" spans="1:5" x14ac:dyDescent="0.25">
      <c r="A10741" s="36" t="b">
        <v>0</v>
      </c>
      <c r="B10741" s="56" t="b">
        <v>0</v>
      </c>
      <c r="C10741" s="56" t="b">
        <v>0</v>
      </c>
      <c r="D10741" s="56" t="b">
        <v>0</v>
      </c>
      <c r="E10741" s="56">
        <f ca="1">IF(PV[[#This Row],[Business Date]]=Control!$C$6, PV[[#This Row],[Notional Value Local Cur]], -PV[[#This Row],[Notional Value Local Cur]])</f>
        <v>0</v>
      </c>
    </row>
    <row r="10742" spans="1:5" x14ac:dyDescent="0.25">
      <c r="A10742" s="36" t="b">
        <v>0</v>
      </c>
      <c r="B10742" s="56" t="b">
        <v>0</v>
      </c>
      <c r="C10742" s="56" t="b">
        <v>0</v>
      </c>
      <c r="D10742" s="56" t="b">
        <v>0</v>
      </c>
      <c r="E10742" s="56">
        <f ca="1">IF(PV[[#This Row],[Business Date]]=Control!$C$6, PV[[#This Row],[Notional Value Local Cur]], -PV[[#This Row],[Notional Value Local Cur]])</f>
        <v>0</v>
      </c>
    </row>
    <row r="10743" spans="1:5" x14ac:dyDescent="0.25">
      <c r="A10743" s="36" t="b">
        <v>0</v>
      </c>
      <c r="B10743" s="56" t="b">
        <v>0</v>
      </c>
      <c r="C10743" s="56" t="b">
        <v>0</v>
      </c>
      <c r="D10743" s="56" t="b">
        <v>0</v>
      </c>
      <c r="E10743" s="56">
        <f ca="1">IF(PV[[#This Row],[Business Date]]=Control!$C$6, PV[[#This Row],[Notional Value Local Cur]], -PV[[#This Row],[Notional Value Local Cur]])</f>
        <v>0</v>
      </c>
    </row>
    <row r="10744" spans="1:5" x14ac:dyDescent="0.25">
      <c r="A10744" s="36" t="b">
        <v>0</v>
      </c>
      <c r="B10744" s="56" t="b">
        <v>0</v>
      </c>
      <c r="C10744" s="56" t="b">
        <v>0</v>
      </c>
      <c r="D10744" s="56" t="b">
        <v>0</v>
      </c>
      <c r="E10744" s="56">
        <f ca="1">IF(PV[[#This Row],[Business Date]]=Control!$C$6, PV[[#This Row],[Notional Value Local Cur]], -PV[[#This Row],[Notional Value Local Cur]])</f>
        <v>0</v>
      </c>
    </row>
    <row r="10745" spans="1:5" x14ac:dyDescent="0.25">
      <c r="A10745" s="36" t="b">
        <v>0</v>
      </c>
      <c r="B10745" s="56" t="b">
        <v>0</v>
      </c>
      <c r="C10745" s="56" t="b">
        <v>0</v>
      </c>
      <c r="D10745" s="56" t="b">
        <v>0</v>
      </c>
      <c r="E10745" s="56">
        <f ca="1">IF(PV[[#This Row],[Business Date]]=Control!$C$6, PV[[#This Row],[Notional Value Local Cur]], -PV[[#This Row],[Notional Value Local Cur]])</f>
        <v>0</v>
      </c>
    </row>
    <row r="10746" spans="1:5" x14ac:dyDescent="0.25">
      <c r="A10746" s="36" t="b">
        <v>0</v>
      </c>
      <c r="B10746" s="56" t="b">
        <v>0</v>
      </c>
      <c r="C10746" s="56" t="b">
        <v>0</v>
      </c>
      <c r="D10746" s="56" t="b">
        <v>0</v>
      </c>
      <c r="E10746" s="56">
        <f ca="1">IF(PV[[#This Row],[Business Date]]=Control!$C$6, PV[[#This Row],[Notional Value Local Cur]], -PV[[#This Row],[Notional Value Local Cur]])</f>
        <v>0</v>
      </c>
    </row>
    <row r="10747" spans="1:5" x14ac:dyDescent="0.25">
      <c r="A10747" s="36" t="b">
        <v>0</v>
      </c>
      <c r="B10747" s="56" t="b">
        <v>0</v>
      </c>
      <c r="C10747" s="56" t="b">
        <v>0</v>
      </c>
      <c r="D10747" s="56" t="b">
        <v>0</v>
      </c>
      <c r="E10747" s="56">
        <f ca="1">IF(PV[[#This Row],[Business Date]]=Control!$C$6, PV[[#This Row],[Notional Value Local Cur]], -PV[[#This Row],[Notional Value Local Cur]])</f>
        <v>0</v>
      </c>
    </row>
    <row r="10748" spans="1:5" x14ac:dyDescent="0.25">
      <c r="A10748" s="36" t="b">
        <v>0</v>
      </c>
      <c r="B10748" s="56" t="b">
        <v>0</v>
      </c>
      <c r="C10748" s="56" t="b">
        <v>0</v>
      </c>
      <c r="D10748" s="56" t="b">
        <v>0</v>
      </c>
      <c r="E10748" s="56">
        <f ca="1">IF(PV[[#This Row],[Business Date]]=Control!$C$6, PV[[#This Row],[Notional Value Local Cur]], -PV[[#This Row],[Notional Value Local Cur]])</f>
        <v>0</v>
      </c>
    </row>
    <row r="10749" spans="1:5" x14ac:dyDescent="0.25">
      <c r="A10749" s="36" t="b">
        <v>0</v>
      </c>
      <c r="B10749" s="56" t="b">
        <v>0</v>
      </c>
      <c r="C10749" s="56" t="b">
        <v>0</v>
      </c>
      <c r="D10749" s="56" t="b">
        <v>0</v>
      </c>
      <c r="E10749" s="56">
        <f ca="1">IF(PV[[#This Row],[Business Date]]=Control!$C$6, PV[[#This Row],[Notional Value Local Cur]], -PV[[#This Row],[Notional Value Local Cur]])</f>
        <v>0</v>
      </c>
    </row>
    <row r="10750" spans="1:5" x14ac:dyDescent="0.25">
      <c r="A10750" s="36" t="b">
        <v>0</v>
      </c>
      <c r="B10750" s="56" t="b">
        <v>0</v>
      </c>
      <c r="C10750" s="56" t="b">
        <v>0</v>
      </c>
      <c r="D10750" s="56" t="b">
        <v>0</v>
      </c>
      <c r="E10750" s="56">
        <f ca="1">IF(PV[[#This Row],[Business Date]]=Control!$C$6, PV[[#This Row],[Notional Value Local Cur]], -PV[[#This Row],[Notional Value Local Cur]])</f>
        <v>0</v>
      </c>
    </row>
    <row r="10751" spans="1:5" x14ac:dyDescent="0.25">
      <c r="A10751" s="36" t="b">
        <v>0</v>
      </c>
      <c r="B10751" s="56" t="b">
        <v>0</v>
      </c>
      <c r="C10751" s="56" t="b">
        <v>0</v>
      </c>
      <c r="D10751" s="56" t="b">
        <v>0</v>
      </c>
      <c r="E10751" s="56">
        <f ca="1">IF(PV[[#This Row],[Business Date]]=Control!$C$6, PV[[#This Row],[Notional Value Local Cur]], -PV[[#This Row],[Notional Value Local Cur]])</f>
        <v>0</v>
      </c>
    </row>
    <row r="10752" spans="1:5" x14ac:dyDescent="0.25">
      <c r="A10752" s="36" t="b">
        <v>0</v>
      </c>
      <c r="B10752" s="56" t="b">
        <v>0</v>
      </c>
      <c r="C10752" s="56" t="b">
        <v>0</v>
      </c>
      <c r="D10752" s="56" t="b">
        <v>0</v>
      </c>
      <c r="E10752" s="56">
        <f ca="1">IF(PV[[#This Row],[Business Date]]=Control!$C$6, PV[[#This Row],[Notional Value Local Cur]], -PV[[#This Row],[Notional Value Local Cur]])</f>
        <v>0</v>
      </c>
    </row>
    <row r="10753" spans="1:5" x14ac:dyDescent="0.25">
      <c r="A10753" s="36" t="b">
        <v>0</v>
      </c>
      <c r="B10753" s="56" t="b">
        <v>0</v>
      </c>
      <c r="C10753" s="56" t="b">
        <v>0</v>
      </c>
      <c r="D10753" s="56" t="b">
        <v>0</v>
      </c>
      <c r="E10753" s="56">
        <f ca="1">IF(PV[[#This Row],[Business Date]]=Control!$C$6, PV[[#This Row],[Notional Value Local Cur]], -PV[[#This Row],[Notional Value Local Cur]])</f>
        <v>0</v>
      </c>
    </row>
    <row r="10754" spans="1:5" x14ac:dyDescent="0.25">
      <c r="A10754" s="36" t="b">
        <v>0</v>
      </c>
      <c r="B10754" s="56" t="b">
        <v>0</v>
      </c>
      <c r="C10754" s="56" t="b">
        <v>0</v>
      </c>
      <c r="D10754" s="56" t="b">
        <v>0</v>
      </c>
      <c r="E10754" s="56">
        <f ca="1">IF(PV[[#This Row],[Business Date]]=Control!$C$6, PV[[#This Row],[Notional Value Local Cur]], -PV[[#This Row],[Notional Value Local Cur]])</f>
        <v>0</v>
      </c>
    </row>
    <row r="10755" spans="1:5" x14ac:dyDescent="0.25">
      <c r="A10755" s="36" t="b">
        <v>0</v>
      </c>
      <c r="B10755" s="56" t="b">
        <v>0</v>
      </c>
      <c r="C10755" s="56" t="b">
        <v>0</v>
      </c>
      <c r="D10755" s="56" t="b">
        <v>0</v>
      </c>
      <c r="E10755" s="56">
        <f ca="1">IF(PV[[#This Row],[Business Date]]=Control!$C$6, PV[[#This Row],[Notional Value Local Cur]], -PV[[#This Row],[Notional Value Local Cur]])</f>
        <v>0</v>
      </c>
    </row>
    <row r="10756" spans="1:5" x14ac:dyDescent="0.25">
      <c r="A10756" s="36" t="b">
        <v>0</v>
      </c>
      <c r="B10756" s="56" t="b">
        <v>0</v>
      </c>
      <c r="C10756" s="56" t="b">
        <v>0</v>
      </c>
      <c r="D10756" s="56" t="b">
        <v>0</v>
      </c>
      <c r="E10756" s="56">
        <f ca="1">IF(PV[[#This Row],[Business Date]]=Control!$C$6, PV[[#This Row],[Notional Value Local Cur]], -PV[[#This Row],[Notional Value Local Cur]])</f>
        <v>0</v>
      </c>
    </row>
    <row r="10757" spans="1:5" x14ac:dyDescent="0.25">
      <c r="A10757" s="36" t="b">
        <v>0</v>
      </c>
      <c r="B10757" s="56" t="b">
        <v>0</v>
      </c>
      <c r="C10757" s="56" t="b">
        <v>0</v>
      </c>
      <c r="D10757" s="56" t="b">
        <v>0</v>
      </c>
      <c r="E10757" s="56">
        <f ca="1">IF(PV[[#This Row],[Business Date]]=Control!$C$6, PV[[#This Row],[Notional Value Local Cur]], -PV[[#This Row],[Notional Value Local Cur]])</f>
        <v>0</v>
      </c>
    </row>
    <row r="10758" spans="1:5" x14ac:dyDescent="0.25">
      <c r="A10758" s="36" t="b">
        <v>0</v>
      </c>
      <c r="B10758" s="56" t="b">
        <v>0</v>
      </c>
      <c r="C10758" s="56" t="b">
        <v>0</v>
      </c>
      <c r="D10758" s="56" t="b">
        <v>0</v>
      </c>
      <c r="E10758" s="56">
        <f ca="1">IF(PV[[#This Row],[Business Date]]=Control!$C$6, PV[[#This Row],[Notional Value Local Cur]], -PV[[#This Row],[Notional Value Local Cur]])</f>
        <v>0</v>
      </c>
    </row>
    <row r="10759" spans="1:5" x14ac:dyDescent="0.25">
      <c r="A10759" s="36" t="b">
        <v>0</v>
      </c>
      <c r="B10759" s="56" t="b">
        <v>0</v>
      </c>
      <c r="C10759" s="56" t="b">
        <v>0</v>
      </c>
      <c r="D10759" s="56" t="b">
        <v>0</v>
      </c>
      <c r="E10759" s="56">
        <f ca="1">IF(PV[[#This Row],[Business Date]]=Control!$C$6, PV[[#This Row],[Notional Value Local Cur]], -PV[[#This Row],[Notional Value Local Cur]])</f>
        <v>0</v>
      </c>
    </row>
    <row r="10760" spans="1:5" x14ac:dyDescent="0.25">
      <c r="A10760" s="36" t="b">
        <v>0</v>
      </c>
      <c r="B10760" s="56" t="b">
        <v>0</v>
      </c>
      <c r="C10760" s="56" t="b">
        <v>0</v>
      </c>
      <c r="D10760" s="56" t="b">
        <v>0</v>
      </c>
      <c r="E10760" s="56">
        <f ca="1">IF(PV[[#This Row],[Business Date]]=Control!$C$6, PV[[#This Row],[Notional Value Local Cur]], -PV[[#This Row],[Notional Value Local Cur]])</f>
        <v>0</v>
      </c>
    </row>
    <row r="10761" spans="1:5" x14ac:dyDescent="0.25">
      <c r="A10761" s="36" t="b">
        <v>0</v>
      </c>
      <c r="B10761" s="56" t="b">
        <v>0</v>
      </c>
      <c r="C10761" s="56" t="b">
        <v>0</v>
      </c>
      <c r="D10761" s="56" t="b">
        <v>0</v>
      </c>
      <c r="E10761" s="56">
        <f ca="1">IF(PV[[#This Row],[Business Date]]=Control!$C$6, PV[[#This Row],[Notional Value Local Cur]], -PV[[#This Row],[Notional Value Local Cur]])</f>
        <v>0</v>
      </c>
    </row>
    <row r="10762" spans="1:5" x14ac:dyDescent="0.25">
      <c r="A10762" s="36" t="b">
        <v>0</v>
      </c>
      <c r="B10762" s="56" t="b">
        <v>0</v>
      </c>
      <c r="C10762" s="56" t="b">
        <v>0</v>
      </c>
      <c r="D10762" s="56" t="b">
        <v>0</v>
      </c>
      <c r="E10762" s="56">
        <f ca="1">IF(PV[[#This Row],[Business Date]]=Control!$C$6, PV[[#This Row],[Notional Value Local Cur]], -PV[[#This Row],[Notional Value Local Cur]])</f>
        <v>0</v>
      </c>
    </row>
    <row r="10763" spans="1:5" x14ac:dyDescent="0.25">
      <c r="A10763" s="36" t="b">
        <v>0</v>
      </c>
      <c r="B10763" s="56" t="b">
        <v>0</v>
      </c>
      <c r="C10763" s="56" t="b">
        <v>0</v>
      </c>
      <c r="D10763" s="56" t="b">
        <v>0</v>
      </c>
      <c r="E10763" s="56">
        <f ca="1">IF(PV[[#This Row],[Business Date]]=Control!$C$6, PV[[#This Row],[Notional Value Local Cur]], -PV[[#This Row],[Notional Value Local Cur]])</f>
        <v>0</v>
      </c>
    </row>
    <row r="10764" spans="1:5" x14ac:dyDescent="0.25">
      <c r="A10764" s="36" t="b">
        <v>0</v>
      </c>
      <c r="B10764" s="56" t="b">
        <v>0</v>
      </c>
      <c r="C10764" s="56" t="b">
        <v>0</v>
      </c>
      <c r="D10764" s="56" t="b">
        <v>0</v>
      </c>
      <c r="E10764" s="56">
        <f ca="1">IF(PV[[#This Row],[Business Date]]=Control!$C$6, PV[[#This Row],[Notional Value Local Cur]], -PV[[#This Row],[Notional Value Local Cur]])</f>
        <v>0</v>
      </c>
    </row>
    <row r="10765" spans="1:5" x14ac:dyDescent="0.25">
      <c r="A10765" s="36" t="b">
        <v>0</v>
      </c>
      <c r="B10765" s="56" t="b">
        <v>0</v>
      </c>
      <c r="C10765" s="56" t="b">
        <v>0</v>
      </c>
      <c r="D10765" s="56" t="b">
        <v>0</v>
      </c>
      <c r="E10765" s="56">
        <f ca="1">IF(PV[[#This Row],[Business Date]]=Control!$C$6, PV[[#This Row],[Notional Value Local Cur]], -PV[[#This Row],[Notional Value Local Cur]])</f>
        <v>0</v>
      </c>
    </row>
    <row r="10766" spans="1:5" x14ac:dyDescent="0.25">
      <c r="A10766" s="36" t="b">
        <v>0</v>
      </c>
      <c r="B10766" s="56" t="b">
        <v>0</v>
      </c>
      <c r="C10766" s="56" t="b">
        <v>0</v>
      </c>
      <c r="D10766" s="56" t="b">
        <v>0</v>
      </c>
      <c r="E10766" s="56">
        <f ca="1">IF(PV[[#This Row],[Business Date]]=Control!$C$6, PV[[#This Row],[Notional Value Local Cur]], -PV[[#This Row],[Notional Value Local Cur]])</f>
        <v>0</v>
      </c>
    </row>
    <row r="10767" spans="1:5" x14ac:dyDescent="0.25">
      <c r="A10767" s="36" t="b">
        <v>0</v>
      </c>
      <c r="B10767" s="56" t="b">
        <v>0</v>
      </c>
      <c r="C10767" s="56" t="b">
        <v>0</v>
      </c>
      <c r="D10767" s="56" t="b">
        <v>0</v>
      </c>
      <c r="E10767" s="56">
        <f ca="1">IF(PV[[#This Row],[Business Date]]=Control!$C$6, PV[[#This Row],[Notional Value Local Cur]], -PV[[#This Row],[Notional Value Local Cur]])</f>
        <v>0</v>
      </c>
    </row>
    <row r="10768" spans="1:5" x14ac:dyDescent="0.25">
      <c r="A10768" s="36" t="b">
        <v>0</v>
      </c>
      <c r="B10768" s="56" t="b">
        <v>0</v>
      </c>
      <c r="C10768" s="56" t="b">
        <v>0</v>
      </c>
      <c r="D10768" s="56" t="b">
        <v>0</v>
      </c>
      <c r="E10768" s="56">
        <f ca="1">IF(PV[[#This Row],[Business Date]]=Control!$C$6, PV[[#This Row],[Notional Value Local Cur]], -PV[[#This Row],[Notional Value Local Cur]])</f>
        <v>0</v>
      </c>
    </row>
    <row r="10769" spans="1:5" x14ac:dyDescent="0.25">
      <c r="A10769" s="36" t="b">
        <v>0</v>
      </c>
      <c r="B10769" s="56" t="b">
        <v>0</v>
      </c>
      <c r="C10769" s="56" t="b">
        <v>0</v>
      </c>
      <c r="D10769" s="56" t="b">
        <v>0</v>
      </c>
      <c r="E10769" s="56">
        <f ca="1">IF(PV[[#This Row],[Business Date]]=Control!$C$6, PV[[#This Row],[Notional Value Local Cur]], -PV[[#This Row],[Notional Value Local Cur]])</f>
        <v>0</v>
      </c>
    </row>
    <row r="10770" spans="1:5" x14ac:dyDescent="0.25">
      <c r="A10770" s="36" t="b">
        <v>0</v>
      </c>
      <c r="B10770" s="56" t="b">
        <v>0</v>
      </c>
      <c r="C10770" s="56" t="b">
        <v>0</v>
      </c>
      <c r="D10770" s="56" t="b">
        <v>0</v>
      </c>
      <c r="E10770" s="56">
        <f ca="1">IF(PV[[#This Row],[Business Date]]=Control!$C$6, PV[[#This Row],[Notional Value Local Cur]], -PV[[#This Row],[Notional Value Local Cur]])</f>
        <v>0</v>
      </c>
    </row>
    <row r="10771" spans="1:5" x14ac:dyDescent="0.25">
      <c r="A10771" s="36" t="b">
        <v>0</v>
      </c>
      <c r="B10771" s="56" t="b">
        <v>0</v>
      </c>
      <c r="C10771" s="56" t="b">
        <v>0</v>
      </c>
      <c r="D10771" s="56" t="b">
        <v>0</v>
      </c>
      <c r="E10771" s="56">
        <f ca="1">IF(PV[[#This Row],[Business Date]]=Control!$C$6, PV[[#This Row],[Notional Value Local Cur]], -PV[[#This Row],[Notional Value Local Cur]])</f>
        <v>0</v>
      </c>
    </row>
    <row r="10772" spans="1:5" x14ac:dyDescent="0.25">
      <c r="A10772" s="36" t="b">
        <v>0</v>
      </c>
      <c r="B10772" s="56" t="b">
        <v>0</v>
      </c>
      <c r="C10772" s="56" t="b">
        <v>0</v>
      </c>
      <c r="D10772" s="56" t="b">
        <v>0</v>
      </c>
      <c r="E10772" s="56">
        <f ca="1">IF(PV[[#This Row],[Business Date]]=Control!$C$6, PV[[#This Row],[Notional Value Local Cur]], -PV[[#This Row],[Notional Value Local Cur]])</f>
        <v>0</v>
      </c>
    </row>
    <row r="10773" spans="1:5" x14ac:dyDescent="0.25">
      <c r="A10773" s="36" t="b">
        <v>0</v>
      </c>
      <c r="B10773" s="56" t="b">
        <v>0</v>
      </c>
      <c r="C10773" s="56" t="b">
        <v>0</v>
      </c>
      <c r="D10773" s="56" t="b">
        <v>0</v>
      </c>
      <c r="E10773" s="56">
        <f ca="1">IF(PV[[#This Row],[Business Date]]=Control!$C$6, PV[[#This Row],[Notional Value Local Cur]], -PV[[#This Row],[Notional Value Local Cur]])</f>
        <v>0</v>
      </c>
    </row>
    <row r="10774" spans="1:5" x14ac:dyDescent="0.25">
      <c r="A10774" s="36" t="b">
        <v>0</v>
      </c>
      <c r="B10774" s="56" t="b">
        <v>0</v>
      </c>
      <c r="C10774" s="56" t="b">
        <v>0</v>
      </c>
      <c r="D10774" s="56" t="b">
        <v>0</v>
      </c>
      <c r="E10774" s="56">
        <f ca="1">IF(PV[[#This Row],[Business Date]]=Control!$C$6, PV[[#This Row],[Notional Value Local Cur]], -PV[[#This Row],[Notional Value Local Cur]])</f>
        <v>0</v>
      </c>
    </row>
    <row r="10775" spans="1:5" x14ac:dyDescent="0.25">
      <c r="A10775" s="36" t="b">
        <v>0</v>
      </c>
      <c r="B10775" s="56" t="b">
        <v>0</v>
      </c>
      <c r="C10775" s="56" t="b">
        <v>0</v>
      </c>
      <c r="D10775" s="56" t="b">
        <v>0</v>
      </c>
      <c r="E10775" s="56">
        <f ca="1">IF(PV[[#This Row],[Business Date]]=Control!$C$6, PV[[#This Row],[Notional Value Local Cur]], -PV[[#This Row],[Notional Value Local Cur]])</f>
        <v>0</v>
      </c>
    </row>
    <row r="10776" spans="1:5" x14ac:dyDescent="0.25">
      <c r="A10776" s="36" t="b">
        <v>0</v>
      </c>
      <c r="B10776" s="56" t="b">
        <v>0</v>
      </c>
      <c r="C10776" s="56" t="b">
        <v>0</v>
      </c>
      <c r="D10776" s="56" t="b">
        <v>0</v>
      </c>
      <c r="E10776" s="56">
        <f ca="1">IF(PV[[#This Row],[Business Date]]=Control!$C$6, PV[[#This Row],[Notional Value Local Cur]], -PV[[#This Row],[Notional Value Local Cur]])</f>
        <v>0</v>
      </c>
    </row>
    <row r="10777" spans="1:5" x14ac:dyDescent="0.25">
      <c r="A10777" s="36" t="b">
        <v>0</v>
      </c>
      <c r="B10777" s="56" t="b">
        <v>0</v>
      </c>
      <c r="C10777" s="56" t="b">
        <v>0</v>
      </c>
      <c r="D10777" s="56" t="b">
        <v>0</v>
      </c>
      <c r="E10777" s="56">
        <f ca="1">IF(PV[[#This Row],[Business Date]]=Control!$C$6, PV[[#This Row],[Notional Value Local Cur]], -PV[[#This Row],[Notional Value Local Cur]])</f>
        <v>0</v>
      </c>
    </row>
    <row r="10778" spans="1:5" x14ac:dyDescent="0.25">
      <c r="A10778" s="36" t="b">
        <v>0</v>
      </c>
      <c r="B10778" s="56" t="b">
        <v>0</v>
      </c>
      <c r="C10778" s="56" t="b">
        <v>0</v>
      </c>
      <c r="D10778" s="56" t="b">
        <v>0</v>
      </c>
      <c r="E10778" s="56">
        <f ca="1">IF(PV[[#This Row],[Business Date]]=Control!$C$6, PV[[#This Row],[Notional Value Local Cur]], -PV[[#This Row],[Notional Value Local Cur]])</f>
        <v>0</v>
      </c>
    </row>
    <row r="10779" spans="1:5" x14ac:dyDescent="0.25">
      <c r="A10779" s="36" t="b">
        <v>0</v>
      </c>
      <c r="B10779" s="56" t="b">
        <v>0</v>
      </c>
      <c r="C10779" s="56" t="b">
        <v>0</v>
      </c>
      <c r="D10779" s="56" t="b">
        <v>0</v>
      </c>
      <c r="E10779" s="56">
        <f ca="1">IF(PV[[#This Row],[Business Date]]=Control!$C$6, PV[[#This Row],[Notional Value Local Cur]], -PV[[#This Row],[Notional Value Local Cur]])</f>
        <v>0</v>
      </c>
    </row>
    <row r="10780" spans="1:5" x14ac:dyDescent="0.25">
      <c r="A10780" s="36" t="b">
        <v>0</v>
      </c>
      <c r="B10780" s="56" t="b">
        <v>0</v>
      </c>
      <c r="C10780" s="56" t="b">
        <v>0</v>
      </c>
      <c r="D10780" s="56" t="b">
        <v>0</v>
      </c>
      <c r="E10780" s="56">
        <f ca="1">IF(PV[[#This Row],[Business Date]]=Control!$C$6, PV[[#This Row],[Notional Value Local Cur]], -PV[[#This Row],[Notional Value Local Cur]])</f>
        <v>0</v>
      </c>
    </row>
    <row r="10781" spans="1:5" x14ac:dyDescent="0.25">
      <c r="A10781" s="36" t="b">
        <v>0</v>
      </c>
      <c r="B10781" s="56" t="b">
        <v>0</v>
      </c>
      <c r="C10781" s="56" t="b">
        <v>0</v>
      </c>
      <c r="D10781" s="56" t="b">
        <v>0</v>
      </c>
      <c r="E10781" s="56">
        <f ca="1">IF(PV[[#This Row],[Business Date]]=Control!$C$6, PV[[#This Row],[Notional Value Local Cur]], -PV[[#This Row],[Notional Value Local Cur]])</f>
        <v>0</v>
      </c>
    </row>
    <row r="10782" spans="1:5" x14ac:dyDescent="0.25">
      <c r="A10782" s="36" t="b">
        <v>0</v>
      </c>
      <c r="B10782" s="56" t="b">
        <v>0</v>
      </c>
      <c r="C10782" s="56" t="b">
        <v>0</v>
      </c>
      <c r="D10782" s="56" t="b">
        <v>0</v>
      </c>
      <c r="E10782" s="56">
        <f ca="1">IF(PV[[#This Row],[Business Date]]=Control!$C$6, PV[[#This Row],[Notional Value Local Cur]], -PV[[#This Row],[Notional Value Local Cur]])</f>
        <v>0</v>
      </c>
    </row>
    <row r="10783" spans="1:5" x14ac:dyDescent="0.25">
      <c r="A10783" s="36" t="b">
        <v>0</v>
      </c>
      <c r="B10783" s="56" t="b">
        <v>0</v>
      </c>
      <c r="C10783" s="56" t="b">
        <v>0</v>
      </c>
      <c r="D10783" s="56" t="b">
        <v>0</v>
      </c>
      <c r="E10783" s="56">
        <f ca="1">IF(PV[[#This Row],[Business Date]]=Control!$C$6, PV[[#This Row],[Notional Value Local Cur]], -PV[[#This Row],[Notional Value Local Cur]])</f>
        <v>0</v>
      </c>
    </row>
    <row r="10784" spans="1:5" x14ac:dyDescent="0.25">
      <c r="A10784" s="36" t="b">
        <v>0</v>
      </c>
      <c r="B10784" s="56" t="b">
        <v>0</v>
      </c>
      <c r="C10784" s="56" t="b">
        <v>0</v>
      </c>
      <c r="D10784" s="56" t="b">
        <v>0</v>
      </c>
      <c r="E10784" s="56">
        <f ca="1">IF(PV[[#This Row],[Business Date]]=Control!$C$6, PV[[#This Row],[Notional Value Local Cur]], -PV[[#This Row],[Notional Value Local Cur]])</f>
        <v>0</v>
      </c>
    </row>
    <row r="10785" spans="1:5" x14ac:dyDescent="0.25">
      <c r="A10785" s="36" t="b">
        <v>0</v>
      </c>
      <c r="B10785" s="56" t="b">
        <v>0</v>
      </c>
      <c r="C10785" s="56" t="b">
        <v>0</v>
      </c>
      <c r="D10785" s="56" t="b">
        <v>0</v>
      </c>
      <c r="E10785" s="56">
        <f ca="1">IF(PV[[#This Row],[Business Date]]=Control!$C$6, PV[[#This Row],[Notional Value Local Cur]], -PV[[#This Row],[Notional Value Local Cur]])</f>
        <v>0</v>
      </c>
    </row>
    <row r="10786" spans="1:5" x14ac:dyDescent="0.25">
      <c r="A10786" s="36" t="b">
        <v>0</v>
      </c>
      <c r="B10786" s="56" t="b">
        <v>0</v>
      </c>
      <c r="C10786" s="56" t="b">
        <v>0</v>
      </c>
      <c r="D10786" s="56" t="b">
        <v>0</v>
      </c>
      <c r="E10786" s="56">
        <f ca="1">IF(PV[[#This Row],[Business Date]]=Control!$C$6, PV[[#This Row],[Notional Value Local Cur]], -PV[[#This Row],[Notional Value Local Cur]])</f>
        <v>0</v>
      </c>
    </row>
    <row r="10787" spans="1:5" x14ac:dyDescent="0.25">
      <c r="A10787" s="36" t="b">
        <v>0</v>
      </c>
      <c r="B10787" s="56" t="b">
        <v>0</v>
      </c>
      <c r="C10787" s="56" t="b">
        <v>0</v>
      </c>
      <c r="D10787" s="56" t="b">
        <v>0</v>
      </c>
      <c r="E10787" s="56">
        <f ca="1">IF(PV[[#This Row],[Business Date]]=Control!$C$6, PV[[#This Row],[Notional Value Local Cur]], -PV[[#This Row],[Notional Value Local Cur]])</f>
        <v>0</v>
      </c>
    </row>
    <row r="10788" spans="1:5" x14ac:dyDescent="0.25">
      <c r="A10788" s="36" t="b">
        <v>0</v>
      </c>
      <c r="B10788" s="56" t="b">
        <v>0</v>
      </c>
      <c r="C10788" s="56" t="b">
        <v>0</v>
      </c>
      <c r="D10788" s="56" t="b">
        <v>0</v>
      </c>
      <c r="E10788" s="56">
        <f ca="1">IF(PV[[#This Row],[Business Date]]=Control!$C$6, PV[[#This Row],[Notional Value Local Cur]], -PV[[#This Row],[Notional Value Local Cur]])</f>
        <v>0</v>
      </c>
    </row>
    <row r="10789" spans="1:5" x14ac:dyDescent="0.25">
      <c r="A10789" s="36" t="b">
        <v>0</v>
      </c>
      <c r="B10789" s="56" t="b">
        <v>0</v>
      </c>
      <c r="C10789" s="56" t="b">
        <v>0</v>
      </c>
      <c r="D10789" s="56" t="b">
        <v>0</v>
      </c>
      <c r="E10789" s="56">
        <f ca="1">IF(PV[[#This Row],[Business Date]]=Control!$C$6, PV[[#This Row],[Notional Value Local Cur]], -PV[[#This Row],[Notional Value Local Cur]])</f>
        <v>0</v>
      </c>
    </row>
    <row r="10790" spans="1:5" x14ac:dyDescent="0.25">
      <c r="A10790" s="36" t="b">
        <v>0</v>
      </c>
      <c r="B10790" s="56" t="b">
        <v>0</v>
      </c>
      <c r="C10790" s="56" t="b">
        <v>0</v>
      </c>
      <c r="D10790" s="56" t="b">
        <v>0</v>
      </c>
      <c r="E10790" s="56">
        <f ca="1">IF(PV[[#This Row],[Business Date]]=Control!$C$6, PV[[#This Row],[Notional Value Local Cur]], -PV[[#This Row],[Notional Value Local Cur]])</f>
        <v>0</v>
      </c>
    </row>
    <row r="10791" spans="1:5" x14ac:dyDescent="0.25">
      <c r="A10791" s="36" t="b">
        <v>0</v>
      </c>
      <c r="B10791" s="56" t="b">
        <v>0</v>
      </c>
      <c r="C10791" s="56" t="b">
        <v>0</v>
      </c>
      <c r="D10791" s="56" t="b">
        <v>0</v>
      </c>
      <c r="E10791" s="56">
        <f ca="1">IF(PV[[#This Row],[Business Date]]=Control!$C$6, PV[[#This Row],[Notional Value Local Cur]], -PV[[#This Row],[Notional Value Local Cur]])</f>
        <v>0</v>
      </c>
    </row>
    <row r="10792" spans="1:5" x14ac:dyDescent="0.25">
      <c r="A10792" s="36" t="b">
        <v>0</v>
      </c>
      <c r="B10792" s="56" t="b">
        <v>0</v>
      </c>
      <c r="C10792" s="56" t="b">
        <v>0</v>
      </c>
      <c r="D10792" s="56" t="b">
        <v>0</v>
      </c>
      <c r="E10792" s="56">
        <f ca="1">IF(PV[[#This Row],[Business Date]]=Control!$C$6, PV[[#This Row],[Notional Value Local Cur]], -PV[[#This Row],[Notional Value Local Cur]])</f>
        <v>0</v>
      </c>
    </row>
    <row r="10793" spans="1:5" x14ac:dyDescent="0.25">
      <c r="A10793" s="36" t="b">
        <v>0</v>
      </c>
      <c r="B10793" s="56" t="b">
        <v>0</v>
      </c>
      <c r="C10793" s="56" t="b">
        <v>0</v>
      </c>
      <c r="D10793" s="56" t="b">
        <v>0</v>
      </c>
      <c r="E10793" s="56">
        <f ca="1">IF(PV[[#This Row],[Business Date]]=Control!$C$6, PV[[#This Row],[Notional Value Local Cur]], -PV[[#This Row],[Notional Value Local Cur]])</f>
        <v>0</v>
      </c>
    </row>
    <row r="10794" spans="1:5" x14ac:dyDescent="0.25">
      <c r="A10794" s="36" t="b">
        <v>0</v>
      </c>
      <c r="B10794" s="56" t="b">
        <v>0</v>
      </c>
      <c r="C10794" s="56" t="b">
        <v>0</v>
      </c>
      <c r="D10794" s="56" t="b">
        <v>0</v>
      </c>
      <c r="E10794" s="56">
        <f ca="1">IF(PV[[#This Row],[Business Date]]=Control!$C$6, PV[[#This Row],[Notional Value Local Cur]], -PV[[#This Row],[Notional Value Local Cur]])</f>
        <v>0</v>
      </c>
    </row>
    <row r="10795" spans="1:5" x14ac:dyDescent="0.25">
      <c r="A10795" s="36" t="b">
        <v>0</v>
      </c>
      <c r="B10795" s="56" t="b">
        <v>0</v>
      </c>
      <c r="C10795" s="56" t="b">
        <v>0</v>
      </c>
      <c r="D10795" s="56" t="b">
        <v>0</v>
      </c>
      <c r="E10795" s="56">
        <f ca="1">IF(PV[[#This Row],[Business Date]]=Control!$C$6, PV[[#This Row],[Notional Value Local Cur]], -PV[[#This Row],[Notional Value Local Cur]])</f>
        <v>0</v>
      </c>
    </row>
    <row r="10796" spans="1:5" x14ac:dyDescent="0.25">
      <c r="A10796" s="36" t="b">
        <v>0</v>
      </c>
      <c r="B10796" s="56" t="b">
        <v>0</v>
      </c>
      <c r="C10796" s="56" t="b">
        <v>0</v>
      </c>
      <c r="D10796" s="56" t="b">
        <v>0</v>
      </c>
      <c r="E10796" s="56">
        <f ca="1">IF(PV[[#This Row],[Business Date]]=Control!$C$6, PV[[#This Row],[Notional Value Local Cur]], -PV[[#This Row],[Notional Value Local Cur]])</f>
        <v>0</v>
      </c>
    </row>
    <row r="10797" spans="1:5" x14ac:dyDescent="0.25">
      <c r="A10797" s="36" t="b">
        <v>0</v>
      </c>
      <c r="B10797" s="56" t="b">
        <v>0</v>
      </c>
      <c r="C10797" s="56" t="b">
        <v>0</v>
      </c>
      <c r="D10797" s="56" t="b">
        <v>0</v>
      </c>
      <c r="E10797" s="56">
        <f ca="1">IF(PV[[#This Row],[Business Date]]=Control!$C$6, PV[[#This Row],[Notional Value Local Cur]], -PV[[#This Row],[Notional Value Local Cur]])</f>
        <v>0</v>
      </c>
    </row>
    <row r="10798" spans="1:5" x14ac:dyDescent="0.25">
      <c r="A10798" s="36" t="b">
        <v>0</v>
      </c>
      <c r="B10798" s="56" t="b">
        <v>0</v>
      </c>
      <c r="C10798" s="56" t="b">
        <v>0</v>
      </c>
      <c r="D10798" s="56" t="b">
        <v>0</v>
      </c>
      <c r="E10798" s="56">
        <f ca="1">IF(PV[[#This Row],[Business Date]]=Control!$C$6, PV[[#This Row],[Notional Value Local Cur]], -PV[[#This Row],[Notional Value Local Cur]])</f>
        <v>0</v>
      </c>
    </row>
    <row r="10799" spans="1:5" x14ac:dyDescent="0.25">
      <c r="A10799" s="36" t="b">
        <v>0</v>
      </c>
      <c r="B10799" s="56" t="b">
        <v>0</v>
      </c>
      <c r="C10799" s="56" t="b">
        <v>0</v>
      </c>
      <c r="D10799" s="56" t="b">
        <v>0</v>
      </c>
      <c r="E10799" s="56">
        <f ca="1">IF(PV[[#This Row],[Business Date]]=Control!$C$6, PV[[#This Row],[Notional Value Local Cur]], -PV[[#This Row],[Notional Value Local Cur]])</f>
        <v>0</v>
      </c>
    </row>
    <row r="10800" spans="1:5" x14ac:dyDescent="0.25">
      <c r="A10800" s="36" t="b">
        <v>0</v>
      </c>
      <c r="B10800" s="56" t="b">
        <v>0</v>
      </c>
      <c r="C10800" s="56" t="b">
        <v>0</v>
      </c>
      <c r="D10800" s="56" t="b">
        <v>0</v>
      </c>
      <c r="E10800" s="56">
        <f ca="1">IF(PV[[#This Row],[Business Date]]=Control!$C$6, PV[[#This Row],[Notional Value Local Cur]], -PV[[#This Row],[Notional Value Local Cur]])</f>
        <v>0</v>
      </c>
    </row>
    <row r="10801" spans="1:5" x14ac:dyDescent="0.25">
      <c r="A10801" s="36" t="b">
        <v>0</v>
      </c>
      <c r="B10801" s="56" t="b">
        <v>0</v>
      </c>
      <c r="C10801" s="56" t="b">
        <v>0</v>
      </c>
      <c r="D10801" s="56" t="b">
        <v>0</v>
      </c>
      <c r="E10801" s="56">
        <f ca="1">IF(PV[[#This Row],[Business Date]]=Control!$C$6, PV[[#This Row],[Notional Value Local Cur]], -PV[[#This Row],[Notional Value Local Cur]])</f>
        <v>0</v>
      </c>
    </row>
    <row r="10802" spans="1:5" x14ac:dyDescent="0.25">
      <c r="A10802" s="36" t="b">
        <v>0</v>
      </c>
      <c r="B10802" s="56" t="b">
        <v>0</v>
      </c>
      <c r="C10802" s="56" t="b">
        <v>0</v>
      </c>
      <c r="D10802" s="56" t="b">
        <v>0</v>
      </c>
      <c r="E10802" s="56">
        <f ca="1">IF(PV[[#This Row],[Business Date]]=Control!$C$6, PV[[#This Row],[Notional Value Local Cur]], -PV[[#This Row],[Notional Value Local Cur]])</f>
        <v>0</v>
      </c>
    </row>
    <row r="10803" spans="1:5" x14ac:dyDescent="0.25">
      <c r="A10803" s="36" t="b">
        <v>0</v>
      </c>
      <c r="B10803" s="56" t="b">
        <v>0</v>
      </c>
      <c r="C10803" s="56" t="b">
        <v>0</v>
      </c>
      <c r="D10803" s="56" t="b">
        <v>0</v>
      </c>
      <c r="E10803" s="56">
        <f ca="1">IF(PV[[#This Row],[Business Date]]=Control!$C$6, PV[[#This Row],[Notional Value Local Cur]], -PV[[#This Row],[Notional Value Local Cur]])</f>
        <v>0</v>
      </c>
    </row>
    <row r="10804" spans="1:5" x14ac:dyDescent="0.25">
      <c r="A10804" s="36" t="b">
        <v>0</v>
      </c>
      <c r="B10804" s="56" t="b">
        <v>0</v>
      </c>
      <c r="C10804" s="56" t="b">
        <v>0</v>
      </c>
      <c r="D10804" s="56" t="b">
        <v>0</v>
      </c>
      <c r="E10804" s="56">
        <f ca="1">IF(PV[[#This Row],[Business Date]]=Control!$C$6, PV[[#This Row],[Notional Value Local Cur]], -PV[[#This Row],[Notional Value Local Cur]])</f>
        <v>0</v>
      </c>
    </row>
    <row r="10805" spans="1:5" x14ac:dyDescent="0.25">
      <c r="A10805" s="36" t="b">
        <v>0</v>
      </c>
      <c r="B10805" s="56" t="b">
        <v>0</v>
      </c>
      <c r="C10805" s="56" t="b">
        <v>0</v>
      </c>
      <c r="D10805" s="56" t="b">
        <v>0</v>
      </c>
      <c r="E10805" s="56">
        <f ca="1">IF(PV[[#This Row],[Business Date]]=Control!$C$6, PV[[#This Row],[Notional Value Local Cur]], -PV[[#This Row],[Notional Value Local Cur]])</f>
        <v>0</v>
      </c>
    </row>
    <row r="10806" spans="1:5" x14ac:dyDescent="0.25">
      <c r="A10806" s="36" t="b">
        <v>0</v>
      </c>
      <c r="B10806" s="56" t="b">
        <v>0</v>
      </c>
      <c r="C10806" s="56" t="b">
        <v>0</v>
      </c>
      <c r="D10806" s="56" t="b">
        <v>0</v>
      </c>
      <c r="E10806" s="56">
        <f ca="1">IF(PV[[#This Row],[Business Date]]=Control!$C$6, PV[[#This Row],[Notional Value Local Cur]], -PV[[#This Row],[Notional Value Local Cur]])</f>
        <v>0</v>
      </c>
    </row>
    <row r="10807" spans="1:5" x14ac:dyDescent="0.25">
      <c r="A10807" s="36" t="b">
        <v>0</v>
      </c>
      <c r="B10807" s="56" t="b">
        <v>0</v>
      </c>
      <c r="C10807" s="56" t="b">
        <v>0</v>
      </c>
      <c r="D10807" s="56" t="b">
        <v>0</v>
      </c>
      <c r="E10807" s="56">
        <f ca="1">IF(PV[[#This Row],[Business Date]]=Control!$C$6, PV[[#This Row],[Notional Value Local Cur]], -PV[[#This Row],[Notional Value Local Cur]])</f>
        <v>0</v>
      </c>
    </row>
    <row r="10808" spans="1:5" x14ac:dyDescent="0.25">
      <c r="A10808" s="36" t="b">
        <v>0</v>
      </c>
      <c r="B10808" s="56" t="b">
        <v>0</v>
      </c>
      <c r="C10808" s="56" t="b">
        <v>0</v>
      </c>
      <c r="D10808" s="56" t="b">
        <v>0</v>
      </c>
      <c r="E10808" s="56">
        <f ca="1">IF(PV[[#This Row],[Business Date]]=Control!$C$6, PV[[#This Row],[Notional Value Local Cur]], -PV[[#This Row],[Notional Value Local Cur]])</f>
        <v>0</v>
      </c>
    </row>
    <row r="10809" spans="1:5" x14ac:dyDescent="0.25">
      <c r="A10809" s="36" t="b">
        <v>0</v>
      </c>
      <c r="B10809" s="56" t="b">
        <v>0</v>
      </c>
      <c r="C10809" s="56" t="b">
        <v>0</v>
      </c>
      <c r="D10809" s="56" t="b">
        <v>0</v>
      </c>
      <c r="E10809" s="56">
        <f ca="1">IF(PV[[#This Row],[Business Date]]=Control!$C$6, PV[[#This Row],[Notional Value Local Cur]], -PV[[#This Row],[Notional Value Local Cur]])</f>
        <v>0</v>
      </c>
    </row>
    <row r="10810" spans="1:5" x14ac:dyDescent="0.25">
      <c r="A10810" s="36" t="b">
        <v>0</v>
      </c>
      <c r="B10810" s="56" t="b">
        <v>0</v>
      </c>
      <c r="C10810" s="56" t="b">
        <v>0</v>
      </c>
      <c r="D10810" s="56" t="b">
        <v>0</v>
      </c>
      <c r="E10810" s="56">
        <f ca="1">IF(PV[[#This Row],[Business Date]]=Control!$C$6, PV[[#This Row],[Notional Value Local Cur]], -PV[[#This Row],[Notional Value Local Cur]])</f>
        <v>0</v>
      </c>
    </row>
    <row r="10811" spans="1:5" x14ac:dyDescent="0.25">
      <c r="A10811" s="36" t="b">
        <v>0</v>
      </c>
      <c r="B10811" s="56" t="b">
        <v>0</v>
      </c>
      <c r="C10811" s="56" t="b">
        <v>0</v>
      </c>
      <c r="D10811" s="56" t="b">
        <v>0</v>
      </c>
      <c r="E10811" s="56">
        <f ca="1">IF(PV[[#This Row],[Business Date]]=Control!$C$6, PV[[#This Row],[Notional Value Local Cur]], -PV[[#This Row],[Notional Value Local Cur]])</f>
        <v>0</v>
      </c>
    </row>
    <row r="10812" spans="1:5" x14ac:dyDescent="0.25">
      <c r="A10812" s="36" t="b">
        <v>0</v>
      </c>
      <c r="B10812" s="56" t="b">
        <v>0</v>
      </c>
      <c r="C10812" s="56" t="b">
        <v>0</v>
      </c>
      <c r="D10812" s="56" t="b">
        <v>0</v>
      </c>
      <c r="E10812" s="56">
        <f ca="1">IF(PV[[#This Row],[Business Date]]=Control!$C$6, PV[[#This Row],[Notional Value Local Cur]], -PV[[#This Row],[Notional Value Local Cur]])</f>
        <v>0</v>
      </c>
    </row>
    <row r="10813" spans="1:5" x14ac:dyDescent="0.25">
      <c r="A10813" s="36" t="b">
        <v>0</v>
      </c>
      <c r="B10813" s="56" t="b">
        <v>0</v>
      </c>
      <c r="C10813" s="56" t="b">
        <v>0</v>
      </c>
      <c r="D10813" s="56" t="b">
        <v>0</v>
      </c>
      <c r="E10813" s="56">
        <f ca="1">IF(PV[[#This Row],[Business Date]]=Control!$C$6, PV[[#This Row],[Notional Value Local Cur]], -PV[[#This Row],[Notional Value Local Cur]])</f>
        <v>0</v>
      </c>
    </row>
    <row r="10814" spans="1:5" x14ac:dyDescent="0.25">
      <c r="A10814" s="36" t="b">
        <v>0</v>
      </c>
      <c r="B10814" s="56" t="b">
        <v>0</v>
      </c>
      <c r="C10814" s="56" t="b">
        <v>0</v>
      </c>
      <c r="D10814" s="56" t="b">
        <v>0</v>
      </c>
      <c r="E10814" s="56">
        <f ca="1">IF(PV[[#This Row],[Business Date]]=Control!$C$6, PV[[#This Row],[Notional Value Local Cur]], -PV[[#This Row],[Notional Value Local Cur]])</f>
        <v>0</v>
      </c>
    </row>
    <row r="10815" spans="1:5" x14ac:dyDescent="0.25">
      <c r="A10815" s="36" t="b">
        <v>0</v>
      </c>
      <c r="B10815" s="56" t="b">
        <v>0</v>
      </c>
      <c r="C10815" s="56" t="b">
        <v>0</v>
      </c>
      <c r="D10815" s="56" t="b">
        <v>0</v>
      </c>
      <c r="E10815" s="56">
        <f ca="1">IF(PV[[#This Row],[Business Date]]=Control!$C$6, PV[[#This Row],[Notional Value Local Cur]], -PV[[#This Row],[Notional Value Local Cur]])</f>
        <v>0</v>
      </c>
    </row>
    <row r="10816" spans="1:5" x14ac:dyDescent="0.25">
      <c r="A10816" s="36" t="b">
        <v>0</v>
      </c>
      <c r="B10816" s="56" t="b">
        <v>0</v>
      </c>
      <c r="C10816" s="56" t="b">
        <v>0</v>
      </c>
      <c r="D10816" s="56" t="b">
        <v>0</v>
      </c>
      <c r="E10816" s="56">
        <f ca="1">IF(PV[[#This Row],[Business Date]]=Control!$C$6, PV[[#This Row],[Notional Value Local Cur]], -PV[[#This Row],[Notional Value Local Cur]])</f>
        <v>0</v>
      </c>
    </row>
    <row r="10817" spans="1:5" x14ac:dyDescent="0.25">
      <c r="A10817" s="36" t="b">
        <v>0</v>
      </c>
      <c r="B10817" s="56" t="b">
        <v>0</v>
      </c>
      <c r="C10817" s="56" t="b">
        <v>0</v>
      </c>
      <c r="D10817" s="56" t="b">
        <v>0</v>
      </c>
      <c r="E10817" s="56">
        <f ca="1">IF(PV[[#This Row],[Business Date]]=Control!$C$6, PV[[#This Row],[Notional Value Local Cur]], -PV[[#This Row],[Notional Value Local Cur]])</f>
        <v>0</v>
      </c>
    </row>
    <row r="10818" spans="1:5" x14ac:dyDescent="0.25">
      <c r="A10818" s="36" t="b">
        <v>0</v>
      </c>
      <c r="B10818" s="56" t="b">
        <v>0</v>
      </c>
      <c r="C10818" s="56" t="b">
        <v>0</v>
      </c>
      <c r="D10818" s="56" t="b">
        <v>0</v>
      </c>
      <c r="E10818" s="56">
        <f ca="1">IF(PV[[#This Row],[Business Date]]=Control!$C$6, PV[[#This Row],[Notional Value Local Cur]], -PV[[#This Row],[Notional Value Local Cur]])</f>
        <v>0</v>
      </c>
    </row>
    <row r="10819" spans="1:5" x14ac:dyDescent="0.25">
      <c r="A10819" s="36" t="b">
        <v>0</v>
      </c>
      <c r="B10819" s="56" t="b">
        <v>0</v>
      </c>
      <c r="C10819" s="56" t="b">
        <v>0</v>
      </c>
      <c r="D10819" s="56" t="b">
        <v>0</v>
      </c>
      <c r="E10819" s="56">
        <f ca="1">IF(PV[[#This Row],[Business Date]]=Control!$C$6, PV[[#This Row],[Notional Value Local Cur]], -PV[[#This Row],[Notional Value Local Cur]])</f>
        <v>0</v>
      </c>
    </row>
    <row r="10820" spans="1:5" x14ac:dyDescent="0.25">
      <c r="A10820" s="36" t="b">
        <v>0</v>
      </c>
      <c r="B10820" s="56" t="b">
        <v>0</v>
      </c>
      <c r="C10820" s="56" t="b">
        <v>0</v>
      </c>
      <c r="D10820" s="56" t="b">
        <v>0</v>
      </c>
      <c r="E10820" s="56">
        <f ca="1">IF(PV[[#This Row],[Business Date]]=Control!$C$6, PV[[#This Row],[Notional Value Local Cur]], -PV[[#This Row],[Notional Value Local Cur]])</f>
        <v>0</v>
      </c>
    </row>
    <row r="10821" spans="1:5" x14ac:dyDescent="0.25">
      <c r="A10821" s="36" t="b">
        <v>0</v>
      </c>
      <c r="B10821" s="56" t="b">
        <v>0</v>
      </c>
      <c r="C10821" s="56" t="b">
        <v>0</v>
      </c>
      <c r="D10821" s="56" t="b">
        <v>0</v>
      </c>
      <c r="E10821" s="56">
        <f ca="1">IF(PV[[#This Row],[Business Date]]=Control!$C$6, PV[[#This Row],[Notional Value Local Cur]], -PV[[#This Row],[Notional Value Local Cur]])</f>
        <v>0</v>
      </c>
    </row>
    <row r="10822" spans="1:5" x14ac:dyDescent="0.25">
      <c r="A10822" s="36" t="b">
        <v>0</v>
      </c>
      <c r="B10822" s="56" t="b">
        <v>0</v>
      </c>
      <c r="C10822" s="56" t="b">
        <v>0</v>
      </c>
      <c r="D10822" s="56" t="b">
        <v>0</v>
      </c>
      <c r="E10822" s="56">
        <f ca="1">IF(PV[[#This Row],[Business Date]]=Control!$C$6, PV[[#This Row],[Notional Value Local Cur]], -PV[[#This Row],[Notional Value Local Cur]])</f>
        <v>0</v>
      </c>
    </row>
    <row r="10823" spans="1:5" x14ac:dyDescent="0.25">
      <c r="A10823" s="36" t="b">
        <v>0</v>
      </c>
      <c r="B10823" s="56" t="b">
        <v>0</v>
      </c>
      <c r="C10823" s="56" t="b">
        <v>0</v>
      </c>
      <c r="D10823" s="56" t="b">
        <v>0</v>
      </c>
      <c r="E10823" s="56">
        <f ca="1">IF(PV[[#This Row],[Business Date]]=Control!$C$6, PV[[#This Row],[Notional Value Local Cur]], -PV[[#This Row],[Notional Value Local Cur]])</f>
        <v>0</v>
      </c>
    </row>
    <row r="10824" spans="1:5" x14ac:dyDescent="0.25">
      <c r="A10824" s="36" t="b">
        <v>0</v>
      </c>
      <c r="B10824" s="56" t="b">
        <v>0</v>
      </c>
      <c r="C10824" s="56" t="b">
        <v>0</v>
      </c>
      <c r="D10824" s="56" t="b">
        <v>0</v>
      </c>
      <c r="E10824" s="56">
        <f ca="1">IF(PV[[#This Row],[Business Date]]=Control!$C$6, PV[[#This Row],[Notional Value Local Cur]], -PV[[#This Row],[Notional Value Local Cur]])</f>
        <v>0</v>
      </c>
    </row>
    <row r="10825" spans="1:5" x14ac:dyDescent="0.25">
      <c r="A10825" s="36" t="b">
        <v>0</v>
      </c>
      <c r="B10825" s="56" t="b">
        <v>0</v>
      </c>
      <c r="C10825" s="56" t="b">
        <v>0</v>
      </c>
      <c r="D10825" s="56" t="b">
        <v>0</v>
      </c>
      <c r="E10825" s="56">
        <f ca="1">IF(PV[[#This Row],[Business Date]]=Control!$C$6, PV[[#This Row],[Notional Value Local Cur]], -PV[[#This Row],[Notional Value Local Cur]])</f>
        <v>0</v>
      </c>
    </row>
    <row r="10826" spans="1:5" x14ac:dyDescent="0.25">
      <c r="A10826" s="36" t="b">
        <v>0</v>
      </c>
      <c r="B10826" s="56" t="b">
        <v>0</v>
      </c>
      <c r="C10826" s="56" t="b">
        <v>0</v>
      </c>
      <c r="D10826" s="56" t="b">
        <v>0</v>
      </c>
      <c r="E10826" s="56">
        <f ca="1">IF(PV[[#This Row],[Business Date]]=Control!$C$6, PV[[#This Row],[Notional Value Local Cur]], -PV[[#This Row],[Notional Value Local Cur]])</f>
        <v>0</v>
      </c>
    </row>
    <row r="10827" spans="1:5" x14ac:dyDescent="0.25">
      <c r="A10827" s="36" t="b">
        <v>0</v>
      </c>
      <c r="B10827" s="56" t="b">
        <v>0</v>
      </c>
      <c r="C10827" s="56" t="b">
        <v>0</v>
      </c>
      <c r="D10827" s="56" t="b">
        <v>0</v>
      </c>
      <c r="E10827" s="56">
        <f ca="1">IF(PV[[#This Row],[Business Date]]=Control!$C$6, PV[[#This Row],[Notional Value Local Cur]], -PV[[#This Row],[Notional Value Local Cur]])</f>
        <v>0</v>
      </c>
    </row>
    <row r="10828" spans="1:5" x14ac:dyDescent="0.25">
      <c r="A10828" s="36" t="b">
        <v>0</v>
      </c>
      <c r="B10828" s="56" t="b">
        <v>0</v>
      </c>
      <c r="C10828" s="56" t="b">
        <v>0</v>
      </c>
      <c r="D10828" s="56" t="b">
        <v>0</v>
      </c>
      <c r="E10828" s="56">
        <f ca="1">IF(PV[[#This Row],[Business Date]]=Control!$C$6, PV[[#This Row],[Notional Value Local Cur]], -PV[[#This Row],[Notional Value Local Cur]])</f>
        <v>0</v>
      </c>
    </row>
    <row r="10829" spans="1:5" x14ac:dyDescent="0.25">
      <c r="A10829" s="36" t="b">
        <v>0</v>
      </c>
      <c r="B10829" s="56" t="b">
        <v>0</v>
      </c>
      <c r="C10829" s="56" t="b">
        <v>0</v>
      </c>
      <c r="D10829" s="56" t="b">
        <v>0</v>
      </c>
      <c r="E10829" s="56">
        <f ca="1">IF(PV[[#This Row],[Business Date]]=Control!$C$6, PV[[#This Row],[Notional Value Local Cur]], -PV[[#This Row],[Notional Value Local Cur]])</f>
        <v>0</v>
      </c>
    </row>
    <row r="10830" spans="1:5" x14ac:dyDescent="0.25">
      <c r="A10830" s="36" t="b">
        <v>0</v>
      </c>
      <c r="B10830" s="56" t="b">
        <v>0</v>
      </c>
      <c r="C10830" s="56" t="b">
        <v>0</v>
      </c>
      <c r="D10830" s="56" t="b">
        <v>0</v>
      </c>
      <c r="E10830" s="56">
        <f ca="1">IF(PV[[#This Row],[Business Date]]=Control!$C$6, PV[[#This Row],[Notional Value Local Cur]], -PV[[#This Row],[Notional Value Local Cur]])</f>
        <v>0</v>
      </c>
    </row>
    <row r="10831" spans="1:5" x14ac:dyDescent="0.25">
      <c r="A10831" s="36" t="b">
        <v>0</v>
      </c>
      <c r="B10831" s="56" t="b">
        <v>0</v>
      </c>
      <c r="C10831" s="56" t="b">
        <v>0</v>
      </c>
      <c r="D10831" s="56" t="b">
        <v>0</v>
      </c>
      <c r="E10831" s="56">
        <f ca="1">IF(PV[[#This Row],[Business Date]]=Control!$C$6, PV[[#This Row],[Notional Value Local Cur]], -PV[[#This Row],[Notional Value Local Cur]])</f>
        <v>0</v>
      </c>
    </row>
    <row r="10832" spans="1:5" x14ac:dyDescent="0.25">
      <c r="A10832" s="36" t="b">
        <v>0</v>
      </c>
      <c r="B10832" s="56" t="b">
        <v>0</v>
      </c>
      <c r="C10832" s="56" t="b">
        <v>0</v>
      </c>
      <c r="D10832" s="56" t="b">
        <v>0</v>
      </c>
      <c r="E10832" s="56">
        <f ca="1">IF(PV[[#This Row],[Business Date]]=Control!$C$6, PV[[#This Row],[Notional Value Local Cur]], -PV[[#This Row],[Notional Value Local Cur]])</f>
        <v>0</v>
      </c>
    </row>
    <row r="10833" spans="1:5" x14ac:dyDescent="0.25">
      <c r="A10833" s="36" t="b">
        <v>0</v>
      </c>
      <c r="B10833" s="56" t="b">
        <v>0</v>
      </c>
      <c r="C10833" s="56" t="b">
        <v>0</v>
      </c>
      <c r="D10833" s="56" t="b">
        <v>0</v>
      </c>
      <c r="E10833" s="56">
        <f ca="1">IF(PV[[#This Row],[Business Date]]=Control!$C$6, PV[[#This Row],[Notional Value Local Cur]], -PV[[#This Row],[Notional Value Local Cur]])</f>
        <v>0</v>
      </c>
    </row>
    <row r="10834" spans="1:5" x14ac:dyDescent="0.25">
      <c r="A10834" s="36" t="b">
        <v>0</v>
      </c>
      <c r="B10834" s="56" t="b">
        <v>0</v>
      </c>
      <c r="C10834" s="56" t="b">
        <v>0</v>
      </c>
      <c r="D10834" s="56" t="b">
        <v>0</v>
      </c>
      <c r="E10834" s="56">
        <f ca="1">IF(PV[[#This Row],[Business Date]]=Control!$C$6, PV[[#This Row],[Notional Value Local Cur]], -PV[[#This Row],[Notional Value Local Cur]])</f>
        <v>0</v>
      </c>
    </row>
    <row r="10835" spans="1:5" x14ac:dyDescent="0.25">
      <c r="A10835" s="36" t="b">
        <v>0</v>
      </c>
      <c r="B10835" s="56" t="b">
        <v>0</v>
      </c>
      <c r="C10835" s="56" t="b">
        <v>0</v>
      </c>
      <c r="D10835" s="56" t="b">
        <v>0</v>
      </c>
      <c r="E10835" s="56">
        <f ca="1">IF(PV[[#This Row],[Business Date]]=Control!$C$6, PV[[#This Row],[Notional Value Local Cur]], -PV[[#This Row],[Notional Value Local Cur]])</f>
        <v>0</v>
      </c>
    </row>
    <row r="10836" spans="1:5" x14ac:dyDescent="0.25">
      <c r="A10836" s="36" t="b">
        <v>0</v>
      </c>
      <c r="B10836" s="56" t="b">
        <v>0</v>
      </c>
      <c r="C10836" s="56" t="b">
        <v>0</v>
      </c>
      <c r="D10836" s="56" t="b">
        <v>0</v>
      </c>
      <c r="E10836" s="56">
        <f ca="1">IF(PV[[#This Row],[Business Date]]=Control!$C$6, PV[[#This Row],[Notional Value Local Cur]], -PV[[#This Row],[Notional Value Local Cur]])</f>
        <v>0</v>
      </c>
    </row>
    <row r="10837" spans="1:5" x14ac:dyDescent="0.25">
      <c r="A10837" s="36" t="b">
        <v>0</v>
      </c>
      <c r="B10837" s="56" t="b">
        <v>0</v>
      </c>
      <c r="C10837" s="56" t="b">
        <v>0</v>
      </c>
      <c r="D10837" s="56" t="b">
        <v>0</v>
      </c>
      <c r="E10837" s="56">
        <f ca="1">IF(PV[[#This Row],[Business Date]]=Control!$C$6, PV[[#This Row],[Notional Value Local Cur]], -PV[[#This Row],[Notional Value Local Cur]])</f>
        <v>0</v>
      </c>
    </row>
    <row r="10838" spans="1:5" x14ac:dyDescent="0.25">
      <c r="A10838" s="36" t="b">
        <v>0</v>
      </c>
      <c r="B10838" s="56" t="b">
        <v>0</v>
      </c>
      <c r="C10838" s="56" t="b">
        <v>0</v>
      </c>
      <c r="D10838" s="56" t="b">
        <v>0</v>
      </c>
      <c r="E10838" s="56">
        <f ca="1">IF(PV[[#This Row],[Business Date]]=Control!$C$6, PV[[#This Row],[Notional Value Local Cur]], -PV[[#This Row],[Notional Value Local Cur]])</f>
        <v>0</v>
      </c>
    </row>
    <row r="10839" spans="1:5" x14ac:dyDescent="0.25">
      <c r="A10839" s="36" t="b">
        <v>0</v>
      </c>
      <c r="B10839" s="56" t="b">
        <v>0</v>
      </c>
      <c r="C10839" s="56" t="b">
        <v>0</v>
      </c>
      <c r="D10839" s="56" t="b">
        <v>0</v>
      </c>
      <c r="E10839" s="56">
        <f ca="1">IF(PV[[#This Row],[Business Date]]=Control!$C$6, PV[[#This Row],[Notional Value Local Cur]], -PV[[#This Row],[Notional Value Local Cur]])</f>
        <v>0</v>
      </c>
    </row>
    <row r="10840" spans="1:5" x14ac:dyDescent="0.25">
      <c r="A10840" s="36" t="b">
        <v>0</v>
      </c>
      <c r="B10840" s="56" t="b">
        <v>0</v>
      </c>
      <c r="C10840" s="56" t="b">
        <v>0</v>
      </c>
      <c r="D10840" s="56" t="b">
        <v>0</v>
      </c>
      <c r="E10840" s="56">
        <f ca="1">IF(PV[[#This Row],[Business Date]]=Control!$C$6, PV[[#This Row],[Notional Value Local Cur]], -PV[[#This Row],[Notional Value Local Cur]])</f>
        <v>0</v>
      </c>
    </row>
    <row r="10841" spans="1:5" x14ac:dyDescent="0.25">
      <c r="A10841" s="36" t="b">
        <v>0</v>
      </c>
      <c r="B10841" s="56" t="b">
        <v>0</v>
      </c>
      <c r="C10841" s="56" t="b">
        <v>0</v>
      </c>
      <c r="D10841" s="56" t="b">
        <v>0</v>
      </c>
      <c r="E10841" s="56">
        <f ca="1">IF(PV[[#This Row],[Business Date]]=Control!$C$6, PV[[#This Row],[Notional Value Local Cur]], -PV[[#This Row],[Notional Value Local Cur]])</f>
        <v>0</v>
      </c>
    </row>
    <row r="10842" spans="1:5" x14ac:dyDescent="0.25">
      <c r="A10842" s="36" t="b">
        <v>0</v>
      </c>
      <c r="B10842" s="56" t="b">
        <v>0</v>
      </c>
      <c r="C10842" s="56" t="b">
        <v>0</v>
      </c>
      <c r="D10842" s="56" t="b">
        <v>0</v>
      </c>
      <c r="E10842" s="56">
        <f ca="1">IF(PV[[#This Row],[Business Date]]=Control!$C$6, PV[[#This Row],[Notional Value Local Cur]], -PV[[#This Row],[Notional Value Local Cur]])</f>
        <v>0</v>
      </c>
    </row>
    <row r="10843" spans="1:5" x14ac:dyDescent="0.25">
      <c r="A10843" s="36" t="b">
        <v>0</v>
      </c>
      <c r="B10843" s="56" t="b">
        <v>0</v>
      </c>
      <c r="C10843" s="56" t="b">
        <v>0</v>
      </c>
      <c r="D10843" s="56" t="b">
        <v>0</v>
      </c>
      <c r="E10843" s="56">
        <f ca="1">IF(PV[[#This Row],[Business Date]]=Control!$C$6, PV[[#This Row],[Notional Value Local Cur]], -PV[[#This Row],[Notional Value Local Cur]])</f>
        <v>0</v>
      </c>
    </row>
    <row r="10844" spans="1:5" x14ac:dyDescent="0.25">
      <c r="A10844" s="36" t="b">
        <v>0</v>
      </c>
      <c r="B10844" s="56" t="b">
        <v>0</v>
      </c>
      <c r="C10844" s="56" t="b">
        <v>0</v>
      </c>
      <c r="D10844" s="56" t="b">
        <v>0</v>
      </c>
      <c r="E10844" s="56">
        <f ca="1">IF(PV[[#This Row],[Business Date]]=Control!$C$6, PV[[#This Row],[Notional Value Local Cur]], -PV[[#This Row],[Notional Value Local Cur]])</f>
        <v>0</v>
      </c>
    </row>
    <row r="10845" spans="1:5" x14ac:dyDescent="0.25">
      <c r="A10845" s="36" t="b">
        <v>0</v>
      </c>
      <c r="B10845" s="56" t="b">
        <v>0</v>
      </c>
      <c r="C10845" s="56" t="b">
        <v>0</v>
      </c>
      <c r="D10845" s="56" t="b">
        <v>0</v>
      </c>
      <c r="E10845" s="56">
        <f ca="1">IF(PV[[#This Row],[Business Date]]=Control!$C$6, PV[[#This Row],[Notional Value Local Cur]], -PV[[#This Row],[Notional Value Local Cur]])</f>
        <v>0</v>
      </c>
    </row>
    <row r="10846" spans="1:5" x14ac:dyDescent="0.25">
      <c r="A10846" s="36" t="b">
        <v>0</v>
      </c>
      <c r="B10846" s="56" t="b">
        <v>0</v>
      </c>
      <c r="C10846" s="56" t="b">
        <v>0</v>
      </c>
      <c r="D10846" s="56" t="b">
        <v>0</v>
      </c>
      <c r="E10846" s="56">
        <f ca="1">IF(PV[[#This Row],[Business Date]]=Control!$C$6, PV[[#This Row],[Notional Value Local Cur]], -PV[[#This Row],[Notional Value Local Cur]])</f>
        <v>0</v>
      </c>
    </row>
    <row r="10847" spans="1:5" x14ac:dyDescent="0.25">
      <c r="A10847" s="36" t="b">
        <v>0</v>
      </c>
      <c r="B10847" s="56" t="b">
        <v>0</v>
      </c>
      <c r="C10847" s="56" t="b">
        <v>0</v>
      </c>
      <c r="D10847" s="56" t="b">
        <v>0</v>
      </c>
      <c r="E10847" s="56">
        <f ca="1">IF(PV[[#This Row],[Business Date]]=Control!$C$6, PV[[#This Row],[Notional Value Local Cur]], -PV[[#This Row],[Notional Value Local Cur]])</f>
        <v>0</v>
      </c>
    </row>
    <row r="10848" spans="1:5" x14ac:dyDescent="0.25">
      <c r="A10848" s="36" t="b">
        <v>0</v>
      </c>
      <c r="B10848" s="56" t="b">
        <v>0</v>
      </c>
      <c r="C10848" s="56" t="b">
        <v>0</v>
      </c>
      <c r="D10848" s="56" t="b">
        <v>0</v>
      </c>
      <c r="E10848" s="56">
        <f ca="1">IF(PV[[#This Row],[Business Date]]=Control!$C$6, PV[[#This Row],[Notional Value Local Cur]], -PV[[#This Row],[Notional Value Local Cur]])</f>
        <v>0</v>
      </c>
    </row>
    <row r="10849" spans="1:5" x14ac:dyDescent="0.25">
      <c r="A10849" s="36" t="b">
        <v>0</v>
      </c>
      <c r="B10849" s="56" t="b">
        <v>0</v>
      </c>
      <c r="C10849" s="56" t="b">
        <v>0</v>
      </c>
      <c r="D10849" s="56" t="b">
        <v>0</v>
      </c>
      <c r="E10849" s="56">
        <f ca="1">IF(PV[[#This Row],[Business Date]]=Control!$C$6, PV[[#This Row],[Notional Value Local Cur]], -PV[[#This Row],[Notional Value Local Cur]])</f>
        <v>0</v>
      </c>
    </row>
    <row r="10850" spans="1:5" x14ac:dyDescent="0.25">
      <c r="A10850" s="36" t="b">
        <v>0</v>
      </c>
      <c r="B10850" s="56" t="b">
        <v>0</v>
      </c>
      <c r="C10850" s="56" t="b">
        <v>0</v>
      </c>
      <c r="D10850" s="56" t="b">
        <v>0</v>
      </c>
      <c r="E10850" s="56">
        <f ca="1">IF(PV[[#This Row],[Business Date]]=Control!$C$6, PV[[#This Row],[Notional Value Local Cur]], -PV[[#This Row],[Notional Value Local Cur]])</f>
        <v>0</v>
      </c>
    </row>
    <row r="10851" spans="1:5" x14ac:dyDescent="0.25">
      <c r="A10851" s="36" t="b">
        <v>0</v>
      </c>
      <c r="B10851" s="56" t="b">
        <v>0</v>
      </c>
      <c r="C10851" s="56" t="b">
        <v>0</v>
      </c>
      <c r="D10851" s="56" t="b">
        <v>0</v>
      </c>
      <c r="E10851" s="56">
        <f ca="1">IF(PV[[#This Row],[Business Date]]=Control!$C$6, PV[[#This Row],[Notional Value Local Cur]], -PV[[#This Row],[Notional Value Local Cur]])</f>
        <v>0</v>
      </c>
    </row>
    <row r="10852" spans="1:5" x14ac:dyDescent="0.25">
      <c r="A10852" s="36" t="b">
        <v>0</v>
      </c>
      <c r="B10852" s="56" t="b">
        <v>0</v>
      </c>
      <c r="C10852" s="56" t="b">
        <v>0</v>
      </c>
      <c r="D10852" s="56" t="b">
        <v>0</v>
      </c>
      <c r="E10852" s="56">
        <f ca="1">IF(PV[[#This Row],[Business Date]]=Control!$C$6, PV[[#This Row],[Notional Value Local Cur]], -PV[[#This Row],[Notional Value Local Cur]])</f>
        <v>0</v>
      </c>
    </row>
    <row r="10853" spans="1:5" x14ac:dyDescent="0.25">
      <c r="A10853" s="36" t="b">
        <v>0</v>
      </c>
      <c r="B10853" s="56" t="b">
        <v>0</v>
      </c>
      <c r="C10853" s="56" t="b">
        <v>0</v>
      </c>
      <c r="D10853" s="56" t="b">
        <v>0</v>
      </c>
      <c r="E10853" s="56">
        <f ca="1">IF(PV[[#This Row],[Business Date]]=Control!$C$6, PV[[#This Row],[Notional Value Local Cur]], -PV[[#This Row],[Notional Value Local Cur]])</f>
        <v>0</v>
      </c>
    </row>
    <row r="10854" spans="1:5" x14ac:dyDescent="0.25">
      <c r="A10854" s="36" t="b">
        <v>0</v>
      </c>
      <c r="B10854" s="56" t="b">
        <v>0</v>
      </c>
      <c r="C10854" s="56" t="b">
        <v>0</v>
      </c>
      <c r="D10854" s="56" t="b">
        <v>0</v>
      </c>
      <c r="E10854" s="56">
        <f ca="1">IF(PV[[#This Row],[Business Date]]=Control!$C$6, PV[[#This Row],[Notional Value Local Cur]], -PV[[#This Row],[Notional Value Local Cur]])</f>
        <v>0</v>
      </c>
    </row>
    <row r="10855" spans="1:5" x14ac:dyDescent="0.25">
      <c r="A10855" s="36" t="b">
        <v>0</v>
      </c>
      <c r="B10855" s="56" t="b">
        <v>0</v>
      </c>
      <c r="C10855" s="56" t="b">
        <v>0</v>
      </c>
      <c r="D10855" s="56" t="b">
        <v>0</v>
      </c>
      <c r="E10855" s="56">
        <f ca="1">IF(PV[[#This Row],[Business Date]]=Control!$C$6, PV[[#This Row],[Notional Value Local Cur]], -PV[[#This Row],[Notional Value Local Cur]])</f>
        <v>0</v>
      </c>
    </row>
    <row r="10856" spans="1:5" x14ac:dyDescent="0.25">
      <c r="A10856" s="36" t="b">
        <v>0</v>
      </c>
      <c r="B10856" s="56" t="b">
        <v>0</v>
      </c>
      <c r="C10856" s="56" t="b">
        <v>0</v>
      </c>
      <c r="D10856" s="56" t="b">
        <v>0</v>
      </c>
      <c r="E10856" s="56">
        <f ca="1">IF(PV[[#This Row],[Business Date]]=Control!$C$6, PV[[#This Row],[Notional Value Local Cur]], -PV[[#This Row],[Notional Value Local Cur]])</f>
        <v>0</v>
      </c>
    </row>
    <row r="10857" spans="1:5" x14ac:dyDescent="0.25">
      <c r="A10857" s="36" t="b">
        <v>0</v>
      </c>
      <c r="B10857" s="56" t="b">
        <v>0</v>
      </c>
      <c r="C10857" s="56" t="b">
        <v>0</v>
      </c>
      <c r="D10857" s="56" t="b">
        <v>0</v>
      </c>
      <c r="E10857" s="56">
        <f ca="1">IF(PV[[#This Row],[Business Date]]=Control!$C$6, PV[[#This Row],[Notional Value Local Cur]], -PV[[#This Row],[Notional Value Local Cur]])</f>
        <v>0</v>
      </c>
    </row>
    <row r="10858" spans="1:5" x14ac:dyDescent="0.25">
      <c r="A10858" s="36" t="b">
        <v>0</v>
      </c>
      <c r="B10858" s="56" t="b">
        <v>0</v>
      </c>
      <c r="C10858" s="56" t="b">
        <v>0</v>
      </c>
      <c r="D10858" s="56" t="b">
        <v>0</v>
      </c>
      <c r="E10858" s="56">
        <f ca="1">IF(PV[[#This Row],[Business Date]]=Control!$C$6, PV[[#This Row],[Notional Value Local Cur]], -PV[[#This Row],[Notional Value Local Cur]])</f>
        <v>0</v>
      </c>
    </row>
    <row r="10859" spans="1:5" x14ac:dyDescent="0.25">
      <c r="A10859" s="36" t="b">
        <v>0</v>
      </c>
      <c r="B10859" s="56" t="b">
        <v>0</v>
      </c>
      <c r="C10859" s="56" t="b">
        <v>0</v>
      </c>
      <c r="D10859" s="56" t="b">
        <v>0</v>
      </c>
      <c r="E10859" s="56">
        <f ca="1">IF(PV[[#This Row],[Business Date]]=Control!$C$6, PV[[#This Row],[Notional Value Local Cur]], -PV[[#This Row],[Notional Value Local Cur]])</f>
        <v>0</v>
      </c>
    </row>
    <row r="10860" spans="1:5" x14ac:dyDescent="0.25">
      <c r="A10860" s="36" t="b">
        <v>0</v>
      </c>
      <c r="B10860" s="56" t="b">
        <v>0</v>
      </c>
      <c r="C10860" s="56" t="b">
        <v>0</v>
      </c>
      <c r="D10860" s="56" t="b">
        <v>0</v>
      </c>
      <c r="E10860" s="56">
        <f ca="1">IF(PV[[#This Row],[Business Date]]=Control!$C$6, PV[[#This Row],[Notional Value Local Cur]], -PV[[#This Row],[Notional Value Local Cur]])</f>
        <v>0</v>
      </c>
    </row>
    <row r="10861" spans="1:5" x14ac:dyDescent="0.25">
      <c r="A10861" s="36" t="b">
        <v>0</v>
      </c>
      <c r="B10861" s="56" t="b">
        <v>0</v>
      </c>
      <c r="C10861" s="56" t="b">
        <v>0</v>
      </c>
      <c r="D10861" s="56" t="b">
        <v>0</v>
      </c>
      <c r="E10861" s="56">
        <f ca="1">IF(PV[[#This Row],[Business Date]]=Control!$C$6, PV[[#This Row],[Notional Value Local Cur]], -PV[[#This Row],[Notional Value Local Cur]])</f>
        <v>0</v>
      </c>
    </row>
    <row r="10862" spans="1:5" x14ac:dyDescent="0.25">
      <c r="A10862" s="36" t="b">
        <v>0</v>
      </c>
      <c r="B10862" s="56" t="b">
        <v>0</v>
      </c>
      <c r="C10862" s="56" t="b">
        <v>0</v>
      </c>
      <c r="D10862" s="56" t="b">
        <v>0</v>
      </c>
      <c r="E10862" s="56">
        <f ca="1">IF(PV[[#This Row],[Business Date]]=Control!$C$6, PV[[#This Row],[Notional Value Local Cur]], -PV[[#This Row],[Notional Value Local Cur]])</f>
        <v>0</v>
      </c>
    </row>
    <row r="10863" spans="1:5" x14ac:dyDescent="0.25">
      <c r="A10863" s="36" t="b">
        <v>0</v>
      </c>
      <c r="B10863" s="56" t="b">
        <v>0</v>
      </c>
      <c r="C10863" s="56" t="b">
        <v>0</v>
      </c>
      <c r="D10863" s="56" t="b">
        <v>0</v>
      </c>
      <c r="E10863" s="56">
        <f ca="1">IF(PV[[#This Row],[Business Date]]=Control!$C$6, PV[[#This Row],[Notional Value Local Cur]], -PV[[#This Row],[Notional Value Local Cur]])</f>
        <v>0</v>
      </c>
    </row>
    <row r="10864" spans="1:5" x14ac:dyDescent="0.25">
      <c r="A10864" s="36" t="b">
        <v>0</v>
      </c>
      <c r="B10864" s="56" t="b">
        <v>0</v>
      </c>
      <c r="C10864" s="56" t="b">
        <v>0</v>
      </c>
      <c r="D10864" s="56" t="b">
        <v>0</v>
      </c>
      <c r="E10864" s="56">
        <f ca="1">IF(PV[[#This Row],[Business Date]]=Control!$C$6, PV[[#This Row],[Notional Value Local Cur]], -PV[[#This Row],[Notional Value Local Cur]])</f>
        <v>0</v>
      </c>
    </row>
    <row r="10865" spans="1:5" x14ac:dyDescent="0.25">
      <c r="A10865" s="36" t="b">
        <v>0</v>
      </c>
      <c r="B10865" s="56" t="b">
        <v>0</v>
      </c>
      <c r="C10865" s="56" t="b">
        <v>0</v>
      </c>
      <c r="D10865" s="56" t="b">
        <v>0</v>
      </c>
      <c r="E10865" s="56">
        <f ca="1">IF(PV[[#This Row],[Business Date]]=Control!$C$6, PV[[#This Row],[Notional Value Local Cur]], -PV[[#This Row],[Notional Value Local Cur]])</f>
        <v>0</v>
      </c>
    </row>
    <row r="10866" spans="1:5" x14ac:dyDescent="0.25">
      <c r="A10866" s="36" t="b">
        <v>0</v>
      </c>
      <c r="B10866" s="56" t="b">
        <v>0</v>
      </c>
      <c r="C10866" s="56" t="b">
        <v>0</v>
      </c>
      <c r="D10866" s="56" t="b">
        <v>0</v>
      </c>
      <c r="E10866" s="56">
        <f ca="1">IF(PV[[#This Row],[Business Date]]=Control!$C$6, PV[[#This Row],[Notional Value Local Cur]], -PV[[#This Row],[Notional Value Local Cur]])</f>
        <v>0</v>
      </c>
    </row>
    <row r="10867" spans="1:5" x14ac:dyDescent="0.25">
      <c r="A10867" s="36" t="b">
        <v>0</v>
      </c>
      <c r="B10867" s="56" t="b">
        <v>0</v>
      </c>
      <c r="C10867" s="56" t="b">
        <v>0</v>
      </c>
      <c r="D10867" s="56" t="b">
        <v>0</v>
      </c>
      <c r="E10867" s="56">
        <f ca="1">IF(PV[[#This Row],[Business Date]]=Control!$C$6, PV[[#This Row],[Notional Value Local Cur]], -PV[[#This Row],[Notional Value Local Cur]])</f>
        <v>0</v>
      </c>
    </row>
    <row r="10868" spans="1:5" x14ac:dyDescent="0.25">
      <c r="A10868" s="36" t="b">
        <v>0</v>
      </c>
      <c r="B10868" s="56" t="b">
        <v>0</v>
      </c>
      <c r="C10868" s="56" t="b">
        <v>0</v>
      </c>
      <c r="D10868" s="56" t="b">
        <v>0</v>
      </c>
      <c r="E10868" s="56">
        <f ca="1">IF(PV[[#This Row],[Business Date]]=Control!$C$6, PV[[#This Row],[Notional Value Local Cur]], -PV[[#This Row],[Notional Value Local Cur]])</f>
        <v>0</v>
      </c>
    </row>
    <row r="10869" spans="1:5" x14ac:dyDescent="0.25">
      <c r="A10869" s="36" t="b">
        <v>0</v>
      </c>
      <c r="B10869" s="56" t="b">
        <v>0</v>
      </c>
      <c r="C10869" s="56" t="b">
        <v>0</v>
      </c>
      <c r="D10869" s="56" t="b">
        <v>0</v>
      </c>
      <c r="E10869" s="56">
        <f ca="1">IF(PV[[#This Row],[Business Date]]=Control!$C$6, PV[[#This Row],[Notional Value Local Cur]], -PV[[#This Row],[Notional Value Local Cur]])</f>
        <v>0</v>
      </c>
    </row>
    <row r="10870" spans="1:5" x14ac:dyDescent="0.25">
      <c r="A10870" s="36" t="b">
        <v>0</v>
      </c>
      <c r="B10870" s="56" t="b">
        <v>0</v>
      </c>
      <c r="C10870" s="56" t="b">
        <v>0</v>
      </c>
      <c r="D10870" s="56" t="b">
        <v>0</v>
      </c>
      <c r="E10870" s="56">
        <f ca="1">IF(PV[[#This Row],[Business Date]]=Control!$C$6, PV[[#This Row],[Notional Value Local Cur]], -PV[[#This Row],[Notional Value Local Cur]])</f>
        <v>0</v>
      </c>
    </row>
    <row r="10871" spans="1:5" x14ac:dyDescent="0.25">
      <c r="A10871" s="36" t="b">
        <v>0</v>
      </c>
      <c r="B10871" s="56" t="b">
        <v>0</v>
      </c>
      <c r="C10871" s="56" t="b">
        <v>0</v>
      </c>
      <c r="D10871" s="56" t="b">
        <v>0</v>
      </c>
      <c r="E10871" s="56">
        <f ca="1">IF(PV[[#This Row],[Business Date]]=Control!$C$6, PV[[#This Row],[Notional Value Local Cur]], -PV[[#This Row],[Notional Value Local Cur]])</f>
        <v>0</v>
      </c>
    </row>
    <row r="10872" spans="1:5" x14ac:dyDescent="0.25">
      <c r="A10872" s="36" t="b">
        <v>0</v>
      </c>
      <c r="B10872" s="56" t="b">
        <v>0</v>
      </c>
      <c r="C10872" s="56" t="b">
        <v>0</v>
      </c>
      <c r="D10872" s="56" t="b">
        <v>0</v>
      </c>
      <c r="E10872" s="56">
        <f ca="1">IF(PV[[#This Row],[Business Date]]=Control!$C$6, PV[[#This Row],[Notional Value Local Cur]], -PV[[#This Row],[Notional Value Local Cur]])</f>
        <v>0</v>
      </c>
    </row>
    <row r="10873" spans="1:5" x14ac:dyDescent="0.25">
      <c r="A10873" s="36" t="b">
        <v>0</v>
      </c>
      <c r="B10873" s="56" t="b">
        <v>0</v>
      </c>
      <c r="C10873" s="56" t="b">
        <v>0</v>
      </c>
      <c r="D10873" s="56" t="b">
        <v>0</v>
      </c>
      <c r="E10873" s="56">
        <f ca="1">IF(PV[[#This Row],[Business Date]]=Control!$C$6, PV[[#This Row],[Notional Value Local Cur]], -PV[[#This Row],[Notional Value Local Cur]])</f>
        <v>0</v>
      </c>
    </row>
    <row r="10874" spans="1:5" x14ac:dyDescent="0.25">
      <c r="A10874" s="36" t="b">
        <v>0</v>
      </c>
      <c r="B10874" s="56" t="b">
        <v>0</v>
      </c>
      <c r="C10874" s="56" t="b">
        <v>0</v>
      </c>
      <c r="D10874" s="56" t="b">
        <v>0</v>
      </c>
      <c r="E10874" s="56">
        <f ca="1">IF(PV[[#This Row],[Business Date]]=Control!$C$6, PV[[#This Row],[Notional Value Local Cur]], -PV[[#This Row],[Notional Value Local Cur]])</f>
        <v>0</v>
      </c>
    </row>
    <row r="10875" spans="1:5" x14ac:dyDescent="0.25">
      <c r="A10875" s="36" t="b">
        <v>0</v>
      </c>
      <c r="B10875" s="56" t="b">
        <v>0</v>
      </c>
      <c r="C10875" s="56" t="b">
        <v>0</v>
      </c>
      <c r="D10875" s="56" t="b">
        <v>0</v>
      </c>
      <c r="E10875" s="56">
        <f ca="1">IF(PV[[#This Row],[Business Date]]=Control!$C$6, PV[[#This Row],[Notional Value Local Cur]], -PV[[#This Row],[Notional Value Local Cur]])</f>
        <v>0</v>
      </c>
    </row>
    <row r="10876" spans="1:5" x14ac:dyDescent="0.25">
      <c r="A10876" s="36" t="b">
        <v>0</v>
      </c>
      <c r="B10876" s="56" t="b">
        <v>0</v>
      </c>
      <c r="C10876" s="56" t="b">
        <v>0</v>
      </c>
      <c r="D10876" s="56" t="b">
        <v>0</v>
      </c>
      <c r="E10876" s="56">
        <f ca="1">IF(PV[[#This Row],[Business Date]]=Control!$C$6, PV[[#This Row],[Notional Value Local Cur]], -PV[[#This Row],[Notional Value Local Cur]])</f>
        <v>0</v>
      </c>
    </row>
    <row r="10877" spans="1:5" x14ac:dyDescent="0.25">
      <c r="A10877" s="36" t="b">
        <v>0</v>
      </c>
      <c r="B10877" s="56" t="b">
        <v>0</v>
      </c>
      <c r="C10877" s="56" t="b">
        <v>0</v>
      </c>
      <c r="D10877" s="56" t="b">
        <v>0</v>
      </c>
      <c r="E10877" s="56">
        <f ca="1">IF(PV[[#This Row],[Business Date]]=Control!$C$6, PV[[#This Row],[Notional Value Local Cur]], -PV[[#This Row],[Notional Value Local Cur]])</f>
        <v>0</v>
      </c>
    </row>
    <row r="10878" spans="1:5" x14ac:dyDescent="0.25">
      <c r="A10878" s="36" t="b">
        <v>0</v>
      </c>
      <c r="B10878" s="56" t="b">
        <v>0</v>
      </c>
      <c r="C10878" s="56" t="b">
        <v>0</v>
      </c>
      <c r="D10878" s="56" t="b">
        <v>0</v>
      </c>
      <c r="E10878" s="56">
        <f ca="1">IF(PV[[#This Row],[Business Date]]=Control!$C$6, PV[[#This Row],[Notional Value Local Cur]], -PV[[#This Row],[Notional Value Local Cur]])</f>
        <v>0</v>
      </c>
    </row>
    <row r="10879" spans="1:5" x14ac:dyDescent="0.25">
      <c r="A10879" s="36" t="b">
        <v>0</v>
      </c>
      <c r="B10879" s="56" t="b">
        <v>0</v>
      </c>
      <c r="C10879" s="56" t="b">
        <v>0</v>
      </c>
      <c r="D10879" s="56" t="b">
        <v>0</v>
      </c>
      <c r="E10879" s="56">
        <f ca="1">IF(PV[[#This Row],[Business Date]]=Control!$C$6, PV[[#This Row],[Notional Value Local Cur]], -PV[[#This Row],[Notional Value Local Cur]])</f>
        <v>0</v>
      </c>
    </row>
    <row r="10880" spans="1:5" x14ac:dyDescent="0.25">
      <c r="A10880" s="36" t="b">
        <v>0</v>
      </c>
      <c r="B10880" s="56" t="b">
        <v>0</v>
      </c>
      <c r="C10880" s="56" t="b">
        <v>0</v>
      </c>
      <c r="D10880" s="56" t="b">
        <v>0</v>
      </c>
      <c r="E10880" s="56">
        <f ca="1">IF(PV[[#This Row],[Business Date]]=Control!$C$6, PV[[#This Row],[Notional Value Local Cur]], -PV[[#This Row],[Notional Value Local Cur]])</f>
        <v>0</v>
      </c>
    </row>
    <row r="10881" spans="1:5" x14ac:dyDescent="0.25">
      <c r="A10881" s="36" t="b">
        <v>0</v>
      </c>
      <c r="B10881" s="56" t="b">
        <v>0</v>
      </c>
      <c r="C10881" s="56" t="b">
        <v>0</v>
      </c>
      <c r="D10881" s="56" t="b">
        <v>0</v>
      </c>
      <c r="E10881" s="56">
        <f ca="1">IF(PV[[#This Row],[Business Date]]=Control!$C$6, PV[[#This Row],[Notional Value Local Cur]], -PV[[#This Row],[Notional Value Local Cur]])</f>
        <v>0</v>
      </c>
    </row>
    <row r="10882" spans="1:5" x14ac:dyDescent="0.25">
      <c r="A10882" s="36" t="b">
        <v>0</v>
      </c>
      <c r="B10882" s="56" t="b">
        <v>0</v>
      </c>
      <c r="C10882" s="56" t="b">
        <v>0</v>
      </c>
      <c r="D10882" s="56" t="b">
        <v>0</v>
      </c>
      <c r="E10882" s="56">
        <f ca="1">IF(PV[[#This Row],[Business Date]]=Control!$C$6, PV[[#This Row],[Notional Value Local Cur]], -PV[[#This Row],[Notional Value Local Cur]])</f>
        <v>0</v>
      </c>
    </row>
    <row r="10883" spans="1:5" x14ac:dyDescent="0.25">
      <c r="A10883" s="36" t="b">
        <v>0</v>
      </c>
      <c r="B10883" s="56" t="b">
        <v>0</v>
      </c>
      <c r="C10883" s="56" t="b">
        <v>0</v>
      </c>
      <c r="D10883" s="56" t="b">
        <v>0</v>
      </c>
      <c r="E10883" s="56">
        <f ca="1">IF(PV[[#This Row],[Business Date]]=Control!$C$6, PV[[#This Row],[Notional Value Local Cur]], -PV[[#This Row],[Notional Value Local Cur]])</f>
        <v>0</v>
      </c>
    </row>
    <row r="10884" spans="1:5" x14ac:dyDescent="0.25">
      <c r="A10884" s="36" t="b">
        <v>0</v>
      </c>
      <c r="B10884" s="56" t="b">
        <v>0</v>
      </c>
      <c r="C10884" s="56" t="b">
        <v>0</v>
      </c>
      <c r="D10884" s="56" t="b">
        <v>0</v>
      </c>
      <c r="E10884" s="56">
        <f ca="1">IF(PV[[#This Row],[Business Date]]=Control!$C$6, PV[[#This Row],[Notional Value Local Cur]], -PV[[#This Row],[Notional Value Local Cur]])</f>
        <v>0</v>
      </c>
    </row>
    <row r="10885" spans="1:5" x14ac:dyDescent="0.25">
      <c r="A10885" s="36" t="b">
        <v>0</v>
      </c>
      <c r="B10885" s="56" t="b">
        <v>0</v>
      </c>
      <c r="C10885" s="56" t="b">
        <v>0</v>
      </c>
      <c r="D10885" s="56" t="b">
        <v>0</v>
      </c>
      <c r="E10885" s="56">
        <f ca="1">IF(PV[[#This Row],[Business Date]]=Control!$C$6, PV[[#This Row],[Notional Value Local Cur]], -PV[[#This Row],[Notional Value Local Cur]])</f>
        <v>0</v>
      </c>
    </row>
    <row r="10886" spans="1:5" x14ac:dyDescent="0.25">
      <c r="A10886" s="36" t="b">
        <v>0</v>
      </c>
      <c r="B10886" s="56" t="b">
        <v>0</v>
      </c>
      <c r="C10886" s="56" t="b">
        <v>0</v>
      </c>
      <c r="D10886" s="56" t="b">
        <v>0</v>
      </c>
      <c r="E10886" s="56">
        <f ca="1">IF(PV[[#This Row],[Business Date]]=Control!$C$6, PV[[#This Row],[Notional Value Local Cur]], -PV[[#This Row],[Notional Value Local Cur]])</f>
        <v>0</v>
      </c>
    </row>
    <row r="10887" spans="1:5" x14ac:dyDescent="0.25">
      <c r="A10887" s="36" t="b">
        <v>0</v>
      </c>
      <c r="B10887" s="56" t="b">
        <v>0</v>
      </c>
      <c r="C10887" s="56" t="b">
        <v>0</v>
      </c>
      <c r="D10887" s="56" t="b">
        <v>0</v>
      </c>
      <c r="E10887" s="56">
        <f ca="1">IF(PV[[#This Row],[Business Date]]=Control!$C$6, PV[[#This Row],[Notional Value Local Cur]], -PV[[#This Row],[Notional Value Local Cur]])</f>
        <v>0</v>
      </c>
    </row>
    <row r="10888" spans="1:5" x14ac:dyDescent="0.25">
      <c r="A10888" s="36" t="b">
        <v>0</v>
      </c>
      <c r="B10888" s="56" t="b">
        <v>0</v>
      </c>
      <c r="C10888" s="56" t="b">
        <v>0</v>
      </c>
      <c r="D10888" s="56" t="b">
        <v>0</v>
      </c>
      <c r="E10888" s="56">
        <f ca="1">IF(PV[[#This Row],[Business Date]]=Control!$C$6, PV[[#This Row],[Notional Value Local Cur]], -PV[[#This Row],[Notional Value Local Cur]])</f>
        <v>0</v>
      </c>
    </row>
    <row r="10889" spans="1:5" x14ac:dyDescent="0.25">
      <c r="A10889" s="36" t="b">
        <v>0</v>
      </c>
      <c r="B10889" s="56" t="b">
        <v>0</v>
      </c>
      <c r="C10889" s="56" t="b">
        <v>0</v>
      </c>
      <c r="D10889" s="56" t="b">
        <v>0</v>
      </c>
      <c r="E10889" s="56">
        <f ca="1">IF(PV[[#This Row],[Business Date]]=Control!$C$6, PV[[#This Row],[Notional Value Local Cur]], -PV[[#This Row],[Notional Value Local Cur]])</f>
        <v>0</v>
      </c>
    </row>
    <row r="10890" spans="1:5" x14ac:dyDescent="0.25">
      <c r="A10890" s="36" t="b">
        <v>0</v>
      </c>
      <c r="B10890" s="56" t="b">
        <v>0</v>
      </c>
      <c r="C10890" s="56" t="b">
        <v>0</v>
      </c>
      <c r="D10890" s="56" t="b">
        <v>0</v>
      </c>
      <c r="E10890" s="56">
        <f ca="1">IF(PV[[#This Row],[Business Date]]=Control!$C$6, PV[[#This Row],[Notional Value Local Cur]], -PV[[#This Row],[Notional Value Local Cur]])</f>
        <v>0</v>
      </c>
    </row>
    <row r="10891" spans="1:5" x14ac:dyDescent="0.25">
      <c r="A10891" s="36" t="b">
        <v>0</v>
      </c>
      <c r="B10891" s="56" t="b">
        <v>0</v>
      </c>
      <c r="C10891" s="56" t="b">
        <v>0</v>
      </c>
      <c r="D10891" s="56" t="b">
        <v>0</v>
      </c>
      <c r="E10891" s="56">
        <f ca="1">IF(PV[[#This Row],[Business Date]]=Control!$C$6, PV[[#This Row],[Notional Value Local Cur]], -PV[[#This Row],[Notional Value Local Cur]])</f>
        <v>0</v>
      </c>
    </row>
    <row r="10892" spans="1:5" x14ac:dyDescent="0.25">
      <c r="A10892" s="36" t="b">
        <v>0</v>
      </c>
      <c r="B10892" s="56" t="b">
        <v>0</v>
      </c>
      <c r="C10892" s="56" t="b">
        <v>0</v>
      </c>
      <c r="D10892" s="56" t="b">
        <v>0</v>
      </c>
      <c r="E10892" s="56">
        <f ca="1">IF(PV[[#This Row],[Business Date]]=Control!$C$6, PV[[#This Row],[Notional Value Local Cur]], -PV[[#This Row],[Notional Value Local Cur]])</f>
        <v>0</v>
      </c>
    </row>
    <row r="10893" spans="1:5" x14ac:dyDescent="0.25">
      <c r="A10893" s="36" t="b">
        <v>0</v>
      </c>
      <c r="B10893" s="56" t="b">
        <v>0</v>
      </c>
      <c r="C10893" s="56" t="b">
        <v>0</v>
      </c>
      <c r="D10893" s="56" t="b">
        <v>0</v>
      </c>
      <c r="E10893" s="56">
        <f ca="1">IF(PV[[#This Row],[Business Date]]=Control!$C$6, PV[[#This Row],[Notional Value Local Cur]], -PV[[#This Row],[Notional Value Local Cur]])</f>
        <v>0</v>
      </c>
    </row>
    <row r="10894" spans="1:5" x14ac:dyDescent="0.25">
      <c r="A10894" s="36" t="b">
        <v>0</v>
      </c>
      <c r="B10894" s="56" t="b">
        <v>0</v>
      </c>
      <c r="C10894" s="56" t="b">
        <v>0</v>
      </c>
      <c r="D10894" s="56" t="b">
        <v>0</v>
      </c>
      <c r="E10894" s="56">
        <f ca="1">IF(PV[[#This Row],[Business Date]]=Control!$C$6, PV[[#This Row],[Notional Value Local Cur]], -PV[[#This Row],[Notional Value Local Cur]])</f>
        <v>0</v>
      </c>
    </row>
    <row r="10895" spans="1:5" x14ac:dyDescent="0.25">
      <c r="A10895" s="36" t="b">
        <v>0</v>
      </c>
      <c r="B10895" s="56" t="b">
        <v>0</v>
      </c>
      <c r="C10895" s="56" t="b">
        <v>0</v>
      </c>
      <c r="D10895" s="56" t="b">
        <v>0</v>
      </c>
      <c r="E10895" s="56">
        <f ca="1">IF(PV[[#This Row],[Business Date]]=Control!$C$6, PV[[#This Row],[Notional Value Local Cur]], -PV[[#This Row],[Notional Value Local Cur]])</f>
        <v>0</v>
      </c>
    </row>
    <row r="10896" spans="1:5" x14ac:dyDescent="0.25">
      <c r="A10896" s="36" t="b">
        <v>0</v>
      </c>
      <c r="B10896" s="56" t="b">
        <v>0</v>
      </c>
      <c r="C10896" s="56" t="b">
        <v>0</v>
      </c>
      <c r="D10896" s="56" t="b">
        <v>0</v>
      </c>
      <c r="E10896" s="56">
        <f ca="1">IF(PV[[#This Row],[Business Date]]=Control!$C$6, PV[[#This Row],[Notional Value Local Cur]], -PV[[#This Row],[Notional Value Local Cur]])</f>
        <v>0</v>
      </c>
    </row>
    <row r="10897" spans="1:5" x14ac:dyDescent="0.25">
      <c r="A10897" s="36" t="b">
        <v>0</v>
      </c>
      <c r="B10897" s="56" t="b">
        <v>0</v>
      </c>
      <c r="C10897" s="56" t="b">
        <v>0</v>
      </c>
      <c r="D10897" s="56" t="b">
        <v>0</v>
      </c>
      <c r="E10897" s="56">
        <f ca="1">IF(PV[[#This Row],[Business Date]]=Control!$C$6, PV[[#This Row],[Notional Value Local Cur]], -PV[[#This Row],[Notional Value Local Cur]])</f>
        <v>0</v>
      </c>
    </row>
    <row r="10898" spans="1:5" x14ac:dyDescent="0.25">
      <c r="A10898" s="36" t="b">
        <v>0</v>
      </c>
      <c r="B10898" s="56" t="b">
        <v>0</v>
      </c>
      <c r="C10898" s="56" t="b">
        <v>0</v>
      </c>
      <c r="D10898" s="56" t="b">
        <v>0</v>
      </c>
      <c r="E10898" s="56">
        <f ca="1">IF(PV[[#This Row],[Business Date]]=Control!$C$6, PV[[#This Row],[Notional Value Local Cur]], -PV[[#This Row],[Notional Value Local Cur]])</f>
        <v>0</v>
      </c>
    </row>
    <row r="10899" spans="1:5" x14ac:dyDescent="0.25">
      <c r="A10899" s="36" t="b">
        <v>0</v>
      </c>
      <c r="B10899" s="56" t="b">
        <v>0</v>
      </c>
      <c r="C10899" s="56" t="b">
        <v>0</v>
      </c>
      <c r="D10899" s="56" t="b">
        <v>0</v>
      </c>
      <c r="E10899" s="56">
        <f ca="1">IF(PV[[#This Row],[Business Date]]=Control!$C$6, PV[[#This Row],[Notional Value Local Cur]], -PV[[#This Row],[Notional Value Local Cur]])</f>
        <v>0</v>
      </c>
    </row>
    <row r="10900" spans="1:5" x14ac:dyDescent="0.25">
      <c r="A10900" s="36" t="b">
        <v>0</v>
      </c>
      <c r="B10900" s="56" t="b">
        <v>0</v>
      </c>
      <c r="C10900" s="56" t="b">
        <v>0</v>
      </c>
      <c r="D10900" s="56" t="b">
        <v>0</v>
      </c>
      <c r="E10900" s="56">
        <f ca="1">IF(PV[[#This Row],[Business Date]]=Control!$C$6, PV[[#This Row],[Notional Value Local Cur]], -PV[[#This Row],[Notional Value Local Cur]])</f>
        <v>0</v>
      </c>
    </row>
    <row r="10901" spans="1:5" x14ac:dyDescent="0.25">
      <c r="A10901" s="36" t="b">
        <v>0</v>
      </c>
      <c r="B10901" s="56" t="b">
        <v>0</v>
      </c>
      <c r="C10901" s="56" t="b">
        <v>0</v>
      </c>
      <c r="D10901" s="56" t="b">
        <v>0</v>
      </c>
      <c r="E10901" s="56">
        <f ca="1">IF(PV[[#This Row],[Business Date]]=Control!$C$6, PV[[#This Row],[Notional Value Local Cur]], -PV[[#This Row],[Notional Value Local Cur]])</f>
        <v>0</v>
      </c>
    </row>
    <row r="10902" spans="1:5" x14ac:dyDescent="0.25">
      <c r="A10902" s="36" t="b">
        <v>0</v>
      </c>
      <c r="B10902" s="56" t="b">
        <v>0</v>
      </c>
      <c r="C10902" s="56" t="b">
        <v>0</v>
      </c>
      <c r="D10902" s="56" t="b">
        <v>0</v>
      </c>
      <c r="E10902" s="56">
        <f ca="1">IF(PV[[#This Row],[Business Date]]=Control!$C$6, PV[[#This Row],[Notional Value Local Cur]], -PV[[#This Row],[Notional Value Local Cur]])</f>
        <v>0</v>
      </c>
    </row>
    <row r="10903" spans="1:5" x14ac:dyDescent="0.25">
      <c r="A10903" s="36" t="b">
        <v>0</v>
      </c>
      <c r="B10903" s="56" t="b">
        <v>0</v>
      </c>
      <c r="C10903" s="56" t="b">
        <v>0</v>
      </c>
      <c r="D10903" s="56" t="b">
        <v>0</v>
      </c>
      <c r="E10903" s="56">
        <f ca="1">IF(PV[[#This Row],[Business Date]]=Control!$C$6, PV[[#This Row],[Notional Value Local Cur]], -PV[[#This Row],[Notional Value Local Cur]])</f>
        <v>0</v>
      </c>
    </row>
    <row r="10904" spans="1:5" x14ac:dyDescent="0.25">
      <c r="A10904" s="36" t="b">
        <v>0</v>
      </c>
      <c r="B10904" s="56" t="b">
        <v>0</v>
      </c>
      <c r="C10904" s="56" t="b">
        <v>0</v>
      </c>
      <c r="D10904" s="56" t="b">
        <v>0</v>
      </c>
      <c r="E10904" s="56">
        <f ca="1">IF(PV[[#This Row],[Business Date]]=Control!$C$6, PV[[#This Row],[Notional Value Local Cur]], -PV[[#This Row],[Notional Value Local Cur]])</f>
        <v>0</v>
      </c>
    </row>
    <row r="10905" spans="1:5" x14ac:dyDescent="0.25">
      <c r="A10905" s="36" t="b">
        <v>0</v>
      </c>
      <c r="B10905" s="56" t="b">
        <v>0</v>
      </c>
      <c r="C10905" s="56" t="b">
        <v>0</v>
      </c>
      <c r="D10905" s="56" t="b">
        <v>0</v>
      </c>
      <c r="E10905" s="56">
        <f ca="1">IF(PV[[#This Row],[Business Date]]=Control!$C$6, PV[[#This Row],[Notional Value Local Cur]], -PV[[#This Row],[Notional Value Local Cur]])</f>
        <v>0</v>
      </c>
    </row>
    <row r="10906" spans="1:5" x14ac:dyDescent="0.25">
      <c r="A10906" s="36" t="b">
        <v>0</v>
      </c>
      <c r="B10906" s="56" t="b">
        <v>0</v>
      </c>
      <c r="C10906" s="56" t="b">
        <v>0</v>
      </c>
      <c r="D10906" s="56" t="b">
        <v>0</v>
      </c>
      <c r="E10906" s="56">
        <f ca="1">IF(PV[[#This Row],[Business Date]]=Control!$C$6, PV[[#This Row],[Notional Value Local Cur]], -PV[[#This Row],[Notional Value Local Cur]])</f>
        <v>0</v>
      </c>
    </row>
    <row r="10907" spans="1:5" x14ac:dyDescent="0.25">
      <c r="A10907" s="36" t="b">
        <v>0</v>
      </c>
      <c r="B10907" s="56" t="b">
        <v>0</v>
      </c>
      <c r="C10907" s="56" t="b">
        <v>0</v>
      </c>
      <c r="D10907" s="56" t="b">
        <v>0</v>
      </c>
      <c r="E10907" s="56">
        <f ca="1">IF(PV[[#This Row],[Business Date]]=Control!$C$6, PV[[#This Row],[Notional Value Local Cur]], -PV[[#This Row],[Notional Value Local Cur]])</f>
        <v>0</v>
      </c>
    </row>
    <row r="10908" spans="1:5" x14ac:dyDescent="0.25">
      <c r="A10908" s="36" t="b">
        <v>0</v>
      </c>
      <c r="B10908" s="56" t="b">
        <v>0</v>
      </c>
      <c r="C10908" s="56" t="b">
        <v>0</v>
      </c>
      <c r="D10908" s="56" t="b">
        <v>0</v>
      </c>
      <c r="E10908" s="56">
        <f ca="1">IF(PV[[#This Row],[Business Date]]=Control!$C$6, PV[[#This Row],[Notional Value Local Cur]], -PV[[#This Row],[Notional Value Local Cur]])</f>
        <v>0</v>
      </c>
    </row>
    <row r="10909" spans="1:5" x14ac:dyDescent="0.25">
      <c r="A10909" s="36" t="b">
        <v>0</v>
      </c>
      <c r="B10909" s="56" t="b">
        <v>0</v>
      </c>
      <c r="C10909" s="56" t="b">
        <v>0</v>
      </c>
      <c r="D10909" s="56" t="b">
        <v>0</v>
      </c>
      <c r="E10909" s="56">
        <f ca="1">IF(PV[[#This Row],[Business Date]]=Control!$C$6, PV[[#This Row],[Notional Value Local Cur]], -PV[[#This Row],[Notional Value Local Cur]])</f>
        <v>0</v>
      </c>
    </row>
    <row r="10910" spans="1:5" x14ac:dyDescent="0.25">
      <c r="A10910" s="36" t="b">
        <v>0</v>
      </c>
      <c r="B10910" s="56" t="b">
        <v>0</v>
      </c>
      <c r="C10910" s="56" t="b">
        <v>0</v>
      </c>
      <c r="D10910" s="56" t="b">
        <v>0</v>
      </c>
      <c r="E10910" s="56">
        <f ca="1">IF(PV[[#This Row],[Business Date]]=Control!$C$6, PV[[#This Row],[Notional Value Local Cur]], -PV[[#This Row],[Notional Value Local Cur]])</f>
        <v>0</v>
      </c>
    </row>
    <row r="10911" spans="1:5" x14ac:dyDescent="0.25">
      <c r="A10911" s="36" t="b">
        <v>0</v>
      </c>
      <c r="B10911" s="56" t="b">
        <v>0</v>
      </c>
      <c r="C10911" s="56" t="b">
        <v>0</v>
      </c>
      <c r="D10911" s="56" t="b">
        <v>0</v>
      </c>
      <c r="E10911" s="56">
        <f ca="1">IF(PV[[#This Row],[Business Date]]=Control!$C$6, PV[[#This Row],[Notional Value Local Cur]], -PV[[#This Row],[Notional Value Local Cur]])</f>
        <v>0</v>
      </c>
    </row>
    <row r="10912" spans="1:5" x14ac:dyDescent="0.25">
      <c r="A10912" s="36" t="b">
        <v>0</v>
      </c>
      <c r="B10912" s="56" t="b">
        <v>0</v>
      </c>
      <c r="C10912" s="56" t="b">
        <v>0</v>
      </c>
      <c r="D10912" s="56" t="b">
        <v>0</v>
      </c>
      <c r="E10912" s="56">
        <f ca="1">IF(PV[[#This Row],[Business Date]]=Control!$C$6, PV[[#This Row],[Notional Value Local Cur]], -PV[[#This Row],[Notional Value Local Cur]])</f>
        <v>0</v>
      </c>
    </row>
    <row r="10913" spans="1:5" x14ac:dyDescent="0.25">
      <c r="A10913" s="36" t="b">
        <v>0</v>
      </c>
      <c r="B10913" s="56" t="b">
        <v>0</v>
      </c>
      <c r="C10913" s="56" t="b">
        <v>0</v>
      </c>
      <c r="D10913" s="56" t="b">
        <v>0</v>
      </c>
      <c r="E10913" s="56">
        <f ca="1">IF(PV[[#This Row],[Business Date]]=Control!$C$6, PV[[#This Row],[Notional Value Local Cur]], -PV[[#This Row],[Notional Value Local Cur]])</f>
        <v>0</v>
      </c>
    </row>
    <row r="10914" spans="1:5" x14ac:dyDescent="0.25">
      <c r="A10914" s="36" t="b">
        <v>0</v>
      </c>
      <c r="B10914" s="56" t="b">
        <v>0</v>
      </c>
      <c r="C10914" s="56" t="b">
        <v>0</v>
      </c>
      <c r="D10914" s="56" t="b">
        <v>0</v>
      </c>
      <c r="E10914" s="56">
        <f ca="1">IF(PV[[#This Row],[Business Date]]=Control!$C$6, PV[[#This Row],[Notional Value Local Cur]], -PV[[#This Row],[Notional Value Local Cur]])</f>
        <v>0</v>
      </c>
    </row>
    <row r="10915" spans="1:5" x14ac:dyDescent="0.25">
      <c r="A10915" s="36" t="b">
        <v>0</v>
      </c>
      <c r="B10915" s="56" t="b">
        <v>0</v>
      </c>
      <c r="C10915" s="56" t="b">
        <v>0</v>
      </c>
      <c r="D10915" s="56" t="b">
        <v>0</v>
      </c>
      <c r="E10915" s="56">
        <f ca="1">IF(PV[[#This Row],[Business Date]]=Control!$C$6, PV[[#This Row],[Notional Value Local Cur]], -PV[[#This Row],[Notional Value Local Cur]])</f>
        <v>0</v>
      </c>
    </row>
    <row r="10916" spans="1:5" x14ac:dyDescent="0.25">
      <c r="A10916" s="36" t="b">
        <v>0</v>
      </c>
      <c r="B10916" s="56" t="b">
        <v>0</v>
      </c>
      <c r="C10916" s="56" t="b">
        <v>0</v>
      </c>
      <c r="D10916" s="56" t="b">
        <v>0</v>
      </c>
      <c r="E10916" s="56">
        <f ca="1">IF(PV[[#This Row],[Business Date]]=Control!$C$6, PV[[#This Row],[Notional Value Local Cur]], -PV[[#This Row],[Notional Value Local Cur]])</f>
        <v>0</v>
      </c>
    </row>
    <row r="10917" spans="1:5" x14ac:dyDescent="0.25">
      <c r="A10917" s="36" t="b">
        <v>0</v>
      </c>
      <c r="B10917" s="56" t="b">
        <v>0</v>
      </c>
      <c r="C10917" s="56" t="b">
        <v>0</v>
      </c>
      <c r="D10917" s="56" t="b">
        <v>0</v>
      </c>
      <c r="E10917" s="56">
        <f ca="1">IF(PV[[#This Row],[Business Date]]=Control!$C$6, PV[[#This Row],[Notional Value Local Cur]], -PV[[#This Row],[Notional Value Local Cur]])</f>
        <v>0</v>
      </c>
    </row>
    <row r="10918" spans="1:5" x14ac:dyDescent="0.25">
      <c r="A10918" s="36" t="b">
        <v>0</v>
      </c>
      <c r="B10918" s="56" t="b">
        <v>0</v>
      </c>
      <c r="C10918" s="56" t="b">
        <v>0</v>
      </c>
      <c r="D10918" s="56" t="b">
        <v>0</v>
      </c>
      <c r="E10918" s="56">
        <f ca="1">IF(PV[[#This Row],[Business Date]]=Control!$C$6, PV[[#This Row],[Notional Value Local Cur]], -PV[[#This Row],[Notional Value Local Cur]])</f>
        <v>0</v>
      </c>
    </row>
    <row r="10919" spans="1:5" x14ac:dyDescent="0.25">
      <c r="A10919" s="36" t="b">
        <v>0</v>
      </c>
      <c r="B10919" s="56" t="b">
        <v>0</v>
      </c>
      <c r="C10919" s="56" t="b">
        <v>0</v>
      </c>
      <c r="D10919" s="56" t="b">
        <v>0</v>
      </c>
      <c r="E10919" s="56">
        <f ca="1">IF(PV[[#This Row],[Business Date]]=Control!$C$6, PV[[#This Row],[Notional Value Local Cur]], -PV[[#This Row],[Notional Value Local Cur]])</f>
        <v>0</v>
      </c>
    </row>
    <row r="10920" spans="1:5" x14ac:dyDescent="0.25">
      <c r="A10920" s="36" t="b">
        <v>0</v>
      </c>
      <c r="B10920" s="56" t="b">
        <v>0</v>
      </c>
      <c r="C10920" s="56" t="b">
        <v>0</v>
      </c>
      <c r="D10920" s="56" t="b">
        <v>0</v>
      </c>
      <c r="E10920" s="56">
        <f ca="1">IF(PV[[#This Row],[Business Date]]=Control!$C$6, PV[[#This Row],[Notional Value Local Cur]], -PV[[#This Row],[Notional Value Local Cur]])</f>
        <v>0</v>
      </c>
    </row>
    <row r="10921" spans="1:5" x14ac:dyDescent="0.25">
      <c r="A10921" s="36" t="b">
        <v>0</v>
      </c>
      <c r="B10921" s="56" t="b">
        <v>0</v>
      </c>
      <c r="C10921" s="56" t="b">
        <v>0</v>
      </c>
      <c r="D10921" s="56" t="b">
        <v>0</v>
      </c>
      <c r="E10921" s="56">
        <f ca="1">IF(PV[[#This Row],[Business Date]]=Control!$C$6, PV[[#This Row],[Notional Value Local Cur]], -PV[[#This Row],[Notional Value Local Cur]])</f>
        <v>0</v>
      </c>
    </row>
    <row r="10922" spans="1:5" x14ac:dyDescent="0.25">
      <c r="A10922" s="36" t="b">
        <v>0</v>
      </c>
      <c r="B10922" s="56" t="b">
        <v>0</v>
      </c>
      <c r="C10922" s="56" t="b">
        <v>0</v>
      </c>
      <c r="D10922" s="56" t="b">
        <v>0</v>
      </c>
      <c r="E10922" s="56">
        <f ca="1">IF(PV[[#This Row],[Business Date]]=Control!$C$6, PV[[#This Row],[Notional Value Local Cur]], -PV[[#This Row],[Notional Value Local Cur]])</f>
        <v>0</v>
      </c>
    </row>
    <row r="10923" spans="1:5" x14ac:dyDescent="0.25">
      <c r="A10923" s="36" t="b">
        <v>0</v>
      </c>
      <c r="B10923" s="56" t="b">
        <v>0</v>
      </c>
      <c r="C10923" s="56" t="b">
        <v>0</v>
      </c>
      <c r="D10923" s="56" t="b">
        <v>0</v>
      </c>
      <c r="E10923" s="56">
        <f ca="1">IF(PV[[#This Row],[Business Date]]=Control!$C$6, PV[[#This Row],[Notional Value Local Cur]], -PV[[#This Row],[Notional Value Local Cur]])</f>
        <v>0</v>
      </c>
    </row>
    <row r="10924" spans="1:5" x14ac:dyDescent="0.25">
      <c r="A10924" s="36" t="b">
        <v>0</v>
      </c>
      <c r="B10924" s="56" t="b">
        <v>0</v>
      </c>
      <c r="C10924" s="56" t="b">
        <v>0</v>
      </c>
      <c r="D10924" s="56" t="b">
        <v>0</v>
      </c>
      <c r="E10924" s="56">
        <f ca="1">IF(PV[[#This Row],[Business Date]]=Control!$C$6, PV[[#This Row],[Notional Value Local Cur]], -PV[[#This Row],[Notional Value Local Cur]])</f>
        <v>0</v>
      </c>
    </row>
    <row r="10925" spans="1:5" x14ac:dyDescent="0.25">
      <c r="A10925" s="36" t="b">
        <v>0</v>
      </c>
      <c r="B10925" s="56" t="b">
        <v>0</v>
      </c>
      <c r="C10925" s="56" t="b">
        <v>0</v>
      </c>
      <c r="D10925" s="56" t="b">
        <v>0</v>
      </c>
      <c r="E10925" s="56">
        <f ca="1">IF(PV[[#This Row],[Business Date]]=Control!$C$6, PV[[#This Row],[Notional Value Local Cur]], -PV[[#This Row],[Notional Value Local Cur]])</f>
        <v>0</v>
      </c>
    </row>
    <row r="10926" spans="1:5" x14ac:dyDescent="0.25">
      <c r="A10926" s="36" t="b">
        <v>0</v>
      </c>
      <c r="B10926" s="56" t="b">
        <v>0</v>
      </c>
      <c r="C10926" s="56" t="b">
        <v>0</v>
      </c>
      <c r="D10926" s="56" t="b">
        <v>0</v>
      </c>
      <c r="E10926" s="56">
        <f ca="1">IF(PV[[#This Row],[Business Date]]=Control!$C$6, PV[[#This Row],[Notional Value Local Cur]], -PV[[#This Row],[Notional Value Local Cur]])</f>
        <v>0</v>
      </c>
    </row>
    <row r="10927" spans="1:5" x14ac:dyDescent="0.25">
      <c r="A10927" s="36" t="b">
        <v>0</v>
      </c>
      <c r="B10927" s="56" t="b">
        <v>0</v>
      </c>
      <c r="C10927" s="56" t="b">
        <v>0</v>
      </c>
      <c r="D10927" s="56" t="b">
        <v>0</v>
      </c>
      <c r="E10927" s="56">
        <f ca="1">IF(PV[[#This Row],[Business Date]]=Control!$C$6, PV[[#This Row],[Notional Value Local Cur]], -PV[[#This Row],[Notional Value Local Cur]])</f>
        <v>0</v>
      </c>
    </row>
    <row r="10928" spans="1:5" x14ac:dyDescent="0.25">
      <c r="A10928" s="36" t="b">
        <v>0</v>
      </c>
      <c r="B10928" s="56" t="b">
        <v>0</v>
      </c>
      <c r="C10928" s="56" t="b">
        <v>0</v>
      </c>
      <c r="D10928" s="56" t="b">
        <v>0</v>
      </c>
      <c r="E10928" s="56">
        <f ca="1">IF(PV[[#This Row],[Business Date]]=Control!$C$6, PV[[#This Row],[Notional Value Local Cur]], -PV[[#This Row],[Notional Value Local Cur]])</f>
        <v>0</v>
      </c>
    </row>
    <row r="10929" spans="1:5" x14ac:dyDescent="0.25">
      <c r="A10929" s="36" t="b">
        <v>0</v>
      </c>
      <c r="B10929" s="56" t="b">
        <v>0</v>
      </c>
      <c r="C10929" s="56" t="b">
        <v>0</v>
      </c>
      <c r="D10929" s="56" t="b">
        <v>0</v>
      </c>
      <c r="E10929" s="56">
        <f ca="1">IF(PV[[#This Row],[Business Date]]=Control!$C$6, PV[[#This Row],[Notional Value Local Cur]], -PV[[#This Row],[Notional Value Local Cur]])</f>
        <v>0</v>
      </c>
    </row>
    <row r="10930" spans="1:5" x14ac:dyDescent="0.25">
      <c r="A10930" s="36" t="b">
        <v>0</v>
      </c>
      <c r="B10930" s="56" t="b">
        <v>0</v>
      </c>
      <c r="C10930" s="56" t="b">
        <v>0</v>
      </c>
      <c r="D10930" s="56" t="b">
        <v>0</v>
      </c>
      <c r="E10930" s="56">
        <f ca="1">IF(PV[[#This Row],[Business Date]]=Control!$C$6, PV[[#This Row],[Notional Value Local Cur]], -PV[[#This Row],[Notional Value Local Cur]])</f>
        <v>0</v>
      </c>
    </row>
    <row r="10931" spans="1:5" x14ac:dyDescent="0.25">
      <c r="A10931" s="36" t="b">
        <v>0</v>
      </c>
      <c r="B10931" s="56" t="b">
        <v>0</v>
      </c>
      <c r="C10931" s="56" t="b">
        <v>0</v>
      </c>
      <c r="D10931" s="56" t="b">
        <v>0</v>
      </c>
      <c r="E10931" s="56">
        <f ca="1">IF(PV[[#This Row],[Business Date]]=Control!$C$6, PV[[#This Row],[Notional Value Local Cur]], -PV[[#This Row],[Notional Value Local Cur]])</f>
        <v>0</v>
      </c>
    </row>
    <row r="10932" spans="1:5" x14ac:dyDescent="0.25">
      <c r="A10932" s="36" t="b">
        <v>0</v>
      </c>
      <c r="B10932" s="56" t="b">
        <v>0</v>
      </c>
      <c r="C10932" s="56" t="b">
        <v>0</v>
      </c>
      <c r="D10932" s="56" t="b">
        <v>0</v>
      </c>
      <c r="E10932" s="56">
        <f ca="1">IF(PV[[#This Row],[Business Date]]=Control!$C$6, PV[[#This Row],[Notional Value Local Cur]], -PV[[#This Row],[Notional Value Local Cur]])</f>
        <v>0</v>
      </c>
    </row>
    <row r="10933" spans="1:5" x14ac:dyDescent="0.25">
      <c r="A10933" s="36" t="b">
        <v>0</v>
      </c>
      <c r="B10933" s="56" t="b">
        <v>0</v>
      </c>
      <c r="C10933" s="56" t="b">
        <v>0</v>
      </c>
      <c r="D10933" s="56" t="b">
        <v>0</v>
      </c>
      <c r="E10933" s="56">
        <f ca="1">IF(PV[[#This Row],[Business Date]]=Control!$C$6, PV[[#This Row],[Notional Value Local Cur]], -PV[[#This Row],[Notional Value Local Cur]])</f>
        <v>0</v>
      </c>
    </row>
    <row r="10934" spans="1:5" x14ac:dyDescent="0.25">
      <c r="A10934" s="36" t="b">
        <v>0</v>
      </c>
      <c r="B10934" s="56" t="b">
        <v>0</v>
      </c>
      <c r="C10934" s="56" t="b">
        <v>0</v>
      </c>
      <c r="D10934" s="56" t="b">
        <v>0</v>
      </c>
      <c r="E10934" s="56">
        <f ca="1">IF(PV[[#This Row],[Business Date]]=Control!$C$6, PV[[#This Row],[Notional Value Local Cur]], -PV[[#This Row],[Notional Value Local Cur]])</f>
        <v>0</v>
      </c>
    </row>
    <row r="10935" spans="1:5" x14ac:dyDescent="0.25">
      <c r="A10935" s="36" t="b">
        <v>0</v>
      </c>
      <c r="B10935" s="56" t="b">
        <v>0</v>
      </c>
      <c r="C10935" s="56" t="b">
        <v>0</v>
      </c>
      <c r="D10935" s="56" t="b">
        <v>0</v>
      </c>
      <c r="E10935" s="56">
        <f ca="1">IF(PV[[#This Row],[Business Date]]=Control!$C$6, PV[[#This Row],[Notional Value Local Cur]], -PV[[#This Row],[Notional Value Local Cur]])</f>
        <v>0</v>
      </c>
    </row>
    <row r="10936" spans="1:5" x14ac:dyDescent="0.25">
      <c r="A10936" s="36" t="b">
        <v>0</v>
      </c>
      <c r="B10936" s="56" t="b">
        <v>0</v>
      </c>
      <c r="C10936" s="56" t="b">
        <v>0</v>
      </c>
      <c r="D10936" s="56" t="b">
        <v>0</v>
      </c>
      <c r="E10936" s="56">
        <f ca="1">IF(PV[[#This Row],[Business Date]]=Control!$C$6, PV[[#This Row],[Notional Value Local Cur]], -PV[[#This Row],[Notional Value Local Cur]])</f>
        <v>0</v>
      </c>
    </row>
    <row r="10937" spans="1:5" x14ac:dyDescent="0.25">
      <c r="A10937" s="36" t="b">
        <v>0</v>
      </c>
      <c r="B10937" s="56" t="b">
        <v>0</v>
      </c>
      <c r="C10937" s="56" t="b">
        <v>0</v>
      </c>
      <c r="D10937" s="56" t="b">
        <v>0</v>
      </c>
      <c r="E10937" s="56">
        <f ca="1">IF(PV[[#This Row],[Business Date]]=Control!$C$6, PV[[#This Row],[Notional Value Local Cur]], -PV[[#This Row],[Notional Value Local Cur]])</f>
        <v>0</v>
      </c>
    </row>
    <row r="10938" spans="1:5" x14ac:dyDescent="0.25">
      <c r="A10938" s="36" t="b">
        <v>0</v>
      </c>
      <c r="B10938" s="56" t="b">
        <v>0</v>
      </c>
      <c r="C10938" s="56" t="b">
        <v>0</v>
      </c>
      <c r="D10938" s="56" t="b">
        <v>0</v>
      </c>
      <c r="E10938" s="56">
        <f ca="1">IF(PV[[#This Row],[Business Date]]=Control!$C$6, PV[[#This Row],[Notional Value Local Cur]], -PV[[#This Row],[Notional Value Local Cur]])</f>
        <v>0</v>
      </c>
    </row>
    <row r="10939" spans="1:5" x14ac:dyDescent="0.25">
      <c r="A10939" s="36" t="b">
        <v>0</v>
      </c>
      <c r="B10939" s="56" t="b">
        <v>0</v>
      </c>
      <c r="C10939" s="56" t="b">
        <v>0</v>
      </c>
      <c r="D10939" s="56" t="b">
        <v>0</v>
      </c>
      <c r="E10939" s="56">
        <f ca="1">IF(PV[[#This Row],[Business Date]]=Control!$C$6, PV[[#This Row],[Notional Value Local Cur]], -PV[[#This Row],[Notional Value Local Cur]])</f>
        <v>0</v>
      </c>
    </row>
    <row r="10940" spans="1:5" x14ac:dyDescent="0.25">
      <c r="A10940" s="36" t="b">
        <v>0</v>
      </c>
      <c r="B10940" s="56" t="b">
        <v>0</v>
      </c>
      <c r="C10940" s="56" t="b">
        <v>0</v>
      </c>
      <c r="D10940" s="56" t="b">
        <v>0</v>
      </c>
      <c r="E10940" s="56">
        <f ca="1">IF(PV[[#This Row],[Business Date]]=Control!$C$6, PV[[#This Row],[Notional Value Local Cur]], -PV[[#This Row],[Notional Value Local Cur]])</f>
        <v>0</v>
      </c>
    </row>
    <row r="10941" spans="1:5" x14ac:dyDescent="0.25">
      <c r="A10941" s="36" t="b">
        <v>0</v>
      </c>
      <c r="B10941" s="56" t="b">
        <v>0</v>
      </c>
      <c r="C10941" s="56" t="b">
        <v>0</v>
      </c>
      <c r="D10941" s="56" t="b">
        <v>0</v>
      </c>
      <c r="E10941" s="56">
        <f ca="1">IF(PV[[#This Row],[Business Date]]=Control!$C$6, PV[[#This Row],[Notional Value Local Cur]], -PV[[#This Row],[Notional Value Local Cur]])</f>
        <v>0</v>
      </c>
    </row>
    <row r="10942" spans="1:5" x14ac:dyDescent="0.25">
      <c r="A10942" s="36" t="b">
        <v>0</v>
      </c>
      <c r="B10942" s="56" t="b">
        <v>0</v>
      </c>
      <c r="C10942" s="56" t="b">
        <v>0</v>
      </c>
      <c r="D10942" s="56" t="b">
        <v>0</v>
      </c>
      <c r="E10942" s="56">
        <f ca="1">IF(PV[[#This Row],[Business Date]]=Control!$C$6, PV[[#This Row],[Notional Value Local Cur]], -PV[[#This Row],[Notional Value Local Cur]])</f>
        <v>0</v>
      </c>
    </row>
    <row r="10943" spans="1:5" x14ac:dyDescent="0.25">
      <c r="A10943" s="36" t="b">
        <v>0</v>
      </c>
      <c r="B10943" s="56" t="b">
        <v>0</v>
      </c>
      <c r="C10943" s="56" t="b">
        <v>0</v>
      </c>
      <c r="D10943" s="56" t="b">
        <v>0</v>
      </c>
      <c r="E10943" s="56">
        <f ca="1">IF(PV[[#This Row],[Business Date]]=Control!$C$6, PV[[#This Row],[Notional Value Local Cur]], -PV[[#This Row],[Notional Value Local Cur]])</f>
        <v>0</v>
      </c>
    </row>
    <row r="10944" spans="1:5" x14ac:dyDescent="0.25">
      <c r="A10944" s="36" t="b">
        <v>0</v>
      </c>
      <c r="B10944" s="56" t="b">
        <v>0</v>
      </c>
      <c r="C10944" s="56" t="b">
        <v>0</v>
      </c>
      <c r="D10944" s="56" t="b">
        <v>0</v>
      </c>
      <c r="E10944" s="56">
        <f ca="1">IF(PV[[#This Row],[Business Date]]=Control!$C$6, PV[[#This Row],[Notional Value Local Cur]], -PV[[#This Row],[Notional Value Local Cur]])</f>
        <v>0</v>
      </c>
    </row>
    <row r="10945" spans="1:5" x14ac:dyDescent="0.25">
      <c r="A10945" s="36" t="b">
        <v>0</v>
      </c>
      <c r="B10945" s="56" t="b">
        <v>0</v>
      </c>
      <c r="C10945" s="56" t="b">
        <v>0</v>
      </c>
      <c r="D10945" s="56" t="b">
        <v>0</v>
      </c>
      <c r="E10945" s="56">
        <f ca="1">IF(PV[[#This Row],[Business Date]]=Control!$C$6, PV[[#This Row],[Notional Value Local Cur]], -PV[[#This Row],[Notional Value Local Cur]])</f>
        <v>0</v>
      </c>
    </row>
    <row r="10946" spans="1:5" x14ac:dyDescent="0.25">
      <c r="A10946" s="36" t="b">
        <v>0</v>
      </c>
      <c r="B10946" s="56" t="b">
        <v>0</v>
      </c>
      <c r="C10946" s="56" t="b">
        <v>0</v>
      </c>
      <c r="D10946" s="56" t="b">
        <v>0</v>
      </c>
      <c r="E10946" s="56">
        <f ca="1">IF(PV[[#This Row],[Business Date]]=Control!$C$6, PV[[#This Row],[Notional Value Local Cur]], -PV[[#This Row],[Notional Value Local Cur]])</f>
        <v>0</v>
      </c>
    </row>
    <row r="10947" spans="1:5" x14ac:dyDescent="0.25">
      <c r="A10947" s="36" t="b">
        <v>0</v>
      </c>
      <c r="B10947" s="56" t="b">
        <v>0</v>
      </c>
      <c r="C10947" s="56" t="b">
        <v>0</v>
      </c>
      <c r="D10947" s="56" t="b">
        <v>0</v>
      </c>
      <c r="E10947" s="56">
        <f ca="1">IF(PV[[#This Row],[Business Date]]=Control!$C$6, PV[[#This Row],[Notional Value Local Cur]], -PV[[#This Row],[Notional Value Local Cur]])</f>
        <v>0</v>
      </c>
    </row>
    <row r="10948" spans="1:5" x14ac:dyDescent="0.25">
      <c r="A10948" s="36" t="b">
        <v>0</v>
      </c>
      <c r="B10948" s="56" t="b">
        <v>0</v>
      </c>
      <c r="C10948" s="56" t="b">
        <v>0</v>
      </c>
      <c r="D10948" s="56" t="b">
        <v>0</v>
      </c>
      <c r="E10948" s="56">
        <f ca="1">IF(PV[[#This Row],[Business Date]]=Control!$C$6, PV[[#This Row],[Notional Value Local Cur]], -PV[[#This Row],[Notional Value Local Cur]])</f>
        <v>0</v>
      </c>
    </row>
    <row r="10949" spans="1:5" x14ac:dyDescent="0.25">
      <c r="A10949" s="36" t="b">
        <v>0</v>
      </c>
      <c r="B10949" s="56" t="b">
        <v>0</v>
      </c>
      <c r="C10949" s="56" t="b">
        <v>0</v>
      </c>
      <c r="D10949" s="56" t="b">
        <v>0</v>
      </c>
      <c r="E10949" s="56">
        <f ca="1">IF(PV[[#This Row],[Business Date]]=Control!$C$6, PV[[#This Row],[Notional Value Local Cur]], -PV[[#This Row],[Notional Value Local Cur]])</f>
        <v>0</v>
      </c>
    </row>
    <row r="10950" spans="1:5" x14ac:dyDescent="0.25">
      <c r="A10950" s="36" t="b">
        <v>0</v>
      </c>
      <c r="B10950" s="56" t="b">
        <v>0</v>
      </c>
      <c r="C10950" s="56" t="b">
        <v>0</v>
      </c>
      <c r="D10950" s="56" t="b">
        <v>0</v>
      </c>
      <c r="E10950" s="56">
        <f ca="1">IF(PV[[#This Row],[Business Date]]=Control!$C$6, PV[[#This Row],[Notional Value Local Cur]], -PV[[#This Row],[Notional Value Local Cur]])</f>
        <v>0</v>
      </c>
    </row>
    <row r="10951" spans="1:5" x14ac:dyDescent="0.25">
      <c r="A10951" s="36" t="b">
        <v>0</v>
      </c>
      <c r="B10951" s="56" t="b">
        <v>0</v>
      </c>
      <c r="C10951" s="56" t="b">
        <v>0</v>
      </c>
      <c r="D10951" s="56" t="b">
        <v>0</v>
      </c>
      <c r="E10951" s="56">
        <f ca="1">IF(PV[[#This Row],[Business Date]]=Control!$C$6, PV[[#This Row],[Notional Value Local Cur]], -PV[[#This Row],[Notional Value Local Cur]])</f>
        <v>0</v>
      </c>
    </row>
    <row r="10952" spans="1:5" x14ac:dyDescent="0.25">
      <c r="A10952" s="36" t="b">
        <v>0</v>
      </c>
      <c r="B10952" s="56" t="b">
        <v>0</v>
      </c>
      <c r="C10952" s="56" t="b">
        <v>0</v>
      </c>
      <c r="D10952" s="56" t="b">
        <v>0</v>
      </c>
      <c r="E10952" s="56">
        <f ca="1">IF(PV[[#This Row],[Business Date]]=Control!$C$6, PV[[#This Row],[Notional Value Local Cur]], -PV[[#This Row],[Notional Value Local Cur]])</f>
        <v>0</v>
      </c>
    </row>
    <row r="10953" spans="1:5" x14ac:dyDescent="0.25">
      <c r="A10953" s="36" t="b">
        <v>0</v>
      </c>
      <c r="B10953" s="56" t="b">
        <v>0</v>
      </c>
      <c r="C10953" s="56" t="b">
        <v>0</v>
      </c>
      <c r="D10953" s="56" t="b">
        <v>0</v>
      </c>
      <c r="E10953" s="56">
        <f ca="1">IF(PV[[#This Row],[Business Date]]=Control!$C$6, PV[[#This Row],[Notional Value Local Cur]], -PV[[#This Row],[Notional Value Local Cur]])</f>
        <v>0</v>
      </c>
    </row>
    <row r="10954" spans="1:5" x14ac:dyDescent="0.25">
      <c r="A10954" s="36" t="b">
        <v>0</v>
      </c>
      <c r="B10954" s="56" t="b">
        <v>0</v>
      </c>
      <c r="C10954" s="56" t="b">
        <v>0</v>
      </c>
      <c r="D10954" s="56" t="b">
        <v>0</v>
      </c>
      <c r="E10954" s="56">
        <f ca="1">IF(PV[[#This Row],[Business Date]]=Control!$C$6, PV[[#This Row],[Notional Value Local Cur]], -PV[[#This Row],[Notional Value Local Cur]])</f>
        <v>0</v>
      </c>
    </row>
    <row r="10955" spans="1:5" x14ac:dyDescent="0.25">
      <c r="A10955" s="36" t="b">
        <v>0</v>
      </c>
      <c r="B10955" s="56" t="b">
        <v>0</v>
      </c>
      <c r="C10955" s="56" t="b">
        <v>0</v>
      </c>
      <c r="D10955" s="56" t="b">
        <v>0</v>
      </c>
      <c r="E10955" s="56">
        <f ca="1">IF(PV[[#This Row],[Business Date]]=Control!$C$6, PV[[#This Row],[Notional Value Local Cur]], -PV[[#This Row],[Notional Value Local Cur]])</f>
        <v>0</v>
      </c>
    </row>
    <row r="10956" spans="1:5" x14ac:dyDescent="0.25">
      <c r="A10956" s="36" t="b">
        <v>0</v>
      </c>
      <c r="B10956" s="56" t="b">
        <v>0</v>
      </c>
      <c r="C10956" s="56" t="b">
        <v>0</v>
      </c>
      <c r="D10956" s="56" t="b">
        <v>0</v>
      </c>
      <c r="E10956" s="56">
        <f ca="1">IF(PV[[#This Row],[Business Date]]=Control!$C$6, PV[[#This Row],[Notional Value Local Cur]], -PV[[#This Row],[Notional Value Local Cur]])</f>
        <v>0</v>
      </c>
    </row>
    <row r="10957" spans="1:5" x14ac:dyDescent="0.25">
      <c r="A10957" s="36" t="b">
        <v>0</v>
      </c>
      <c r="B10957" s="56" t="b">
        <v>0</v>
      </c>
      <c r="C10957" s="56" t="b">
        <v>0</v>
      </c>
      <c r="D10957" s="56" t="b">
        <v>0</v>
      </c>
      <c r="E10957" s="56">
        <f ca="1">IF(PV[[#This Row],[Business Date]]=Control!$C$6, PV[[#This Row],[Notional Value Local Cur]], -PV[[#This Row],[Notional Value Local Cur]])</f>
        <v>0</v>
      </c>
    </row>
    <row r="10958" spans="1:5" x14ac:dyDescent="0.25">
      <c r="A10958" s="36" t="b">
        <v>0</v>
      </c>
      <c r="B10958" s="56" t="b">
        <v>0</v>
      </c>
      <c r="C10958" s="56" t="b">
        <v>0</v>
      </c>
      <c r="D10958" s="56" t="b">
        <v>0</v>
      </c>
      <c r="E10958" s="56">
        <f ca="1">IF(PV[[#This Row],[Business Date]]=Control!$C$6, PV[[#This Row],[Notional Value Local Cur]], -PV[[#This Row],[Notional Value Local Cur]])</f>
        <v>0</v>
      </c>
    </row>
    <row r="10959" spans="1:5" x14ac:dyDescent="0.25">
      <c r="A10959" s="36" t="b">
        <v>0</v>
      </c>
      <c r="B10959" s="56" t="b">
        <v>0</v>
      </c>
      <c r="C10959" s="56" t="b">
        <v>0</v>
      </c>
      <c r="D10959" s="56" t="b">
        <v>0</v>
      </c>
      <c r="E10959" s="56">
        <f ca="1">IF(PV[[#This Row],[Business Date]]=Control!$C$6, PV[[#This Row],[Notional Value Local Cur]], -PV[[#This Row],[Notional Value Local Cur]])</f>
        <v>0</v>
      </c>
    </row>
    <row r="10960" spans="1:5" x14ac:dyDescent="0.25">
      <c r="A10960" s="36" t="b">
        <v>0</v>
      </c>
      <c r="B10960" s="56" t="b">
        <v>0</v>
      </c>
      <c r="C10960" s="56" t="b">
        <v>0</v>
      </c>
      <c r="D10960" s="56" t="b">
        <v>0</v>
      </c>
      <c r="E10960" s="56">
        <f ca="1">IF(PV[[#This Row],[Business Date]]=Control!$C$6, PV[[#This Row],[Notional Value Local Cur]], -PV[[#This Row],[Notional Value Local Cur]])</f>
        <v>0</v>
      </c>
    </row>
    <row r="10961" spans="1:5" x14ac:dyDescent="0.25">
      <c r="A10961" s="36" t="b">
        <v>0</v>
      </c>
      <c r="B10961" s="56" t="b">
        <v>0</v>
      </c>
      <c r="C10961" s="56" t="b">
        <v>0</v>
      </c>
      <c r="D10961" s="56" t="b">
        <v>0</v>
      </c>
      <c r="E10961" s="56">
        <f ca="1">IF(PV[[#This Row],[Business Date]]=Control!$C$6, PV[[#This Row],[Notional Value Local Cur]], -PV[[#This Row],[Notional Value Local Cur]])</f>
        <v>0</v>
      </c>
    </row>
    <row r="10962" spans="1:5" x14ac:dyDescent="0.25">
      <c r="A10962" s="36" t="b">
        <v>0</v>
      </c>
      <c r="B10962" s="56" t="b">
        <v>0</v>
      </c>
      <c r="C10962" s="56" t="b">
        <v>0</v>
      </c>
      <c r="D10962" s="56" t="b">
        <v>0</v>
      </c>
      <c r="E10962" s="56">
        <f ca="1">IF(PV[[#This Row],[Business Date]]=Control!$C$6, PV[[#This Row],[Notional Value Local Cur]], -PV[[#This Row],[Notional Value Local Cur]])</f>
        <v>0</v>
      </c>
    </row>
    <row r="10963" spans="1:5" x14ac:dyDescent="0.25">
      <c r="A10963" s="36" t="b">
        <v>0</v>
      </c>
      <c r="B10963" s="56" t="b">
        <v>0</v>
      </c>
      <c r="C10963" s="56" t="b">
        <v>0</v>
      </c>
      <c r="D10963" s="56" t="b">
        <v>0</v>
      </c>
      <c r="E10963" s="56">
        <f ca="1">IF(PV[[#This Row],[Business Date]]=Control!$C$6, PV[[#This Row],[Notional Value Local Cur]], -PV[[#This Row],[Notional Value Local Cur]])</f>
        <v>0</v>
      </c>
    </row>
    <row r="10964" spans="1:5" x14ac:dyDescent="0.25">
      <c r="A10964" s="36" t="b">
        <v>0</v>
      </c>
      <c r="B10964" s="56" t="b">
        <v>0</v>
      </c>
      <c r="C10964" s="56" t="b">
        <v>0</v>
      </c>
      <c r="D10964" s="56" t="b">
        <v>0</v>
      </c>
      <c r="E10964" s="56">
        <f ca="1">IF(PV[[#This Row],[Business Date]]=Control!$C$6, PV[[#This Row],[Notional Value Local Cur]], -PV[[#This Row],[Notional Value Local Cur]])</f>
        <v>0</v>
      </c>
    </row>
    <row r="10965" spans="1:5" x14ac:dyDescent="0.25">
      <c r="A10965" s="36" t="b">
        <v>0</v>
      </c>
      <c r="B10965" s="56" t="b">
        <v>0</v>
      </c>
      <c r="C10965" s="56" t="b">
        <v>0</v>
      </c>
      <c r="D10965" s="56" t="b">
        <v>0</v>
      </c>
      <c r="E10965" s="56">
        <f ca="1">IF(PV[[#This Row],[Business Date]]=Control!$C$6, PV[[#This Row],[Notional Value Local Cur]], -PV[[#This Row],[Notional Value Local Cur]])</f>
        <v>0</v>
      </c>
    </row>
    <row r="10966" spans="1:5" x14ac:dyDescent="0.25">
      <c r="A10966" s="36" t="b">
        <v>0</v>
      </c>
      <c r="B10966" s="56" t="b">
        <v>0</v>
      </c>
      <c r="C10966" s="56" t="b">
        <v>0</v>
      </c>
      <c r="D10966" s="56" t="b">
        <v>0</v>
      </c>
      <c r="E10966" s="56">
        <f ca="1">IF(PV[[#This Row],[Business Date]]=Control!$C$6, PV[[#This Row],[Notional Value Local Cur]], -PV[[#This Row],[Notional Value Local Cur]])</f>
        <v>0</v>
      </c>
    </row>
    <row r="10967" spans="1:5" x14ac:dyDescent="0.25">
      <c r="A10967" s="36" t="b">
        <v>0</v>
      </c>
      <c r="B10967" s="56" t="b">
        <v>0</v>
      </c>
      <c r="C10967" s="56" t="b">
        <v>0</v>
      </c>
      <c r="D10967" s="56" t="b">
        <v>0</v>
      </c>
      <c r="E10967" s="56">
        <f ca="1">IF(PV[[#This Row],[Business Date]]=Control!$C$6, PV[[#This Row],[Notional Value Local Cur]], -PV[[#This Row],[Notional Value Local Cur]])</f>
        <v>0</v>
      </c>
    </row>
    <row r="10968" spans="1:5" x14ac:dyDescent="0.25">
      <c r="A10968" s="36" t="b">
        <v>0</v>
      </c>
      <c r="B10968" s="56" t="b">
        <v>0</v>
      </c>
      <c r="C10968" s="56" t="b">
        <v>0</v>
      </c>
      <c r="D10968" s="56" t="b">
        <v>0</v>
      </c>
      <c r="E10968" s="56">
        <f ca="1">IF(PV[[#This Row],[Business Date]]=Control!$C$6, PV[[#This Row],[Notional Value Local Cur]], -PV[[#This Row],[Notional Value Local Cur]])</f>
        <v>0</v>
      </c>
    </row>
    <row r="10969" spans="1:5" x14ac:dyDescent="0.25">
      <c r="A10969" s="36" t="b">
        <v>0</v>
      </c>
      <c r="B10969" s="56" t="b">
        <v>0</v>
      </c>
      <c r="C10969" s="56" t="b">
        <v>0</v>
      </c>
      <c r="D10969" s="56" t="b">
        <v>0</v>
      </c>
      <c r="E10969" s="56">
        <f ca="1">IF(PV[[#This Row],[Business Date]]=Control!$C$6, PV[[#This Row],[Notional Value Local Cur]], -PV[[#This Row],[Notional Value Local Cur]])</f>
        <v>0</v>
      </c>
    </row>
    <row r="10970" spans="1:5" x14ac:dyDescent="0.25">
      <c r="A10970" s="36" t="b">
        <v>0</v>
      </c>
      <c r="B10970" s="56" t="b">
        <v>0</v>
      </c>
      <c r="C10970" s="56" t="b">
        <v>0</v>
      </c>
      <c r="D10970" s="56" t="b">
        <v>0</v>
      </c>
      <c r="E10970" s="56">
        <f ca="1">IF(PV[[#This Row],[Business Date]]=Control!$C$6, PV[[#This Row],[Notional Value Local Cur]], -PV[[#This Row],[Notional Value Local Cur]])</f>
        <v>0</v>
      </c>
    </row>
    <row r="10971" spans="1:5" x14ac:dyDescent="0.25">
      <c r="A10971" s="36" t="b">
        <v>0</v>
      </c>
      <c r="B10971" s="56" t="b">
        <v>0</v>
      </c>
      <c r="C10971" s="56" t="b">
        <v>0</v>
      </c>
      <c r="D10971" s="56" t="b">
        <v>0</v>
      </c>
      <c r="E10971" s="56">
        <f ca="1">IF(PV[[#This Row],[Business Date]]=Control!$C$6, PV[[#This Row],[Notional Value Local Cur]], -PV[[#This Row],[Notional Value Local Cur]])</f>
        <v>0</v>
      </c>
    </row>
    <row r="10972" spans="1:5" x14ac:dyDescent="0.25">
      <c r="A10972" s="36" t="b">
        <v>0</v>
      </c>
      <c r="B10972" s="56" t="b">
        <v>0</v>
      </c>
      <c r="C10972" s="56" t="b">
        <v>0</v>
      </c>
      <c r="D10972" s="56" t="b">
        <v>0</v>
      </c>
      <c r="E10972" s="56">
        <f ca="1">IF(PV[[#This Row],[Business Date]]=Control!$C$6, PV[[#This Row],[Notional Value Local Cur]], -PV[[#This Row],[Notional Value Local Cur]])</f>
        <v>0</v>
      </c>
    </row>
    <row r="10973" spans="1:5" x14ac:dyDescent="0.25">
      <c r="A10973" s="36" t="b">
        <v>0</v>
      </c>
      <c r="B10973" s="56" t="b">
        <v>0</v>
      </c>
      <c r="C10973" s="56" t="b">
        <v>0</v>
      </c>
      <c r="D10973" s="56" t="b">
        <v>0</v>
      </c>
      <c r="E10973" s="56">
        <f ca="1">IF(PV[[#This Row],[Business Date]]=Control!$C$6, PV[[#This Row],[Notional Value Local Cur]], -PV[[#This Row],[Notional Value Local Cur]])</f>
        <v>0</v>
      </c>
    </row>
    <row r="10974" spans="1:5" x14ac:dyDescent="0.25">
      <c r="A10974" s="36" t="b">
        <v>0</v>
      </c>
      <c r="B10974" s="56" t="b">
        <v>0</v>
      </c>
      <c r="C10974" s="56" t="b">
        <v>0</v>
      </c>
      <c r="D10974" s="56" t="b">
        <v>0</v>
      </c>
      <c r="E10974" s="56">
        <f ca="1">IF(PV[[#This Row],[Business Date]]=Control!$C$6, PV[[#This Row],[Notional Value Local Cur]], -PV[[#This Row],[Notional Value Local Cur]])</f>
        <v>0</v>
      </c>
    </row>
    <row r="10975" spans="1:5" x14ac:dyDescent="0.25">
      <c r="A10975" s="36" t="b">
        <v>0</v>
      </c>
      <c r="B10975" s="56" t="b">
        <v>0</v>
      </c>
      <c r="C10975" s="56" t="b">
        <v>0</v>
      </c>
      <c r="D10975" s="56" t="b">
        <v>0</v>
      </c>
      <c r="E10975" s="56">
        <f ca="1">IF(PV[[#This Row],[Business Date]]=Control!$C$6, PV[[#This Row],[Notional Value Local Cur]], -PV[[#This Row],[Notional Value Local Cur]])</f>
        <v>0</v>
      </c>
    </row>
    <row r="10976" spans="1:5" x14ac:dyDescent="0.25">
      <c r="A10976" s="36" t="b">
        <v>0</v>
      </c>
      <c r="B10976" s="56" t="b">
        <v>0</v>
      </c>
      <c r="C10976" s="56" t="b">
        <v>0</v>
      </c>
      <c r="D10976" s="56" t="b">
        <v>0</v>
      </c>
      <c r="E10976" s="56">
        <f ca="1">IF(PV[[#This Row],[Business Date]]=Control!$C$6, PV[[#This Row],[Notional Value Local Cur]], -PV[[#This Row],[Notional Value Local Cur]])</f>
        <v>0</v>
      </c>
    </row>
    <row r="10977" spans="1:5" x14ac:dyDescent="0.25">
      <c r="A10977" s="36" t="b">
        <v>0</v>
      </c>
      <c r="B10977" s="56" t="b">
        <v>0</v>
      </c>
      <c r="C10977" s="56" t="b">
        <v>0</v>
      </c>
      <c r="D10977" s="56" t="b">
        <v>0</v>
      </c>
      <c r="E10977" s="56">
        <f ca="1">IF(PV[[#This Row],[Business Date]]=Control!$C$6, PV[[#This Row],[Notional Value Local Cur]], -PV[[#This Row],[Notional Value Local Cur]])</f>
        <v>0</v>
      </c>
    </row>
    <row r="10978" spans="1:5" x14ac:dyDescent="0.25">
      <c r="A10978" s="36" t="b">
        <v>0</v>
      </c>
      <c r="B10978" s="56" t="b">
        <v>0</v>
      </c>
      <c r="C10978" s="56" t="b">
        <v>0</v>
      </c>
      <c r="D10978" s="56" t="b">
        <v>0</v>
      </c>
      <c r="E10978" s="56">
        <f ca="1">IF(PV[[#This Row],[Business Date]]=Control!$C$6, PV[[#This Row],[Notional Value Local Cur]], -PV[[#This Row],[Notional Value Local Cur]])</f>
        <v>0</v>
      </c>
    </row>
    <row r="10979" spans="1:5" x14ac:dyDescent="0.25">
      <c r="A10979" s="36" t="b">
        <v>0</v>
      </c>
      <c r="B10979" s="56" t="b">
        <v>0</v>
      </c>
      <c r="C10979" s="56" t="b">
        <v>0</v>
      </c>
      <c r="D10979" s="56" t="b">
        <v>0</v>
      </c>
      <c r="E10979" s="56">
        <f ca="1">IF(PV[[#This Row],[Business Date]]=Control!$C$6, PV[[#This Row],[Notional Value Local Cur]], -PV[[#This Row],[Notional Value Local Cur]])</f>
        <v>0</v>
      </c>
    </row>
    <row r="10980" spans="1:5" x14ac:dyDescent="0.25">
      <c r="A10980" s="36" t="b">
        <v>0</v>
      </c>
      <c r="B10980" s="56" t="b">
        <v>0</v>
      </c>
      <c r="C10980" s="56" t="b">
        <v>0</v>
      </c>
      <c r="D10980" s="56" t="b">
        <v>0</v>
      </c>
      <c r="E10980" s="56">
        <f ca="1">IF(PV[[#This Row],[Business Date]]=Control!$C$6, PV[[#This Row],[Notional Value Local Cur]], -PV[[#This Row],[Notional Value Local Cur]])</f>
        <v>0</v>
      </c>
    </row>
    <row r="10981" spans="1:5" x14ac:dyDescent="0.25">
      <c r="A10981" s="36" t="b">
        <v>0</v>
      </c>
      <c r="B10981" s="56" t="b">
        <v>0</v>
      </c>
      <c r="C10981" s="56" t="b">
        <v>0</v>
      </c>
      <c r="D10981" s="56" t="b">
        <v>0</v>
      </c>
      <c r="E10981" s="56">
        <f ca="1">IF(PV[[#This Row],[Business Date]]=Control!$C$6, PV[[#This Row],[Notional Value Local Cur]], -PV[[#This Row],[Notional Value Local Cur]])</f>
        <v>0</v>
      </c>
    </row>
    <row r="10982" spans="1:5" x14ac:dyDescent="0.25">
      <c r="A10982" s="36" t="b">
        <v>0</v>
      </c>
      <c r="B10982" s="56" t="b">
        <v>0</v>
      </c>
      <c r="C10982" s="56" t="b">
        <v>0</v>
      </c>
      <c r="D10982" s="56" t="b">
        <v>0</v>
      </c>
      <c r="E10982" s="56">
        <f ca="1">IF(PV[[#This Row],[Business Date]]=Control!$C$6, PV[[#This Row],[Notional Value Local Cur]], -PV[[#This Row],[Notional Value Local Cur]])</f>
        <v>0</v>
      </c>
    </row>
    <row r="10983" spans="1:5" x14ac:dyDescent="0.25">
      <c r="A10983" s="36" t="b">
        <v>0</v>
      </c>
      <c r="B10983" s="56" t="b">
        <v>0</v>
      </c>
      <c r="C10983" s="56" t="b">
        <v>0</v>
      </c>
      <c r="D10983" s="56" t="b">
        <v>0</v>
      </c>
      <c r="E10983" s="56">
        <f ca="1">IF(PV[[#This Row],[Business Date]]=Control!$C$6, PV[[#This Row],[Notional Value Local Cur]], -PV[[#This Row],[Notional Value Local Cur]])</f>
        <v>0</v>
      </c>
    </row>
    <row r="10984" spans="1:5" x14ac:dyDescent="0.25">
      <c r="A10984" s="36" t="b">
        <v>0</v>
      </c>
      <c r="B10984" s="56" t="b">
        <v>0</v>
      </c>
      <c r="C10984" s="56" t="b">
        <v>0</v>
      </c>
      <c r="D10984" s="56" t="b">
        <v>0</v>
      </c>
      <c r="E10984" s="56">
        <f ca="1">IF(PV[[#This Row],[Business Date]]=Control!$C$6, PV[[#This Row],[Notional Value Local Cur]], -PV[[#This Row],[Notional Value Local Cur]])</f>
        <v>0</v>
      </c>
    </row>
    <row r="10985" spans="1:5" x14ac:dyDescent="0.25">
      <c r="A10985" s="36" t="b">
        <v>0</v>
      </c>
      <c r="B10985" s="56" t="b">
        <v>0</v>
      </c>
      <c r="C10985" s="56" t="b">
        <v>0</v>
      </c>
      <c r="D10985" s="56" t="b">
        <v>0</v>
      </c>
      <c r="E10985" s="56">
        <f ca="1">IF(PV[[#This Row],[Business Date]]=Control!$C$6, PV[[#This Row],[Notional Value Local Cur]], -PV[[#This Row],[Notional Value Local Cur]])</f>
        <v>0</v>
      </c>
    </row>
    <row r="10986" spans="1:5" x14ac:dyDescent="0.25">
      <c r="A10986" s="36" t="b">
        <v>0</v>
      </c>
      <c r="B10986" s="56" t="b">
        <v>0</v>
      </c>
      <c r="C10986" s="56" t="b">
        <v>0</v>
      </c>
      <c r="D10986" s="56" t="b">
        <v>0</v>
      </c>
      <c r="E10986" s="56">
        <f ca="1">IF(PV[[#This Row],[Business Date]]=Control!$C$6, PV[[#This Row],[Notional Value Local Cur]], -PV[[#This Row],[Notional Value Local Cur]])</f>
        <v>0</v>
      </c>
    </row>
    <row r="10987" spans="1:5" x14ac:dyDescent="0.25">
      <c r="A10987" s="36" t="b">
        <v>0</v>
      </c>
      <c r="B10987" s="56" t="b">
        <v>0</v>
      </c>
      <c r="C10987" s="56" t="b">
        <v>0</v>
      </c>
      <c r="D10987" s="56" t="b">
        <v>0</v>
      </c>
      <c r="E10987" s="56">
        <f ca="1">IF(PV[[#This Row],[Business Date]]=Control!$C$6, PV[[#This Row],[Notional Value Local Cur]], -PV[[#This Row],[Notional Value Local Cur]])</f>
        <v>0</v>
      </c>
    </row>
    <row r="10988" spans="1:5" x14ac:dyDescent="0.25">
      <c r="A10988" s="36" t="b">
        <v>0</v>
      </c>
      <c r="B10988" s="56" t="b">
        <v>0</v>
      </c>
      <c r="C10988" s="56" t="b">
        <v>0</v>
      </c>
      <c r="D10988" s="56" t="b">
        <v>0</v>
      </c>
      <c r="E10988" s="56">
        <f ca="1">IF(PV[[#This Row],[Business Date]]=Control!$C$6, PV[[#This Row],[Notional Value Local Cur]], -PV[[#This Row],[Notional Value Local Cur]])</f>
        <v>0</v>
      </c>
    </row>
    <row r="10989" spans="1:5" x14ac:dyDescent="0.25">
      <c r="A10989" s="36" t="b">
        <v>0</v>
      </c>
      <c r="B10989" s="56" t="b">
        <v>0</v>
      </c>
      <c r="C10989" s="56" t="b">
        <v>0</v>
      </c>
      <c r="D10989" s="56" t="b">
        <v>0</v>
      </c>
      <c r="E10989" s="56">
        <f ca="1">IF(PV[[#This Row],[Business Date]]=Control!$C$6, PV[[#This Row],[Notional Value Local Cur]], -PV[[#This Row],[Notional Value Local Cur]])</f>
        <v>0</v>
      </c>
    </row>
    <row r="10990" spans="1:5" x14ac:dyDescent="0.25">
      <c r="A10990" s="36" t="b">
        <v>0</v>
      </c>
      <c r="B10990" s="56" t="b">
        <v>0</v>
      </c>
      <c r="C10990" s="56" t="b">
        <v>0</v>
      </c>
      <c r="D10990" s="56" t="b">
        <v>0</v>
      </c>
      <c r="E10990" s="56">
        <f ca="1">IF(PV[[#This Row],[Business Date]]=Control!$C$6, PV[[#This Row],[Notional Value Local Cur]], -PV[[#This Row],[Notional Value Local Cur]])</f>
        <v>0</v>
      </c>
    </row>
    <row r="10991" spans="1:5" x14ac:dyDescent="0.25">
      <c r="A10991" s="36" t="b">
        <v>0</v>
      </c>
      <c r="B10991" s="56" t="b">
        <v>0</v>
      </c>
      <c r="C10991" s="56" t="b">
        <v>0</v>
      </c>
      <c r="D10991" s="56" t="b">
        <v>0</v>
      </c>
      <c r="E10991" s="56">
        <f ca="1">IF(PV[[#This Row],[Business Date]]=Control!$C$6, PV[[#This Row],[Notional Value Local Cur]], -PV[[#This Row],[Notional Value Local Cur]])</f>
        <v>0</v>
      </c>
    </row>
    <row r="10992" spans="1:5" x14ac:dyDescent="0.25">
      <c r="A10992" s="36" t="b">
        <v>0</v>
      </c>
      <c r="B10992" s="56" t="b">
        <v>0</v>
      </c>
      <c r="C10992" s="56" t="b">
        <v>0</v>
      </c>
      <c r="D10992" s="56" t="b">
        <v>0</v>
      </c>
      <c r="E10992" s="56">
        <f ca="1">IF(PV[[#This Row],[Business Date]]=Control!$C$6, PV[[#This Row],[Notional Value Local Cur]], -PV[[#This Row],[Notional Value Local Cur]])</f>
        <v>0</v>
      </c>
    </row>
    <row r="10993" spans="1:5" x14ac:dyDescent="0.25">
      <c r="A10993" s="36" t="b">
        <v>0</v>
      </c>
      <c r="B10993" s="56" t="b">
        <v>0</v>
      </c>
      <c r="C10993" s="56" t="b">
        <v>0</v>
      </c>
      <c r="D10993" s="56" t="b">
        <v>0</v>
      </c>
      <c r="E10993" s="56">
        <f ca="1">IF(PV[[#This Row],[Business Date]]=Control!$C$6, PV[[#This Row],[Notional Value Local Cur]], -PV[[#This Row],[Notional Value Local Cur]])</f>
        <v>0</v>
      </c>
    </row>
    <row r="10994" spans="1:5" x14ac:dyDescent="0.25">
      <c r="A10994" s="36" t="b">
        <v>0</v>
      </c>
      <c r="B10994" s="56" t="b">
        <v>0</v>
      </c>
      <c r="C10994" s="56" t="b">
        <v>0</v>
      </c>
      <c r="D10994" s="56" t="b">
        <v>0</v>
      </c>
      <c r="E10994" s="56">
        <f ca="1">IF(PV[[#This Row],[Business Date]]=Control!$C$6, PV[[#This Row],[Notional Value Local Cur]], -PV[[#This Row],[Notional Value Local Cur]])</f>
        <v>0</v>
      </c>
    </row>
    <row r="10995" spans="1:5" x14ac:dyDescent="0.25">
      <c r="A10995" s="36" t="b">
        <v>0</v>
      </c>
      <c r="B10995" s="56" t="b">
        <v>0</v>
      </c>
      <c r="C10995" s="56" t="b">
        <v>0</v>
      </c>
      <c r="D10995" s="56" t="b">
        <v>0</v>
      </c>
      <c r="E10995" s="56">
        <f ca="1">IF(PV[[#This Row],[Business Date]]=Control!$C$6, PV[[#This Row],[Notional Value Local Cur]], -PV[[#This Row],[Notional Value Local Cur]])</f>
        <v>0</v>
      </c>
    </row>
    <row r="10996" spans="1:5" x14ac:dyDescent="0.25">
      <c r="A10996" s="36" t="b">
        <v>0</v>
      </c>
      <c r="B10996" s="56" t="b">
        <v>0</v>
      </c>
      <c r="C10996" s="56" t="b">
        <v>0</v>
      </c>
      <c r="D10996" s="56" t="b">
        <v>0</v>
      </c>
      <c r="E10996" s="56">
        <f ca="1">IF(PV[[#This Row],[Business Date]]=Control!$C$6, PV[[#This Row],[Notional Value Local Cur]], -PV[[#This Row],[Notional Value Local Cur]])</f>
        <v>0</v>
      </c>
    </row>
    <row r="10997" spans="1:5" x14ac:dyDescent="0.25">
      <c r="A10997" s="36" t="b">
        <v>0</v>
      </c>
      <c r="B10997" s="56" t="b">
        <v>0</v>
      </c>
      <c r="C10997" s="56" t="b">
        <v>0</v>
      </c>
      <c r="D10997" s="56" t="b">
        <v>0</v>
      </c>
      <c r="E10997" s="56">
        <f ca="1">IF(PV[[#This Row],[Business Date]]=Control!$C$6, PV[[#This Row],[Notional Value Local Cur]], -PV[[#This Row],[Notional Value Local Cur]])</f>
        <v>0</v>
      </c>
    </row>
    <row r="10998" spans="1:5" x14ac:dyDescent="0.25">
      <c r="A10998" s="36" t="b">
        <v>0</v>
      </c>
      <c r="B10998" s="56" t="b">
        <v>0</v>
      </c>
      <c r="C10998" s="56" t="b">
        <v>0</v>
      </c>
      <c r="D10998" s="56" t="b">
        <v>0</v>
      </c>
      <c r="E10998" s="56">
        <f ca="1">IF(PV[[#This Row],[Business Date]]=Control!$C$6, PV[[#This Row],[Notional Value Local Cur]], -PV[[#This Row],[Notional Value Local Cur]])</f>
        <v>0</v>
      </c>
    </row>
    <row r="10999" spans="1:5" x14ac:dyDescent="0.25">
      <c r="A10999" s="36" t="b">
        <v>0</v>
      </c>
      <c r="B10999" s="56" t="b">
        <v>0</v>
      </c>
      <c r="C10999" s="56" t="b">
        <v>0</v>
      </c>
      <c r="D10999" s="56" t="b">
        <v>0</v>
      </c>
      <c r="E10999" s="56">
        <f ca="1">IF(PV[[#This Row],[Business Date]]=Control!$C$6, PV[[#This Row],[Notional Value Local Cur]], -PV[[#This Row],[Notional Value Local Cur]])</f>
        <v>0</v>
      </c>
    </row>
    <row r="11000" spans="1:5" x14ac:dyDescent="0.25">
      <c r="A11000" s="36" t="b">
        <v>0</v>
      </c>
      <c r="B11000" s="56" t="b">
        <v>0</v>
      </c>
      <c r="C11000" s="56" t="b">
        <v>0</v>
      </c>
      <c r="D11000" s="56" t="b">
        <v>0</v>
      </c>
      <c r="E11000" s="56">
        <f ca="1">IF(PV[[#This Row],[Business Date]]=Control!$C$6, PV[[#This Row],[Notional Value Local Cur]], -PV[[#This Row],[Notional Value Local Cur]])</f>
        <v>0</v>
      </c>
    </row>
    <row r="11001" spans="1:5" x14ac:dyDescent="0.25">
      <c r="A11001" s="36" t="b">
        <v>0</v>
      </c>
      <c r="B11001" s="56" t="b">
        <v>0</v>
      </c>
      <c r="C11001" s="56" t="b">
        <v>0</v>
      </c>
      <c r="D11001" s="56" t="b">
        <v>0</v>
      </c>
      <c r="E11001" s="56">
        <f ca="1">IF(PV[[#This Row],[Business Date]]=Control!$C$6, PV[[#This Row],[Notional Value Local Cur]], -PV[[#This Row],[Notional Value Local Cur]])</f>
        <v>0</v>
      </c>
    </row>
    <row r="11002" spans="1:5" x14ac:dyDescent="0.25">
      <c r="A11002" s="36" t="b">
        <v>0</v>
      </c>
      <c r="B11002" s="56" t="b">
        <v>0</v>
      </c>
      <c r="C11002" s="56" t="b">
        <v>0</v>
      </c>
      <c r="D11002" s="56" t="b">
        <v>0</v>
      </c>
      <c r="E11002" s="56">
        <f ca="1">IF(PV[[#This Row],[Business Date]]=Control!$C$6, PV[[#This Row],[Notional Value Local Cur]], -PV[[#This Row],[Notional Value Local Cur]])</f>
        <v>0</v>
      </c>
    </row>
    <row r="11003" spans="1:5" x14ac:dyDescent="0.25">
      <c r="A11003" s="36" t="b">
        <v>0</v>
      </c>
      <c r="B11003" s="56" t="b">
        <v>0</v>
      </c>
      <c r="C11003" s="56" t="b">
        <v>0</v>
      </c>
      <c r="D11003" s="56" t="b">
        <v>0</v>
      </c>
      <c r="E11003" s="56">
        <f ca="1">IF(PV[[#This Row],[Business Date]]=Control!$C$6, PV[[#This Row],[Notional Value Local Cur]], -PV[[#This Row],[Notional Value Local Cur]])</f>
        <v>0</v>
      </c>
    </row>
    <row r="11004" spans="1:5" x14ac:dyDescent="0.25">
      <c r="A11004" s="36" t="b">
        <v>0</v>
      </c>
      <c r="B11004" s="56" t="b">
        <v>0</v>
      </c>
      <c r="C11004" s="56" t="b">
        <v>0</v>
      </c>
      <c r="D11004" s="56" t="b">
        <v>0</v>
      </c>
      <c r="E11004" s="56">
        <f ca="1">IF(PV[[#This Row],[Business Date]]=Control!$C$6, PV[[#This Row],[Notional Value Local Cur]], -PV[[#This Row],[Notional Value Local Cur]])</f>
        <v>0</v>
      </c>
    </row>
    <row r="11005" spans="1:5" x14ac:dyDescent="0.25">
      <c r="A11005" s="36" t="b">
        <v>0</v>
      </c>
      <c r="B11005" s="56" t="b">
        <v>0</v>
      </c>
      <c r="C11005" s="56" t="b">
        <v>0</v>
      </c>
      <c r="D11005" s="56" t="b">
        <v>0</v>
      </c>
      <c r="E11005" s="56">
        <f ca="1">IF(PV[[#This Row],[Business Date]]=Control!$C$6, PV[[#This Row],[Notional Value Local Cur]], -PV[[#This Row],[Notional Value Local Cur]])</f>
        <v>0</v>
      </c>
    </row>
    <row r="11006" spans="1:5" x14ac:dyDescent="0.25">
      <c r="A11006" s="36" t="b">
        <v>0</v>
      </c>
      <c r="B11006" s="56" t="b">
        <v>0</v>
      </c>
      <c r="C11006" s="56" t="b">
        <v>0</v>
      </c>
      <c r="D11006" s="56" t="b">
        <v>0</v>
      </c>
      <c r="E11006" s="56">
        <f ca="1">IF(PV[[#This Row],[Business Date]]=Control!$C$6, PV[[#This Row],[Notional Value Local Cur]], -PV[[#This Row],[Notional Value Local Cur]])</f>
        <v>0</v>
      </c>
    </row>
    <row r="11007" spans="1:5" x14ac:dyDescent="0.25">
      <c r="A11007" s="36" t="b">
        <v>0</v>
      </c>
      <c r="B11007" s="56" t="b">
        <v>0</v>
      </c>
      <c r="C11007" s="56" t="b">
        <v>0</v>
      </c>
      <c r="D11007" s="56" t="b">
        <v>0</v>
      </c>
      <c r="E11007" s="56">
        <f ca="1">IF(PV[[#This Row],[Business Date]]=Control!$C$6, PV[[#This Row],[Notional Value Local Cur]], -PV[[#This Row],[Notional Value Local Cur]])</f>
        <v>0</v>
      </c>
    </row>
    <row r="11008" spans="1:5" x14ac:dyDescent="0.25">
      <c r="A11008" s="36" t="b">
        <v>0</v>
      </c>
      <c r="B11008" s="56" t="b">
        <v>0</v>
      </c>
      <c r="C11008" s="56" t="b">
        <v>0</v>
      </c>
      <c r="D11008" s="56" t="b">
        <v>0</v>
      </c>
      <c r="E11008" s="56">
        <f ca="1">IF(PV[[#This Row],[Business Date]]=Control!$C$6, PV[[#This Row],[Notional Value Local Cur]], -PV[[#This Row],[Notional Value Local Cur]])</f>
        <v>0</v>
      </c>
    </row>
    <row r="11009" spans="1:5" x14ac:dyDescent="0.25">
      <c r="A11009" s="36" t="b">
        <v>0</v>
      </c>
      <c r="B11009" s="56" t="b">
        <v>0</v>
      </c>
      <c r="C11009" s="56" t="b">
        <v>0</v>
      </c>
      <c r="D11009" s="56" t="b">
        <v>0</v>
      </c>
      <c r="E11009" s="56">
        <f ca="1">IF(PV[[#This Row],[Business Date]]=Control!$C$6, PV[[#This Row],[Notional Value Local Cur]], -PV[[#This Row],[Notional Value Local Cur]])</f>
        <v>0</v>
      </c>
    </row>
    <row r="11010" spans="1:5" x14ac:dyDescent="0.25">
      <c r="A11010" s="36" t="b">
        <v>0</v>
      </c>
      <c r="B11010" s="56" t="b">
        <v>0</v>
      </c>
      <c r="C11010" s="56" t="b">
        <v>0</v>
      </c>
      <c r="D11010" s="56" t="b">
        <v>0</v>
      </c>
      <c r="E11010" s="56">
        <f ca="1">IF(PV[[#This Row],[Business Date]]=Control!$C$6, PV[[#This Row],[Notional Value Local Cur]], -PV[[#This Row],[Notional Value Local Cur]])</f>
        <v>0</v>
      </c>
    </row>
    <row r="11011" spans="1:5" x14ac:dyDescent="0.25">
      <c r="A11011" s="36" t="b">
        <v>0</v>
      </c>
      <c r="B11011" s="56" t="b">
        <v>0</v>
      </c>
      <c r="C11011" s="56" t="b">
        <v>0</v>
      </c>
      <c r="D11011" s="56" t="b">
        <v>0</v>
      </c>
      <c r="E11011" s="56">
        <f ca="1">IF(PV[[#This Row],[Business Date]]=Control!$C$6, PV[[#This Row],[Notional Value Local Cur]], -PV[[#This Row],[Notional Value Local Cur]])</f>
        <v>0</v>
      </c>
    </row>
    <row r="11012" spans="1:5" x14ac:dyDescent="0.25">
      <c r="A11012" s="36" t="b">
        <v>0</v>
      </c>
      <c r="B11012" s="56" t="b">
        <v>0</v>
      </c>
      <c r="C11012" s="56" t="b">
        <v>0</v>
      </c>
      <c r="D11012" s="56" t="b">
        <v>0</v>
      </c>
      <c r="E11012" s="56">
        <f ca="1">IF(PV[[#This Row],[Business Date]]=Control!$C$6, PV[[#This Row],[Notional Value Local Cur]], -PV[[#This Row],[Notional Value Local Cur]])</f>
        <v>0</v>
      </c>
    </row>
    <row r="11013" spans="1:5" x14ac:dyDescent="0.25">
      <c r="A11013" s="36" t="b">
        <v>0</v>
      </c>
      <c r="B11013" s="56" t="b">
        <v>0</v>
      </c>
      <c r="C11013" s="56" t="b">
        <v>0</v>
      </c>
      <c r="D11013" s="56" t="b">
        <v>0</v>
      </c>
      <c r="E11013" s="56">
        <f ca="1">IF(PV[[#This Row],[Business Date]]=Control!$C$6, PV[[#This Row],[Notional Value Local Cur]], -PV[[#This Row],[Notional Value Local Cur]])</f>
        <v>0</v>
      </c>
    </row>
    <row r="11014" spans="1:5" x14ac:dyDescent="0.25">
      <c r="A11014" s="36" t="b">
        <v>0</v>
      </c>
      <c r="B11014" s="56" t="b">
        <v>0</v>
      </c>
      <c r="C11014" s="56" t="b">
        <v>0</v>
      </c>
      <c r="D11014" s="56" t="b">
        <v>0</v>
      </c>
      <c r="E11014" s="56">
        <f ca="1">IF(PV[[#This Row],[Business Date]]=Control!$C$6, PV[[#This Row],[Notional Value Local Cur]], -PV[[#This Row],[Notional Value Local Cur]])</f>
        <v>0</v>
      </c>
    </row>
    <row r="11015" spans="1:5" x14ac:dyDescent="0.25">
      <c r="A11015" s="36" t="b">
        <v>0</v>
      </c>
      <c r="B11015" s="56" t="b">
        <v>0</v>
      </c>
      <c r="C11015" s="56" t="b">
        <v>0</v>
      </c>
      <c r="D11015" s="56" t="b">
        <v>0</v>
      </c>
      <c r="E11015" s="56">
        <f ca="1">IF(PV[[#This Row],[Business Date]]=Control!$C$6, PV[[#This Row],[Notional Value Local Cur]], -PV[[#This Row],[Notional Value Local Cur]])</f>
        <v>0</v>
      </c>
    </row>
    <row r="11016" spans="1:5" x14ac:dyDescent="0.25">
      <c r="A11016" s="36" t="b">
        <v>0</v>
      </c>
      <c r="B11016" s="56" t="b">
        <v>0</v>
      </c>
      <c r="C11016" s="56" t="b">
        <v>0</v>
      </c>
      <c r="D11016" s="56" t="b">
        <v>0</v>
      </c>
      <c r="E11016" s="56">
        <f ca="1">IF(PV[[#This Row],[Business Date]]=Control!$C$6, PV[[#This Row],[Notional Value Local Cur]], -PV[[#This Row],[Notional Value Local Cur]])</f>
        <v>0</v>
      </c>
    </row>
    <row r="11017" spans="1:5" x14ac:dyDescent="0.25">
      <c r="A11017" s="36" t="b">
        <v>0</v>
      </c>
      <c r="B11017" s="56" t="b">
        <v>0</v>
      </c>
      <c r="C11017" s="56" t="b">
        <v>0</v>
      </c>
      <c r="D11017" s="56" t="b">
        <v>0</v>
      </c>
      <c r="E11017" s="56">
        <f ca="1">IF(PV[[#This Row],[Business Date]]=Control!$C$6, PV[[#This Row],[Notional Value Local Cur]], -PV[[#This Row],[Notional Value Local Cur]])</f>
        <v>0</v>
      </c>
    </row>
    <row r="11018" spans="1:5" x14ac:dyDescent="0.25">
      <c r="A11018" s="36" t="b">
        <v>0</v>
      </c>
      <c r="B11018" s="56" t="b">
        <v>0</v>
      </c>
      <c r="C11018" s="56" t="b">
        <v>0</v>
      </c>
      <c r="D11018" s="56" t="b">
        <v>0</v>
      </c>
      <c r="E11018" s="56">
        <f ca="1">IF(PV[[#This Row],[Business Date]]=Control!$C$6, PV[[#This Row],[Notional Value Local Cur]], -PV[[#This Row],[Notional Value Local Cur]])</f>
        <v>0</v>
      </c>
    </row>
    <row r="11019" spans="1:5" x14ac:dyDescent="0.25">
      <c r="A11019" s="36" t="b">
        <v>0</v>
      </c>
      <c r="B11019" s="56" t="b">
        <v>0</v>
      </c>
      <c r="C11019" s="56" t="b">
        <v>0</v>
      </c>
      <c r="D11019" s="56" t="b">
        <v>0</v>
      </c>
      <c r="E11019" s="56">
        <f ca="1">IF(PV[[#This Row],[Business Date]]=Control!$C$6, PV[[#This Row],[Notional Value Local Cur]], -PV[[#This Row],[Notional Value Local Cur]])</f>
        <v>0</v>
      </c>
    </row>
    <row r="11020" spans="1:5" x14ac:dyDescent="0.25">
      <c r="A11020" s="36" t="b">
        <v>0</v>
      </c>
      <c r="B11020" s="56" t="b">
        <v>0</v>
      </c>
      <c r="C11020" s="56" t="b">
        <v>0</v>
      </c>
      <c r="D11020" s="56" t="b">
        <v>0</v>
      </c>
      <c r="E11020" s="56">
        <f ca="1">IF(PV[[#This Row],[Business Date]]=Control!$C$6, PV[[#This Row],[Notional Value Local Cur]], -PV[[#This Row],[Notional Value Local Cur]])</f>
        <v>0</v>
      </c>
    </row>
    <row r="11021" spans="1:5" x14ac:dyDescent="0.25">
      <c r="A11021" s="36" t="b">
        <v>0</v>
      </c>
      <c r="B11021" s="56" t="b">
        <v>0</v>
      </c>
      <c r="C11021" s="56" t="b">
        <v>0</v>
      </c>
      <c r="D11021" s="56" t="b">
        <v>0</v>
      </c>
      <c r="E11021" s="56">
        <f ca="1">IF(PV[[#This Row],[Business Date]]=Control!$C$6, PV[[#This Row],[Notional Value Local Cur]], -PV[[#This Row],[Notional Value Local Cur]])</f>
        <v>0</v>
      </c>
    </row>
    <row r="11022" spans="1:5" x14ac:dyDescent="0.25">
      <c r="A11022" s="36" t="b">
        <v>0</v>
      </c>
      <c r="B11022" s="56" t="b">
        <v>0</v>
      </c>
      <c r="C11022" s="56" t="b">
        <v>0</v>
      </c>
      <c r="D11022" s="56" t="b">
        <v>0</v>
      </c>
      <c r="E11022" s="56">
        <f ca="1">IF(PV[[#This Row],[Business Date]]=Control!$C$6, PV[[#This Row],[Notional Value Local Cur]], -PV[[#This Row],[Notional Value Local Cur]])</f>
        <v>0</v>
      </c>
    </row>
    <row r="11023" spans="1:5" x14ac:dyDescent="0.25">
      <c r="A11023" s="36" t="b">
        <v>0</v>
      </c>
      <c r="B11023" s="56" t="b">
        <v>0</v>
      </c>
      <c r="C11023" s="56" t="b">
        <v>0</v>
      </c>
      <c r="D11023" s="56" t="b">
        <v>0</v>
      </c>
      <c r="E11023" s="56">
        <f ca="1">IF(PV[[#This Row],[Business Date]]=Control!$C$6, PV[[#This Row],[Notional Value Local Cur]], -PV[[#This Row],[Notional Value Local Cur]])</f>
        <v>0</v>
      </c>
    </row>
    <row r="11024" spans="1:5" x14ac:dyDescent="0.25">
      <c r="A11024" s="36" t="b">
        <v>0</v>
      </c>
      <c r="B11024" s="56" t="b">
        <v>0</v>
      </c>
      <c r="C11024" s="56" t="b">
        <v>0</v>
      </c>
      <c r="D11024" s="56" t="b">
        <v>0</v>
      </c>
      <c r="E11024" s="56">
        <f ca="1">IF(PV[[#This Row],[Business Date]]=Control!$C$6, PV[[#This Row],[Notional Value Local Cur]], -PV[[#This Row],[Notional Value Local Cur]])</f>
        <v>0</v>
      </c>
    </row>
    <row r="11025" spans="1:5" x14ac:dyDescent="0.25">
      <c r="A11025" s="36" t="b">
        <v>0</v>
      </c>
      <c r="B11025" s="56" t="b">
        <v>0</v>
      </c>
      <c r="C11025" s="56" t="b">
        <v>0</v>
      </c>
      <c r="D11025" s="56" t="b">
        <v>0</v>
      </c>
      <c r="E11025" s="56">
        <f ca="1">IF(PV[[#This Row],[Business Date]]=Control!$C$6, PV[[#This Row],[Notional Value Local Cur]], -PV[[#This Row],[Notional Value Local Cur]])</f>
        <v>0</v>
      </c>
    </row>
    <row r="11026" spans="1:5" x14ac:dyDescent="0.25">
      <c r="A11026" s="36" t="b">
        <v>0</v>
      </c>
      <c r="B11026" s="56" t="b">
        <v>0</v>
      </c>
      <c r="C11026" s="56" t="b">
        <v>0</v>
      </c>
      <c r="D11026" s="56" t="b">
        <v>0</v>
      </c>
      <c r="E11026" s="56">
        <f ca="1">IF(PV[[#This Row],[Business Date]]=Control!$C$6, PV[[#This Row],[Notional Value Local Cur]], -PV[[#This Row],[Notional Value Local Cur]])</f>
        <v>0</v>
      </c>
    </row>
    <row r="11027" spans="1:5" x14ac:dyDescent="0.25">
      <c r="A11027" s="36" t="b">
        <v>0</v>
      </c>
      <c r="B11027" s="56" t="b">
        <v>0</v>
      </c>
      <c r="C11027" s="56" t="b">
        <v>0</v>
      </c>
      <c r="D11027" s="56" t="b">
        <v>0</v>
      </c>
      <c r="E11027" s="56">
        <f ca="1">IF(PV[[#This Row],[Business Date]]=Control!$C$6, PV[[#This Row],[Notional Value Local Cur]], -PV[[#This Row],[Notional Value Local Cur]])</f>
        <v>0</v>
      </c>
    </row>
    <row r="11028" spans="1:5" x14ac:dyDescent="0.25">
      <c r="A11028" s="36" t="b">
        <v>0</v>
      </c>
      <c r="B11028" s="56" t="b">
        <v>0</v>
      </c>
      <c r="C11028" s="56" t="b">
        <v>0</v>
      </c>
      <c r="D11028" s="56" t="b">
        <v>0</v>
      </c>
      <c r="E11028" s="56">
        <f ca="1">IF(PV[[#This Row],[Business Date]]=Control!$C$6, PV[[#This Row],[Notional Value Local Cur]], -PV[[#This Row],[Notional Value Local Cur]])</f>
        <v>0</v>
      </c>
    </row>
    <row r="11029" spans="1:5" x14ac:dyDescent="0.25">
      <c r="A11029" s="36" t="b">
        <v>0</v>
      </c>
      <c r="B11029" s="56" t="b">
        <v>0</v>
      </c>
      <c r="C11029" s="56" t="b">
        <v>0</v>
      </c>
      <c r="D11029" s="56" t="b">
        <v>0</v>
      </c>
      <c r="E11029" s="56">
        <f ca="1">IF(PV[[#This Row],[Business Date]]=Control!$C$6, PV[[#This Row],[Notional Value Local Cur]], -PV[[#This Row],[Notional Value Local Cur]])</f>
        <v>0</v>
      </c>
    </row>
    <row r="11030" spans="1:5" x14ac:dyDescent="0.25">
      <c r="A11030" s="36" t="b">
        <v>0</v>
      </c>
      <c r="B11030" s="56" t="b">
        <v>0</v>
      </c>
      <c r="C11030" s="56" t="b">
        <v>0</v>
      </c>
      <c r="D11030" s="56" t="b">
        <v>0</v>
      </c>
      <c r="E11030" s="56">
        <f ca="1">IF(PV[[#This Row],[Business Date]]=Control!$C$6, PV[[#This Row],[Notional Value Local Cur]], -PV[[#This Row],[Notional Value Local Cur]])</f>
        <v>0</v>
      </c>
    </row>
    <row r="11031" spans="1:5" x14ac:dyDescent="0.25">
      <c r="A11031" s="36" t="b">
        <v>0</v>
      </c>
      <c r="B11031" s="56" t="b">
        <v>0</v>
      </c>
      <c r="C11031" s="56" t="b">
        <v>0</v>
      </c>
      <c r="D11031" s="56" t="b">
        <v>0</v>
      </c>
      <c r="E11031" s="56">
        <f ca="1">IF(PV[[#This Row],[Business Date]]=Control!$C$6, PV[[#This Row],[Notional Value Local Cur]], -PV[[#This Row],[Notional Value Local Cur]])</f>
        <v>0</v>
      </c>
    </row>
    <row r="11032" spans="1:5" x14ac:dyDescent="0.25">
      <c r="A11032" s="36" t="b">
        <v>0</v>
      </c>
      <c r="B11032" s="56" t="b">
        <v>0</v>
      </c>
      <c r="C11032" s="56" t="b">
        <v>0</v>
      </c>
      <c r="D11032" s="56" t="b">
        <v>0</v>
      </c>
      <c r="E11032" s="56">
        <f ca="1">IF(PV[[#This Row],[Business Date]]=Control!$C$6, PV[[#This Row],[Notional Value Local Cur]], -PV[[#This Row],[Notional Value Local Cur]])</f>
        <v>0</v>
      </c>
    </row>
    <row r="11033" spans="1:5" x14ac:dyDescent="0.25">
      <c r="A11033" s="36" t="b">
        <v>0</v>
      </c>
      <c r="B11033" s="56" t="b">
        <v>0</v>
      </c>
      <c r="C11033" s="56" t="b">
        <v>0</v>
      </c>
      <c r="D11033" s="56" t="b">
        <v>0</v>
      </c>
      <c r="E11033" s="56">
        <f ca="1">IF(PV[[#This Row],[Business Date]]=Control!$C$6, PV[[#This Row],[Notional Value Local Cur]], -PV[[#This Row],[Notional Value Local Cur]])</f>
        <v>0</v>
      </c>
    </row>
    <row r="11034" spans="1:5" x14ac:dyDescent="0.25">
      <c r="A11034" s="36" t="b">
        <v>0</v>
      </c>
      <c r="B11034" s="56" t="b">
        <v>0</v>
      </c>
      <c r="C11034" s="56" t="b">
        <v>0</v>
      </c>
      <c r="D11034" s="56" t="b">
        <v>0</v>
      </c>
      <c r="E11034" s="56">
        <f ca="1">IF(PV[[#This Row],[Business Date]]=Control!$C$6, PV[[#This Row],[Notional Value Local Cur]], -PV[[#This Row],[Notional Value Local Cur]])</f>
        <v>0</v>
      </c>
    </row>
    <row r="11035" spans="1:5" x14ac:dyDescent="0.25">
      <c r="A11035" s="36" t="b">
        <v>0</v>
      </c>
      <c r="B11035" s="56" t="b">
        <v>0</v>
      </c>
      <c r="C11035" s="56" t="b">
        <v>0</v>
      </c>
      <c r="D11035" s="56" t="b">
        <v>0</v>
      </c>
      <c r="E11035" s="56">
        <f ca="1">IF(PV[[#This Row],[Business Date]]=Control!$C$6, PV[[#This Row],[Notional Value Local Cur]], -PV[[#This Row],[Notional Value Local Cur]])</f>
        <v>0</v>
      </c>
    </row>
    <row r="11036" spans="1:5" x14ac:dyDescent="0.25">
      <c r="A11036" s="36" t="b">
        <v>0</v>
      </c>
      <c r="B11036" s="56" t="b">
        <v>0</v>
      </c>
      <c r="C11036" s="56" t="b">
        <v>0</v>
      </c>
      <c r="D11036" s="56" t="b">
        <v>0</v>
      </c>
      <c r="E11036" s="56">
        <f ca="1">IF(PV[[#This Row],[Business Date]]=Control!$C$6, PV[[#This Row],[Notional Value Local Cur]], -PV[[#This Row],[Notional Value Local Cur]])</f>
        <v>0</v>
      </c>
    </row>
    <row r="11037" spans="1:5" x14ac:dyDescent="0.25">
      <c r="A11037" s="36" t="b">
        <v>0</v>
      </c>
      <c r="B11037" s="56" t="b">
        <v>0</v>
      </c>
      <c r="C11037" s="56" t="b">
        <v>0</v>
      </c>
      <c r="D11037" s="56" t="b">
        <v>0</v>
      </c>
      <c r="E11037" s="56">
        <f ca="1">IF(PV[[#This Row],[Business Date]]=Control!$C$6, PV[[#This Row],[Notional Value Local Cur]], -PV[[#This Row],[Notional Value Local Cur]])</f>
        <v>0</v>
      </c>
    </row>
    <row r="11038" spans="1:5" x14ac:dyDescent="0.25">
      <c r="A11038" s="36" t="b">
        <v>0</v>
      </c>
      <c r="B11038" s="56" t="b">
        <v>0</v>
      </c>
      <c r="C11038" s="56" t="b">
        <v>0</v>
      </c>
      <c r="D11038" s="56" t="b">
        <v>0</v>
      </c>
      <c r="E11038" s="56">
        <f ca="1">IF(PV[[#This Row],[Business Date]]=Control!$C$6, PV[[#This Row],[Notional Value Local Cur]], -PV[[#This Row],[Notional Value Local Cur]])</f>
        <v>0</v>
      </c>
    </row>
    <row r="11039" spans="1:5" x14ac:dyDescent="0.25">
      <c r="A11039" s="36" t="b">
        <v>0</v>
      </c>
      <c r="B11039" s="56" t="b">
        <v>0</v>
      </c>
      <c r="C11039" s="56" t="b">
        <v>0</v>
      </c>
      <c r="D11039" s="56" t="b">
        <v>0</v>
      </c>
      <c r="E11039" s="56">
        <f ca="1">IF(PV[[#This Row],[Business Date]]=Control!$C$6, PV[[#This Row],[Notional Value Local Cur]], -PV[[#This Row],[Notional Value Local Cur]])</f>
        <v>0</v>
      </c>
    </row>
    <row r="11040" spans="1:5" x14ac:dyDescent="0.25">
      <c r="A11040" s="36" t="b">
        <v>0</v>
      </c>
      <c r="B11040" s="56" t="b">
        <v>0</v>
      </c>
      <c r="C11040" s="56" t="b">
        <v>0</v>
      </c>
      <c r="D11040" s="56" t="b">
        <v>0</v>
      </c>
      <c r="E11040" s="56">
        <f ca="1">IF(PV[[#This Row],[Business Date]]=Control!$C$6, PV[[#This Row],[Notional Value Local Cur]], -PV[[#This Row],[Notional Value Local Cur]])</f>
        <v>0</v>
      </c>
    </row>
    <row r="11041" spans="1:5" x14ac:dyDescent="0.25">
      <c r="A11041" s="36" t="b">
        <v>0</v>
      </c>
      <c r="B11041" s="56" t="b">
        <v>0</v>
      </c>
      <c r="C11041" s="56" t="b">
        <v>0</v>
      </c>
      <c r="D11041" s="56" t="b">
        <v>0</v>
      </c>
      <c r="E11041" s="56">
        <f ca="1">IF(PV[[#This Row],[Business Date]]=Control!$C$6, PV[[#This Row],[Notional Value Local Cur]], -PV[[#This Row],[Notional Value Local Cur]])</f>
        <v>0</v>
      </c>
    </row>
    <row r="11042" spans="1:5" x14ac:dyDescent="0.25">
      <c r="A11042" s="36" t="b">
        <v>0</v>
      </c>
      <c r="B11042" s="56" t="b">
        <v>0</v>
      </c>
      <c r="C11042" s="56" t="b">
        <v>0</v>
      </c>
      <c r="D11042" s="56" t="b">
        <v>0</v>
      </c>
      <c r="E11042" s="56">
        <f ca="1">IF(PV[[#This Row],[Business Date]]=Control!$C$6, PV[[#This Row],[Notional Value Local Cur]], -PV[[#This Row],[Notional Value Local Cur]])</f>
        <v>0</v>
      </c>
    </row>
    <row r="11043" spans="1:5" x14ac:dyDescent="0.25">
      <c r="A11043" s="36" t="b">
        <v>0</v>
      </c>
      <c r="B11043" s="56" t="b">
        <v>0</v>
      </c>
      <c r="C11043" s="56" t="b">
        <v>0</v>
      </c>
      <c r="D11043" s="56" t="b">
        <v>0</v>
      </c>
      <c r="E11043" s="56">
        <f ca="1">IF(PV[[#This Row],[Business Date]]=Control!$C$6, PV[[#This Row],[Notional Value Local Cur]], -PV[[#This Row],[Notional Value Local Cur]])</f>
        <v>0</v>
      </c>
    </row>
    <row r="11044" spans="1:5" x14ac:dyDescent="0.25">
      <c r="A11044" s="36" t="b">
        <v>0</v>
      </c>
      <c r="B11044" s="56" t="b">
        <v>0</v>
      </c>
      <c r="C11044" s="56" t="b">
        <v>0</v>
      </c>
      <c r="D11044" s="56" t="b">
        <v>0</v>
      </c>
      <c r="E11044" s="56">
        <f ca="1">IF(PV[[#This Row],[Business Date]]=Control!$C$6, PV[[#This Row],[Notional Value Local Cur]], -PV[[#This Row],[Notional Value Local Cur]])</f>
        <v>0</v>
      </c>
    </row>
    <row r="11045" spans="1:5" x14ac:dyDescent="0.25">
      <c r="A11045" s="36" t="b">
        <v>0</v>
      </c>
      <c r="B11045" s="56" t="b">
        <v>0</v>
      </c>
      <c r="C11045" s="56" t="b">
        <v>0</v>
      </c>
      <c r="D11045" s="56" t="b">
        <v>0</v>
      </c>
      <c r="E11045" s="56">
        <f ca="1">IF(PV[[#This Row],[Business Date]]=Control!$C$6, PV[[#This Row],[Notional Value Local Cur]], -PV[[#This Row],[Notional Value Local Cur]])</f>
        <v>0</v>
      </c>
    </row>
    <row r="11046" spans="1:5" x14ac:dyDescent="0.25">
      <c r="A11046" s="36" t="b">
        <v>0</v>
      </c>
      <c r="B11046" s="56" t="b">
        <v>0</v>
      </c>
      <c r="C11046" s="56" t="b">
        <v>0</v>
      </c>
      <c r="D11046" s="56" t="b">
        <v>0</v>
      </c>
      <c r="E11046" s="56">
        <f ca="1">IF(PV[[#This Row],[Business Date]]=Control!$C$6, PV[[#This Row],[Notional Value Local Cur]], -PV[[#This Row],[Notional Value Local Cur]])</f>
        <v>0</v>
      </c>
    </row>
    <row r="11047" spans="1:5" x14ac:dyDescent="0.25">
      <c r="A11047" s="36" t="b">
        <v>0</v>
      </c>
      <c r="B11047" s="56" t="b">
        <v>0</v>
      </c>
      <c r="C11047" s="56" t="b">
        <v>0</v>
      </c>
      <c r="D11047" s="56" t="b">
        <v>0</v>
      </c>
      <c r="E11047" s="56">
        <f ca="1">IF(PV[[#This Row],[Business Date]]=Control!$C$6, PV[[#This Row],[Notional Value Local Cur]], -PV[[#This Row],[Notional Value Local Cur]])</f>
        <v>0</v>
      </c>
    </row>
    <row r="11048" spans="1:5" x14ac:dyDescent="0.25">
      <c r="A11048" s="36" t="b">
        <v>0</v>
      </c>
      <c r="B11048" s="56" t="b">
        <v>0</v>
      </c>
      <c r="C11048" s="56" t="b">
        <v>0</v>
      </c>
      <c r="D11048" s="56" t="b">
        <v>0</v>
      </c>
      <c r="E11048" s="56">
        <f ca="1">IF(PV[[#This Row],[Business Date]]=Control!$C$6, PV[[#This Row],[Notional Value Local Cur]], -PV[[#This Row],[Notional Value Local Cur]])</f>
        <v>0</v>
      </c>
    </row>
    <row r="11049" spans="1:5" x14ac:dyDescent="0.25">
      <c r="A11049" s="36" t="b">
        <v>0</v>
      </c>
      <c r="B11049" s="56" t="b">
        <v>0</v>
      </c>
      <c r="C11049" s="56" t="b">
        <v>0</v>
      </c>
      <c r="D11049" s="56" t="b">
        <v>0</v>
      </c>
      <c r="E11049" s="56">
        <f ca="1">IF(PV[[#This Row],[Business Date]]=Control!$C$6, PV[[#This Row],[Notional Value Local Cur]], -PV[[#This Row],[Notional Value Local Cur]])</f>
        <v>0</v>
      </c>
    </row>
    <row r="11050" spans="1:5" x14ac:dyDescent="0.25">
      <c r="A11050" s="36" t="b">
        <v>0</v>
      </c>
      <c r="B11050" s="56" t="b">
        <v>0</v>
      </c>
      <c r="C11050" s="56" t="b">
        <v>0</v>
      </c>
      <c r="D11050" s="56" t="b">
        <v>0</v>
      </c>
      <c r="E11050" s="56">
        <f ca="1">IF(PV[[#This Row],[Business Date]]=Control!$C$6, PV[[#This Row],[Notional Value Local Cur]], -PV[[#This Row],[Notional Value Local Cur]])</f>
        <v>0</v>
      </c>
    </row>
    <row r="11051" spans="1:5" x14ac:dyDescent="0.25">
      <c r="A11051" s="36" t="b">
        <v>0</v>
      </c>
      <c r="B11051" s="56" t="b">
        <v>0</v>
      </c>
      <c r="C11051" s="56" t="b">
        <v>0</v>
      </c>
      <c r="D11051" s="56" t="b">
        <v>0</v>
      </c>
      <c r="E11051" s="56">
        <f ca="1">IF(PV[[#This Row],[Business Date]]=Control!$C$6, PV[[#This Row],[Notional Value Local Cur]], -PV[[#This Row],[Notional Value Local Cur]])</f>
        <v>0</v>
      </c>
    </row>
    <row r="11052" spans="1:5" x14ac:dyDescent="0.25">
      <c r="A11052" s="36" t="b">
        <v>0</v>
      </c>
      <c r="B11052" s="56" t="b">
        <v>0</v>
      </c>
      <c r="C11052" s="56" t="b">
        <v>0</v>
      </c>
      <c r="D11052" s="56" t="b">
        <v>0</v>
      </c>
      <c r="E11052" s="56">
        <f ca="1">IF(PV[[#This Row],[Business Date]]=Control!$C$6, PV[[#This Row],[Notional Value Local Cur]], -PV[[#This Row],[Notional Value Local Cur]])</f>
        <v>0</v>
      </c>
    </row>
    <row r="11053" spans="1:5" x14ac:dyDescent="0.25">
      <c r="A11053" s="36" t="b">
        <v>0</v>
      </c>
      <c r="B11053" s="56" t="b">
        <v>0</v>
      </c>
      <c r="C11053" s="56" t="b">
        <v>0</v>
      </c>
      <c r="D11053" s="56" t="b">
        <v>0</v>
      </c>
      <c r="E11053" s="56">
        <f ca="1">IF(PV[[#This Row],[Business Date]]=Control!$C$6, PV[[#This Row],[Notional Value Local Cur]], -PV[[#This Row],[Notional Value Local Cur]])</f>
        <v>0</v>
      </c>
    </row>
    <row r="11054" spans="1:5" x14ac:dyDescent="0.25">
      <c r="A11054" s="36" t="b">
        <v>0</v>
      </c>
      <c r="B11054" s="56" t="b">
        <v>0</v>
      </c>
      <c r="C11054" s="56" t="b">
        <v>0</v>
      </c>
      <c r="D11054" s="56" t="b">
        <v>0</v>
      </c>
      <c r="E11054" s="56">
        <f ca="1">IF(PV[[#This Row],[Business Date]]=Control!$C$6, PV[[#This Row],[Notional Value Local Cur]], -PV[[#This Row],[Notional Value Local Cur]])</f>
        <v>0</v>
      </c>
    </row>
    <row r="11055" spans="1:5" x14ac:dyDescent="0.25">
      <c r="A11055" s="36" t="b">
        <v>0</v>
      </c>
      <c r="B11055" s="56" t="b">
        <v>0</v>
      </c>
      <c r="C11055" s="56" t="b">
        <v>0</v>
      </c>
      <c r="D11055" s="56" t="b">
        <v>0</v>
      </c>
      <c r="E11055" s="56">
        <f ca="1">IF(PV[[#This Row],[Business Date]]=Control!$C$6, PV[[#This Row],[Notional Value Local Cur]], -PV[[#This Row],[Notional Value Local Cur]])</f>
        <v>0</v>
      </c>
    </row>
    <row r="11056" spans="1:5" x14ac:dyDescent="0.25">
      <c r="A11056" s="36" t="b">
        <v>0</v>
      </c>
      <c r="B11056" s="56" t="b">
        <v>0</v>
      </c>
      <c r="C11056" s="56" t="b">
        <v>0</v>
      </c>
      <c r="D11056" s="56" t="b">
        <v>0</v>
      </c>
      <c r="E11056" s="56">
        <f ca="1">IF(PV[[#This Row],[Business Date]]=Control!$C$6, PV[[#This Row],[Notional Value Local Cur]], -PV[[#This Row],[Notional Value Local Cur]])</f>
        <v>0</v>
      </c>
    </row>
    <row r="11057" spans="1:5" x14ac:dyDescent="0.25">
      <c r="A11057" s="36" t="b">
        <v>0</v>
      </c>
      <c r="B11057" s="56" t="b">
        <v>0</v>
      </c>
      <c r="C11057" s="56" t="b">
        <v>0</v>
      </c>
      <c r="D11057" s="56" t="b">
        <v>0</v>
      </c>
      <c r="E11057" s="56">
        <f ca="1">IF(PV[[#This Row],[Business Date]]=Control!$C$6, PV[[#This Row],[Notional Value Local Cur]], -PV[[#This Row],[Notional Value Local Cur]])</f>
        <v>0</v>
      </c>
    </row>
    <row r="11058" spans="1:5" x14ac:dyDescent="0.25">
      <c r="A11058" s="36" t="b">
        <v>0</v>
      </c>
      <c r="B11058" s="56" t="b">
        <v>0</v>
      </c>
      <c r="C11058" s="56" t="b">
        <v>0</v>
      </c>
      <c r="D11058" s="56" t="b">
        <v>0</v>
      </c>
      <c r="E11058" s="56">
        <f ca="1">IF(PV[[#This Row],[Business Date]]=Control!$C$6, PV[[#This Row],[Notional Value Local Cur]], -PV[[#This Row],[Notional Value Local Cur]])</f>
        <v>0</v>
      </c>
    </row>
    <row r="11059" spans="1:5" x14ac:dyDescent="0.25">
      <c r="A11059" s="36" t="b">
        <v>0</v>
      </c>
      <c r="B11059" s="56" t="b">
        <v>0</v>
      </c>
      <c r="C11059" s="56" t="b">
        <v>0</v>
      </c>
      <c r="D11059" s="56" t="b">
        <v>0</v>
      </c>
      <c r="E11059" s="56">
        <f ca="1">IF(PV[[#This Row],[Business Date]]=Control!$C$6, PV[[#This Row],[Notional Value Local Cur]], -PV[[#This Row],[Notional Value Local Cur]])</f>
        <v>0</v>
      </c>
    </row>
    <row r="11060" spans="1:5" x14ac:dyDescent="0.25">
      <c r="A11060" s="36" t="b">
        <v>0</v>
      </c>
      <c r="B11060" s="56" t="b">
        <v>0</v>
      </c>
      <c r="C11060" s="56" t="b">
        <v>0</v>
      </c>
      <c r="D11060" s="56" t="b">
        <v>0</v>
      </c>
      <c r="E11060" s="56">
        <f ca="1">IF(PV[[#This Row],[Business Date]]=Control!$C$6, PV[[#This Row],[Notional Value Local Cur]], -PV[[#This Row],[Notional Value Local Cur]])</f>
        <v>0</v>
      </c>
    </row>
    <row r="11061" spans="1:5" x14ac:dyDescent="0.25">
      <c r="A11061" s="36" t="b">
        <v>0</v>
      </c>
      <c r="B11061" s="56" t="b">
        <v>0</v>
      </c>
      <c r="C11061" s="56" t="b">
        <v>0</v>
      </c>
      <c r="D11061" s="56" t="b">
        <v>0</v>
      </c>
      <c r="E11061" s="56">
        <f ca="1">IF(PV[[#This Row],[Business Date]]=Control!$C$6, PV[[#This Row],[Notional Value Local Cur]], -PV[[#This Row],[Notional Value Local Cur]])</f>
        <v>0</v>
      </c>
    </row>
    <row r="11062" spans="1:5" x14ac:dyDescent="0.25">
      <c r="A11062" s="36" t="b">
        <v>0</v>
      </c>
      <c r="B11062" s="56" t="b">
        <v>0</v>
      </c>
      <c r="C11062" s="56" t="b">
        <v>0</v>
      </c>
      <c r="D11062" s="56" t="b">
        <v>0</v>
      </c>
      <c r="E11062" s="56">
        <f ca="1">IF(PV[[#This Row],[Business Date]]=Control!$C$6, PV[[#This Row],[Notional Value Local Cur]], -PV[[#This Row],[Notional Value Local Cur]])</f>
        <v>0</v>
      </c>
    </row>
    <row r="11063" spans="1:5" x14ac:dyDescent="0.25">
      <c r="A11063" s="36" t="b">
        <v>0</v>
      </c>
      <c r="B11063" s="56" t="b">
        <v>0</v>
      </c>
      <c r="C11063" s="56" t="b">
        <v>0</v>
      </c>
      <c r="D11063" s="56" t="b">
        <v>0</v>
      </c>
      <c r="E11063" s="56">
        <f ca="1">IF(PV[[#This Row],[Business Date]]=Control!$C$6, PV[[#This Row],[Notional Value Local Cur]], -PV[[#This Row],[Notional Value Local Cur]])</f>
        <v>0</v>
      </c>
    </row>
    <row r="11064" spans="1:5" x14ac:dyDescent="0.25">
      <c r="A11064" s="36" t="b">
        <v>0</v>
      </c>
      <c r="B11064" s="56" t="b">
        <v>0</v>
      </c>
      <c r="C11064" s="56" t="b">
        <v>0</v>
      </c>
      <c r="D11064" s="56" t="b">
        <v>0</v>
      </c>
      <c r="E11064" s="56">
        <f ca="1">IF(PV[[#This Row],[Business Date]]=Control!$C$6, PV[[#This Row],[Notional Value Local Cur]], -PV[[#This Row],[Notional Value Local Cur]])</f>
        <v>0</v>
      </c>
    </row>
    <row r="11065" spans="1:5" x14ac:dyDescent="0.25">
      <c r="A11065" s="36" t="b">
        <v>0</v>
      </c>
      <c r="B11065" s="56" t="b">
        <v>0</v>
      </c>
      <c r="C11065" s="56" t="b">
        <v>0</v>
      </c>
      <c r="D11065" s="56" t="b">
        <v>0</v>
      </c>
      <c r="E11065" s="56">
        <f ca="1">IF(PV[[#This Row],[Business Date]]=Control!$C$6, PV[[#This Row],[Notional Value Local Cur]], -PV[[#This Row],[Notional Value Local Cur]])</f>
        <v>0</v>
      </c>
    </row>
    <row r="11066" spans="1:5" x14ac:dyDescent="0.25">
      <c r="A11066" s="36" t="b">
        <v>0</v>
      </c>
      <c r="B11066" s="56" t="b">
        <v>0</v>
      </c>
      <c r="C11066" s="56" t="b">
        <v>0</v>
      </c>
      <c r="D11066" s="56" t="b">
        <v>0</v>
      </c>
      <c r="E11066" s="56">
        <f ca="1">IF(PV[[#This Row],[Business Date]]=Control!$C$6, PV[[#This Row],[Notional Value Local Cur]], -PV[[#This Row],[Notional Value Local Cur]])</f>
        <v>0</v>
      </c>
    </row>
    <row r="11067" spans="1:5" x14ac:dyDescent="0.25">
      <c r="A11067" s="36" t="b">
        <v>0</v>
      </c>
      <c r="B11067" s="56" t="b">
        <v>0</v>
      </c>
      <c r="C11067" s="56" t="b">
        <v>0</v>
      </c>
      <c r="D11067" s="56" t="b">
        <v>0</v>
      </c>
      <c r="E11067" s="56">
        <f ca="1">IF(PV[[#This Row],[Business Date]]=Control!$C$6, PV[[#This Row],[Notional Value Local Cur]], -PV[[#This Row],[Notional Value Local Cur]])</f>
        <v>0</v>
      </c>
    </row>
    <row r="11068" spans="1:5" x14ac:dyDescent="0.25">
      <c r="A11068" s="36" t="b">
        <v>0</v>
      </c>
      <c r="B11068" s="56" t="b">
        <v>0</v>
      </c>
      <c r="C11068" s="56" t="b">
        <v>0</v>
      </c>
      <c r="D11068" s="56" t="b">
        <v>0</v>
      </c>
      <c r="E11068" s="56">
        <f ca="1">IF(PV[[#This Row],[Business Date]]=Control!$C$6, PV[[#This Row],[Notional Value Local Cur]], -PV[[#This Row],[Notional Value Local Cur]])</f>
        <v>0</v>
      </c>
    </row>
    <row r="11069" spans="1:5" x14ac:dyDescent="0.25">
      <c r="A11069" s="36" t="b">
        <v>0</v>
      </c>
      <c r="B11069" s="56" t="b">
        <v>0</v>
      </c>
      <c r="C11069" s="56" t="b">
        <v>0</v>
      </c>
      <c r="D11069" s="56" t="b">
        <v>0</v>
      </c>
      <c r="E11069" s="56">
        <f ca="1">IF(PV[[#This Row],[Business Date]]=Control!$C$6, PV[[#This Row],[Notional Value Local Cur]], -PV[[#This Row],[Notional Value Local Cur]])</f>
        <v>0</v>
      </c>
    </row>
    <row r="11070" spans="1:5" x14ac:dyDescent="0.25">
      <c r="A11070" s="36" t="b">
        <v>0</v>
      </c>
      <c r="B11070" s="56" t="b">
        <v>0</v>
      </c>
      <c r="C11070" s="56" t="b">
        <v>0</v>
      </c>
      <c r="D11070" s="56" t="b">
        <v>0</v>
      </c>
      <c r="E11070" s="56">
        <f ca="1">IF(PV[[#This Row],[Business Date]]=Control!$C$6, PV[[#This Row],[Notional Value Local Cur]], -PV[[#This Row],[Notional Value Local Cur]])</f>
        <v>0</v>
      </c>
    </row>
    <row r="11071" spans="1:5" x14ac:dyDescent="0.25">
      <c r="A11071" s="36" t="b">
        <v>0</v>
      </c>
      <c r="B11071" s="56" t="b">
        <v>0</v>
      </c>
      <c r="C11071" s="56" t="b">
        <v>0</v>
      </c>
      <c r="D11071" s="56" t="b">
        <v>0</v>
      </c>
      <c r="E11071" s="56">
        <f ca="1">IF(PV[[#This Row],[Business Date]]=Control!$C$6, PV[[#This Row],[Notional Value Local Cur]], -PV[[#This Row],[Notional Value Local Cur]])</f>
        <v>0</v>
      </c>
    </row>
    <row r="11072" spans="1:5" x14ac:dyDescent="0.25">
      <c r="A11072" s="36" t="b">
        <v>0</v>
      </c>
      <c r="B11072" s="56" t="b">
        <v>0</v>
      </c>
      <c r="C11072" s="56" t="b">
        <v>0</v>
      </c>
      <c r="D11072" s="56" t="b">
        <v>0</v>
      </c>
      <c r="E11072" s="56">
        <f ca="1">IF(PV[[#This Row],[Business Date]]=Control!$C$6, PV[[#This Row],[Notional Value Local Cur]], -PV[[#This Row],[Notional Value Local Cur]])</f>
        <v>0</v>
      </c>
    </row>
    <row r="11073" spans="1:5" x14ac:dyDescent="0.25">
      <c r="A11073" s="36" t="b">
        <v>0</v>
      </c>
      <c r="B11073" s="56" t="b">
        <v>0</v>
      </c>
      <c r="C11073" s="56" t="b">
        <v>0</v>
      </c>
      <c r="D11073" s="56" t="b">
        <v>0</v>
      </c>
      <c r="E11073" s="56">
        <f ca="1">IF(PV[[#This Row],[Business Date]]=Control!$C$6, PV[[#This Row],[Notional Value Local Cur]], -PV[[#This Row],[Notional Value Local Cur]])</f>
        <v>0</v>
      </c>
    </row>
    <row r="11074" spans="1:5" x14ac:dyDescent="0.25">
      <c r="A11074" s="36" t="b">
        <v>0</v>
      </c>
      <c r="B11074" s="56" t="b">
        <v>0</v>
      </c>
      <c r="C11074" s="56" t="b">
        <v>0</v>
      </c>
      <c r="D11074" s="56" t="b">
        <v>0</v>
      </c>
      <c r="E11074" s="56">
        <f ca="1">IF(PV[[#This Row],[Business Date]]=Control!$C$6, PV[[#This Row],[Notional Value Local Cur]], -PV[[#This Row],[Notional Value Local Cur]])</f>
        <v>0</v>
      </c>
    </row>
    <row r="11075" spans="1:5" x14ac:dyDescent="0.25">
      <c r="A11075" s="36" t="b">
        <v>0</v>
      </c>
      <c r="B11075" s="56" t="b">
        <v>0</v>
      </c>
      <c r="C11075" s="56" t="b">
        <v>0</v>
      </c>
      <c r="D11075" s="56" t="b">
        <v>0</v>
      </c>
      <c r="E11075" s="56">
        <f ca="1">IF(PV[[#This Row],[Business Date]]=Control!$C$6, PV[[#This Row],[Notional Value Local Cur]], -PV[[#This Row],[Notional Value Local Cur]])</f>
        <v>0</v>
      </c>
    </row>
    <row r="11076" spans="1:5" x14ac:dyDescent="0.25">
      <c r="A11076" s="36" t="b">
        <v>0</v>
      </c>
      <c r="B11076" s="56" t="b">
        <v>0</v>
      </c>
      <c r="C11076" s="56" t="b">
        <v>0</v>
      </c>
      <c r="D11076" s="56" t="b">
        <v>0</v>
      </c>
      <c r="E11076" s="56">
        <f ca="1">IF(PV[[#This Row],[Business Date]]=Control!$C$6, PV[[#This Row],[Notional Value Local Cur]], -PV[[#This Row],[Notional Value Local Cur]])</f>
        <v>0</v>
      </c>
    </row>
    <row r="11077" spans="1:5" x14ac:dyDescent="0.25">
      <c r="A11077" s="36" t="b">
        <v>0</v>
      </c>
      <c r="B11077" s="56" t="b">
        <v>0</v>
      </c>
      <c r="C11077" s="56" t="b">
        <v>0</v>
      </c>
      <c r="D11077" s="56" t="b">
        <v>0</v>
      </c>
      <c r="E11077" s="56">
        <f ca="1">IF(PV[[#This Row],[Business Date]]=Control!$C$6, PV[[#This Row],[Notional Value Local Cur]], -PV[[#This Row],[Notional Value Local Cur]])</f>
        <v>0</v>
      </c>
    </row>
    <row r="11078" spans="1:5" x14ac:dyDescent="0.25">
      <c r="A11078" s="36" t="b">
        <v>0</v>
      </c>
      <c r="B11078" s="56" t="b">
        <v>0</v>
      </c>
      <c r="C11078" s="56" t="b">
        <v>0</v>
      </c>
      <c r="D11078" s="56" t="b">
        <v>0</v>
      </c>
      <c r="E11078" s="56">
        <f ca="1">IF(PV[[#This Row],[Business Date]]=Control!$C$6, PV[[#This Row],[Notional Value Local Cur]], -PV[[#This Row],[Notional Value Local Cur]])</f>
        <v>0</v>
      </c>
    </row>
    <row r="11079" spans="1:5" x14ac:dyDescent="0.25">
      <c r="A11079" s="36" t="b">
        <v>0</v>
      </c>
      <c r="B11079" s="56" t="b">
        <v>0</v>
      </c>
      <c r="C11079" s="56" t="b">
        <v>0</v>
      </c>
      <c r="D11079" s="56" t="b">
        <v>0</v>
      </c>
      <c r="E11079" s="56">
        <f ca="1">IF(PV[[#This Row],[Business Date]]=Control!$C$6, PV[[#This Row],[Notional Value Local Cur]], -PV[[#This Row],[Notional Value Local Cur]])</f>
        <v>0</v>
      </c>
    </row>
    <row r="11080" spans="1:5" x14ac:dyDescent="0.25">
      <c r="A11080" s="36" t="b">
        <v>0</v>
      </c>
      <c r="B11080" s="56" t="b">
        <v>0</v>
      </c>
      <c r="C11080" s="56" t="b">
        <v>0</v>
      </c>
      <c r="D11080" s="56" t="b">
        <v>0</v>
      </c>
      <c r="E11080" s="56">
        <f ca="1">IF(PV[[#This Row],[Business Date]]=Control!$C$6, PV[[#This Row],[Notional Value Local Cur]], -PV[[#This Row],[Notional Value Local Cur]])</f>
        <v>0</v>
      </c>
    </row>
    <row r="11081" spans="1:5" x14ac:dyDescent="0.25">
      <c r="A11081" s="36" t="b">
        <v>0</v>
      </c>
      <c r="B11081" s="56" t="b">
        <v>0</v>
      </c>
      <c r="C11081" s="56" t="b">
        <v>0</v>
      </c>
      <c r="D11081" s="56" t="b">
        <v>0</v>
      </c>
      <c r="E11081" s="56">
        <f ca="1">IF(PV[[#This Row],[Business Date]]=Control!$C$6, PV[[#This Row],[Notional Value Local Cur]], -PV[[#This Row],[Notional Value Local Cur]])</f>
        <v>0</v>
      </c>
    </row>
    <row r="11082" spans="1:5" x14ac:dyDescent="0.25">
      <c r="A11082" s="36" t="b">
        <v>0</v>
      </c>
      <c r="B11082" s="56" t="b">
        <v>0</v>
      </c>
      <c r="C11082" s="56" t="b">
        <v>0</v>
      </c>
      <c r="D11082" s="56" t="b">
        <v>0</v>
      </c>
      <c r="E11082" s="56">
        <f ca="1">IF(PV[[#This Row],[Business Date]]=Control!$C$6, PV[[#This Row],[Notional Value Local Cur]], -PV[[#This Row],[Notional Value Local Cur]])</f>
        <v>0</v>
      </c>
    </row>
    <row r="11083" spans="1:5" x14ac:dyDescent="0.25">
      <c r="A11083" s="36" t="b">
        <v>0</v>
      </c>
      <c r="B11083" s="56" t="b">
        <v>0</v>
      </c>
      <c r="C11083" s="56" t="b">
        <v>0</v>
      </c>
      <c r="D11083" s="56" t="b">
        <v>0</v>
      </c>
      <c r="E11083" s="56">
        <f ca="1">IF(PV[[#This Row],[Business Date]]=Control!$C$6, PV[[#This Row],[Notional Value Local Cur]], -PV[[#This Row],[Notional Value Local Cur]])</f>
        <v>0</v>
      </c>
    </row>
    <row r="11084" spans="1:5" x14ac:dyDescent="0.25">
      <c r="A11084" s="36" t="b">
        <v>0</v>
      </c>
      <c r="B11084" s="56" t="b">
        <v>0</v>
      </c>
      <c r="C11084" s="56" t="b">
        <v>0</v>
      </c>
      <c r="D11084" s="56" t="b">
        <v>0</v>
      </c>
      <c r="E11084" s="56">
        <f ca="1">IF(PV[[#This Row],[Business Date]]=Control!$C$6, PV[[#This Row],[Notional Value Local Cur]], -PV[[#This Row],[Notional Value Local Cur]])</f>
        <v>0</v>
      </c>
    </row>
    <row r="11085" spans="1:5" x14ac:dyDescent="0.25">
      <c r="A11085" s="36" t="b">
        <v>0</v>
      </c>
      <c r="B11085" s="56" t="b">
        <v>0</v>
      </c>
      <c r="C11085" s="56" t="b">
        <v>0</v>
      </c>
      <c r="D11085" s="56" t="b">
        <v>0</v>
      </c>
      <c r="E11085" s="56">
        <f ca="1">IF(PV[[#This Row],[Business Date]]=Control!$C$6, PV[[#This Row],[Notional Value Local Cur]], -PV[[#This Row],[Notional Value Local Cur]])</f>
        <v>0</v>
      </c>
    </row>
    <row r="11086" spans="1:5" x14ac:dyDescent="0.25">
      <c r="A11086" s="36" t="b">
        <v>0</v>
      </c>
      <c r="B11086" s="56" t="b">
        <v>0</v>
      </c>
      <c r="C11086" s="56" t="b">
        <v>0</v>
      </c>
      <c r="D11086" s="56" t="b">
        <v>0</v>
      </c>
      <c r="E11086" s="56">
        <f ca="1">IF(PV[[#This Row],[Business Date]]=Control!$C$6, PV[[#This Row],[Notional Value Local Cur]], -PV[[#This Row],[Notional Value Local Cur]])</f>
        <v>0</v>
      </c>
    </row>
    <row r="11087" spans="1:5" x14ac:dyDescent="0.25">
      <c r="A11087" s="36" t="b">
        <v>0</v>
      </c>
      <c r="B11087" s="56" t="b">
        <v>0</v>
      </c>
      <c r="C11087" s="56" t="b">
        <v>0</v>
      </c>
      <c r="D11087" s="56" t="b">
        <v>0</v>
      </c>
      <c r="E11087" s="56">
        <f ca="1">IF(PV[[#This Row],[Business Date]]=Control!$C$6, PV[[#This Row],[Notional Value Local Cur]], -PV[[#This Row],[Notional Value Local Cur]])</f>
        <v>0</v>
      </c>
    </row>
    <row r="11088" spans="1:5" x14ac:dyDescent="0.25">
      <c r="A11088" s="36" t="b">
        <v>0</v>
      </c>
      <c r="B11088" s="56" t="b">
        <v>0</v>
      </c>
      <c r="C11088" s="56" t="b">
        <v>0</v>
      </c>
      <c r="D11088" s="56" t="b">
        <v>0</v>
      </c>
      <c r="E11088" s="56">
        <f ca="1">IF(PV[[#This Row],[Business Date]]=Control!$C$6, PV[[#This Row],[Notional Value Local Cur]], -PV[[#This Row],[Notional Value Local Cur]])</f>
        <v>0</v>
      </c>
    </row>
    <row r="11089" spans="1:5" x14ac:dyDescent="0.25">
      <c r="A11089" s="36" t="b">
        <v>0</v>
      </c>
      <c r="B11089" s="56" t="b">
        <v>0</v>
      </c>
      <c r="C11089" s="56" t="b">
        <v>0</v>
      </c>
      <c r="D11089" s="56" t="b">
        <v>0</v>
      </c>
      <c r="E11089" s="56">
        <f ca="1">IF(PV[[#This Row],[Business Date]]=Control!$C$6, PV[[#This Row],[Notional Value Local Cur]], -PV[[#This Row],[Notional Value Local Cur]])</f>
        <v>0</v>
      </c>
    </row>
    <row r="11090" spans="1:5" x14ac:dyDescent="0.25">
      <c r="A11090" s="36" t="b">
        <v>0</v>
      </c>
      <c r="B11090" s="56" t="b">
        <v>0</v>
      </c>
      <c r="C11090" s="56" t="b">
        <v>0</v>
      </c>
      <c r="D11090" s="56" t="b">
        <v>0</v>
      </c>
      <c r="E11090" s="56">
        <f ca="1">IF(PV[[#This Row],[Business Date]]=Control!$C$6, PV[[#This Row],[Notional Value Local Cur]], -PV[[#This Row],[Notional Value Local Cur]])</f>
        <v>0</v>
      </c>
    </row>
    <row r="11091" spans="1:5" x14ac:dyDescent="0.25">
      <c r="A11091" s="36" t="b">
        <v>0</v>
      </c>
      <c r="B11091" s="56" t="b">
        <v>0</v>
      </c>
      <c r="C11091" s="56" t="b">
        <v>0</v>
      </c>
      <c r="D11091" s="56" t="b">
        <v>0</v>
      </c>
      <c r="E11091" s="56">
        <f ca="1">IF(PV[[#This Row],[Business Date]]=Control!$C$6, PV[[#This Row],[Notional Value Local Cur]], -PV[[#This Row],[Notional Value Local Cur]])</f>
        <v>0</v>
      </c>
    </row>
    <row r="11092" spans="1:5" x14ac:dyDescent="0.25">
      <c r="A11092" s="36" t="b">
        <v>0</v>
      </c>
      <c r="B11092" s="56" t="b">
        <v>0</v>
      </c>
      <c r="C11092" s="56" t="b">
        <v>0</v>
      </c>
      <c r="D11092" s="56" t="b">
        <v>0</v>
      </c>
      <c r="E11092" s="56">
        <f ca="1">IF(PV[[#This Row],[Business Date]]=Control!$C$6, PV[[#This Row],[Notional Value Local Cur]], -PV[[#This Row],[Notional Value Local Cur]])</f>
        <v>0</v>
      </c>
    </row>
    <row r="11093" spans="1:5" x14ac:dyDescent="0.25">
      <c r="A11093" s="36" t="b">
        <v>0</v>
      </c>
      <c r="B11093" s="56" t="b">
        <v>0</v>
      </c>
      <c r="C11093" s="56" t="b">
        <v>0</v>
      </c>
      <c r="D11093" s="56" t="b">
        <v>0</v>
      </c>
      <c r="E11093" s="56">
        <f ca="1">IF(PV[[#This Row],[Business Date]]=Control!$C$6, PV[[#This Row],[Notional Value Local Cur]], -PV[[#This Row],[Notional Value Local Cur]])</f>
        <v>0</v>
      </c>
    </row>
    <row r="11094" spans="1:5" x14ac:dyDescent="0.25">
      <c r="A11094" s="36" t="b">
        <v>0</v>
      </c>
      <c r="B11094" s="56" t="b">
        <v>0</v>
      </c>
      <c r="C11094" s="56" t="b">
        <v>0</v>
      </c>
      <c r="D11094" s="56" t="b">
        <v>0</v>
      </c>
      <c r="E11094" s="56">
        <f ca="1">IF(PV[[#This Row],[Business Date]]=Control!$C$6, PV[[#This Row],[Notional Value Local Cur]], -PV[[#This Row],[Notional Value Local Cur]])</f>
        <v>0</v>
      </c>
    </row>
    <row r="11095" spans="1:5" x14ac:dyDescent="0.25">
      <c r="A11095" s="36" t="b">
        <v>0</v>
      </c>
      <c r="B11095" s="56" t="b">
        <v>0</v>
      </c>
      <c r="C11095" s="56" t="b">
        <v>0</v>
      </c>
      <c r="D11095" s="56" t="b">
        <v>0</v>
      </c>
      <c r="E11095" s="56">
        <f ca="1">IF(PV[[#This Row],[Business Date]]=Control!$C$6, PV[[#This Row],[Notional Value Local Cur]], -PV[[#This Row],[Notional Value Local Cur]])</f>
        <v>0</v>
      </c>
    </row>
    <row r="11096" spans="1:5" x14ac:dyDescent="0.25">
      <c r="A11096" s="36" t="b">
        <v>0</v>
      </c>
      <c r="B11096" s="56" t="b">
        <v>0</v>
      </c>
      <c r="C11096" s="56" t="b">
        <v>0</v>
      </c>
      <c r="D11096" s="56" t="b">
        <v>0</v>
      </c>
      <c r="E11096" s="56">
        <f ca="1">IF(PV[[#This Row],[Business Date]]=Control!$C$6, PV[[#This Row],[Notional Value Local Cur]], -PV[[#This Row],[Notional Value Local Cur]])</f>
        <v>0</v>
      </c>
    </row>
    <row r="11097" spans="1:5" x14ac:dyDescent="0.25">
      <c r="A11097" s="36" t="b">
        <v>0</v>
      </c>
      <c r="B11097" s="56" t="b">
        <v>0</v>
      </c>
      <c r="C11097" s="56" t="b">
        <v>0</v>
      </c>
      <c r="D11097" s="56" t="b">
        <v>0</v>
      </c>
      <c r="E11097" s="56">
        <f ca="1">IF(PV[[#This Row],[Business Date]]=Control!$C$6, PV[[#This Row],[Notional Value Local Cur]], -PV[[#This Row],[Notional Value Local Cur]])</f>
        <v>0</v>
      </c>
    </row>
    <row r="11098" spans="1:5" x14ac:dyDescent="0.25">
      <c r="A11098" s="36" t="b">
        <v>0</v>
      </c>
      <c r="B11098" s="56" t="b">
        <v>0</v>
      </c>
      <c r="C11098" s="56" t="b">
        <v>0</v>
      </c>
      <c r="D11098" s="56" t="b">
        <v>0</v>
      </c>
      <c r="E11098" s="56">
        <f ca="1">IF(PV[[#This Row],[Business Date]]=Control!$C$6, PV[[#This Row],[Notional Value Local Cur]], -PV[[#This Row],[Notional Value Local Cur]])</f>
        <v>0</v>
      </c>
    </row>
    <row r="11099" spans="1:5" x14ac:dyDescent="0.25">
      <c r="A11099" s="36" t="b">
        <v>0</v>
      </c>
      <c r="B11099" s="56" t="b">
        <v>0</v>
      </c>
      <c r="C11099" s="56" t="b">
        <v>0</v>
      </c>
      <c r="D11099" s="56" t="b">
        <v>0</v>
      </c>
      <c r="E11099" s="56">
        <f ca="1">IF(PV[[#This Row],[Business Date]]=Control!$C$6, PV[[#This Row],[Notional Value Local Cur]], -PV[[#This Row],[Notional Value Local Cur]])</f>
        <v>0</v>
      </c>
    </row>
    <row r="11100" spans="1:5" x14ac:dyDescent="0.25">
      <c r="A11100" s="36" t="b">
        <v>0</v>
      </c>
      <c r="B11100" s="56" t="b">
        <v>0</v>
      </c>
      <c r="C11100" s="56" t="b">
        <v>0</v>
      </c>
      <c r="D11100" s="56" t="b">
        <v>0</v>
      </c>
      <c r="E11100" s="56">
        <f ca="1">IF(PV[[#This Row],[Business Date]]=Control!$C$6, PV[[#This Row],[Notional Value Local Cur]], -PV[[#This Row],[Notional Value Local Cur]])</f>
        <v>0</v>
      </c>
    </row>
    <row r="11101" spans="1:5" x14ac:dyDescent="0.25">
      <c r="A11101" s="36" t="b">
        <v>0</v>
      </c>
      <c r="B11101" s="56" t="b">
        <v>0</v>
      </c>
      <c r="C11101" s="56" t="b">
        <v>0</v>
      </c>
      <c r="D11101" s="56" t="b">
        <v>0</v>
      </c>
      <c r="E11101" s="56">
        <f ca="1">IF(PV[[#This Row],[Business Date]]=Control!$C$6, PV[[#This Row],[Notional Value Local Cur]], -PV[[#This Row],[Notional Value Local Cur]])</f>
        <v>0</v>
      </c>
    </row>
    <row r="11102" spans="1:5" x14ac:dyDescent="0.25">
      <c r="A11102" s="36" t="b">
        <v>0</v>
      </c>
      <c r="B11102" s="56" t="b">
        <v>0</v>
      </c>
      <c r="C11102" s="56" t="b">
        <v>0</v>
      </c>
      <c r="D11102" s="56" t="b">
        <v>0</v>
      </c>
      <c r="E11102" s="56">
        <f ca="1">IF(PV[[#This Row],[Business Date]]=Control!$C$6, PV[[#This Row],[Notional Value Local Cur]], -PV[[#This Row],[Notional Value Local Cur]])</f>
        <v>0</v>
      </c>
    </row>
    <row r="11103" spans="1:5" x14ac:dyDescent="0.25">
      <c r="A11103" s="36" t="b">
        <v>0</v>
      </c>
      <c r="B11103" s="56" t="b">
        <v>0</v>
      </c>
      <c r="C11103" s="56" t="b">
        <v>0</v>
      </c>
      <c r="D11103" s="56" t="b">
        <v>0</v>
      </c>
      <c r="E11103" s="56">
        <f ca="1">IF(PV[[#This Row],[Business Date]]=Control!$C$6, PV[[#This Row],[Notional Value Local Cur]], -PV[[#This Row],[Notional Value Local Cur]])</f>
        <v>0</v>
      </c>
    </row>
    <row r="11104" spans="1:5" x14ac:dyDescent="0.25">
      <c r="A11104" s="36" t="b">
        <v>0</v>
      </c>
      <c r="B11104" s="56" t="b">
        <v>0</v>
      </c>
      <c r="C11104" s="56" t="b">
        <v>0</v>
      </c>
      <c r="D11104" s="56" t="b">
        <v>0</v>
      </c>
      <c r="E11104" s="56">
        <f ca="1">IF(PV[[#This Row],[Business Date]]=Control!$C$6, PV[[#This Row],[Notional Value Local Cur]], -PV[[#This Row],[Notional Value Local Cur]])</f>
        <v>0</v>
      </c>
    </row>
    <row r="11105" spans="1:5" x14ac:dyDescent="0.25">
      <c r="A11105" s="36" t="b">
        <v>0</v>
      </c>
      <c r="B11105" s="56" t="b">
        <v>0</v>
      </c>
      <c r="C11105" s="56" t="b">
        <v>0</v>
      </c>
      <c r="D11105" s="56" t="b">
        <v>0</v>
      </c>
      <c r="E11105" s="56">
        <f ca="1">IF(PV[[#This Row],[Business Date]]=Control!$C$6, PV[[#This Row],[Notional Value Local Cur]], -PV[[#This Row],[Notional Value Local Cur]])</f>
        <v>0</v>
      </c>
    </row>
    <row r="11106" spans="1:5" x14ac:dyDescent="0.25">
      <c r="A11106" s="36" t="b">
        <v>0</v>
      </c>
      <c r="B11106" s="56" t="b">
        <v>0</v>
      </c>
      <c r="C11106" s="56" t="b">
        <v>0</v>
      </c>
      <c r="D11106" s="56" t="b">
        <v>0</v>
      </c>
      <c r="E11106" s="56">
        <f ca="1">IF(PV[[#This Row],[Business Date]]=Control!$C$6, PV[[#This Row],[Notional Value Local Cur]], -PV[[#This Row],[Notional Value Local Cur]])</f>
        <v>0</v>
      </c>
    </row>
    <row r="11107" spans="1:5" x14ac:dyDescent="0.25">
      <c r="A11107" s="36" t="b">
        <v>0</v>
      </c>
      <c r="B11107" s="56" t="b">
        <v>0</v>
      </c>
      <c r="C11107" s="56" t="b">
        <v>0</v>
      </c>
      <c r="D11107" s="56" t="b">
        <v>0</v>
      </c>
      <c r="E11107" s="56">
        <f ca="1">IF(PV[[#This Row],[Business Date]]=Control!$C$6, PV[[#This Row],[Notional Value Local Cur]], -PV[[#This Row],[Notional Value Local Cur]])</f>
        <v>0</v>
      </c>
    </row>
    <row r="11108" spans="1:5" x14ac:dyDescent="0.25">
      <c r="A11108" s="36" t="b">
        <v>0</v>
      </c>
      <c r="B11108" s="56" t="b">
        <v>0</v>
      </c>
      <c r="C11108" s="56" t="b">
        <v>0</v>
      </c>
      <c r="D11108" s="56" t="b">
        <v>0</v>
      </c>
      <c r="E11108" s="56">
        <f ca="1">IF(PV[[#This Row],[Business Date]]=Control!$C$6, PV[[#This Row],[Notional Value Local Cur]], -PV[[#This Row],[Notional Value Local Cur]])</f>
        <v>0</v>
      </c>
    </row>
    <row r="11109" spans="1:5" x14ac:dyDescent="0.25">
      <c r="A11109" s="36" t="b">
        <v>0</v>
      </c>
      <c r="B11109" s="56" t="b">
        <v>0</v>
      </c>
      <c r="C11109" s="56" t="b">
        <v>0</v>
      </c>
      <c r="D11109" s="56" t="b">
        <v>0</v>
      </c>
      <c r="E11109" s="56">
        <f ca="1">IF(PV[[#This Row],[Business Date]]=Control!$C$6, PV[[#This Row],[Notional Value Local Cur]], -PV[[#This Row],[Notional Value Local Cur]])</f>
        <v>0</v>
      </c>
    </row>
    <row r="11110" spans="1:5" x14ac:dyDescent="0.25">
      <c r="A11110" s="36" t="b">
        <v>0</v>
      </c>
      <c r="B11110" s="56" t="b">
        <v>0</v>
      </c>
      <c r="C11110" s="56" t="b">
        <v>0</v>
      </c>
      <c r="D11110" s="56" t="b">
        <v>0</v>
      </c>
      <c r="E11110" s="56">
        <f ca="1">IF(PV[[#This Row],[Business Date]]=Control!$C$6, PV[[#This Row],[Notional Value Local Cur]], -PV[[#This Row],[Notional Value Local Cur]])</f>
        <v>0</v>
      </c>
    </row>
    <row r="11111" spans="1:5" x14ac:dyDescent="0.25">
      <c r="A11111" s="36" t="b">
        <v>0</v>
      </c>
      <c r="B11111" s="56" t="b">
        <v>0</v>
      </c>
      <c r="C11111" s="56" t="b">
        <v>0</v>
      </c>
      <c r="D11111" s="56" t="b">
        <v>0</v>
      </c>
      <c r="E11111" s="56">
        <f ca="1">IF(PV[[#This Row],[Business Date]]=Control!$C$6, PV[[#This Row],[Notional Value Local Cur]], -PV[[#This Row],[Notional Value Local Cur]])</f>
        <v>0</v>
      </c>
    </row>
    <row r="11112" spans="1:5" x14ac:dyDescent="0.25">
      <c r="A11112" s="36" t="b">
        <v>0</v>
      </c>
      <c r="B11112" s="56" t="b">
        <v>0</v>
      </c>
      <c r="C11112" s="56" t="b">
        <v>0</v>
      </c>
      <c r="D11112" s="56" t="b">
        <v>0</v>
      </c>
      <c r="E11112" s="56">
        <f ca="1">IF(PV[[#This Row],[Business Date]]=Control!$C$6, PV[[#This Row],[Notional Value Local Cur]], -PV[[#This Row],[Notional Value Local Cur]])</f>
        <v>0</v>
      </c>
    </row>
    <row r="11113" spans="1:5" x14ac:dyDescent="0.25">
      <c r="A11113" s="36" t="b">
        <v>0</v>
      </c>
      <c r="B11113" s="56" t="b">
        <v>0</v>
      </c>
      <c r="C11113" s="56" t="b">
        <v>0</v>
      </c>
      <c r="D11113" s="56" t="b">
        <v>0</v>
      </c>
      <c r="E11113" s="56">
        <f ca="1">IF(PV[[#This Row],[Business Date]]=Control!$C$6, PV[[#This Row],[Notional Value Local Cur]], -PV[[#This Row],[Notional Value Local Cur]])</f>
        <v>0</v>
      </c>
    </row>
    <row r="11114" spans="1:5" x14ac:dyDescent="0.25">
      <c r="A11114" s="36" t="b">
        <v>0</v>
      </c>
      <c r="B11114" s="56" t="b">
        <v>0</v>
      </c>
      <c r="C11114" s="56" t="b">
        <v>0</v>
      </c>
      <c r="D11114" s="56" t="b">
        <v>0</v>
      </c>
      <c r="E11114" s="56">
        <f ca="1">IF(PV[[#This Row],[Business Date]]=Control!$C$6, PV[[#This Row],[Notional Value Local Cur]], -PV[[#This Row],[Notional Value Local Cur]])</f>
        <v>0</v>
      </c>
    </row>
    <row r="11115" spans="1:5" x14ac:dyDescent="0.25">
      <c r="A11115" s="36" t="b">
        <v>0</v>
      </c>
      <c r="B11115" s="56" t="b">
        <v>0</v>
      </c>
      <c r="C11115" s="56" t="b">
        <v>0</v>
      </c>
      <c r="D11115" s="56" t="b">
        <v>0</v>
      </c>
      <c r="E11115" s="56">
        <f ca="1">IF(PV[[#This Row],[Business Date]]=Control!$C$6, PV[[#This Row],[Notional Value Local Cur]], -PV[[#This Row],[Notional Value Local Cur]])</f>
        <v>0</v>
      </c>
    </row>
    <row r="11116" spans="1:5" x14ac:dyDescent="0.25">
      <c r="A11116" s="36" t="b">
        <v>0</v>
      </c>
      <c r="B11116" s="56" t="b">
        <v>0</v>
      </c>
      <c r="C11116" s="56" t="b">
        <v>0</v>
      </c>
      <c r="D11116" s="56" t="b">
        <v>0</v>
      </c>
      <c r="E11116" s="56">
        <f ca="1">IF(PV[[#This Row],[Business Date]]=Control!$C$6, PV[[#This Row],[Notional Value Local Cur]], -PV[[#This Row],[Notional Value Local Cur]])</f>
        <v>0</v>
      </c>
    </row>
    <row r="11117" spans="1:5" x14ac:dyDescent="0.25">
      <c r="A11117" s="36" t="b">
        <v>0</v>
      </c>
      <c r="B11117" s="56" t="b">
        <v>0</v>
      </c>
      <c r="C11117" s="56" t="b">
        <v>0</v>
      </c>
      <c r="D11117" s="56" t="b">
        <v>0</v>
      </c>
      <c r="E11117" s="56">
        <f ca="1">IF(PV[[#This Row],[Business Date]]=Control!$C$6, PV[[#This Row],[Notional Value Local Cur]], -PV[[#This Row],[Notional Value Local Cur]])</f>
        <v>0</v>
      </c>
    </row>
    <row r="11118" spans="1:5" x14ac:dyDescent="0.25">
      <c r="A11118" s="36" t="b">
        <v>0</v>
      </c>
      <c r="B11118" s="56" t="b">
        <v>0</v>
      </c>
      <c r="C11118" s="56" t="b">
        <v>0</v>
      </c>
      <c r="D11118" s="56" t="b">
        <v>0</v>
      </c>
      <c r="E11118" s="56">
        <f ca="1">IF(PV[[#This Row],[Business Date]]=Control!$C$6, PV[[#This Row],[Notional Value Local Cur]], -PV[[#This Row],[Notional Value Local Cur]])</f>
        <v>0</v>
      </c>
    </row>
    <row r="11119" spans="1:5" x14ac:dyDescent="0.25">
      <c r="A11119" s="36" t="b">
        <v>0</v>
      </c>
      <c r="B11119" s="56" t="b">
        <v>0</v>
      </c>
      <c r="C11119" s="56" t="b">
        <v>0</v>
      </c>
      <c r="D11119" s="56" t="b">
        <v>0</v>
      </c>
      <c r="E11119" s="56">
        <f ca="1">IF(PV[[#This Row],[Business Date]]=Control!$C$6, PV[[#This Row],[Notional Value Local Cur]], -PV[[#This Row],[Notional Value Local Cur]])</f>
        <v>0</v>
      </c>
    </row>
    <row r="11120" spans="1:5" x14ac:dyDescent="0.25">
      <c r="A11120" s="36" t="b">
        <v>0</v>
      </c>
      <c r="B11120" s="56" t="b">
        <v>0</v>
      </c>
      <c r="C11120" s="56" t="b">
        <v>0</v>
      </c>
      <c r="D11120" s="56" t="b">
        <v>0</v>
      </c>
      <c r="E11120" s="56">
        <f ca="1">IF(PV[[#This Row],[Business Date]]=Control!$C$6, PV[[#This Row],[Notional Value Local Cur]], -PV[[#This Row],[Notional Value Local Cur]])</f>
        <v>0</v>
      </c>
    </row>
    <row r="11121" spans="1:5" x14ac:dyDescent="0.25">
      <c r="A11121" s="36" t="b">
        <v>0</v>
      </c>
      <c r="B11121" s="56" t="b">
        <v>0</v>
      </c>
      <c r="C11121" s="56" t="b">
        <v>0</v>
      </c>
      <c r="D11121" s="56" t="b">
        <v>0</v>
      </c>
      <c r="E11121" s="56">
        <f ca="1">IF(PV[[#This Row],[Business Date]]=Control!$C$6, PV[[#This Row],[Notional Value Local Cur]], -PV[[#This Row],[Notional Value Local Cur]])</f>
        <v>0</v>
      </c>
    </row>
    <row r="11122" spans="1:5" x14ac:dyDescent="0.25">
      <c r="A11122" s="36" t="b">
        <v>0</v>
      </c>
      <c r="B11122" s="56" t="b">
        <v>0</v>
      </c>
      <c r="C11122" s="56" t="b">
        <v>0</v>
      </c>
      <c r="D11122" s="56" t="b">
        <v>0</v>
      </c>
      <c r="E11122" s="56">
        <f ca="1">IF(PV[[#This Row],[Business Date]]=Control!$C$6, PV[[#This Row],[Notional Value Local Cur]], -PV[[#This Row],[Notional Value Local Cur]])</f>
        <v>0</v>
      </c>
    </row>
    <row r="11123" spans="1:5" x14ac:dyDescent="0.25">
      <c r="A11123" s="36" t="b">
        <v>0</v>
      </c>
      <c r="B11123" s="56" t="b">
        <v>0</v>
      </c>
      <c r="C11123" s="56" t="b">
        <v>0</v>
      </c>
      <c r="D11123" s="56" t="b">
        <v>0</v>
      </c>
      <c r="E11123" s="56">
        <f ca="1">IF(PV[[#This Row],[Business Date]]=Control!$C$6, PV[[#This Row],[Notional Value Local Cur]], -PV[[#This Row],[Notional Value Local Cur]])</f>
        <v>0</v>
      </c>
    </row>
    <row r="11124" spans="1:5" x14ac:dyDescent="0.25">
      <c r="A11124" s="36" t="b">
        <v>0</v>
      </c>
      <c r="B11124" s="56" t="b">
        <v>0</v>
      </c>
      <c r="C11124" s="56" t="b">
        <v>0</v>
      </c>
      <c r="D11124" s="56" t="b">
        <v>0</v>
      </c>
      <c r="E11124" s="56">
        <f ca="1">IF(PV[[#This Row],[Business Date]]=Control!$C$6, PV[[#This Row],[Notional Value Local Cur]], -PV[[#This Row],[Notional Value Local Cur]])</f>
        <v>0</v>
      </c>
    </row>
    <row r="11125" spans="1:5" x14ac:dyDescent="0.25">
      <c r="A11125" s="36" t="b">
        <v>0</v>
      </c>
      <c r="B11125" s="56" t="b">
        <v>0</v>
      </c>
      <c r="C11125" s="56" t="b">
        <v>0</v>
      </c>
      <c r="D11125" s="56" t="b">
        <v>0</v>
      </c>
      <c r="E11125" s="56">
        <f ca="1">IF(PV[[#This Row],[Business Date]]=Control!$C$6, PV[[#This Row],[Notional Value Local Cur]], -PV[[#This Row],[Notional Value Local Cur]])</f>
        <v>0</v>
      </c>
    </row>
    <row r="11126" spans="1:5" x14ac:dyDescent="0.25">
      <c r="A11126" s="36" t="b">
        <v>0</v>
      </c>
      <c r="B11126" s="56" t="b">
        <v>0</v>
      </c>
      <c r="C11126" s="56" t="b">
        <v>0</v>
      </c>
      <c r="D11126" s="56" t="b">
        <v>0</v>
      </c>
      <c r="E11126" s="56">
        <f ca="1">IF(PV[[#This Row],[Business Date]]=Control!$C$6, PV[[#This Row],[Notional Value Local Cur]], -PV[[#This Row],[Notional Value Local Cur]])</f>
        <v>0</v>
      </c>
    </row>
    <row r="11127" spans="1:5" x14ac:dyDescent="0.25">
      <c r="A11127" s="36" t="b">
        <v>0</v>
      </c>
      <c r="B11127" s="56" t="b">
        <v>0</v>
      </c>
      <c r="C11127" s="56" t="b">
        <v>0</v>
      </c>
      <c r="D11127" s="56" t="b">
        <v>0</v>
      </c>
      <c r="E11127" s="56">
        <f ca="1">IF(PV[[#This Row],[Business Date]]=Control!$C$6, PV[[#This Row],[Notional Value Local Cur]], -PV[[#This Row],[Notional Value Local Cur]])</f>
        <v>0</v>
      </c>
    </row>
    <row r="11128" spans="1:5" x14ac:dyDescent="0.25">
      <c r="A11128" s="36" t="b">
        <v>0</v>
      </c>
      <c r="B11128" s="56" t="b">
        <v>0</v>
      </c>
      <c r="C11128" s="56" t="b">
        <v>0</v>
      </c>
      <c r="D11128" s="56" t="b">
        <v>0</v>
      </c>
      <c r="E11128" s="56">
        <f ca="1">IF(PV[[#This Row],[Business Date]]=Control!$C$6, PV[[#This Row],[Notional Value Local Cur]], -PV[[#This Row],[Notional Value Local Cur]])</f>
        <v>0</v>
      </c>
    </row>
    <row r="11129" spans="1:5" x14ac:dyDescent="0.25">
      <c r="A11129" s="36" t="b">
        <v>0</v>
      </c>
      <c r="B11129" s="56" t="b">
        <v>0</v>
      </c>
      <c r="C11129" s="56" t="b">
        <v>0</v>
      </c>
      <c r="D11129" s="56" t="b">
        <v>0</v>
      </c>
      <c r="E11129" s="56">
        <f ca="1">IF(PV[[#This Row],[Business Date]]=Control!$C$6, PV[[#This Row],[Notional Value Local Cur]], -PV[[#This Row],[Notional Value Local Cur]])</f>
        <v>0</v>
      </c>
    </row>
    <row r="11130" spans="1:5" x14ac:dyDescent="0.25">
      <c r="A11130" s="36" t="b">
        <v>0</v>
      </c>
      <c r="B11130" s="56" t="b">
        <v>0</v>
      </c>
      <c r="C11130" s="56" t="b">
        <v>0</v>
      </c>
      <c r="D11130" s="56" t="b">
        <v>0</v>
      </c>
      <c r="E11130" s="56">
        <f ca="1">IF(PV[[#This Row],[Business Date]]=Control!$C$6, PV[[#This Row],[Notional Value Local Cur]], -PV[[#This Row],[Notional Value Local Cur]])</f>
        <v>0</v>
      </c>
    </row>
    <row r="11131" spans="1:5" x14ac:dyDescent="0.25">
      <c r="A11131" s="36" t="b">
        <v>0</v>
      </c>
      <c r="B11131" s="56" t="b">
        <v>0</v>
      </c>
      <c r="C11131" s="56" t="b">
        <v>0</v>
      </c>
      <c r="D11131" s="56" t="b">
        <v>0</v>
      </c>
      <c r="E11131" s="56">
        <f ca="1">IF(PV[[#This Row],[Business Date]]=Control!$C$6, PV[[#This Row],[Notional Value Local Cur]], -PV[[#This Row],[Notional Value Local Cur]])</f>
        <v>0</v>
      </c>
    </row>
    <row r="11132" spans="1:5" x14ac:dyDescent="0.25">
      <c r="A11132" s="36" t="b">
        <v>0</v>
      </c>
      <c r="B11132" s="56" t="b">
        <v>0</v>
      </c>
      <c r="C11132" s="56" t="b">
        <v>0</v>
      </c>
      <c r="D11132" s="56" t="b">
        <v>0</v>
      </c>
      <c r="E11132" s="56">
        <f ca="1">IF(PV[[#This Row],[Business Date]]=Control!$C$6, PV[[#This Row],[Notional Value Local Cur]], -PV[[#This Row],[Notional Value Local Cur]])</f>
        <v>0</v>
      </c>
    </row>
    <row r="11133" spans="1:5" x14ac:dyDescent="0.25">
      <c r="A11133" s="36" t="b">
        <v>0</v>
      </c>
      <c r="B11133" s="56" t="b">
        <v>0</v>
      </c>
      <c r="C11133" s="56" t="b">
        <v>0</v>
      </c>
      <c r="D11133" s="56" t="b">
        <v>0</v>
      </c>
      <c r="E11133" s="56">
        <f ca="1">IF(PV[[#This Row],[Business Date]]=Control!$C$6, PV[[#This Row],[Notional Value Local Cur]], -PV[[#This Row],[Notional Value Local Cur]])</f>
        <v>0</v>
      </c>
    </row>
    <row r="11134" spans="1:5" x14ac:dyDescent="0.25">
      <c r="A11134" s="36" t="b">
        <v>0</v>
      </c>
      <c r="B11134" s="56" t="b">
        <v>0</v>
      </c>
      <c r="C11134" s="56" t="b">
        <v>0</v>
      </c>
      <c r="D11134" s="56" t="b">
        <v>0</v>
      </c>
      <c r="E11134" s="56">
        <f ca="1">IF(PV[[#This Row],[Business Date]]=Control!$C$6, PV[[#This Row],[Notional Value Local Cur]], -PV[[#This Row],[Notional Value Local Cur]])</f>
        <v>0</v>
      </c>
    </row>
    <row r="11135" spans="1:5" x14ac:dyDescent="0.25">
      <c r="A11135" s="36" t="b">
        <v>0</v>
      </c>
      <c r="B11135" s="56" t="b">
        <v>0</v>
      </c>
      <c r="C11135" s="56" t="b">
        <v>0</v>
      </c>
      <c r="D11135" s="56" t="b">
        <v>0</v>
      </c>
      <c r="E11135" s="56">
        <f ca="1">IF(PV[[#This Row],[Business Date]]=Control!$C$6, PV[[#This Row],[Notional Value Local Cur]], -PV[[#This Row],[Notional Value Local Cur]])</f>
        <v>0</v>
      </c>
    </row>
    <row r="11136" spans="1:5" x14ac:dyDescent="0.25">
      <c r="A11136" s="36" t="b">
        <v>0</v>
      </c>
      <c r="B11136" s="56" t="b">
        <v>0</v>
      </c>
      <c r="C11136" s="56" t="b">
        <v>0</v>
      </c>
      <c r="D11136" s="56" t="b">
        <v>0</v>
      </c>
      <c r="E11136" s="56">
        <f ca="1">IF(PV[[#This Row],[Business Date]]=Control!$C$6, PV[[#This Row],[Notional Value Local Cur]], -PV[[#This Row],[Notional Value Local Cur]])</f>
        <v>0</v>
      </c>
    </row>
    <row r="11137" spans="1:5" x14ac:dyDescent="0.25">
      <c r="A11137" s="36" t="b">
        <v>0</v>
      </c>
      <c r="B11137" s="56" t="b">
        <v>0</v>
      </c>
      <c r="C11137" s="56" t="b">
        <v>0</v>
      </c>
      <c r="D11137" s="56" t="b">
        <v>0</v>
      </c>
      <c r="E11137" s="56">
        <f ca="1">IF(PV[[#This Row],[Business Date]]=Control!$C$6, PV[[#This Row],[Notional Value Local Cur]], -PV[[#This Row],[Notional Value Local Cur]])</f>
        <v>0</v>
      </c>
    </row>
    <row r="11138" spans="1:5" x14ac:dyDescent="0.25">
      <c r="A11138" s="36" t="b">
        <v>0</v>
      </c>
      <c r="B11138" s="56" t="b">
        <v>0</v>
      </c>
      <c r="C11138" s="56" t="b">
        <v>0</v>
      </c>
      <c r="D11138" s="56" t="b">
        <v>0</v>
      </c>
      <c r="E11138" s="56">
        <f ca="1">IF(PV[[#This Row],[Business Date]]=Control!$C$6, PV[[#This Row],[Notional Value Local Cur]], -PV[[#This Row],[Notional Value Local Cur]])</f>
        <v>0</v>
      </c>
    </row>
    <row r="11139" spans="1:5" x14ac:dyDescent="0.25">
      <c r="A11139" s="36" t="b">
        <v>0</v>
      </c>
      <c r="B11139" s="56" t="b">
        <v>0</v>
      </c>
      <c r="C11139" s="56" t="b">
        <v>0</v>
      </c>
      <c r="D11139" s="56" t="b">
        <v>0</v>
      </c>
      <c r="E11139" s="56">
        <f ca="1">IF(PV[[#This Row],[Business Date]]=Control!$C$6, PV[[#This Row],[Notional Value Local Cur]], -PV[[#This Row],[Notional Value Local Cur]])</f>
        <v>0</v>
      </c>
    </row>
    <row r="11140" spans="1:5" x14ac:dyDescent="0.25">
      <c r="A11140" s="36" t="b">
        <v>0</v>
      </c>
      <c r="B11140" s="56" t="b">
        <v>0</v>
      </c>
      <c r="C11140" s="56" t="b">
        <v>0</v>
      </c>
      <c r="D11140" s="56" t="b">
        <v>0</v>
      </c>
      <c r="E11140" s="56">
        <f ca="1">IF(PV[[#This Row],[Business Date]]=Control!$C$6, PV[[#This Row],[Notional Value Local Cur]], -PV[[#This Row],[Notional Value Local Cur]])</f>
        <v>0</v>
      </c>
    </row>
    <row r="11141" spans="1:5" x14ac:dyDescent="0.25">
      <c r="A11141" s="36" t="b">
        <v>0</v>
      </c>
      <c r="B11141" s="56" t="b">
        <v>0</v>
      </c>
      <c r="C11141" s="56" t="b">
        <v>0</v>
      </c>
      <c r="D11141" s="56" t="b">
        <v>0</v>
      </c>
      <c r="E11141" s="56">
        <f ca="1">IF(PV[[#This Row],[Business Date]]=Control!$C$6, PV[[#This Row],[Notional Value Local Cur]], -PV[[#This Row],[Notional Value Local Cur]])</f>
        <v>0</v>
      </c>
    </row>
    <row r="11142" spans="1:5" x14ac:dyDescent="0.25">
      <c r="A11142" s="36" t="b">
        <v>0</v>
      </c>
      <c r="B11142" s="56" t="b">
        <v>0</v>
      </c>
      <c r="C11142" s="56" t="b">
        <v>0</v>
      </c>
      <c r="D11142" s="56" t="b">
        <v>0</v>
      </c>
      <c r="E11142" s="56">
        <f ca="1">IF(PV[[#This Row],[Business Date]]=Control!$C$6, PV[[#This Row],[Notional Value Local Cur]], -PV[[#This Row],[Notional Value Local Cur]])</f>
        <v>0</v>
      </c>
    </row>
    <row r="11143" spans="1:5" x14ac:dyDescent="0.25">
      <c r="A11143" s="36" t="b">
        <v>0</v>
      </c>
      <c r="B11143" s="56" t="b">
        <v>0</v>
      </c>
      <c r="C11143" s="56" t="b">
        <v>0</v>
      </c>
      <c r="D11143" s="56" t="b">
        <v>0</v>
      </c>
      <c r="E11143" s="56">
        <f ca="1">IF(PV[[#This Row],[Business Date]]=Control!$C$6, PV[[#This Row],[Notional Value Local Cur]], -PV[[#This Row],[Notional Value Local Cur]])</f>
        <v>0</v>
      </c>
    </row>
    <row r="11144" spans="1:5" x14ac:dyDescent="0.25">
      <c r="A11144" s="36" t="b">
        <v>0</v>
      </c>
      <c r="B11144" s="56" t="b">
        <v>0</v>
      </c>
      <c r="C11144" s="56" t="b">
        <v>0</v>
      </c>
      <c r="D11144" s="56" t="b">
        <v>0</v>
      </c>
      <c r="E11144" s="56">
        <f ca="1">IF(PV[[#This Row],[Business Date]]=Control!$C$6, PV[[#This Row],[Notional Value Local Cur]], -PV[[#This Row],[Notional Value Local Cur]])</f>
        <v>0</v>
      </c>
    </row>
    <row r="11145" spans="1:5" x14ac:dyDescent="0.25">
      <c r="A11145" s="36" t="b">
        <v>0</v>
      </c>
      <c r="B11145" s="56" t="b">
        <v>0</v>
      </c>
      <c r="C11145" s="56" t="b">
        <v>0</v>
      </c>
      <c r="D11145" s="56" t="b">
        <v>0</v>
      </c>
      <c r="E11145" s="56">
        <f ca="1">IF(PV[[#This Row],[Business Date]]=Control!$C$6, PV[[#This Row],[Notional Value Local Cur]], -PV[[#This Row],[Notional Value Local Cur]])</f>
        <v>0</v>
      </c>
    </row>
    <row r="11146" spans="1:5" x14ac:dyDescent="0.25">
      <c r="A11146" s="36" t="b">
        <v>0</v>
      </c>
      <c r="B11146" s="56" t="b">
        <v>0</v>
      </c>
      <c r="C11146" s="56" t="b">
        <v>0</v>
      </c>
      <c r="D11146" s="56" t="b">
        <v>0</v>
      </c>
      <c r="E11146" s="56">
        <f ca="1">IF(PV[[#This Row],[Business Date]]=Control!$C$6, PV[[#This Row],[Notional Value Local Cur]], -PV[[#This Row],[Notional Value Local Cur]])</f>
        <v>0</v>
      </c>
    </row>
    <row r="11147" spans="1:5" x14ac:dyDescent="0.25">
      <c r="A11147" s="36" t="b">
        <v>0</v>
      </c>
      <c r="B11147" s="56" t="b">
        <v>0</v>
      </c>
      <c r="C11147" s="56" t="b">
        <v>0</v>
      </c>
      <c r="D11147" s="56" t="b">
        <v>0</v>
      </c>
      <c r="E11147" s="56">
        <f ca="1">IF(PV[[#This Row],[Business Date]]=Control!$C$6, PV[[#This Row],[Notional Value Local Cur]], -PV[[#This Row],[Notional Value Local Cur]])</f>
        <v>0</v>
      </c>
    </row>
    <row r="11148" spans="1:5" x14ac:dyDescent="0.25">
      <c r="A11148" s="36" t="b">
        <v>0</v>
      </c>
      <c r="B11148" s="56" t="b">
        <v>0</v>
      </c>
      <c r="C11148" s="56" t="b">
        <v>0</v>
      </c>
      <c r="D11148" s="56" t="b">
        <v>0</v>
      </c>
      <c r="E11148" s="56">
        <f ca="1">IF(PV[[#This Row],[Business Date]]=Control!$C$6, PV[[#This Row],[Notional Value Local Cur]], -PV[[#This Row],[Notional Value Local Cur]])</f>
        <v>0</v>
      </c>
    </row>
    <row r="11149" spans="1:5" x14ac:dyDescent="0.25">
      <c r="A11149" s="36" t="b">
        <v>0</v>
      </c>
      <c r="B11149" s="56" t="b">
        <v>0</v>
      </c>
      <c r="C11149" s="56" t="b">
        <v>0</v>
      </c>
      <c r="D11149" s="56" t="b">
        <v>0</v>
      </c>
      <c r="E11149" s="56">
        <f ca="1">IF(PV[[#This Row],[Business Date]]=Control!$C$6, PV[[#This Row],[Notional Value Local Cur]], -PV[[#This Row],[Notional Value Local Cur]])</f>
        <v>0</v>
      </c>
    </row>
    <row r="11150" spans="1:5" x14ac:dyDescent="0.25">
      <c r="A11150" s="36" t="b">
        <v>0</v>
      </c>
      <c r="B11150" s="56" t="b">
        <v>0</v>
      </c>
      <c r="C11150" s="56" t="b">
        <v>0</v>
      </c>
      <c r="D11150" s="56" t="b">
        <v>0</v>
      </c>
      <c r="E11150" s="56">
        <f ca="1">IF(PV[[#This Row],[Business Date]]=Control!$C$6, PV[[#This Row],[Notional Value Local Cur]], -PV[[#This Row],[Notional Value Local Cur]])</f>
        <v>0</v>
      </c>
    </row>
    <row r="11151" spans="1:5" x14ac:dyDescent="0.25">
      <c r="A11151" s="36" t="b">
        <v>0</v>
      </c>
      <c r="B11151" s="56" t="b">
        <v>0</v>
      </c>
      <c r="C11151" s="56" t="b">
        <v>0</v>
      </c>
      <c r="D11151" s="56" t="b">
        <v>0</v>
      </c>
      <c r="E11151" s="56">
        <f ca="1">IF(PV[[#This Row],[Business Date]]=Control!$C$6, PV[[#This Row],[Notional Value Local Cur]], -PV[[#This Row],[Notional Value Local Cur]])</f>
        <v>0</v>
      </c>
    </row>
    <row r="11152" spans="1:5" x14ac:dyDescent="0.25">
      <c r="A11152" s="36" t="b">
        <v>0</v>
      </c>
      <c r="B11152" s="56" t="b">
        <v>0</v>
      </c>
      <c r="C11152" s="56" t="b">
        <v>0</v>
      </c>
      <c r="D11152" s="56" t="b">
        <v>0</v>
      </c>
      <c r="E11152" s="56">
        <f ca="1">IF(PV[[#This Row],[Business Date]]=Control!$C$6, PV[[#This Row],[Notional Value Local Cur]], -PV[[#This Row],[Notional Value Local Cur]])</f>
        <v>0</v>
      </c>
    </row>
    <row r="11153" spans="1:5" x14ac:dyDescent="0.25">
      <c r="A11153" s="36" t="b">
        <v>0</v>
      </c>
      <c r="B11153" s="56" t="b">
        <v>0</v>
      </c>
      <c r="C11153" s="56" t="b">
        <v>0</v>
      </c>
      <c r="D11153" s="56" t="b">
        <v>0</v>
      </c>
      <c r="E11153" s="56">
        <f ca="1">IF(PV[[#This Row],[Business Date]]=Control!$C$6, PV[[#This Row],[Notional Value Local Cur]], -PV[[#This Row],[Notional Value Local Cur]])</f>
        <v>0</v>
      </c>
    </row>
    <row r="11154" spans="1:5" x14ac:dyDescent="0.25">
      <c r="A11154" s="36" t="b">
        <v>0</v>
      </c>
      <c r="B11154" s="56" t="b">
        <v>0</v>
      </c>
      <c r="C11154" s="56" t="b">
        <v>0</v>
      </c>
      <c r="D11154" s="56" t="b">
        <v>0</v>
      </c>
      <c r="E11154" s="56">
        <f ca="1">IF(PV[[#This Row],[Business Date]]=Control!$C$6, PV[[#This Row],[Notional Value Local Cur]], -PV[[#This Row],[Notional Value Local Cur]])</f>
        <v>0</v>
      </c>
    </row>
    <row r="11155" spans="1:5" x14ac:dyDescent="0.25">
      <c r="A11155" s="36" t="b">
        <v>0</v>
      </c>
      <c r="B11155" s="56" t="b">
        <v>0</v>
      </c>
      <c r="C11155" s="56" t="b">
        <v>0</v>
      </c>
      <c r="D11155" s="56" t="b">
        <v>0</v>
      </c>
      <c r="E11155" s="56">
        <f ca="1">IF(PV[[#This Row],[Business Date]]=Control!$C$6, PV[[#This Row],[Notional Value Local Cur]], -PV[[#This Row],[Notional Value Local Cur]])</f>
        <v>0</v>
      </c>
    </row>
    <row r="11156" spans="1:5" x14ac:dyDescent="0.25">
      <c r="A11156" s="36" t="b">
        <v>0</v>
      </c>
      <c r="B11156" s="56" t="b">
        <v>0</v>
      </c>
      <c r="C11156" s="56" t="b">
        <v>0</v>
      </c>
      <c r="D11156" s="56" t="b">
        <v>0</v>
      </c>
      <c r="E11156" s="56">
        <f ca="1">IF(PV[[#This Row],[Business Date]]=Control!$C$6, PV[[#This Row],[Notional Value Local Cur]], -PV[[#This Row],[Notional Value Local Cur]])</f>
        <v>0</v>
      </c>
    </row>
    <row r="11157" spans="1:5" x14ac:dyDescent="0.25">
      <c r="A11157" s="36" t="b">
        <v>0</v>
      </c>
      <c r="B11157" s="56" t="b">
        <v>0</v>
      </c>
      <c r="C11157" s="56" t="b">
        <v>0</v>
      </c>
      <c r="D11157" s="56" t="b">
        <v>0</v>
      </c>
      <c r="E11157" s="56">
        <f ca="1">IF(PV[[#This Row],[Business Date]]=Control!$C$6, PV[[#This Row],[Notional Value Local Cur]], -PV[[#This Row],[Notional Value Local Cur]])</f>
        <v>0</v>
      </c>
    </row>
    <row r="11158" spans="1:5" x14ac:dyDescent="0.25">
      <c r="A11158" s="36" t="b">
        <v>0</v>
      </c>
      <c r="B11158" s="56" t="b">
        <v>0</v>
      </c>
      <c r="C11158" s="56" t="b">
        <v>0</v>
      </c>
      <c r="D11158" s="56" t="b">
        <v>0</v>
      </c>
      <c r="E11158" s="56">
        <f ca="1">IF(PV[[#This Row],[Business Date]]=Control!$C$6, PV[[#This Row],[Notional Value Local Cur]], -PV[[#This Row],[Notional Value Local Cur]])</f>
        <v>0</v>
      </c>
    </row>
    <row r="11159" spans="1:5" x14ac:dyDescent="0.25">
      <c r="A11159" s="36" t="b">
        <v>0</v>
      </c>
      <c r="B11159" s="56" t="b">
        <v>0</v>
      </c>
      <c r="C11159" s="56" t="b">
        <v>0</v>
      </c>
      <c r="D11159" s="56" t="b">
        <v>0</v>
      </c>
      <c r="E11159" s="56">
        <f ca="1">IF(PV[[#This Row],[Business Date]]=Control!$C$6, PV[[#This Row],[Notional Value Local Cur]], -PV[[#This Row],[Notional Value Local Cur]])</f>
        <v>0</v>
      </c>
    </row>
    <row r="11160" spans="1:5" x14ac:dyDescent="0.25">
      <c r="A11160" s="36" t="b">
        <v>0</v>
      </c>
      <c r="B11160" s="56" t="b">
        <v>0</v>
      </c>
      <c r="C11160" s="56" t="b">
        <v>0</v>
      </c>
      <c r="D11160" s="56" t="b">
        <v>0</v>
      </c>
      <c r="E11160" s="56">
        <f ca="1">IF(PV[[#This Row],[Business Date]]=Control!$C$6, PV[[#This Row],[Notional Value Local Cur]], -PV[[#This Row],[Notional Value Local Cur]])</f>
        <v>0</v>
      </c>
    </row>
    <row r="11161" spans="1:5" x14ac:dyDescent="0.25">
      <c r="A11161" s="36" t="b">
        <v>0</v>
      </c>
      <c r="B11161" s="56" t="b">
        <v>0</v>
      </c>
      <c r="C11161" s="56" t="b">
        <v>0</v>
      </c>
      <c r="D11161" s="56" t="b">
        <v>0</v>
      </c>
      <c r="E11161" s="56">
        <f ca="1">IF(PV[[#This Row],[Business Date]]=Control!$C$6, PV[[#This Row],[Notional Value Local Cur]], -PV[[#This Row],[Notional Value Local Cur]])</f>
        <v>0</v>
      </c>
    </row>
    <row r="11162" spans="1:5" x14ac:dyDescent="0.25">
      <c r="A11162" s="36" t="b">
        <v>0</v>
      </c>
      <c r="B11162" s="56" t="b">
        <v>0</v>
      </c>
      <c r="C11162" s="56" t="b">
        <v>0</v>
      </c>
      <c r="D11162" s="56" t="b">
        <v>0</v>
      </c>
      <c r="E11162" s="56">
        <f ca="1">IF(PV[[#This Row],[Business Date]]=Control!$C$6, PV[[#This Row],[Notional Value Local Cur]], -PV[[#This Row],[Notional Value Local Cur]])</f>
        <v>0</v>
      </c>
    </row>
    <row r="11163" spans="1:5" x14ac:dyDescent="0.25">
      <c r="A11163" s="36" t="b">
        <v>0</v>
      </c>
      <c r="B11163" s="56" t="b">
        <v>0</v>
      </c>
      <c r="C11163" s="56" t="b">
        <v>0</v>
      </c>
      <c r="D11163" s="56" t="b">
        <v>0</v>
      </c>
      <c r="E11163" s="56">
        <f ca="1">IF(PV[[#This Row],[Business Date]]=Control!$C$6, PV[[#This Row],[Notional Value Local Cur]], -PV[[#This Row],[Notional Value Local Cur]])</f>
        <v>0</v>
      </c>
    </row>
    <row r="11164" spans="1:5" x14ac:dyDescent="0.25">
      <c r="A11164" s="36" t="b">
        <v>0</v>
      </c>
      <c r="B11164" s="56" t="b">
        <v>0</v>
      </c>
      <c r="C11164" s="56" t="b">
        <v>0</v>
      </c>
      <c r="D11164" s="56" t="b">
        <v>0</v>
      </c>
      <c r="E11164" s="56">
        <f ca="1">IF(PV[[#This Row],[Business Date]]=Control!$C$6, PV[[#This Row],[Notional Value Local Cur]], -PV[[#This Row],[Notional Value Local Cur]])</f>
        <v>0</v>
      </c>
    </row>
    <row r="11165" spans="1:5" x14ac:dyDescent="0.25">
      <c r="A11165" s="36" t="b">
        <v>0</v>
      </c>
      <c r="B11165" s="56" t="b">
        <v>0</v>
      </c>
      <c r="C11165" s="56" t="b">
        <v>0</v>
      </c>
      <c r="D11165" s="56" t="b">
        <v>0</v>
      </c>
      <c r="E11165" s="56">
        <f ca="1">IF(PV[[#This Row],[Business Date]]=Control!$C$6, PV[[#This Row],[Notional Value Local Cur]], -PV[[#This Row],[Notional Value Local Cur]])</f>
        <v>0</v>
      </c>
    </row>
    <row r="11166" spans="1:5" x14ac:dyDescent="0.25">
      <c r="A11166" s="36" t="b">
        <v>0</v>
      </c>
      <c r="B11166" s="56" t="b">
        <v>0</v>
      </c>
      <c r="C11166" s="56" t="b">
        <v>0</v>
      </c>
      <c r="D11166" s="56" t="b">
        <v>0</v>
      </c>
      <c r="E11166" s="56">
        <f ca="1">IF(PV[[#This Row],[Business Date]]=Control!$C$6, PV[[#This Row],[Notional Value Local Cur]], -PV[[#This Row],[Notional Value Local Cur]])</f>
        <v>0</v>
      </c>
    </row>
    <row r="11167" spans="1:5" x14ac:dyDescent="0.25">
      <c r="A11167" s="36" t="b">
        <v>0</v>
      </c>
      <c r="B11167" s="56" t="b">
        <v>0</v>
      </c>
      <c r="C11167" s="56" t="b">
        <v>0</v>
      </c>
      <c r="D11167" s="56" t="b">
        <v>0</v>
      </c>
      <c r="E11167" s="56">
        <f ca="1">IF(PV[[#This Row],[Business Date]]=Control!$C$6, PV[[#This Row],[Notional Value Local Cur]], -PV[[#This Row],[Notional Value Local Cur]])</f>
        <v>0</v>
      </c>
    </row>
    <row r="11168" spans="1:5" x14ac:dyDescent="0.25">
      <c r="A11168" s="36" t="b">
        <v>0</v>
      </c>
      <c r="B11168" s="56" t="b">
        <v>0</v>
      </c>
      <c r="C11168" s="56" t="b">
        <v>0</v>
      </c>
      <c r="D11168" s="56" t="b">
        <v>0</v>
      </c>
      <c r="E11168" s="56">
        <f ca="1">IF(PV[[#This Row],[Business Date]]=Control!$C$6, PV[[#This Row],[Notional Value Local Cur]], -PV[[#This Row],[Notional Value Local Cur]])</f>
        <v>0</v>
      </c>
    </row>
    <row r="11169" spans="1:5" x14ac:dyDescent="0.25">
      <c r="A11169" s="36" t="b">
        <v>0</v>
      </c>
      <c r="B11169" s="56" t="b">
        <v>0</v>
      </c>
      <c r="C11169" s="56" t="b">
        <v>0</v>
      </c>
      <c r="D11169" s="56" t="b">
        <v>0</v>
      </c>
      <c r="E11169" s="56">
        <f ca="1">IF(PV[[#This Row],[Business Date]]=Control!$C$6, PV[[#This Row],[Notional Value Local Cur]], -PV[[#This Row],[Notional Value Local Cur]])</f>
        <v>0</v>
      </c>
    </row>
    <row r="11170" spans="1:5" x14ac:dyDescent="0.25">
      <c r="A11170" s="36" t="b">
        <v>0</v>
      </c>
      <c r="B11170" s="56" t="b">
        <v>0</v>
      </c>
      <c r="C11170" s="56" t="b">
        <v>0</v>
      </c>
      <c r="D11170" s="56" t="b">
        <v>0</v>
      </c>
      <c r="E11170" s="56">
        <f ca="1">IF(PV[[#This Row],[Business Date]]=Control!$C$6, PV[[#This Row],[Notional Value Local Cur]], -PV[[#This Row],[Notional Value Local Cur]])</f>
        <v>0</v>
      </c>
    </row>
    <row r="11171" spans="1:5" x14ac:dyDescent="0.25">
      <c r="A11171" s="36" t="b">
        <v>0</v>
      </c>
      <c r="B11171" s="56" t="b">
        <v>0</v>
      </c>
      <c r="C11171" s="56" t="b">
        <v>0</v>
      </c>
      <c r="D11171" s="56" t="b">
        <v>0</v>
      </c>
      <c r="E11171" s="56">
        <f ca="1">IF(PV[[#This Row],[Business Date]]=Control!$C$6, PV[[#This Row],[Notional Value Local Cur]], -PV[[#This Row],[Notional Value Local Cur]])</f>
        <v>0</v>
      </c>
    </row>
    <row r="11172" spans="1:5" x14ac:dyDescent="0.25">
      <c r="A11172" s="36" t="b">
        <v>0</v>
      </c>
      <c r="B11172" s="56" t="b">
        <v>0</v>
      </c>
      <c r="C11172" s="56" t="b">
        <v>0</v>
      </c>
      <c r="D11172" s="56" t="b">
        <v>0</v>
      </c>
      <c r="E11172" s="56">
        <f ca="1">IF(PV[[#This Row],[Business Date]]=Control!$C$6, PV[[#This Row],[Notional Value Local Cur]], -PV[[#This Row],[Notional Value Local Cur]])</f>
        <v>0</v>
      </c>
    </row>
    <row r="11173" spans="1:5" x14ac:dyDescent="0.25">
      <c r="A11173" s="36" t="b">
        <v>0</v>
      </c>
      <c r="B11173" s="56" t="b">
        <v>0</v>
      </c>
      <c r="C11173" s="56" t="b">
        <v>0</v>
      </c>
      <c r="D11173" s="56" t="b">
        <v>0</v>
      </c>
      <c r="E11173" s="56">
        <f ca="1">IF(PV[[#This Row],[Business Date]]=Control!$C$6, PV[[#This Row],[Notional Value Local Cur]], -PV[[#This Row],[Notional Value Local Cur]])</f>
        <v>0</v>
      </c>
    </row>
    <row r="11174" spans="1:5" x14ac:dyDescent="0.25">
      <c r="A11174" s="36" t="b">
        <v>0</v>
      </c>
      <c r="B11174" s="56" t="b">
        <v>0</v>
      </c>
      <c r="C11174" s="56" t="b">
        <v>0</v>
      </c>
      <c r="D11174" s="56" t="b">
        <v>0</v>
      </c>
      <c r="E11174" s="56">
        <f ca="1">IF(PV[[#This Row],[Business Date]]=Control!$C$6, PV[[#This Row],[Notional Value Local Cur]], -PV[[#This Row],[Notional Value Local Cur]])</f>
        <v>0</v>
      </c>
    </row>
    <row r="11175" spans="1:5" x14ac:dyDescent="0.25">
      <c r="A11175" s="36" t="b">
        <v>0</v>
      </c>
      <c r="B11175" s="56" t="b">
        <v>0</v>
      </c>
      <c r="C11175" s="56" t="b">
        <v>0</v>
      </c>
      <c r="D11175" s="56" t="b">
        <v>0</v>
      </c>
      <c r="E11175" s="56">
        <f ca="1">IF(PV[[#This Row],[Business Date]]=Control!$C$6, PV[[#This Row],[Notional Value Local Cur]], -PV[[#This Row],[Notional Value Local Cur]])</f>
        <v>0</v>
      </c>
    </row>
    <row r="11176" spans="1:5" x14ac:dyDescent="0.25">
      <c r="A11176" s="36" t="b">
        <v>0</v>
      </c>
      <c r="B11176" s="56" t="b">
        <v>0</v>
      </c>
      <c r="C11176" s="56" t="b">
        <v>0</v>
      </c>
      <c r="D11176" s="56" t="b">
        <v>0</v>
      </c>
      <c r="E11176" s="56">
        <f ca="1">IF(PV[[#This Row],[Business Date]]=Control!$C$6, PV[[#This Row],[Notional Value Local Cur]], -PV[[#This Row],[Notional Value Local Cur]])</f>
        <v>0</v>
      </c>
    </row>
    <row r="11177" spans="1:5" x14ac:dyDescent="0.25">
      <c r="A11177" s="36" t="b">
        <v>0</v>
      </c>
      <c r="B11177" s="56" t="b">
        <v>0</v>
      </c>
      <c r="C11177" s="56" t="b">
        <v>0</v>
      </c>
      <c r="D11177" s="56" t="b">
        <v>0</v>
      </c>
      <c r="E11177" s="56">
        <f ca="1">IF(PV[[#This Row],[Business Date]]=Control!$C$6, PV[[#This Row],[Notional Value Local Cur]], -PV[[#This Row],[Notional Value Local Cur]])</f>
        <v>0</v>
      </c>
    </row>
    <row r="11178" spans="1:5" x14ac:dyDescent="0.25">
      <c r="A11178" s="36" t="b">
        <v>0</v>
      </c>
      <c r="B11178" s="56" t="b">
        <v>0</v>
      </c>
      <c r="C11178" s="56" t="b">
        <v>0</v>
      </c>
      <c r="D11178" s="56" t="b">
        <v>0</v>
      </c>
      <c r="E11178" s="56">
        <f ca="1">IF(PV[[#This Row],[Business Date]]=Control!$C$6, PV[[#This Row],[Notional Value Local Cur]], -PV[[#This Row],[Notional Value Local Cur]])</f>
        <v>0</v>
      </c>
    </row>
    <row r="11179" spans="1:5" x14ac:dyDescent="0.25">
      <c r="A11179" s="36" t="b">
        <v>0</v>
      </c>
      <c r="B11179" s="56" t="b">
        <v>0</v>
      </c>
      <c r="C11179" s="56" t="b">
        <v>0</v>
      </c>
      <c r="D11179" s="56" t="b">
        <v>0</v>
      </c>
      <c r="E11179" s="56">
        <f ca="1">IF(PV[[#This Row],[Business Date]]=Control!$C$6, PV[[#This Row],[Notional Value Local Cur]], -PV[[#This Row],[Notional Value Local Cur]])</f>
        <v>0</v>
      </c>
    </row>
    <row r="11180" spans="1:5" x14ac:dyDescent="0.25">
      <c r="A11180" s="36" t="b">
        <v>0</v>
      </c>
      <c r="B11180" s="56" t="b">
        <v>0</v>
      </c>
      <c r="C11180" s="56" t="b">
        <v>0</v>
      </c>
      <c r="D11180" s="56" t="b">
        <v>0</v>
      </c>
      <c r="E11180" s="56">
        <f ca="1">IF(PV[[#This Row],[Business Date]]=Control!$C$6, PV[[#This Row],[Notional Value Local Cur]], -PV[[#This Row],[Notional Value Local Cur]])</f>
        <v>0</v>
      </c>
    </row>
    <row r="11181" spans="1:5" x14ac:dyDescent="0.25">
      <c r="A11181" s="36" t="b">
        <v>0</v>
      </c>
      <c r="B11181" s="56" t="b">
        <v>0</v>
      </c>
      <c r="C11181" s="56" t="b">
        <v>0</v>
      </c>
      <c r="D11181" s="56" t="b">
        <v>0</v>
      </c>
      <c r="E11181" s="56">
        <f ca="1">IF(PV[[#This Row],[Business Date]]=Control!$C$6, PV[[#This Row],[Notional Value Local Cur]], -PV[[#This Row],[Notional Value Local Cur]])</f>
        <v>0</v>
      </c>
    </row>
    <row r="11182" spans="1:5" x14ac:dyDescent="0.25">
      <c r="A11182" s="36" t="b">
        <v>0</v>
      </c>
      <c r="B11182" s="56" t="b">
        <v>0</v>
      </c>
      <c r="C11182" s="56" t="b">
        <v>0</v>
      </c>
      <c r="D11182" s="56" t="b">
        <v>0</v>
      </c>
      <c r="E11182" s="56">
        <f ca="1">IF(PV[[#This Row],[Business Date]]=Control!$C$6, PV[[#This Row],[Notional Value Local Cur]], -PV[[#This Row],[Notional Value Local Cur]])</f>
        <v>0</v>
      </c>
    </row>
    <row r="11183" spans="1:5" x14ac:dyDescent="0.25">
      <c r="A11183" s="36" t="b">
        <v>0</v>
      </c>
      <c r="B11183" s="56" t="b">
        <v>0</v>
      </c>
      <c r="C11183" s="56" t="b">
        <v>0</v>
      </c>
      <c r="D11183" s="56" t="b">
        <v>0</v>
      </c>
      <c r="E11183" s="56">
        <f ca="1">IF(PV[[#This Row],[Business Date]]=Control!$C$6, PV[[#This Row],[Notional Value Local Cur]], -PV[[#This Row],[Notional Value Local Cur]])</f>
        <v>0</v>
      </c>
    </row>
    <row r="11184" spans="1:5" x14ac:dyDescent="0.25">
      <c r="A11184" s="36" t="b">
        <v>0</v>
      </c>
      <c r="B11184" s="56" t="b">
        <v>0</v>
      </c>
      <c r="C11184" s="56" t="b">
        <v>0</v>
      </c>
      <c r="D11184" s="56" t="b">
        <v>0</v>
      </c>
      <c r="E11184" s="56">
        <f ca="1">IF(PV[[#This Row],[Business Date]]=Control!$C$6, PV[[#This Row],[Notional Value Local Cur]], -PV[[#This Row],[Notional Value Local Cur]])</f>
        <v>0</v>
      </c>
    </row>
    <row r="11185" spans="1:5" x14ac:dyDescent="0.25">
      <c r="A11185" s="36" t="b">
        <v>0</v>
      </c>
      <c r="B11185" s="56" t="b">
        <v>0</v>
      </c>
      <c r="C11185" s="56" t="b">
        <v>0</v>
      </c>
      <c r="D11185" s="56" t="b">
        <v>0</v>
      </c>
      <c r="E11185" s="56">
        <f ca="1">IF(PV[[#This Row],[Business Date]]=Control!$C$6, PV[[#This Row],[Notional Value Local Cur]], -PV[[#This Row],[Notional Value Local Cur]])</f>
        <v>0</v>
      </c>
    </row>
    <row r="11186" spans="1:5" x14ac:dyDescent="0.25">
      <c r="A11186" s="36" t="b">
        <v>0</v>
      </c>
      <c r="B11186" s="56" t="b">
        <v>0</v>
      </c>
      <c r="C11186" s="56" t="b">
        <v>0</v>
      </c>
      <c r="D11186" s="56" t="b">
        <v>0</v>
      </c>
      <c r="E11186" s="56">
        <f ca="1">IF(PV[[#This Row],[Business Date]]=Control!$C$6, PV[[#This Row],[Notional Value Local Cur]], -PV[[#This Row],[Notional Value Local Cur]])</f>
        <v>0</v>
      </c>
    </row>
    <row r="11187" spans="1:5" x14ac:dyDescent="0.25">
      <c r="A11187" s="36" t="b">
        <v>0</v>
      </c>
      <c r="B11187" s="56" t="b">
        <v>0</v>
      </c>
      <c r="C11187" s="56" t="b">
        <v>0</v>
      </c>
      <c r="D11187" s="56" t="b">
        <v>0</v>
      </c>
      <c r="E11187" s="56">
        <f ca="1">IF(PV[[#This Row],[Business Date]]=Control!$C$6, PV[[#This Row],[Notional Value Local Cur]], -PV[[#This Row],[Notional Value Local Cur]])</f>
        <v>0</v>
      </c>
    </row>
    <row r="11188" spans="1:5" x14ac:dyDescent="0.25">
      <c r="A11188" s="36" t="b">
        <v>0</v>
      </c>
      <c r="B11188" s="56" t="b">
        <v>0</v>
      </c>
      <c r="C11188" s="56" t="b">
        <v>0</v>
      </c>
      <c r="D11188" s="56" t="b">
        <v>0</v>
      </c>
      <c r="E11188" s="56">
        <f ca="1">IF(PV[[#This Row],[Business Date]]=Control!$C$6, PV[[#This Row],[Notional Value Local Cur]], -PV[[#This Row],[Notional Value Local Cur]])</f>
        <v>0</v>
      </c>
    </row>
    <row r="11189" spans="1:5" x14ac:dyDescent="0.25">
      <c r="A11189" s="36" t="b">
        <v>0</v>
      </c>
      <c r="B11189" s="56" t="b">
        <v>0</v>
      </c>
      <c r="C11189" s="56" t="b">
        <v>0</v>
      </c>
      <c r="D11189" s="56" t="b">
        <v>0</v>
      </c>
      <c r="E11189" s="56">
        <f ca="1">IF(PV[[#This Row],[Business Date]]=Control!$C$6, PV[[#This Row],[Notional Value Local Cur]], -PV[[#This Row],[Notional Value Local Cur]])</f>
        <v>0</v>
      </c>
    </row>
    <row r="11190" spans="1:5" x14ac:dyDescent="0.25">
      <c r="A11190" s="36" t="b">
        <v>0</v>
      </c>
      <c r="B11190" s="56" t="b">
        <v>0</v>
      </c>
      <c r="C11190" s="56" t="b">
        <v>0</v>
      </c>
      <c r="D11190" s="56" t="b">
        <v>0</v>
      </c>
      <c r="E11190" s="56">
        <f ca="1">IF(PV[[#This Row],[Business Date]]=Control!$C$6, PV[[#This Row],[Notional Value Local Cur]], -PV[[#This Row],[Notional Value Local Cur]])</f>
        <v>0</v>
      </c>
    </row>
    <row r="11191" spans="1:5" x14ac:dyDescent="0.25">
      <c r="A11191" s="36" t="b">
        <v>0</v>
      </c>
      <c r="B11191" s="56" t="b">
        <v>0</v>
      </c>
      <c r="C11191" s="56" t="b">
        <v>0</v>
      </c>
      <c r="D11191" s="56" t="b">
        <v>0</v>
      </c>
      <c r="E11191" s="56">
        <f ca="1">IF(PV[[#This Row],[Business Date]]=Control!$C$6, PV[[#This Row],[Notional Value Local Cur]], -PV[[#This Row],[Notional Value Local Cur]])</f>
        <v>0</v>
      </c>
    </row>
    <row r="11192" spans="1:5" x14ac:dyDescent="0.25">
      <c r="A11192" s="36" t="b">
        <v>0</v>
      </c>
      <c r="B11192" s="56" t="b">
        <v>0</v>
      </c>
      <c r="C11192" s="56" t="b">
        <v>0</v>
      </c>
      <c r="D11192" s="56" t="b">
        <v>0</v>
      </c>
      <c r="E11192" s="56">
        <f ca="1">IF(PV[[#This Row],[Business Date]]=Control!$C$6, PV[[#This Row],[Notional Value Local Cur]], -PV[[#This Row],[Notional Value Local Cur]])</f>
        <v>0</v>
      </c>
    </row>
    <row r="11193" spans="1:5" x14ac:dyDescent="0.25">
      <c r="A11193" s="36" t="b">
        <v>0</v>
      </c>
      <c r="B11193" s="56" t="b">
        <v>0</v>
      </c>
      <c r="C11193" s="56" t="b">
        <v>0</v>
      </c>
      <c r="D11193" s="56" t="b">
        <v>0</v>
      </c>
      <c r="E11193" s="56">
        <f ca="1">IF(PV[[#This Row],[Business Date]]=Control!$C$6, PV[[#This Row],[Notional Value Local Cur]], -PV[[#This Row],[Notional Value Local Cur]])</f>
        <v>0</v>
      </c>
    </row>
    <row r="11194" spans="1:5" x14ac:dyDescent="0.25">
      <c r="A11194" s="36" t="b">
        <v>0</v>
      </c>
      <c r="B11194" s="56" t="b">
        <v>0</v>
      </c>
      <c r="C11194" s="56" t="b">
        <v>0</v>
      </c>
      <c r="D11194" s="56" t="b">
        <v>0</v>
      </c>
      <c r="E11194" s="56">
        <f ca="1">IF(PV[[#This Row],[Business Date]]=Control!$C$6, PV[[#This Row],[Notional Value Local Cur]], -PV[[#This Row],[Notional Value Local Cur]])</f>
        <v>0</v>
      </c>
    </row>
    <row r="11195" spans="1:5" x14ac:dyDescent="0.25">
      <c r="A11195" s="36" t="b">
        <v>0</v>
      </c>
      <c r="B11195" s="56" t="b">
        <v>0</v>
      </c>
      <c r="C11195" s="56" t="b">
        <v>0</v>
      </c>
      <c r="D11195" s="56" t="b">
        <v>0</v>
      </c>
      <c r="E11195" s="56">
        <f ca="1">IF(PV[[#This Row],[Business Date]]=Control!$C$6, PV[[#This Row],[Notional Value Local Cur]], -PV[[#This Row],[Notional Value Local Cur]])</f>
        <v>0</v>
      </c>
    </row>
    <row r="11196" spans="1:5" x14ac:dyDescent="0.25">
      <c r="A11196" s="36" t="b">
        <v>0</v>
      </c>
      <c r="B11196" s="56" t="b">
        <v>0</v>
      </c>
      <c r="C11196" s="56" t="b">
        <v>0</v>
      </c>
      <c r="D11196" s="56" t="b">
        <v>0</v>
      </c>
      <c r="E11196" s="56">
        <f ca="1">IF(PV[[#This Row],[Business Date]]=Control!$C$6, PV[[#This Row],[Notional Value Local Cur]], -PV[[#This Row],[Notional Value Local Cur]])</f>
        <v>0</v>
      </c>
    </row>
    <row r="11197" spans="1:5" x14ac:dyDescent="0.25">
      <c r="A11197" s="36" t="b">
        <v>0</v>
      </c>
      <c r="B11197" s="56" t="b">
        <v>0</v>
      </c>
      <c r="C11197" s="56" t="b">
        <v>0</v>
      </c>
      <c r="D11197" s="56" t="b">
        <v>0</v>
      </c>
      <c r="E11197" s="56">
        <f ca="1">IF(PV[[#This Row],[Business Date]]=Control!$C$6, PV[[#This Row],[Notional Value Local Cur]], -PV[[#This Row],[Notional Value Local Cur]])</f>
        <v>0</v>
      </c>
    </row>
    <row r="11198" spans="1:5" x14ac:dyDescent="0.25">
      <c r="A11198" s="36" t="b">
        <v>0</v>
      </c>
      <c r="B11198" s="56" t="b">
        <v>0</v>
      </c>
      <c r="C11198" s="56" t="b">
        <v>0</v>
      </c>
      <c r="D11198" s="56" t="b">
        <v>0</v>
      </c>
      <c r="E11198" s="56">
        <f ca="1">IF(PV[[#This Row],[Business Date]]=Control!$C$6, PV[[#This Row],[Notional Value Local Cur]], -PV[[#This Row],[Notional Value Local Cur]])</f>
        <v>0</v>
      </c>
    </row>
    <row r="11199" spans="1:5" x14ac:dyDescent="0.25">
      <c r="A11199" s="36" t="b">
        <v>0</v>
      </c>
      <c r="B11199" s="56" t="b">
        <v>0</v>
      </c>
      <c r="C11199" s="56" t="b">
        <v>0</v>
      </c>
      <c r="D11199" s="56" t="b">
        <v>0</v>
      </c>
      <c r="E11199" s="56">
        <f ca="1">IF(PV[[#This Row],[Business Date]]=Control!$C$6, PV[[#This Row],[Notional Value Local Cur]], -PV[[#This Row],[Notional Value Local Cur]])</f>
        <v>0</v>
      </c>
    </row>
    <row r="11200" spans="1:5" x14ac:dyDescent="0.25">
      <c r="A11200" s="36" t="b">
        <v>0</v>
      </c>
      <c r="B11200" s="56" t="b">
        <v>0</v>
      </c>
      <c r="C11200" s="56" t="b">
        <v>0</v>
      </c>
      <c r="D11200" s="56" t="b">
        <v>0</v>
      </c>
      <c r="E11200" s="56">
        <f ca="1">IF(PV[[#This Row],[Business Date]]=Control!$C$6, PV[[#This Row],[Notional Value Local Cur]], -PV[[#This Row],[Notional Value Local Cur]])</f>
        <v>0</v>
      </c>
    </row>
    <row r="11201" spans="1:5" x14ac:dyDescent="0.25">
      <c r="A11201" s="36" t="b">
        <v>0</v>
      </c>
      <c r="B11201" s="56" t="b">
        <v>0</v>
      </c>
      <c r="C11201" s="56" t="b">
        <v>0</v>
      </c>
      <c r="D11201" s="56" t="b">
        <v>0</v>
      </c>
      <c r="E11201" s="56">
        <f ca="1">IF(PV[[#This Row],[Business Date]]=Control!$C$6, PV[[#This Row],[Notional Value Local Cur]], -PV[[#This Row],[Notional Value Local Cur]])</f>
        <v>0</v>
      </c>
    </row>
    <row r="11202" spans="1:5" x14ac:dyDescent="0.25">
      <c r="A11202" s="36" t="b">
        <v>0</v>
      </c>
      <c r="B11202" s="56" t="b">
        <v>0</v>
      </c>
      <c r="C11202" s="56" t="b">
        <v>0</v>
      </c>
      <c r="D11202" s="56" t="b">
        <v>0</v>
      </c>
      <c r="E11202" s="56">
        <f ca="1">IF(PV[[#This Row],[Business Date]]=Control!$C$6, PV[[#This Row],[Notional Value Local Cur]], -PV[[#This Row],[Notional Value Local Cur]])</f>
        <v>0</v>
      </c>
    </row>
    <row r="11203" spans="1:5" x14ac:dyDescent="0.25">
      <c r="A11203" s="36" t="b">
        <v>0</v>
      </c>
      <c r="B11203" s="56" t="b">
        <v>0</v>
      </c>
      <c r="C11203" s="56" t="b">
        <v>0</v>
      </c>
      <c r="D11203" s="56" t="b">
        <v>0</v>
      </c>
      <c r="E11203" s="56">
        <f ca="1">IF(PV[[#This Row],[Business Date]]=Control!$C$6, PV[[#This Row],[Notional Value Local Cur]], -PV[[#This Row],[Notional Value Local Cur]])</f>
        <v>0</v>
      </c>
    </row>
    <row r="11204" spans="1:5" x14ac:dyDescent="0.25">
      <c r="A11204" s="36" t="b">
        <v>0</v>
      </c>
      <c r="B11204" s="56" t="b">
        <v>0</v>
      </c>
      <c r="C11204" s="56" t="b">
        <v>0</v>
      </c>
      <c r="D11204" s="56" t="b">
        <v>0</v>
      </c>
      <c r="E11204" s="56">
        <f ca="1">IF(PV[[#This Row],[Business Date]]=Control!$C$6, PV[[#This Row],[Notional Value Local Cur]], -PV[[#This Row],[Notional Value Local Cur]])</f>
        <v>0</v>
      </c>
    </row>
    <row r="11205" spans="1:5" x14ac:dyDescent="0.25">
      <c r="A11205" s="36" t="b">
        <v>0</v>
      </c>
      <c r="B11205" s="56" t="b">
        <v>0</v>
      </c>
      <c r="C11205" s="56" t="b">
        <v>0</v>
      </c>
      <c r="D11205" s="56" t="b">
        <v>0</v>
      </c>
      <c r="E11205" s="56">
        <f ca="1">IF(PV[[#This Row],[Business Date]]=Control!$C$6, PV[[#This Row],[Notional Value Local Cur]], -PV[[#This Row],[Notional Value Local Cur]])</f>
        <v>0</v>
      </c>
    </row>
    <row r="11206" spans="1:5" x14ac:dyDescent="0.25">
      <c r="A11206" s="36" t="b">
        <v>0</v>
      </c>
      <c r="B11206" s="56" t="b">
        <v>0</v>
      </c>
      <c r="C11206" s="56" t="b">
        <v>0</v>
      </c>
      <c r="D11206" s="56" t="b">
        <v>0</v>
      </c>
      <c r="E11206" s="56">
        <f ca="1">IF(PV[[#This Row],[Business Date]]=Control!$C$6, PV[[#This Row],[Notional Value Local Cur]], -PV[[#This Row],[Notional Value Local Cur]])</f>
        <v>0</v>
      </c>
    </row>
    <row r="11207" spans="1:5" x14ac:dyDescent="0.25">
      <c r="A11207" s="36" t="b">
        <v>0</v>
      </c>
      <c r="B11207" s="56" t="b">
        <v>0</v>
      </c>
      <c r="C11207" s="56" t="b">
        <v>0</v>
      </c>
      <c r="D11207" s="56" t="b">
        <v>0</v>
      </c>
      <c r="E11207" s="56">
        <f ca="1">IF(PV[[#This Row],[Business Date]]=Control!$C$6, PV[[#This Row],[Notional Value Local Cur]], -PV[[#This Row],[Notional Value Local Cur]])</f>
        <v>0</v>
      </c>
    </row>
    <row r="11208" spans="1:5" x14ac:dyDescent="0.25">
      <c r="A11208" s="36" t="b">
        <v>0</v>
      </c>
      <c r="B11208" s="56" t="b">
        <v>0</v>
      </c>
      <c r="C11208" s="56" t="b">
        <v>0</v>
      </c>
      <c r="D11208" s="56" t="b">
        <v>0</v>
      </c>
      <c r="E11208" s="56">
        <f ca="1">IF(PV[[#This Row],[Business Date]]=Control!$C$6, PV[[#This Row],[Notional Value Local Cur]], -PV[[#This Row],[Notional Value Local Cur]])</f>
        <v>0</v>
      </c>
    </row>
    <row r="11209" spans="1:5" x14ac:dyDescent="0.25">
      <c r="A11209" s="36" t="b">
        <v>0</v>
      </c>
      <c r="B11209" s="56" t="b">
        <v>0</v>
      </c>
      <c r="C11209" s="56" t="b">
        <v>0</v>
      </c>
      <c r="D11209" s="56" t="b">
        <v>0</v>
      </c>
      <c r="E11209" s="56">
        <f ca="1">IF(PV[[#This Row],[Business Date]]=Control!$C$6, PV[[#This Row],[Notional Value Local Cur]], -PV[[#This Row],[Notional Value Local Cur]])</f>
        <v>0</v>
      </c>
    </row>
    <row r="11210" spans="1:5" x14ac:dyDescent="0.25">
      <c r="A11210" s="36" t="b">
        <v>0</v>
      </c>
      <c r="B11210" s="56" t="b">
        <v>0</v>
      </c>
      <c r="C11210" s="56" t="b">
        <v>0</v>
      </c>
      <c r="D11210" s="56" t="b">
        <v>0</v>
      </c>
      <c r="E11210" s="56">
        <f ca="1">IF(PV[[#This Row],[Business Date]]=Control!$C$6, PV[[#This Row],[Notional Value Local Cur]], -PV[[#This Row],[Notional Value Local Cur]])</f>
        <v>0</v>
      </c>
    </row>
    <row r="11211" spans="1:5" x14ac:dyDescent="0.25">
      <c r="A11211" s="36" t="b">
        <v>0</v>
      </c>
      <c r="B11211" s="56" t="b">
        <v>0</v>
      </c>
      <c r="C11211" s="56" t="b">
        <v>0</v>
      </c>
      <c r="D11211" s="56" t="b">
        <v>0</v>
      </c>
      <c r="E11211" s="56">
        <f ca="1">IF(PV[[#This Row],[Business Date]]=Control!$C$6, PV[[#This Row],[Notional Value Local Cur]], -PV[[#This Row],[Notional Value Local Cur]])</f>
        <v>0</v>
      </c>
    </row>
    <row r="11212" spans="1:5" x14ac:dyDescent="0.25">
      <c r="A11212" s="36" t="b">
        <v>0</v>
      </c>
      <c r="B11212" s="56" t="b">
        <v>0</v>
      </c>
      <c r="C11212" s="56" t="b">
        <v>0</v>
      </c>
      <c r="D11212" s="56" t="b">
        <v>0</v>
      </c>
      <c r="E11212" s="56">
        <f ca="1">IF(PV[[#This Row],[Business Date]]=Control!$C$6, PV[[#This Row],[Notional Value Local Cur]], -PV[[#This Row],[Notional Value Local Cur]])</f>
        <v>0</v>
      </c>
    </row>
    <row r="11213" spans="1:5" x14ac:dyDescent="0.25">
      <c r="A11213" s="36" t="b">
        <v>0</v>
      </c>
      <c r="B11213" s="56" t="b">
        <v>0</v>
      </c>
      <c r="C11213" s="56" t="b">
        <v>0</v>
      </c>
      <c r="D11213" s="56" t="b">
        <v>0</v>
      </c>
      <c r="E11213" s="56">
        <f ca="1">IF(PV[[#This Row],[Business Date]]=Control!$C$6, PV[[#This Row],[Notional Value Local Cur]], -PV[[#This Row],[Notional Value Local Cur]])</f>
        <v>0</v>
      </c>
    </row>
    <row r="11214" spans="1:5" x14ac:dyDescent="0.25">
      <c r="A11214" s="36" t="b">
        <v>0</v>
      </c>
      <c r="B11214" s="56" t="b">
        <v>0</v>
      </c>
      <c r="C11214" s="56" t="b">
        <v>0</v>
      </c>
      <c r="D11214" s="56" t="b">
        <v>0</v>
      </c>
      <c r="E11214" s="56">
        <f ca="1">IF(PV[[#This Row],[Business Date]]=Control!$C$6, PV[[#This Row],[Notional Value Local Cur]], -PV[[#This Row],[Notional Value Local Cur]])</f>
        <v>0</v>
      </c>
    </row>
    <row r="11215" spans="1:5" x14ac:dyDescent="0.25">
      <c r="A11215" s="36" t="b">
        <v>0</v>
      </c>
      <c r="B11215" s="56" t="b">
        <v>0</v>
      </c>
      <c r="C11215" s="56" t="b">
        <v>0</v>
      </c>
      <c r="D11215" s="56" t="b">
        <v>0</v>
      </c>
      <c r="E11215" s="56">
        <f ca="1">IF(PV[[#This Row],[Business Date]]=Control!$C$6, PV[[#This Row],[Notional Value Local Cur]], -PV[[#This Row],[Notional Value Local Cur]])</f>
        <v>0</v>
      </c>
    </row>
    <row r="11216" spans="1:5" x14ac:dyDescent="0.25">
      <c r="A11216" s="36" t="b">
        <v>0</v>
      </c>
      <c r="B11216" s="56" t="b">
        <v>0</v>
      </c>
      <c r="C11216" s="56" t="b">
        <v>0</v>
      </c>
      <c r="D11216" s="56" t="b">
        <v>0</v>
      </c>
      <c r="E11216" s="56">
        <f ca="1">IF(PV[[#This Row],[Business Date]]=Control!$C$6, PV[[#This Row],[Notional Value Local Cur]], -PV[[#This Row],[Notional Value Local Cur]])</f>
        <v>0</v>
      </c>
    </row>
    <row r="11217" spans="1:5" x14ac:dyDescent="0.25">
      <c r="A11217" s="36" t="b">
        <v>0</v>
      </c>
      <c r="B11217" s="56" t="b">
        <v>0</v>
      </c>
      <c r="C11217" s="56" t="b">
        <v>0</v>
      </c>
      <c r="D11217" s="56" t="b">
        <v>0</v>
      </c>
      <c r="E11217" s="56">
        <f ca="1">IF(PV[[#This Row],[Business Date]]=Control!$C$6, PV[[#This Row],[Notional Value Local Cur]], -PV[[#This Row],[Notional Value Local Cur]])</f>
        <v>0</v>
      </c>
    </row>
    <row r="11218" spans="1:5" x14ac:dyDescent="0.25">
      <c r="A11218" s="36" t="b">
        <v>0</v>
      </c>
      <c r="B11218" s="56" t="b">
        <v>0</v>
      </c>
      <c r="C11218" s="56" t="b">
        <v>0</v>
      </c>
      <c r="D11218" s="56" t="b">
        <v>0</v>
      </c>
      <c r="E11218" s="56">
        <f ca="1">IF(PV[[#This Row],[Business Date]]=Control!$C$6, PV[[#This Row],[Notional Value Local Cur]], -PV[[#This Row],[Notional Value Local Cur]])</f>
        <v>0</v>
      </c>
    </row>
    <row r="11219" spans="1:5" x14ac:dyDescent="0.25">
      <c r="A11219" s="36" t="b">
        <v>0</v>
      </c>
      <c r="B11219" s="56" t="b">
        <v>0</v>
      </c>
      <c r="C11219" s="56" t="b">
        <v>0</v>
      </c>
      <c r="D11219" s="56" t="b">
        <v>0</v>
      </c>
      <c r="E11219" s="56">
        <f ca="1">IF(PV[[#This Row],[Business Date]]=Control!$C$6, PV[[#This Row],[Notional Value Local Cur]], -PV[[#This Row],[Notional Value Local Cur]])</f>
        <v>0</v>
      </c>
    </row>
    <row r="11220" spans="1:5" x14ac:dyDescent="0.25">
      <c r="A11220" s="36" t="b">
        <v>0</v>
      </c>
      <c r="B11220" s="56" t="b">
        <v>0</v>
      </c>
      <c r="C11220" s="56" t="b">
        <v>0</v>
      </c>
      <c r="D11220" s="56" t="b">
        <v>0</v>
      </c>
      <c r="E11220" s="56">
        <f ca="1">IF(PV[[#This Row],[Business Date]]=Control!$C$6, PV[[#This Row],[Notional Value Local Cur]], -PV[[#This Row],[Notional Value Local Cur]])</f>
        <v>0</v>
      </c>
    </row>
    <row r="11221" spans="1:5" x14ac:dyDescent="0.25">
      <c r="A11221" s="36" t="b">
        <v>0</v>
      </c>
      <c r="B11221" s="56" t="b">
        <v>0</v>
      </c>
      <c r="C11221" s="56" t="b">
        <v>0</v>
      </c>
      <c r="D11221" s="56" t="b">
        <v>0</v>
      </c>
      <c r="E11221" s="56">
        <f ca="1">IF(PV[[#This Row],[Business Date]]=Control!$C$6, PV[[#This Row],[Notional Value Local Cur]], -PV[[#This Row],[Notional Value Local Cur]])</f>
        <v>0</v>
      </c>
    </row>
    <row r="11222" spans="1:5" x14ac:dyDescent="0.25">
      <c r="A11222" s="36" t="b">
        <v>0</v>
      </c>
      <c r="B11222" s="56" t="b">
        <v>0</v>
      </c>
      <c r="C11222" s="56" t="b">
        <v>0</v>
      </c>
      <c r="D11222" s="56" t="b">
        <v>0</v>
      </c>
      <c r="E11222" s="56">
        <f ca="1">IF(PV[[#This Row],[Business Date]]=Control!$C$6, PV[[#This Row],[Notional Value Local Cur]], -PV[[#This Row],[Notional Value Local Cur]])</f>
        <v>0</v>
      </c>
    </row>
    <row r="11223" spans="1:5" x14ac:dyDescent="0.25">
      <c r="A11223" s="36" t="b">
        <v>0</v>
      </c>
      <c r="B11223" s="56" t="b">
        <v>0</v>
      </c>
      <c r="C11223" s="56" t="b">
        <v>0</v>
      </c>
      <c r="D11223" s="56" t="b">
        <v>0</v>
      </c>
      <c r="E11223" s="56">
        <f ca="1">IF(PV[[#This Row],[Business Date]]=Control!$C$6, PV[[#This Row],[Notional Value Local Cur]], -PV[[#This Row],[Notional Value Local Cur]])</f>
        <v>0</v>
      </c>
    </row>
    <row r="11224" spans="1:5" x14ac:dyDescent="0.25">
      <c r="A11224" s="36" t="b">
        <v>0</v>
      </c>
      <c r="B11224" s="56" t="b">
        <v>0</v>
      </c>
      <c r="C11224" s="56" t="b">
        <v>0</v>
      </c>
      <c r="D11224" s="56" t="b">
        <v>0</v>
      </c>
      <c r="E11224" s="56">
        <f ca="1">IF(PV[[#This Row],[Business Date]]=Control!$C$6, PV[[#This Row],[Notional Value Local Cur]], -PV[[#This Row],[Notional Value Local Cur]])</f>
        <v>0</v>
      </c>
    </row>
    <row r="11225" spans="1:5" x14ac:dyDescent="0.25">
      <c r="A11225" s="36" t="b">
        <v>0</v>
      </c>
      <c r="B11225" s="56" t="b">
        <v>0</v>
      </c>
      <c r="C11225" s="56" t="b">
        <v>0</v>
      </c>
      <c r="D11225" s="56" t="b">
        <v>0</v>
      </c>
      <c r="E11225" s="56">
        <f ca="1">IF(PV[[#This Row],[Business Date]]=Control!$C$6, PV[[#This Row],[Notional Value Local Cur]], -PV[[#This Row],[Notional Value Local Cur]])</f>
        <v>0</v>
      </c>
    </row>
    <row r="11226" spans="1:5" x14ac:dyDescent="0.25">
      <c r="A11226" s="36" t="b">
        <v>0</v>
      </c>
      <c r="B11226" s="56" t="b">
        <v>0</v>
      </c>
      <c r="C11226" s="56" t="b">
        <v>0</v>
      </c>
      <c r="D11226" s="56" t="b">
        <v>0</v>
      </c>
      <c r="E11226" s="56">
        <f ca="1">IF(PV[[#This Row],[Business Date]]=Control!$C$6, PV[[#This Row],[Notional Value Local Cur]], -PV[[#This Row],[Notional Value Local Cur]])</f>
        <v>0</v>
      </c>
    </row>
    <row r="11227" spans="1:5" x14ac:dyDescent="0.25">
      <c r="A11227" s="36" t="b">
        <v>0</v>
      </c>
      <c r="B11227" s="56" t="b">
        <v>0</v>
      </c>
      <c r="C11227" s="56" t="b">
        <v>0</v>
      </c>
      <c r="D11227" s="56" t="b">
        <v>0</v>
      </c>
      <c r="E11227" s="56">
        <f ca="1">IF(PV[[#This Row],[Business Date]]=Control!$C$6, PV[[#This Row],[Notional Value Local Cur]], -PV[[#This Row],[Notional Value Local Cur]])</f>
        <v>0</v>
      </c>
    </row>
    <row r="11228" spans="1:5" x14ac:dyDescent="0.25">
      <c r="A11228" s="36" t="b">
        <v>0</v>
      </c>
      <c r="B11228" s="56" t="b">
        <v>0</v>
      </c>
      <c r="C11228" s="56" t="b">
        <v>0</v>
      </c>
      <c r="D11228" s="56" t="b">
        <v>0</v>
      </c>
      <c r="E11228" s="56">
        <f ca="1">IF(PV[[#This Row],[Business Date]]=Control!$C$6, PV[[#This Row],[Notional Value Local Cur]], -PV[[#This Row],[Notional Value Local Cur]])</f>
        <v>0</v>
      </c>
    </row>
    <row r="11229" spans="1:5" x14ac:dyDescent="0.25">
      <c r="A11229" s="36" t="b">
        <v>0</v>
      </c>
      <c r="B11229" s="56" t="b">
        <v>0</v>
      </c>
      <c r="C11229" s="56" t="b">
        <v>0</v>
      </c>
      <c r="D11229" s="56" t="b">
        <v>0</v>
      </c>
      <c r="E11229" s="56">
        <f ca="1">IF(PV[[#This Row],[Business Date]]=Control!$C$6, PV[[#This Row],[Notional Value Local Cur]], -PV[[#This Row],[Notional Value Local Cur]])</f>
        <v>0</v>
      </c>
    </row>
    <row r="11230" spans="1:5" x14ac:dyDescent="0.25">
      <c r="A11230" s="36" t="b">
        <v>0</v>
      </c>
      <c r="B11230" s="56" t="b">
        <v>0</v>
      </c>
      <c r="C11230" s="56" t="b">
        <v>0</v>
      </c>
      <c r="D11230" s="56" t="b">
        <v>0</v>
      </c>
      <c r="E11230" s="56">
        <f ca="1">IF(PV[[#This Row],[Business Date]]=Control!$C$6, PV[[#This Row],[Notional Value Local Cur]], -PV[[#This Row],[Notional Value Local Cur]])</f>
        <v>0</v>
      </c>
    </row>
    <row r="11231" spans="1:5" x14ac:dyDescent="0.25">
      <c r="A11231" s="36" t="b">
        <v>0</v>
      </c>
      <c r="B11231" s="56" t="b">
        <v>0</v>
      </c>
      <c r="C11231" s="56" t="b">
        <v>0</v>
      </c>
      <c r="D11231" s="56" t="b">
        <v>0</v>
      </c>
      <c r="E11231" s="56">
        <f ca="1">IF(PV[[#This Row],[Business Date]]=Control!$C$6, PV[[#This Row],[Notional Value Local Cur]], -PV[[#This Row],[Notional Value Local Cur]])</f>
        <v>0</v>
      </c>
    </row>
    <row r="11232" spans="1:5" x14ac:dyDescent="0.25">
      <c r="A11232" s="36" t="b">
        <v>0</v>
      </c>
      <c r="B11232" s="56" t="b">
        <v>0</v>
      </c>
      <c r="C11232" s="56" t="b">
        <v>0</v>
      </c>
      <c r="D11232" s="56" t="b">
        <v>0</v>
      </c>
      <c r="E11232" s="56">
        <f ca="1">IF(PV[[#This Row],[Business Date]]=Control!$C$6, PV[[#This Row],[Notional Value Local Cur]], -PV[[#This Row],[Notional Value Local Cur]])</f>
        <v>0</v>
      </c>
    </row>
    <row r="11233" spans="1:5" x14ac:dyDescent="0.25">
      <c r="A11233" s="36" t="b">
        <v>0</v>
      </c>
      <c r="B11233" s="56" t="b">
        <v>0</v>
      </c>
      <c r="C11233" s="56" t="b">
        <v>0</v>
      </c>
      <c r="D11233" s="56" t="b">
        <v>0</v>
      </c>
      <c r="E11233" s="56">
        <f ca="1">IF(PV[[#This Row],[Business Date]]=Control!$C$6, PV[[#This Row],[Notional Value Local Cur]], -PV[[#This Row],[Notional Value Local Cur]])</f>
        <v>0</v>
      </c>
    </row>
    <row r="11234" spans="1:5" x14ac:dyDescent="0.25">
      <c r="A11234" s="36" t="b">
        <v>0</v>
      </c>
      <c r="B11234" s="56" t="b">
        <v>0</v>
      </c>
      <c r="C11234" s="56" t="b">
        <v>0</v>
      </c>
      <c r="D11234" s="56" t="b">
        <v>0</v>
      </c>
      <c r="E11234" s="56">
        <f ca="1">IF(PV[[#This Row],[Business Date]]=Control!$C$6, PV[[#This Row],[Notional Value Local Cur]], -PV[[#This Row],[Notional Value Local Cur]])</f>
        <v>0</v>
      </c>
    </row>
    <row r="11235" spans="1:5" x14ac:dyDescent="0.25">
      <c r="A11235" s="36" t="b">
        <v>0</v>
      </c>
      <c r="B11235" s="56" t="b">
        <v>0</v>
      </c>
      <c r="C11235" s="56" t="b">
        <v>0</v>
      </c>
      <c r="D11235" s="56" t="b">
        <v>0</v>
      </c>
      <c r="E11235" s="56">
        <f ca="1">IF(PV[[#This Row],[Business Date]]=Control!$C$6, PV[[#This Row],[Notional Value Local Cur]], -PV[[#This Row],[Notional Value Local Cur]])</f>
        <v>0</v>
      </c>
    </row>
    <row r="11236" spans="1:5" x14ac:dyDescent="0.25">
      <c r="A11236" s="36" t="b">
        <v>0</v>
      </c>
      <c r="B11236" s="56" t="b">
        <v>0</v>
      </c>
      <c r="C11236" s="56" t="b">
        <v>0</v>
      </c>
      <c r="D11236" s="56" t="b">
        <v>0</v>
      </c>
      <c r="E11236" s="56">
        <f ca="1">IF(PV[[#This Row],[Business Date]]=Control!$C$6, PV[[#This Row],[Notional Value Local Cur]], -PV[[#This Row],[Notional Value Local Cur]])</f>
        <v>0</v>
      </c>
    </row>
    <row r="11237" spans="1:5" x14ac:dyDescent="0.25">
      <c r="A11237" s="36" t="b">
        <v>0</v>
      </c>
      <c r="B11237" s="56" t="b">
        <v>0</v>
      </c>
      <c r="C11237" s="56" t="b">
        <v>0</v>
      </c>
      <c r="D11237" s="56" t="b">
        <v>0</v>
      </c>
      <c r="E11237" s="56">
        <f ca="1">IF(PV[[#This Row],[Business Date]]=Control!$C$6, PV[[#This Row],[Notional Value Local Cur]], -PV[[#This Row],[Notional Value Local Cur]])</f>
        <v>0</v>
      </c>
    </row>
    <row r="11238" spans="1:5" x14ac:dyDescent="0.25">
      <c r="A11238" s="36" t="b">
        <v>0</v>
      </c>
      <c r="B11238" s="56" t="b">
        <v>0</v>
      </c>
      <c r="C11238" s="56" t="b">
        <v>0</v>
      </c>
      <c r="D11238" s="56" t="b">
        <v>0</v>
      </c>
      <c r="E11238" s="56">
        <f ca="1">IF(PV[[#This Row],[Business Date]]=Control!$C$6, PV[[#This Row],[Notional Value Local Cur]], -PV[[#This Row],[Notional Value Local Cur]])</f>
        <v>0</v>
      </c>
    </row>
    <row r="11239" spans="1:5" x14ac:dyDescent="0.25">
      <c r="A11239" s="36" t="b">
        <v>0</v>
      </c>
      <c r="B11239" s="56" t="b">
        <v>0</v>
      </c>
      <c r="C11239" s="56" t="b">
        <v>0</v>
      </c>
      <c r="D11239" s="56" t="b">
        <v>0</v>
      </c>
      <c r="E11239" s="56">
        <f ca="1">IF(PV[[#This Row],[Business Date]]=Control!$C$6, PV[[#This Row],[Notional Value Local Cur]], -PV[[#This Row],[Notional Value Local Cur]])</f>
        <v>0</v>
      </c>
    </row>
    <row r="11240" spans="1:5" x14ac:dyDescent="0.25">
      <c r="A11240" s="36" t="b">
        <v>0</v>
      </c>
      <c r="B11240" s="56" t="b">
        <v>0</v>
      </c>
      <c r="C11240" s="56" t="b">
        <v>0</v>
      </c>
      <c r="D11240" s="56" t="b">
        <v>0</v>
      </c>
      <c r="E11240" s="56">
        <f ca="1">IF(PV[[#This Row],[Business Date]]=Control!$C$6, PV[[#This Row],[Notional Value Local Cur]], -PV[[#This Row],[Notional Value Local Cur]])</f>
        <v>0</v>
      </c>
    </row>
    <row r="11241" spans="1:5" x14ac:dyDescent="0.25">
      <c r="A11241" s="36" t="b">
        <v>0</v>
      </c>
      <c r="B11241" s="56" t="b">
        <v>0</v>
      </c>
      <c r="C11241" s="56" t="b">
        <v>0</v>
      </c>
      <c r="D11241" s="56" t="b">
        <v>0</v>
      </c>
      <c r="E11241" s="56">
        <f ca="1">IF(PV[[#This Row],[Business Date]]=Control!$C$6, PV[[#This Row],[Notional Value Local Cur]], -PV[[#This Row],[Notional Value Local Cur]])</f>
        <v>0</v>
      </c>
    </row>
    <row r="11242" spans="1:5" x14ac:dyDescent="0.25">
      <c r="A11242" s="36" t="b">
        <v>0</v>
      </c>
      <c r="B11242" s="56" t="b">
        <v>0</v>
      </c>
      <c r="C11242" s="56" t="b">
        <v>0</v>
      </c>
      <c r="D11242" s="56" t="b">
        <v>0</v>
      </c>
      <c r="E11242" s="56">
        <f ca="1">IF(PV[[#This Row],[Business Date]]=Control!$C$6, PV[[#This Row],[Notional Value Local Cur]], -PV[[#This Row],[Notional Value Local Cur]])</f>
        <v>0</v>
      </c>
    </row>
    <row r="11243" spans="1:5" x14ac:dyDescent="0.25">
      <c r="A11243" s="36" t="b">
        <v>0</v>
      </c>
      <c r="B11243" s="56" t="b">
        <v>0</v>
      </c>
      <c r="C11243" s="56" t="b">
        <v>0</v>
      </c>
      <c r="D11243" s="56" t="b">
        <v>0</v>
      </c>
      <c r="E11243" s="56">
        <f ca="1">IF(PV[[#This Row],[Business Date]]=Control!$C$6, PV[[#This Row],[Notional Value Local Cur]], -PV[[#This Row],[Notional Value Local Cur]])</f>
        <v>0</v>
      </c>
    </row>
    <row r="11244" spans="1:5" x14ac:dyDescent="0.25">
      <c r="A11244" s="36" t="b">
        <v>0</v>
      </c>
      <c r="B11244" s="56" t="b">
        <v>0</v>
      </c>
      <c r="C11244" s="56" t="b">
        <v>0</v>
      </c>
      <c r="D11244" s="56" t="b">
        <v>0</v>
      </c>
      <c r="E11244" s="56">
        <f ca="1">IF(PV[[#This Row],[Business Date]]=Control!$C$6, PV[[#This Row],[Notional Value Local Cur]], -PV[[#This Row],[Notional Value Local Cur]])</f>
        <v>0</v>
      </c>
    </row>
    <row r="11245" spans="1:5" x14ac:dyDescent="0.25">
      <c r="A11245" s="36" t="b">
        <v>0</v>
      </c>
      <c r="B11245" s="56" t="b">
        <v>0</v>
      </c>
      <c r="C11245" s="56" t="b">
        <v>0</v>
      </c>
      <c r="D11245" s="56" t="b">
        <v>0</v>
      </c>
      <c r="E11245" s="56">
        <f ca="1">IF(PV[[#This Row],[Business Date]]=Control!$C$6, PV[[#This Row],[Notional Value Local Cur]], -PV[[#This Row],[Notional Value Local Cur]])</f>
        <v>0</v>
      </c>
    </row>
    <row r="11246" spans="1:5" x14ac:dyDescent="0.25">
      <c r="A11246" s="36" t="b">
        <v>0</v>
      </c>
      <c r="B11246" s="56" t="b">
        <v>0</v>
      </c>
      <c r="C11246" s="56" t="b">
        <v>0</v>
      </c>
      <c r="D11246" s="56" t="b">
        <v>0</v>
      </c>
      <c r="E11246" s="56">
        <f ca="1">IF(PV[[#This Row],[Business Date]]=Control!$C$6, PV[[#This Row],[Notional Value Local Cur]], -PV[[#This Row],[Notional Value Local Cur]])</f>
        <v>0</v>
      </c>
    </row>
    <row r="11247" spans="1:5" x14ac:dyDescent="0.25">
      <c r="A11247" s="36" t="b">
        <v>0</v>
      </c>
      <c r="B11247" s="56" t="b">
        <v>0</v>
      </c>
      <c r="C11247" s="56" t="b">
        <v>0</v>
      </c>
      <c r="D11247" s="56" t="b">
        <v>0</v>
      </c>
      <c r="E11247" s="56">
        <f ca="1">IF(PV[[#This Row],[Business Date]]=Control!$C$6, PV[[#This Row],[Notional Value Local Cur]], -PV[[#This Row],[Notional Value Local Cur]])</f>
        <v>0</v>
      </c>
    </row>
    <row r="11248" spans="1:5" x14ac:dyDescent="0.25">
      <c r="A11248" s="36" t="b">
        <v>0</v>
      </c>
      <c r="B11248" s="56" t="b">
        <v>0</v>
      </c>
      <c r="C11248" s="56" t="b">
        <v>0</v>
      </c>
      <c r="D11248" s="56" t="b">
        <v>0</v>
      </c>
      <c r="E11248" s="56">
        <f ca="1">IF(PV[[#This Row],[Business Date]]=Control!$C$6, PV[[#This Row],[Notional Value Local Cur]], -PV[[#This Row],[Notional Value Local Cur]])</f>
        <v>0</v>
      </c>
    </row>
    <row r="11249" spans="1:5" x14ac:dyDescent="0.25">
      <c r="A11249" s="36" t="b">
        <v>0</v>
      </c>
      <c r="B11249" s="56" t="b">
        <v>0</v>
      </c>
      <c r="C11249" s="56" t="b">
        <v>0</v>
      </c>
      <c r="D11249" s="56" t="b">
        <v>0</v>
      </c>
      <c r="E11249" s="56">
        <f ca="1">IF(PV[[#This Row],[Business Date]]=Control!$C$6, PV[[#This Row],[Notional Value Local Cur]], -PV[[#This Row],[Notional Value Local Cur]])</f>
        <v>0</v>
      </c>
    </row>
    <row r="11250" spans="1:5" x14ac:dyDescent="0.25">
      <c r="A11250" s="36" t="b">
        <v>0</v>
      </c>
      <c r="B11250" s="56" t="b">
        <v>0</v>
      </c>
      <c r="C11250" s="56" t="b">
        <v>0</v>
      </c>
      <c r="D11250" s="56" t="b">
        <v>0</v>
      </c>
      <c r="E11250" s="56">
        <f ca="1">IF(PV[[#This Row],[Business Date]]=Control!$C$6, PV[[#This Row],[Notional Value Local Cur]], -PV[[#This Row],[Notional Value Local Cur]])</f>
        <v>0</v>
      </c>
    </row>
    <row r="11251" spans="1:5" x14ac:dyDescent="0.25">
      <c r="A11251" s="36" t="b">
        <v>0</v>
      </c>
      <c r="B11251" s="56" t="b">
        <v>0</v>
      </c>
      <c r="C11251" s="56" t="b">
        <v>0</v>
      </c>
      <c r="D11251" s="56" t="b">
        <v>0</v>
      </c>
      <c r="E11251" s="56">
        <f ca="1">IF(PV[[#This Row],[Business Date]]=Control!$C$6, PV[[#This Row],[Notional Value Local Cur]], -PV[[#This Row],[Notional Value Local Cur]])</f>
        <v>0</v>
      </c>
    </row>
    <row r="11252" spans="1:5" x14ac:dyDescent="0.25">
      <c r="A11252" s="36" t="b">
        <v>0</v>
      </c>
      <c r="B11252" s="56" t="b">
        <v>0</v>
      </c>
      <c r="C11252" s="56" t="b">
        <v>0</v>
      </c>
      <c r="D11252" s="56" t="b">
        <v>0</v>
      </c>
      <c r="E11252" s="56">
        <f ca="1">IF(PV[[#This Row],[Business Date]]=Control!$C$6, PV[[#This Row],[Notional Value Local Cur]], -PV[[#This Row],[Notional Value Local Cur]])</f>
        <v>0</v>
      </c>
    </row>
    <row r="11253" spans="1:5" x14ac:dyDescent="0.25">
      <c r="A11253" s="36" t="b">
        <v>0</v>
      </c>
      <c r="B11253" s="56" t="b">
        <v>0</v>
      </c>
      <c r="C11253" s="56" t="b">
        <v>0</v>
      </c>
      <c r="D11253" s="56" t="b">
        <v>0</v>
      </c>
      <c r="E11253" s="56">
        <f ca="1">IF(PV[[#This Row],[Business Date]]=Control!$C$6, PV[[#This Row],[Notional Value Local Cur]], -PV[[#This Row],[Notional Value Local Cur]])</f>
        <v>0</v>
      </c>
    </row>
    <row r="11254" spans="1:5" x14ac:dyDescent="0.25">
      <c r="A11254" s="36" t="b">
        <v>0</v>
      </c>
      <c r="B11254" s="56" t="b">
        <v>0</v>
      </c>
      <c r="C11254" s="56" t="b">
        <v>0</v>
      </c>
      <c r="D11254" s="56" t="b">
        <v>0</v>
      </c>
      <c r="E11254" s="56">
        <f ca="1">IF(PV[[#This Row],[Business Date]]=Control!$C$6, PV[[#This Row],[Notional Value Local Cur]], -PV[[#This Row],[Notional Value Local Cur]])</f>
        <v>0</v>
      </c>
    </row>
    <row r="11255" spans="1:5" x14ac:dyDescent="0.25">
      <c r="A11255" s="36" t="b">
        <v>0</v>
      </c>
      <c r="B11255" s="56" t="b">
        <v>0</v>
      </c>
      <c r="C11255" s="56" t="b">
        <v>0</v>
      </c>
      <c r="D11255" s="56" t="b">
        <v>0</v>
      </c>
      <c r="E11255" s="56">
        <f ca="1">IF(PV[[#This Row],[Business Date]]=Control!$C$6, PV[[#This Row],[Notional Value Local Cur]], -PV[[#This Row],[Notional Value Local Cur]])</f>
        <v>0</v>
      </c>
    </row>
    <row r="11256" spans="1:5" x14ac:dyDescent="0.25">
      <c r="A11256" s="36" t="b">
        <v>0</v>
      </c>
      <c r="B11256" s="56" t="b">
        <v>0</v>
      </c>
      <c r="C11256" s="56" t="b">
        <v>0</v>
      </c>
      <c r="D11256" s="56" t="b">
        <v>0</v>
      </c>
      <c r="E11256" s="56">
        <f ca="1">IF(PV[[#This Row],[Business Date]]=Control!$C$6, PV[[#This Row],[Notional Value Local Cur]], -PV[[#This Row],[Notional Value Local Cur]])</f>
        <v>0</v>
      </c>
    </row>
    <row r="11257" spans="1:5" x14ac:dyDescent="0.25">
      <c r="A11257" s="36" t="b">
        <v>0</v>
      </c>
      <c r="B11257" s="56" t="b">
        <v>0</v>
      </c>
      <c r="C11257" s="56" t="b">
        <v>0</v>
      </c>
      <c r="D11257" s="56" t="b">
        <v>0</v>
      </c>
      <c r="E11257" s="56">
        <f ca="1">IF(PV[[#This Row],[Business Date]]=Control!$C$6, PV[[#This Row],[Notional Value Local Cur]], -PV[[#This Row],[Notional Value Local Cur]])</f>
        <v>0</v>
      </c>
    </row>
    <row r="11258" spans="1:5" x14ac:dyDescent="0.25">
      <c r="A11258" s="36" t="b">
        <v>0</v>
      </c>
      <c r="B11258" s="56" t="b">
        <v>0</v>
      </c>
      <c r="C11258" s="56" t="b">
        <v>0</v>
      </c>
      <c r="D11258" s="56" t="b">
        <v>0</v>
      </c>
      <c r="E11258" s="56">
        <f ca="1">IF(PV[[#This Row],[Business Date]]=Control!$C$6, PV[[#This Row],[Notional Value Local Cur]], -PV[[#This Row],[Notional Value Local Cur]])</f>
        <v>0</v>
      </c>
    </row>
    <row r="11259" spans="1:5" x14ac:dyDescent="0.25">
      <c r="A11259" s="36" t="b">
        <v>0</v>
      </c>
      <c r="B11259" s="56" t="b">
        <v>0</v>
      </c>
      <c r="C11259" s="56" t="b">
        <v>0</v>
      </c>
      <c r="D11259" s="56" t="b">
        <v>0</v>
      </c>
      <c r="E11259" s="56">
        <f ca="1">IF(PV[[#This Row],[Business Date]]=Control!$C$6, PV[[#This Row],[Notional Value Local Cur]], -PV[[#This Row],[Notional Value Local Cur]])</f>
        <v>0</v>
      </c>
    </row>
    <row r="11260" spans="1:5" x14ac:dyDescent="0.25">
      <c r="A11260" s="36" t="b">
        <v>0</v>
      </c>
      <c r="B11260" s="56" t="b">
        <v>0</v>
      </c>
      <c r="C11260" s="56" t="b">
        <v>0</v>
      </c>
      <c r="D11260" s="56" t="b">
        <v>0</v>
      </c>
      <c r="E11260" s="56">
        <f ca="1">IF(PV[[#This Row],[Business Date]]=Control!$C$6, PV[[#This Row],[Notional Value Local Cur]], -PV[[#This Row],[Notional Value Local Cur]])</f>
        <v>0</v>
      </c>
    </row>
    <row r="11261" spans="1:5" x14ac:dyDescent="0.25">
      <c r="A11261" s="36" t="b">
        <v>0</v>
      </c>
      <c r="B11261" s="56" t="b">
        <v>0</v>
      </c>
      <c r="C11261" s="56" t="b">
        <v>0</v>
      </c>
      <c r="D11261" s="56" t="b">
        <v>0</v>
      </c>
      <c r="E11261" s="56">
        <f ca="1">IF(PV[[#This Row],[Business Date]]=Control!$C$6, PV[[#This Row],[Notional Value Local Cur]], -PV[[#This Row],[Notional Value Local Cur]])</f>
        <v>0</v>
      </c>
    </row>
    <row r="11262" spans="1:5" x14ac:dyDescent="0.25">
      <c r="A11262" s="36" t="b">
        <v>0</v>
      </c>
      <c r="B11262" s="56" t="b">
        <v>0</v>
      </c>
      <c r="C11262" s="56" t="b">
        <v>0</v>
      </c>
      <c r="D11262" s="56" t="b">
        <v>0</v>
      </c>
      <c r="E11262" s="56">
        <f ca="1">IF(PV[[#This Row],[Business Date]]=Control!$C$6, PV[[#This Row],[Notional Value Local Cur]], -PV[[#This Row],[Notional Value Local Cur]])</f>
        <v>0</v>
      </c>
    </row>
    <row r="11263" spans="1:5" x14ac:dyDescent="0.25">
      <c r="A11263" s="36" t="b">
        <v>0</v>
      </c>
      <c r="B11263" s="56" t="b">
        <v>0</v>
      </c>
      <c r="C11263" s="56" t="b">
        <v>0</v>
      </c>
      <c r="D11263" s="56" t="b">
        <v>0</v>
      </c>
      <c r="E11263" s="56">
        <f ca="1">IF(PV[[#This Row],[Business Date]]=Control!$C$6, PV[[#This Row],[Notional Value Local Cur]], -PV[[#This Row],[Notional Value Local Cur]])</f>
        <v>0</v>
      </c>
    </row>
    <row r="11264" spans="1:5" x14ac:dyDescent="0.25">
      <c r="A11264" s="36" t="b">
        <v>0</v>
      </c>
      <c r="B11264" s="56" t="b">
        <v>0</v>
      </c>
      <c r="C11264" s="56" t="b">
        <v>0</v>
      </c>
      <c r="D11264" s="56" t="b">
        <v>0</v>
      </c>
      <c r="E11264" s="56">
        <f ca="1">IF(PV[[#This Row],[Business Date]]=Control!$C$6, PV[[#This Row],[Notional Value Local Cur]], -PV[[#This Row],[Notional Value Local Cur]])</f>
        <v>0</v>
      </c>
    </row>
    <row r="11265" spans="1:5" x14ac:dyDescent="0.25">
      <c r="A11265" s="36" t="b">
        <v>0</v>
      </c>
      <c r="B11265" s="56" t="b">
        <v>0</v>
      </c>
      <c r="C11265" s="56" t="b">
        <v>0</v>
      </c>
      <c r="D11265" s="56" t="b">
        <v>0</v>
      </c>
      <c r="E11265" s="56">
        <f ca="1">IF(PV[[#This Row],[Business Date]]=Control!$C$6, PV[[#This Row],[Notional Value Local Cur]], -PV[[#This Row],[Notional Value Local Cur]])</f>
        <v>0</v>
      </c>
    </row>
    <row r="11266" spans="1:5" x14ac:dyDescent="0.25">
      <c r="A11266" s="36" t="b">
        <v>0</v>
      </c>
      <c r="B11266" s="56" t="b">
        <v>0</v>
      </c>
      <c r="C11266" s="56" t="b">
        <v>0</v>
      </c>
      <c r="D11266" s="56" t="b">
        <v>0</v>
      </c>
      <c r="E11266" s="56">
        <f ca="1">IF(PV[[#This Row],[Business Date]]=Control!$C$6, PV[[#This Row],[Notional Value Local Cur]], -PV[[#This Row],[Notional Value Local Cur]])</f>
        <v>0</v>
      </c>
    </row>
    <row r="11267" spans="1:5" x14ac:dyDescent="0.25">
      <c r="A11267" s="36" t="b">
        <v>0</v>
      </c>
      <c r="B11267" s="56" t="b">
        <v>0</v>
      </c>
      <c r="C11267" s="56" t="b">
        <v>0</v>
      </c>
      <c r="D11267" s="56" t="b">
        <v>0</v>
      </c>
      <c r="E11267" s="56">
        <f ca="1">IF(PV[[#This Row],[Business Date]]=Control!$C$6, PV[[#This Row],[Notional Value Local Cur]], -PV[[#This Row],[Notional Value Local Cur]])</f>
        <v>0</v>
      </c>
    </row>
    <row r="11268" spans="1:5" x14ac:dyDescent="0.25">
      <c r="A11268" s="36" t="b">
        <v>0</v>
      </c>
      <c r="B11268" s="56" t="b">
        <v>0</v>
      </c>
      <c r="C11268" s="56" t="b">
        <v>0</v>
      </c>
      <c r="D11268" s="56" t="b">
        <v>0</v>
      </c>
      <c r="E11268" s="56">
        <f ca="1">IF(PV[[#This Row],[Business Date]]=Control!$C$6, PV[[#This Row],[Notional Value Local Cur]], -PV[[#This Row],[Notional Value Local Cur]])</f>
        <v>0</v>
      </c>
    </row>
    <row r="11269" spans="1:5" x14ac:dyDescent="0.25">
      <c r="A11269" s="36" t="b">
        <v>0</v>
      </c>
      <c r="B11269" s="56" t="b">
        <v>0</v>
      </c>
      <c r="C11269" s="56" t="b">
        <v>0</v>
      </c>
      <c r="D11269" s="56" t="b">
        <v>0</v>
      </c>
      <c r="E11269" s="56">
        <f ca="1">IF(PV[[#This Row],[Business Date]]=Control!$C$6, PV[[#This Row],[Notional Value Local Cur]], -PV[[#This Row],[Notional Value Local Cur]])</f>
        <v>0</v>
      </c>
    </row>
    <row r="11270" spans="1:5" x14ac:dyDescent="0.25">
      <c r="A11270" s="36" t="b">
        <v>0</v>
      </c>
      <c r="B11270" s="56" t="b">
        <v>0</v>
      </c>
      <c r="C11270" s="56" t="b">
        <v>0</v>
      </c>
      <c r="D11270" s="56" t="b">
        <v>0</v>
      </c>
      <c r="E11270" s="56">
        <f ca="1">IF(PV[[#This Row],[Business Date]]=Control!$C$6, PV[[#This Row],[Notional Value Local Cur]], -PV[[#This Row],[Notional Value Local Cur]])</f>
        <v>0</v>
      </c>
    </row>
    <row r="11271" spans="1:5" x14ac:dyDescent="0.25">
      <c r="A11271" s="36" t="b">
        <v>0</v>
      </c>
      <c r="B11271" s="56" t="b">
        <v>0</v>
      </c>
      <c r="C11271" s="56" t="b">
        <v>0</v>
      </c>
      <c r="D11271" s="56" t="b">
        <v>0</v>
      </c>
      <c r="E11271" s="56">
        <f ca="1">IF(PV[[#This Row],[Business Date]]=Control!$C$6, PV[[#This Row],[Notional Value Local Cur]], -PV[[#This Row],[Notional Value Local Cur]])</f>
        <v>0</v>
      </c>
    </row>
    <row r="11272" spans="1:5" x14ac:dyDescent="0.25">
      <c r="A11272" s="36" t="b">
        <v>0</v>
      </c>
      <c r="B11272" s="56" t="b">
        <v>0</v>
      </c>
      <c r="C11272" s="56" t="b">
        <v>0</v>
      </c>
      <c r="D11272" s="56" t="b">
        <v>0</v>
      </c>
      <c r="E11272" s="56">
        <f ca="1">IF(PV[[#This Row],[Business Date]]=Control!$C$6, PV[[#This Row],[Notional Value Local Cur]], -PV[[#This Row],[Notional Value Local Cur]])</f>
        <v>0</v>
      </c>
    </row>
    <row r="11273" spans="1:5" x14ac:dyDescent="0.25">
      <c r="A11273" s="36" t="b">
        <v>0</v>
      </c>
      <c r="B11273" s="56" t="b">
        <v>0</v>
      </c>
      <c r="C11273" s="56" t="b">
        <v>0</v>
      </c>
      <c r="D11273" s="56" t="b">
        <v>0</v>
      </c>
      <c r="E11273" s="56">
        <f ca="1">IF(PV[[#This Row],[Business Date]]=Control!$C$6, PV[[#This Row],[Notional Value Local Cur]], -PV[[#This Row],[Notional Value Local Cur]])</f>
        <v>0</v>
      </c>
    </row>
    <row r="11274" spans="1:5" x14ac:dyDescent="0.25">
      <c r="A11274" s="36" t="b">
        <v>0</v>
      </c>
      <c r="B11274" s="56" t="b">
        <v>0</v>
      </c>
      <c r="C11274" s="56" t="b">
        <v>0</v>
      </c>
      <c r="D11274" s="56" t="b">
        <v>0</v>
      </c>
      <c r="E11274" s="56">
        <f ca="1">IF(PV[[#This Row],[Business Date]]=Control!$C$6, PV[[#This Row],[Notional Value Local Cur]], -PV[[#This Row],[Notional Value Local Cur]])</f>
        <v>0</v>
      </c>
    </row>
    <row r="11275" spans="1:5" x14ac:dyDescent="0.25">
      <c r="A11275" s="36" t="b">
        <v>0</v>
      </c>
      <c r="B11275" s="56" t="b">
        <v>0</v>
      </c>
      <c r="C11275" s="56" t="b">
        <v>0</v>
      </c>
      <c r="D11275" s="56" t="b">
        <v>0</v>
      </c>
      <c r="E11275" s="56">
        <f ca="1">IF(PV[[#This Row],[Business Date]]=Control!$C$6, PV[[#This Row],[Notional Value Local Cur]], -PV[[#This Row],[Notional Value Local Cur]])</f>
        <v>0</v>
      </c>
    </row>
    <row r="11276" spans="1:5" x14ac:dyDescent="0.25">
      <c r="A11276" s="36" t="b">
        <v>0</v>
      </c>
      <c r="B11276" s="56" t="b">
        <v>0</v>
      </c>
      <c r="C11276" s="56" t="b">
        <v>0</v>
      </c>
      <c r="D11276" s="56" t="b">
        <v>0</v>
      </c>
      <c r="E11276" s="56">
        <f ca="1">IF(PV[[#This Row],[Business Date]]=Control!$C$6, PV[[#This Row],[Notional Value Local Cur]], -PV[[#This Row],[Notional Value Local Cur]])</f>
        <v>0</v>
      </c>
    </row>
    <row r="11277" spans="1:5" x14ac:dyDescent="0.25">
      <c r="A11277" s="36" t="b">
        <v>0</v>
      </c>
      <c r="B11277" s="56" t="b">
        <v>0</v>
      </c>
      <c r="C11277" s="56" t="b">
        <v>0</v>
      </c>
      <c r="D11277" s="56" t="b">
        <v>0</v>
      </c>
      <c r="E11277" s="56">
        <f ca="1">IF(PV[[#This Row],[Business Date]]=Control!$C$6, PV[[#This Row],[Notional Value Local Cur]], -PV[[#This Row],[Notional Value Local Cur]])</f>
        <v>0</v>
      </c>
    </row>
    <row r="11278" spans="1:5" x14ac:dyDescent="0.25">
      <c r="A11278" s="36" t="b">
        <v>0</v>
      </c>
      <c r="B11278" s="56" t="b">
        <v>0</v>
      </c>
      <c r="C11278" s="56" t="b">
        <v>0</v>
      </c>
      <c r="D11278" s="56" t="b">
        <v>0</v>
      </c>
      <c r="E11278" s="56">
        <f ca="1">IF(PV[[#This Row],[Business Date]]=Control!$C$6, PV[[#This Row],[Notional Value Local Cur]], -PV[[#This Row],[Notional Value Local Cur]])</f>
        <v>0</v>
      </c>
    </row>
    <row r="11279" spans="1:5" x14ac:dyDescent="0.25">
      <c r="A11279" s="36" t="b">
        <v>0</v>
      </c>
      <c r="B11279" s="56" t="b">
        <v>0</v>
      </c>
      <c r="C11279" s="56" t="b">
        <v>0</v>
      </c>
      <c r="D11279" s="56" t="b">
        <v>0</v>
      </c>
      <c r="E11279" s="56">
        <f ca="1">IF(PV[[#This Row],[Business Date]]=Control!$C$6, PV[[#This Row],[Notional Value Local Cur]], -PV[[#This Row],[Notional Value Local Cur]])</f>
        <v>0</v>
      </c>
    </row>
    <row r="11280" spans="1:5" x14ac:dyDescent="0.25">
      <c r="A11280" s="36" t="b">
        <v>0</v>
      </c>
      <c r="B11280" s="56" t="b">
        <v>0</v>
      </c>
      <c r="C11280" s="56" t="b">
        <v>0</v>
      </c>
      <c r="D11280" s="56" t="b">
        <v>0</v>
      </c>
      <c r="E11280" s="56">
        <f ca="1">IF(PV[[#This Row],[Business Date]]=Control!$C$6, PV[[#This Row],[Notional Value Local Cur]], -PV[[#This Row],[Notional Value Local Cur]])</f>
        <v>0</v>
      </c>
    </row>
    <row r="11281" spans="1:5" x14ac:dyDescent="0.25">
      <c r="A11281" s="36" t="b">
        <v>0</v>
      </c>
      <c r="B11281" s="56" t="b">
        <v>0</v>
      </c>
      <c r="C11281" s="56" t="b">
        <v>0</v>
      </c>
      <c r="D11281" s="56" t="b">
        <v>0</v>
      </c>
      <c r="E11281" s="56">
        <f ca="1">IF(PV[[#This Row],[Business Date]]=Control!$C$6, PV[[#This Row],[Notional Value Local Cur]], -PV[[#This Row],[Notional Value Local Cur]])</f>
        <v>0</v>
      </c>
    </row>
    <row r="11282" spans="1:5" x14ac:dyDescent="0.25">
      <c r="A11282" s="36" t="b">
        <v>0</v>
      </c>
      <c r="B11282" s="56" t="b">
        <v>0</v>
      </c>
      <c r="C11282" s="56" t="b">
        <v>0</v>
      </c>
      <c r="D11282" s="56" t="b">
        <v>0</v>
      </c>
      <c r="E11282" s="56">
        <f ca="1">IF(PV[[#This Row],[Business Date]]=Control!$C$6, PV[[#This Row],[Notional Value Local Cur]], -PV[[#This Row],[Notional Value Local Cur]])</f>
        <v>0</v>
      </c>
    </row>
    <row r="11283" spans="1:5" x14ac:dyDescent="0.25">
      <c r="A11283" s="36" t="b">
        <v>0</v>
      </c>
      <c r="B11283" s="56" t="b">
        <v>0</v>
      </c>
      <c r="C11283" s="56" t="b">
        <v>0</v>
      </c>
      <c r="D11283" s="56" t="b">
        <v>0</v>
      </c>
      <c r="E11283" s="56">
        <f ca="1">IF(PV[[#This Row],[Business Date]]=Control!$C$6, PV[[#This Row],[Notional Value Local Cur]], -PV[[#This Row],[Notional Value Local Cur]])</f>
        <v>0</v>
      </c>
    </row>
    <row r="11284" spans="1:5" x14ac:dyDescent="0.25">
      <c r="A11284" s="36" t="b">
        <v>0</v>
      </c>
      <c r="B11284" s="56" t="b">
        <v>0</v>
      </c>
      <c r="C11284" s="56" t="b">
        <v>0</v>
      </c>
      <c r="D11284" s="56" t="b">
        <v>0</v>
      </c>
      <c r="E11284" s="56">
        <f ca="1">IF(PV[[#This Row],[Business Date]]=Control!$C$6, PV[[#This Row],[Notional Value Local Cur]], -PV[[#This Row],[Notional Value Local Cur]])</f>
        <v>0</v>
      </c>
    </row>
    <row r="11285" spans="1:5" x14ac:dyDescent="0.25">
      <c r="A11285" s="36" t="b">
        <v>0</v>
      </c>
      <c r="B11285" s="56" t="b">
        <v>0</v>
      </c>
      <c r="C11285" s="56" t="b">
        <v>0</v>
      </c>
      <c r="D11285" s="56" t="b">
        <v>0</v>
      </c>
      <c r="E11285" s="56">
        <f ca="1">IF(PV[[#This Row],[Business Date]]=Control!$C$6, PV[[#This Row],[Notional Value Local Cur]], -PV[[#This Row],[Notional Value Local Cur]])</f>
        <v>0</v>
      </c>
    </row>
    <row r="11286" spans="1:5" x14ac:dyDescent="0.25">
      <c r="A11286" s="36" t="b">
        <v>0</v>
      </c>
      <c r="B11286" s="56" t="b">
        <v>0</v>
      </c>
      <c r="C11286" s="56" t="b">
        <v>0</v>
      </c>
      <c r="D11286" s="56" t="b">
        <v>0</v>
      </c>
      <c r="E11286" s="56">
        <f ca="1">IF(PV[[#This Row],[Business Date]]=Control!$C$6, PV[[#This Row],[Notional Value Local Cur]], -PV[[#This Row],[Notional Value Local Cur]])</f>
        <v>0</v>
      </c>
    </row>
    <row r="11287" spans="1:5" x14ac:dyDescent="0.25">
      <c r="A11287" s="36" t="b">
        <v>0</v>
      </c>
      <c r="B11287" s="56" t="b">
        <v>0</v>
      </c>
      <c r="C11287" s="56" t="b">
        <v>0</v>
      </c>
      <c r="D11287" s="56" t="b">
        <v>0</v>
      </c>
      <c r="E11287" s="56">
        <f ca="1">IF(PV[[#This Row],[Business Date]]=Control!$C$6, PV[[#This Row],[Notional Value Local Cur]], -PV[[#This Row],[Notional Value Local Cur]])</f>
        <v>0</v>
      </c>
    </row>
    <row r="11288" spans="1:5" x14ac:dyDescent="0.25">
      <c r="A11288" s="36" t="b">
        <v>0</v>
      </c>
      <c r="B11288" s="56" t="b">
        <v>0</v>
      </c>
      <c r="C11288" s="56" t="b">
        <v>0</v>
      </c>
      <c r="D11288" s="56" t="b">
        <v>0</v>
      </c>
      <c r="E11288" s="56">
        <f ca="1">IF(PV[[#This Row],[Business Date]]=Control!$C$6, PV[[#This Row],[Notional Value Local Cur]], -PV[[#This Row],[Notional Value Local Cur]])</f>
        <v>0</v>
      </c>
    </row>
    <row r="11289" spans="1:5" x14ac:dyDescent="0.25">
      <c r="A11289" s="36" t="b">
        <v>0</v>
      </c>
      <c r="B11289" s="56" t="b">
        <v>0</v>
      </c>
      <c r="C11289" s="56" t="b">
        <v>0</v>
      </c>
      <c r="D11289" s="56" t="b">
        <v>0</v>
      </c>
      <c r="E11289" s="56">
        <f ca="1">IF(PV[[#This Row],[Business Date]]=Control!$C$6, PV[[#This Row],[Notional Value Local Cur]], -PV[[#This Row],[Notional Value Local Cur]])</f>
        <v>0</v>
      </c>
    </row>
    <row r="11290" spans="1:5" x14ac:dyDescent="0.25">
      <c r="A11290" s="36" t="b">
        <v>0</v>
      </c>
      <c r="B11290" s="56" t="b">
        <v>0</v>
      </c>
      <c r="C11290" s="56" t="b">
        <v>0</v>
      </c>
      <c r="D11290" s="56" t="b">
        <v>0</v>
      </c>
      <c r="E11290" s="56">
        <f ca="1">IF(PV[[#This Row],[Business Date]]=Control!$C$6, PV[[#This Row],[Notional Value Local Cur]], -PV[[#This Row],[Notional Value Local Cur]])</f>
        <v>0</v>
      </c>
    </row>
    <row r="11291" spans="1:5" x14ac:dyDescent="0.25">
      <c r="A11291" s="36" t="b">
        <v>0</v>
      </c>
      <c r="B11291" s="56" t="b">
        <v>0</v>
      </c>
      <c r="C11291" s="56" t="b">
        <v>0</v>
      </c>
      <c r="D11291" s="56" t="b">
        <v>0</v>
      </c>
      <c r="E11291" s="56">
        <f ca="1">IF(PV[[#This Row],[Business Date]]=Control!$C$6, PV[[#This Row],[Notional Value Local Cur]], -PV[[#This Row],[Notional Value Local Cur]])</f>
        <v>0</v>
      </c>
    </row>
    <row r="11292" spans="1:5" x14ac:dyDescent="0.25">
      <c r="A11292" s="36" t="b">
        <v>0</v>
      </c>
      <c r="B11292" s="56" t="b">
        <v>0</v>
      </c>
      <c r="C11292" s="56" t="b">
        <v>0</v>
      </c>
      <c r="D11292" s="56" t="b">
        <v>0</v>
      </c>
      <c r="E11292" s="56">
        <f ca="1">IF(PV[[#This Row],[Business Date]]=Control!$C$6, PV[[#This Row],[Notional Value Local Cur]], -PV[[#This Row],[Notional Value Local Cur]])</f>
        <v>0</v>
      </c>
    </row>
    <row r="11293" spans="1:5" x14ac:dyDescent="0.25">
      <c r="A11293" s="36" t="b">
        <v>0</v>
      </c>
      <c r="B11293" s="56" t="b">
        <v>0</v>
      </c>
      <c r="C11293" s="56" t="b">
        <v>0</v>
      </c>
      <c r="D11293" s="56" t="b">
        <v>0</v>
      </c>
      <c r="E11293" s="56">
        <f ca="1">IF(PV[[#This Row],[Business Date]]=Control!$C$6, PV[[#This Row],[Notional Value Local Cur]], -PV[[#This Row],[Notional Value Local Cur]])</f>
        <v>0</v>
      </c>
    </row>
    <row r="11294" spans="1:5" x14ac:dyDescent="0.25">
      <c r="A11294" s="36" t="b">
        <v>0</v>
      </c>
      <c r="B11294" s="56" t="b">
        <v>0</v>
      </c>
      <c r="C11294" s="56" t="b">
        <v>0</v>
      </c>
      <c r="D11294" s="56" t="b">
        <v>0</v>
      </c>
      <c r="E11294" s="56">
        <f ca="1">IF(PV[[#This Row],[Business Date]]=Control!$C$6, PV[[#This Row],[Notional Value Local Cur]], -PV[[#This Row],[Notional Value Local Cur]])</f>
        <v>0</v>
      </c>
    </row>
    <row r="11295" spans="1:5" x14ac:dyDescent="0.25">
      <c r="A11295" s="36" t="b">
        <v>0</v>
      </c>
      <c r="B11295" s="56" t="b">
        <v>0</v>
      </c>
      <c r="C11295" s="56" t="b">
        <v>0</v>
      </c>
      <c r="D11295" s="56" t="b">
        <v>0</v>
      </c>
      <c r="E11295" s="56">
        <f ca="1">IF(PV[[#This Row],[Business Date]]=Control!$C$6, PV[[#This Row],[Notional Value Local Cur]], -PV[[#This Row],[Notional Value Local Cur]])</f>
        <v>0</v>
      </c>
    </row>
    <row r="11296" spans="1:5" x14ac:dyDescent="0.25">
      <c r="A11296" s="36" t="b">
        <v>0</v>
      </c>
      <c r="B11296" s="56" t="b">
        <v>0</v>
      </c>
      <c r="C11296" s="56" t="b">
        <v>0</v>
      </c>
      <c r="D11296" s="56" t="b">
        <v>0</v>
      </c>
      <c r="E11296" s="56">
        <f ca="1">IF(PV[[#This Row],[Business Date]]=Control!$C$6, PV[[#This Row],[Notional Value Local Cur]], -PV[[#This Row],[Notional Value Local Cur]])</f>
        <v>0</v>
      </c>
    </row>
    <row r="11297" spans="1:5" x14ac:dyDescent="0.25">
      <c r="A11297" s="36" t="b">
        <v>0</v>
      </c>
      <c r="B11297" s="56" t="b">
        <v>0</v>
      </c>
      <c r="C11297" s="56" t="b">
        <v>0</v>
      </c>
      <c r="D11297" s="56" t="b">
        <v>0</v>
      </c>
      <c r="E11297" s="56">
        <f ca="1">IF(PV[[#This Row],[Business Date]]=Control!$C$6, PV[[#This Row],[Notional Value Local Cur]], -PV[[#This Row],[Notional Value Local Cur]])</f>
        <v>0</v>
      </c>
    </row>
    <row r="11298" spans="1:5" x14ac:dyDescent="0.25">
      <c r="A11298" s="36" t="b">
        <v>0</v>
      </c>
      <c r="B11298" s="56" t="b">
        <v>0</v>
      </c>
      <c r="C11298" s="56" t="b">
        <v>0</v>
      </c>
      <c r="D11298" s="56" t="b">
        <v>0</v>
      </c>
      <c r="E11298" s="56">
        <f ca="1">IF(PV[[#This Row],[Business Date]]=Control!$C$6, PV[[#This Row],[Notional Value Local Cur]], -PV[[#This Row],[Notional Value Local Cur]])</f>
        <v>0</v>
      </c>
    </row>
    <row r="11299" spans="1:5" x14ac:dyDescent="0.25">
      <c r="A11299" s="36" t="b">
        <v>0</v>
      </c>
      <c r="B11299" s="56" t="b">
        <v>0</v>
      </c>
      <c r="C11299" s="56" t="b">
        <v>0</v>
      </c>
      <c r="D11299" s="56" t="b">
        <v>0</v>
      </c>
      <c r="E11299" s="56">
        <f ca="1">IF(PV[[#This Row],[Business Date]]=Control!$C$6, PV[[#This Row],[Notional Value Local Cur]], -PV[[#This Row],[Notional Value Local Cur]])</f>
        <v>0</v>
      </c>
    </row>
    <row r="11300" spans="1:5" x14ac:dyDescent="0.25">
      <c r="A11300" s="36" t="b">
        <v>0</v>
      </c>
      <c r="B11300" s="56" t="b">
        <v>0</v>
      </c>
      <c r="C11300" s="56" t="b">
        <v>0</v>
      </c>
      <c r="D11300" s="56" t="b">
        <v>0</v>
      </c>
      <c r="E11300" s="56">
        <f ca="1">IF(PV[[#This Row],[Business Date]]=Control!$C$6, PV[[#This Row],[Notional Value Local Cur]], -PV[[#This Row],[Notional Value Local Cur]])</f>
        <v>0</v>
      </c>
    </row>
    <row r="11301" spans="1:5" x14ac:dyDescent="0.25">
      <c r="A11301" s="36" t="b">
        <v>0</v>
      </c>
      <c r="B11301" s="56" t="b">
        <v>0</v>
      </c>
      <c r="C11301" s="56" t="b">
        <v>0</v>
      </c>
      <c r="D11301" s="56" t="b">
        <v>0</v>
      </c>
      <c r="E11301" s="56">
        <f ca="1">IF(PV[[#This Row],[Business Date]]=Control!$C$6, PV[[#This Row],[Notional Value Local Cur]], -PV[[#This Row],[Notional Value Local Cur]])</f>
        <v>0</v>
      </c>
    </row>
    <row r="11302" spans="1:5" x14ac:dyDescent="0.25">
      <c r="A11302" s="36" t="b">
        <v>0</v>
      </c>
      <c r="B11302" s="56" t="b">
        <v>0</v>
      </c>
      <c r="C11302" s="56" t="b">
        <v>0</v>
      </c>
      <c r="D11302" s="56" t="b">
        <v>0</v>
      </c>
      <c r="E11302" s="56">
        <f ca="1">IF(PV[[#This Row],[Business Date]]=Control!$C$6, PV[[#This Row],[Notional Value Local Cur]], -PV[[#This Row],[Notional Value Local Cur]])</f>
        <v>0</v>
      </c>
    </row>
    <row r="11303" spans="1:5" x14ac:dyDescent="0.25">
      <c r="A11303" s="36" t="b">
        <v>0</v>
      </c>
      <c r="B11303" s="56" t="b">
        <v>0</v>
      </c>
      <c r="C11303" s="56" t="b">
        <v>0</v>
      </c>
      <c r="D11303" s="56" t="b">
        <v>0</v>
      </c>
      <c r="E11303" s="56">
        <f ca="1">IF(PV[[#This Row],[Business Date]]=Control!$C$6, PV[[#This Row],[Notional Value Local Cur]], -PV[[#This Row],[Notional Value Local Cur]])</f>
        <v>0</v>
      </c>
    </row>
    <row r="11304" spans="1:5" x14ac:dyDescent="0.25">
      <c r="A11304" s="36" t="b">
        <v>0</v>
      </c>
      <c r="B11304" s="56" t="b">
        <v>0</v>
      </c>
      <c r="C11304" s="56" t="b">
        <v>0</v>
      </c>
      <c r="D11304" s="56" t="b">
        <v>0</v>
      </c>
      <c r="E11304" s="56">
        <f ca="1">IF(PV[[#This Row],[Business Date]]=Control!$C$6, PV[[#This Row],[Notional Value Local Cur]], -PV[[#This Row],[Notional Value Local Cur]])</f>
        <v>0</v>
      </c>
    </row>
    <row r="11305" spans="1:5" x14ac:dyDescent="0.25">
      <c r="A11305" s="36" t="b">
        <v>0</v>
      </c>
      <c r="B11305" s="56" t="b">
        <v>0</v>
      </c>
      <c r="C11305" s="56" t="b">
        <v>0</v>
      </c>
      <c r="D11305" s="56" t="b">
        <v>0</v>
      </c>
      <c r="E11305" s="56">
        <f ca="1">IF(PV[[#This Row],[Business Date]]=Control!$C$6, PV[[#This Row],[Notional Value Local Cur]], -PV[[#This Row],[Notional Value Local Cur]])</f>
        <v>0</v>
      </c>
    </row>
    <row r="11306" spans="1:5" x14ac:dyDescent="0.25">
      <c r="A11306" s="36" t="b">
        <v>0</v>
      </c>
      <c r="B11306" s="56" t="b">
        <v>0</v>
      </c>
      <c r="C11306" s="56" t="b">
        <v>0</v>
      </c>
      <c r="D11306" s="56" t="b">
        <v>0</v>
      </c>
      <c r="E11306" s="56">
        <f ca="1">IF(PV[[#This Row],[Business Date]]=Control!$C$6, PV[[#This Row],[Notional Value Local Cur]], -PV[[#This Row],[Notional Value Local Cur]])</f>
        <v>0</v>
      </c>
    </row>
    <row r="11307" spans="1:5" x14ac:dyDescent="0.25">
      <c r="A11307" s="36" t="b">
        <v>0</v>
      </c>
      <c r="B11307" s="56" t="b">
        <v>0</v>
      </c>
      <c r="C11307" s="56" t="b">
        <v>0</v>
      </c>
      <c r="D11307" s="56" t="b">
        <v>0</v>
      </c>
      <c r="E11307" s="56">
        <f ca="1">IF(PV[[#This Row],[Business Date]]=Control!$C$6, PV[[#This Row],[Notional Value Local Cur]], -PV[[#This Row],[Notional Value Local Cur]])</f>
        <v>0</v>
      </c>
    </row>
    <row r="11308" spans="1:5" x14ac:dyDescent="0.25">
      <c r="A11308" s="36" t="b">
        <v>0</v>
      </c>
      <c r="B11308" s="56" t="b">
        <v>0</v>
      </c>
      <c r="C11308" s="56" t="b">
        <v>0</v>
      </c>
      <c r="D11308" s="56" t="b">
        <v>0</v>
      </c>
      <c r="E11308" s="56">
        <f ca="1">IF(PV[[#This Row],[Business Date]]=Control!$C$6, PV[[#This Row],[Notional Value Local Cur]], -PV[[#This Row],[Notional Value Local Cur]])</f>
        <v>0</v>
      </c>
    </row>
    <row r="11309" spans="1:5" x14ac:dyDescent="0.25">
      <c r="A11309" s="36" t="b">
        <v>0</v>
      </c>
      <c r="B11309" s="56" t="b">
        <v>0</v>
      </c>
      <c r="C11309" s="56" t="b">
        <v>0</v>
      </c>
      <c r="D11309" s="56" t="b">
        <v>0</v>
      </c>
      <c r="E11309" s="56">
        <f ca="1">IF(PV[[#This Row],[Business Date]]=Control!$C$6, PV[[#This Row],[Notional Value Local Cur]], -PV[[#This Row],[Notional Value Local Cur]])</f>
        <v>0</v>
      </c>
    </row>
    <row r="11310" spans="1:5" x14ac:dyDescent="0.25">
      <c r="A11310" s="36" t="b">
        <v>0</v>
      </c>
      <c r="B11310" s="56" t="b">
        <v>0</v>
      </c>
      <c r="C11310" s="56" t="b">
        <v>0</v>
      </c>
      <c r="D11310" s="56" t="b">
        <v>0</v>
      </c>
      <c r="E11310" s="56">
        <f ca="1">IF(PV[[#This Row],[Business Date]]=Control!$C$6, PV[[#This Row],[Notional Value Local Cur]], -PV[[#This Row],[Notional Value Local Cur]])</f>
        <v>0</v>
      </c>
    </row>
    <row r="11311" spans="1:5" x14ac:dyDescent="0.25">
      <c r="A11311" s="36" t="b">
        <v>0</v>
      </c>
      <c r="B11311" s="56" t="b">
        <v>0</v>
      </c>
      <c r="C11311" s="56" t="b">
        <v>0</v>
      </c>
      <c r="D11311" s="56" t="b">
        <v>0</v>
      </c>
      <c r="E11311" s="56">
        <f ca="1">IF(PV[[#This Row],[Business Date]]=Control!$C$6, PV[[#This Row],[Notional Value Local Cur]], -PV[[#This Row],[Notional Value Local Cur]])</f>
        <v>0</v>
      </c>
    </row>
    <row r="11312" spans="1:5" x14ac:dyDescent="0.25">
      <c r="A11312" s="36" t="b">
        <v>0</v>
      </c>
      <c r="B11312" s="56" t="b">
        <v>0</v>
      </c>
      <c r="C11312" s="56" t="b">
        <v>0</v>
      </c>
      <c r="D11312" s="56" t="b">
        <v>0</v>
      </c>
      <c r="E11312" s="56">
        <f ca="1">IF(PV[[#This Row],[Business Date]]=Control!$C$6, PV[[#This Row],[Notional Value Local Cur]], -PV[[#This Row],[Notional Value Local Cur]])</f>
        <v>0</v>
      </c>
    </row>
    <row r="11313" spans="1:5" x14ac:dyDescent="0.25">
      <c r="A11313" s="36" t="b">
        <v>0</v>
      </c>
      <c r="B11313" s="56" t="b">
        <v>0</v>
      </c>
      <c r="C11313" s="56" t="b">
        <v>0</v>
      </c>
      <c r="D11313" s="56" t="b">
        <v>0</v>
      </c>
      <c r="E11313" s="56">
        <f ca="1">IF(PV[[#This Row],[Business Date]]=Control!$C$6, PV[[#This Row],[Notional Value Local Cur]], -PV[[#This Row],[Notional Value Local Cur]])</f>
        <v>0</v>
      </c>
    </row>
    <row r="11314" spans="1:5" x14ac:dyDescent="0.25">
      <c r="A11314" s="36" t="b">
        <v>0</v>
      </c>
      <c r="B11314" s="56" t="b">
        <v>0</v>
      </c>
      <c r="C11314" s="56" t="b">
        <v>0</v>
      </c>
      <c r="D11314" s="56" t="b">
        <v>0</v>
      </c>
      <c r="E11314" s="56">
        <f ca="1">IF(PV[[#This Row],[Business Date]]=Control!$C$6, PV[[#This Row],[Notional Value Local Cur]], -PV[[#This Row],[Notional Value Local Cur]])</f>
        <v>0</v>
      </c>
    </row>
    <row r="11315" spans="1:5" x14ac:dyDescent="0.25">
      <c r="A11315" s="36" t="b">
        <v>0</v>
      </c>
      <c r="B11315" s="56" t="b">
        <v>0</v>
      </c>
      <c r="C11315" s="56" t="b">
        <v>0</v>
      </c>
      <c r="D11315" s="56" t="b">
        <v>0</v>
      </c>
      <c r="E11315" s="56">
        <f ca="1">IF(PV[[#This Row],[Business Date]]=Control!$C$6, PV[[#This Row],[Notional Value Local Cur]], -PV[[#This Row],[Notional Value Local Cur]])</f>
        <v>0</v>
      </c>
    </row>
    <row r="11316" spans="1:5" x14ac:dyDescent="0.25">
      <c r="A11316" s="36" t="b">
        <v>0</v>
      </c>
      <c r="B11316" s="56" t="b">
        <v>0</v>
      </c>
      <c r="C11316" s="56" t="b">
        <v>0</v>
      </c>
      <c r="D11316" s="56" t="b">
        <v>0</v>
      </c>
      <c r="E11316" s="56">
        <f ca="1">IF(PV[[#This Row],[Business Date]]=Control!$C$6, PV[[#This Row],[Notional Value Local Cur]], -PV[[#This Row],[Notional Value Local Cur]])</f>
        <v>0</v>
      </c>
    </row>
    <row r="11317" spans="1:5" x14ac:dyDescent="0.25">
      <c r="A11317" s="36" t="b">
        <v>0</v>
      </c>
      <c r="B11317" s="56" t="b">
        <v>0</v>
      </c>
      <c r="C11317" s="56" t="b">
        <v>0</v>
      </c>
      <c r="D11317" s="56" t="b">
        <v>0</v>
      </c>
      <c r="E11317" s="56">
        <f ca="1">IF(PV[[#This Row],[Business Date]]=Control!$C$6, PV[[#This Row],[Notional Value Local Cur]], -PV[[#This Row],[Notional Value Local Cur]])</f>
        <v>0</v>
      </c>
    </row>
    <row r="11318" spans="1:5" x14ac:dyDescent="0.25">
      <c r="A11318" s="36" t="b">
        <v>0</v>
      </c>
      <c r="B11318" s="56" t="b">
        <v>0</v>
      </c>
      <c r="C11318" s="56" t="b">
        <v>0</v>
      </c>
      <c r="D11318" s="56" t="b">
        <v>0</v>
      </c>
      <c r="E11318" s="56">
        <f ca="1">IF(PV[[#This Row],[Business Date]]=Control!$C$6, PV[[#This Row],[Notional Value Local Cur]], -PV[[#This Row],[Notional Value Local Cur]])</f>
        <v>0</v>
      </c>
    </row>
    <row r="11319" spans="1:5" x14ac:dyDescent="0.25">
      <c r="A11319" s="36" t="b">
        <v>0</v>
      </c>
      <c r="B11319" s="56" t="b">
        <v>0</v>
      </c>
      <c r="C11319" s="56" t="b">
        <v>0</v>
      </c>
      <c r="D11319" s="56" t="b">
        <v>0</v>
      </c>
      <c r="E11319" s="56">
        <f ca="1">IF(PV[[#This Row],[Business Date]]=Control!$C$6, PV[[#This Row],[Notional Value Local Cur]], -PV[[#This Row],[Notional Value Local Cur]])</f>
        <v>0</v>
      </c>
    </row>
    <row r="11320" spans="1:5" x14ac:dyDescent="0.25">
      <c r="A11320" s="36" t="b">
        <v>0</v>
      </c>
      <c r="B11320" s="56" t="b">
        <v>0</v>
      </c>
      <c r="C11320" s="56" t="b">
        <v>0</v>
      </c>
      <c r="D11320" s="56" t="b">
        <v>0</v>
      </c>
      <c r="E11320" s="56">
        <f ca="1">IF(PV[[#This Row],[Business Date]]=Control!$C$6, PV[[#This Row],[Notional Value Local Cur]], -PV[[#This Row],[Notional Value Local Cur]])</f>
        <v>0</v>
      </c>
    </row>
    <row r="11321" spans="1:5" x14ac:dyDescent="0.25">
      <c r="A11321" s="36" t="b">
        <v>0</v>
      </c>
      <c r="B11321" s="56" t="b">
        <v>0</v>
      </c>
      <c r="C11321" s="56" t="b">
        <v>0</v>
      </c>
      <c r="D11321" s="56" t="b">
        <v>0</v>
      </c>
      <c r="E11321" s="56">
        <f ca="1">IF(PV[[#This Row],[Business Date]]=Control!$C$6, PV[[#This Row],[Notional Value Local Cur]], -PV[[#This Row],[Notional Value Local Cur]])</f>
        <v>0</v>
      </c>
    </row>
    <row r="11322" spans="1:5" x14ac:dyDescent="0.25">
      <c r="A11322" s="36" t="b">
        <v>0</v>
      </c>
      <c r="B11322" s="56" t="b">
        <v>0</v>
      </c>
      <c r="C11322" s="56" t="b">
        <v>0</v>
      </c>
      <c r="D11322" s="56" t="b">
        <v>0</v>
      </c>
      <c r="E11322" s="56">
        <f ca="1">IF(PV[[#This Row],[Business Date]]=Control!$C$6, PV[[#This Row],[Notional Value Local Cur]], -PV[[#This Row],[Notional Value Local Cur]])</f>
        <v>0</v>
      </c>
    </row>
    <row r="11323" spans="1:5" x14ac:dyDescent="0.25">
      <c r="A11323" s="36" t="b">
        <v>0</v>
      </c>
      <c r="B11323" s="56" t="b">
        <v>0</v>
      </c>
      <c r="C11323" s="56" t="b">
        <v>0</v>
      </c>
      <c r="D11323" s="56" t="b">
        <v>0</v>
      </c>
      <c r="E11323" s="56">
        <f ca="1">IF(PV[[#This Row],[Business Date]]=Control!$C$6, PV[[#This Row],[Notional Value Local Cur]], -PV[[#This Row],[Notional Value Local Cur]])</f>
        <v>0</v>
      </c>
    </row>
    <row r="11324" spans="1:5" x14ac:dyDescent="0.25">
      <c r="A11324" s="36" t="b">
        <v>0</v>
      </c>
      <c r="B11324" s="56" t="b">
        <v>0</v>
      </c>
      <c r="C11324" s="56" t="b">
        <v>0</v>
      </c>
      <c r="D11324" s="56" t="b">
        <v>0</v>
      </c>
      <c r="E11324" s="56">
        <f ca="1">IF(PV[[#This Row],[Business Date]]=Control!$C$6, PV[[#This Row],[Notional Value Local Cur]], -PV[[#This Row],[Notional Value Local Cur]])</f>
        <v>0</v>
      </c>
    </row>
    <row r="11325" spans="1:5" x14ac:dyDescent="0.25">
      <c r="A11325" s="36" t="b">
        <v>0</v>
      </c>
      <c r="B11325" s="56" t="b">
        <v>0</v>
      </c>
      <c r="C11325" s="56" t="b">
        <v>0</v>
      </c>
      <c r="D11325" s="56" t="b">
        <v>0</v>
      </c>
      <c r="E11325" s="56">
        <f ca="1">IF(PV[[#This Row],[Business Date]]=Control!$C$6, PV[[#This Row],[Notional Value Local Cur]], -PV[[#This Row],[Notional Value Local Cur]])</f>
        <v>0</v>
      </c>
    </row>
    <row r="11326" spans="1:5" x14ac:dyDescent="0.25">
      <c r="A11326" s="36" t="b">
        <v>0</v>
      </c>
      <c r="B11326" s="56" t="b">
        <v>0</v>
      </c>
      <c r="C11326" s="56" t="b">
        <v>0</v>
      </c>
      <c r="D11326" s="56" t="b">
        <v>0</v>
      </c>
      <c r="E11326" s="56">
        <f ca="1">IF(PV[[#This Row],[Business Date]]=Control!$C$6, PV[[#This Row],[Notional Value Local Cur]], -PV[[#This Row],[Notional Value Local Cur]])</f>
        <v>0</v>
      </c>
    </row>
    <row r="11327" spans="1:5" x14ac:dyDescent="0.25">
      <c r="A11327" s="36" t="b">
        <v>0</v>
      </c>
      <c r="B11327" s="56" t="b">
        <v>0</v>
      </c>
      <c r="C11327" s="56" t="b">
        <v>0</v>
      </c>
      <c r="D11327" s="56" t="b">
        <v>0</v>
      </c>
      <c r="E11327" s="56">
        <f ca="1">IF(PV[[#This Row],[Business Date]]=Control!$C$6, PV[[#This Row],[Notional Value Local Cur]], -PV[[#This Row],[Notional Value Local Cur]])</f>
        <v>0</v>
      </c>
    </row>
    <row r="11328" spans="1:5" x14ac:dyDescent="0.25">
      <c r="A11328" s="36" t="b">
        <v>0</v>
      </c>
      <c r="B11328" s="56" t="b">
        <v>0</v>
      </c>
      <c r="C11328" s="56" t="b">
        <v>0</v>
      </c>
      <c r="D11328" s="56" t="b">
        <v>0</v>
      </c>
      <c r="E11328" s="56">
        <f ca="1">IF(PV[[#This Row],[Business Date]]=Control!$C$6, PV[[#This Row],[Notional Value Local Cur]], -PV[[#This Row],[Notional Value Local Cur]])</f>
        <v>0</v>
      </c>
    </row>
    <row r="11329" spans="1:5" x14ac:dyDescent="0.25">
      <c r="A11329" s="36" t="b">
        <v>0</v>
      </c>
      <c r="B11329" s="56" t="b">
        <v>0</v>
      </c>
      <c r="C11329" s="56" t="b">
        <v>0</v>
      </c>
      <c r="D11329" s="56" t="b">
        <v>0</v>
      </c>
      <c r="E11329" s="56">
        <f ca="1">IF(PV[[#This Row],[Business Date]]=Control!$C$6, PV[[#This Row],[Notional Value Local Cur]], -PV[[#This Row],[Notional Value Local Cur]])</f>
        <v>0</v>
      </c>
    </row>
    <row r="11330" spans="1:5" x14ac:dyDescent="0.25">
      <c r="A11330" s="36" t="b">
        <v>0</v>
      </c>
      <c r="B11330" s="56" t="b">
        <v>0</v>
      </c>
      <c r="C11330" s="56" t="b">
        <v>0</v>
      </c>
      <c r="D11330" s="56" t="b">
        <v>0</v>
      </c>
      <c r="E11330" s="56">
        <f ca="1">IF(PV[[#This Row],[Business Date]]=Control!$C$6, PV[[#This Row],[Notional Value Local Cur]], -PV[[#This Row],[Notional Value Local Cur]])</f>
        <v>0</v>
      </c>
    </row>
    <row r="11331" spans="1:5" x14ac:dyDescent="0.25">
      <c r="A11331" s="36" t="b">
        <v>0</v>
      </c>
      <c r="B11331" s="56" t="b">
        <v>0</v>
      </c>
      <c r="C11331" s="56" t="b">
        <v>0</v>
      </c>
      <c r="D11331" s="56" t="b">
        <v>0</v>
      </c>
      <c r="E11331" s="56">
        <f ca="1">IF(PV[[#This Row],[Business Date]]=Control!$C$6, PV[[#This Row],[Notional Value Local Cur]], -PV[[#This Row],[Notional Value Local Cur]])</f>
        <v>0</v>
      </c>
    </row>
    <row r="11332" spans="1:5" x14ac:dyDescent="0.25">
      <c r="A11332" s="36" t="b">
        <v>0</v>
      </c>
      <c r="B11332" s="56" t="b">
        <v>0</v>
      </c>
      <c r="C11332" s="56" t="b">
        <v>0</v>
      </c>
      <c r="D11332" s="56" t="b">
        <v>0</v>
      </c>
      <c r="E11332" s="56">
        <f ca="1">IF(PV[[#This Row],[Business Date]]=Control!$C$6, PV[[#This Row],[Notional Value Local Cur]], -PV[[#This Row],[Notional Value Local Cur]])</f>
        <v>0</v>
      </c>
    </row>
    <row r="11333" spans="1:5" x14ac:dyDescent="0.25">
      <c r="A11333" s="36" t="b">
        <v>0</v>
      </c>
      <c r="B11333" s="56" t="b">
        <v>0</v>
      </c>
      <c r="C11333" s="56" t="b">
        <v>0</v>
      </c>
      <c r="D11333" s="56" t="b">
        <v>0</v>
      </c>
      <c r="E11333" s="56">
        <f ca="1">IF(PV[[#This Row],[Business Date]]=Control!$C$6, PV[[#This Row],[Notional Value Local Cur]], -PV[[#This Row],[Notional Value Local Cur]])</f>
        <v>0</v>
      </c>
    </row>
    <row r="11334" spans="1:5" x14ac:dyDescent="0.25">
      <c r="A11334" s="36" t="b">
        <v>0</v>
      </c>
      <c r="B11334" s="56" t="b">
        <v>0</v>
      </c>
      <c r="C11334" s="56" t="b">
        <v>0</v>
      </c>
      <c r="D11334" s="56" t="b">
        <v>0</v>
      </c>
      <c r="E11334" s="56">
        <f ca="1">IF(PV[[#This Row],[Business Date]]=Control!$C$6, PV[[#This Row],[Notional Value Local Cur]], -PV[[#This Row],[Notional Value Local Cur]])</f>
        <v>0</v>
      </c>
    </row>
    <row r="11335" spans="1:5" x14ac:dyDescent="0.25">
      <c r="A11335" s="36" t="b">
        <v>0</v>
      </c>
      <c r="B11335" s="56" t="b">
        <v>0</v>
      </c>
      <c r="C11335" s="56" t="b">
        <v>0</v>
      </c>
      <c r="D11335" s="56" t="b">
        <v>0</v>
      </c>
      <c r="E11335" s="56">
        <f ca="1">IF(PV[[#This Row],[Business Date]]=Control!$C$6, PV[[#This Row],[Notional Value Local Cur]], -PV[[#This Row],[Notional Value Local Cur]])</f>
        <v>0</v>
      </c>
    </row>
    <row r="11336" spans="1:5" x14ac:dyDescent="0.25">
      <c r="A11336" s="36" t="b">
        <v>0</v>
      </c>
      <c r="B11336" s="56" t="b">
        <v>0</v>
      </c>
      <c r="C11336" s="56" t="b">
        <v>0</v>
      </c>
      <c r="D11336" s="56" t="b">
        <v>0</v>
      </c>
      <c r="E11336" s="56">
        <f ca="1">IF(PV[[#This Row],[Business Date]]=Control!$C$6, PV[[#This Row],[Notional Value Local Cur]], -PV[[#This Row],[Notional Value Local Cur]])</f>
        <v>0</v>
      </c>
    </row>
    <row r="11337" spans="1:5" x14ac:dyDescent="0.25">
      <c r="A11337" s="36" t="b">
        <v>0</v>
      </c>
      <c r="B11337" s="56" t="b">
        <v>0</v>
      </c>
      <c r="C11337" s="56" t="b">
        <v>0</v>
      </c>
      <c r="D11337" s="56" t="b">
        <v>0</v>
      </c>
      <c r="E11337" s="56">
        <f ca="1">IF(PV[[#This Row],[Business Date]]=Control!$C$6, PV[[#This Row],[Notional Value Local Cur]], -PV[[#This Row],[Notional Value Local Cur]])</f>
        <v>0</v>
      </c>
    </row>
    <row r="11338" spans="1:5" x14ac:dyDescent="0.25">
      <c r="A11338" s="36" t="b">
        <v>0</v>
      </c>
      <c r="B11338" s="56" t="b">
        <v>0</v>
      </c>
      <c r="C11338" s="56" t="b">
        <v>0</v>
      </c>
      <c r="D11338" s="56" t="b">
        <v>0</v>
      </c>
      <c r="E11338" s="56">
        <f ca="1">IF(PV[[#This Row],[Business Date]]=Control!$C$6, PV[[#This Row],[Notional Value Local Cur]], -PV[[#This Row],[Notional Value Local Cur]])</f>
        <v>0</v>
      </c>
    </row>
    <row r="11339" spans="1:5" x14ac:dyDescent="0.25">
      <c r="A11339" s="36" t="b">
        <v>0</v>
      </c>
      <c r="B11339" s="56" t="b">
        <v>0</v>
      </c>
      <c r="C11339" s="56" t="b">
        <v>0</v>
      </c>
      <c r="D11339" s="56" t="b">
        <v>0</v>
      </c>
      <c r="E11339" s="56">
        <f ca="1">IF(PV[[#This Row],[Business Date]]=Control!$C$6, PV[[#This Row],[Notional Value Local Cur]], -PV[[#This Row],[Notional Value Local Cur]])</f>
        <v>0</v>
      </c>
    </row>
    <row r="11340" spans="1:5" x14ac:dyDescent="0.25">
      <c r="A11340" s="36" t="b">
        <v>0</v>
      </c>
      <c r="B11340" s="56" t="b">
        <v>0</v>
      </c>
      <c r="C11340" s="56" t="b">
        <v>0</v>
      </c>
      <c r="D11340" s="56" t="b">
        <v>0</v>
      </c>
      <c r="E11340" s="56">
        <f ca="1">IF(PV[[#This Row],[Business Date]]=Control!$C$6, PV[[#This Row],[Notional Value Local Cur]], -PV[[#This Row],[Notional Value Local Cur]])</f>
        <v>0</v>
      </c>
    </row>
    <row r="11341" spans="1:5" x14ac:dyDescent="0.25">
      <c r="A11341" s="36" t="b">
        <v>0</v>
      </c>
      <c r="B11341" s="56" t="b">
        <v>0</v>
      </c>
      <c r="C11341" s="56" t="b">
        <v>0</v>
      </c>
      <c r="D11341" s="56" t="b">
        <v>0</v>
      </c>
      <c r="E11341" s="56">
        <f ca="1">IF(PV[[#This Row],[Business Date]]=Control!$C$6, PV[[#This Row],[Notional Value Local Cur]], -PV[[#This Row],[Notional Value Local Cur]])</f>
        <v>0</v>
      </c>
    </row>
    <row r="11342" spans="1:5" x14ac:dyDescent="0.25">
      <c r="A11342" s="36" t="b">
        <v>0</v>
      </c>
      <c r="B11342" s="56" t="b">
        <v>0</v>
      </c>
      <c r="C11342" s="56" t="b">
        <v>0</v>
      </c>
      <c r="D11342" s="56" t="b">
        <v>0</v>
      </c>
      <c r="E11342" s="56">
        <f ca="1">IF(PV[[#This Row],[Business Date]]=Control!$C$6, PV[[#This Row],[Notional Value Local Cur]], -PV[[#This Row],[Notional Value Local Cur]])</f>
        <v>0</v>
      </c>
    </row>
    <row r="11343" spans="1:5" x14ac:dyDescent="0.25">
      <c r="A11343" s="36" t="b">
        <v>0</v>
      </c>
      <c r="B11343" s="56" t="b">
        <v>0</v>
      </c>
      <c r="C11343" s="56" t="b">
        <v>0</v>
      </c>
      <c r="D11343" s="56" t="b">
        <v>0</v>
      </c>
      <c r="E11343" s="56">
        <f ca="1">IF(PV[[#This Row],[Business Date]]=Control!$C$6, PV[[#This Row],[Notional Value Local Cur]], -PV[[#This Row],[Notional Value Local Cur]])</f>
        <v>0</v>
      </c>
    </row>
    <row r="11344" spans="1:5" x14ac:dyDescent="0.25">
      <c r="A11344" s="36" t="b">
        <v>0</v>
      </c>
      <c r="B11344" s="56" t="b">
        <v>0</v>
      </c>
      <c r="C11344" s="56" t="b">
        <v>0</v>
      </c>
      <c r="D11344" s="56" t="b">
        <v>0</v>
      </c>
      <c r="E11344" s="56">
        <f ca="1">IF(PV[[#This Row],[Business Date]]=Control!$C$6, PV[[#This Row],[Notional Value Local Cur]], -PV[[#This Row],[Notional Value Local Cur]])</f>
        <v>0</v>
      </c>
    </row>
    <row r="11345" spans="1:5" x14ac:dyDescent="0.25">
      <c r="A11345" s="36" t="b">
        <v>0</v>
      </c>
      <c r="B11345" s="56" t="b">
        <v>0</v>
      </c>
      <c r="C11345" s="56" t="b">
        <v>0</v>
      </c>
      <c r="D11345" s="56" t="b">
        <v>0</v>
      </c>
      <c r="E11345" s="56">
        <f ca="1">IF(PV[[#This Row],[Business Date]]=Control!$C$6, PV[[#This Row],[Notional Value Local Cur]], -PV[[#This Row],[Notional Value Local Cur]])</f>
        <v>0</v>
      </c>
    </row>
    <row r="11346" spans="1:5" x14ac:dyDescent="0.25">
      <c r="A11346" s="36" t="b">
        <v>0</v>
      </c>
      <c r="B11346" s="56" t="b">
        <v>0</v>
      </c>
      <c r="C11346" s="56" t="b">
        <v>0</v>
      </c>
      <c r="D11346" s="56" t="b">
        <v>0</v>
      </c>
      <c r="E11346" s="56">
        <f ca="1">IF(PV[[#This Row],[Business Date]]=Control!$C$6, PV[[#This Row],[Notional Value Local Cur]], -PV[[#This Row],[Notional Value Local Cur]])</f>
        <v>0</v>
      </c>
    </row>
    <row r="11347" spans="1:5" x14ac:dyDescent="0.25">
      <c r="A11347" s="36" t="b">
        <v>0</v>
      </c>
      <c r="B11347" s="56" t="b">
        <v>0</v>
      </c>
      <c r="C11347" s="56" t="b">
        <v>0</v>
      </c>
      <c r="D11347" s="56" t="b">
        <v>0</v>
      </c>
      <c r="E11347" s="56">
        <f ca="1">IF(PV[[#This Row],[Business Date]]=Control!$C$6, PV[[#This Row],[Notional Value Local Cur]], -PV[[#This Row],[Notional Value Local Cur]])</f>
        <v>0</v>
      </c>
    </row>
    <row r="11348" spans="1:5" x14ac:dyDescent="0.25">
      <c r="A11348" s="36" t="b">
        <v>0</v>
      </c>
      <c r="B11348" s="56" t="b">
        <v>0</v>
      </c>
      <c r="C11348" s="56" t="b">
        <v>0</v>
      </c>
      <c r="D11348" s="56" t="b">
        <v>0</v>
      </c>
      <c r="E11348" s="56">
        <f ca="1">IF(PV[[#This Row],[Business Date]]=Control!$C$6, PV[[#This Row],[Notional Value Local Cur]], -PV[[#This Row],[Notional Value Local Cur]])</f>
        <v>0</v>
      </c>
    </row>
    <row r="11349" spans="1:5" x14ac:dyDescent="0.25">
      <c r="A11349" s="36" t="b">
        <v>0</v>
      </c>
      <c r="B11349" s="56" t="b">
        <v>0</v>
      </c>
      <c r="C11349" s="56" t="b">
        <v>0</v>
      </c>
      <c r="D11349" s="56" t="b">
        <v>0</v>
      </c>
      <c r="E11349" s="56">
        <f ca="1">IF(PV[[#This Row],[Business Date]]=Control!$C$6, PV[[#This Row],[Notional Value Local Cur]], -PV[[#This Row],[Notional Value Local Cur]])</f>
        <v>0</v>
      </c>
    </row>
    <row r="11350" spans="1:5" x14ac:dyDescent="0.25">
      <c r="A11350" s="36" t="b">
        <v>0</v>
      </c>
      <c r="B11350" s="56" t="b">
        <v>0</v>
      </c>
      <c r="C11350" s="56" t="b">
        <v>0</v>
      </c>
      <c r="D11350" s="56" t="b">
        <v>0</v>
      </c>
      <c r="E11350" s="56">
        <f ca="1">IF(PV[[#This Row],[Business Date]]=Control!$C$6, PV[[#This Row],[Notional Value Local Cur]], -PV[[#This Row],[Notional Value Local Cur]])</f>
        <v>0</v>
      </c>
    </row>
    <row r="11351" spans="1:5" x14ac:dyDescent="0.25">
      <c r="A11351" s="36" t="b">
        <v>0</v>
      </c>
      <c r="B11351" s="56" t="b">
        <v>0</v>
      </c>
      <c r="C11351" s="56" t="b">
        <v>0</v>
      </c>
      <c r="D11351" s="56" t="b">
        <v>0</v>
      </c>
      <c r="E11351" s="56">
        <f ca="1">IF(PV[[#This Row],[Business Date]]=Control!$C$6, PV[[#This Row],[Notional Value Local Cur]], -PV[[#This Row],[Notional Value Local Cur]])</f>
        <v>0</v>
      </c>
    </row>
    <row r="11352" spans="1:5" x14ac:dyDescent="0.25">
      <c r="A11352" s="36" t="b">
        <v>0</v>
      </c>
      <c r="B11352" s="56" t="b">
        <v>0</v>
      </c>
      <c r="C11352" s="56" t="b">
        <v>0</v>
      </c>
      <c r="D11352" s="56" t="b">
        <v>0</v>
      </c>
      <c r="E11352" s="56">
        <f ca="1">IF(PV[[#This Row],[Business Date]]=Control!$C$6, PV[[#This Row],[Notional Value Local Cur]], -PV[[#This Row],[Notional Value Local Cur]])</f>
        <v>0</v>
      </c>
    </row>
    <row r="11353" spans="1:5" x14ac:dyDescent="0.25">
      <c r="A11353" s="36" t="b">
        <v>0</v>
      </c>
      <c r="B11353" s="56" t="b">
        <v>0</v>
      </c>
      <c r="C11353" s="56" t="b">
        <v>0</v>
      </c>
      <c r="D11353" s="56" t="b">
        <v>0</v>
      </c>
      <c r="E11353" s="56">
        <f ca="1">IF(PV[[#This Row],[Business Date]]=Control!$C$6, PV[[#This Row],[Notional Value Local Cur]], -PV[[#This Row],[Notional Value Local Cur]])</f>
        <v>0</v>
      </c>
    </row>
    <row r="11354" spans="1:5" x14ac:dyDescent="0.25">
      <c r="A11354" s="36" t="b">
        <v>0</v>
      </c>
      <c r="B11354" s="56" t="b">
        <v>0</v>
      </c>
      <c r="C11354" s="56" t="b">
        <v>0</v>
      </c>
      <c r="D11354" s="56" t="b">
        <v>0</v>
      </c>
      <c r="E11354" s="56">
        <f ca="1">IF(PV[[#This Row],[Business Date]]=Control!$C$6, PV[[#This Row],[Notional Value Local Cur]], -PV[[#This Row],[Notional Value Local Cur]])</f>
        <v>0</v>
      </c>
    </row>
    <row r="11355" spans="1:5" x14ac:dyDescent="0.25">
      <c r="A11355" s="36" t="b">
        <v>0</v>
      </c>
      <c r="B11355" s="56" t="b">
        <v>0</v>
      </c>
      <c r="C11355" s="56" t="b">
        <v>0</v>
      </c>
      <c r="D11355" s="56" t="b">
        <v>0</v>
      </c>
      <c r="E11355" s="56">
        <f ca="1">IF(PV[[#This Row],[Business Date]]=Control!$C$6, PV[[#This Row],[Notional Value Local Cur]], -PV[[#This Row],[Notional Value Local Cur]])</f>
        <v>0</v>
      </c>
    </row>
    <row r="11356" spans="1:5" x14ac:dyDescent="0.25">
      <c r="A11356" s="36" t="b">
        <v>0</v>
      </c>
      <c r="B11356" s="56" t="b">
        <v>0</v>
      </c>
      <c r="C11356" s="56" t="b">
        <v>0</v>
      </c>
      <c r="D11356" s="56" t="b">
        <v>0</v>
      </c>
      <c r="E11356" s="56">
        <f ca="1">IF(PV[[#This Row],[Business Date]]=Control!$C$6, PV[[#This Row],[Notional Value Local Cur]], -PV[[#This Row],[Notional Value Local Cur]])</f>
        <v>0</v>
      </c>
    </row>
    <row r="11357" spans="1:5" x14ac:dyDescent="0.25">
      <c r="A11357" s="36" t="b">
        <v>0</v>
      </c>
      <c r="B11357" s="56" t="b">
        <v>0</v>
      </c>
      <c r="C11357" s="56" t="b">
        <v>0</v>
      </c>
      <c r="D11357" s="56" t="b">
        <v>0</v>
      </c>
      <c r="E11357" s="56">
        <f ca="1">IF(PV[[#This Row],[Business Date]]=Control!$C$6, PV[[#This Row],[Notional Value Local Cur]], -PV[[#This Row],[Notional Value Local Cur]])</f>
        <v>0</v>
      </c>
    </row>
    <row r="11358" spans="1:5" x14ac:dyDescent="0.25">
      <c r="A11358" s="36" t="b">
        <v>0</v>
      </c>
      <c r="B11358" s="56" t="b">
        <v>0</v>
      </c>
      <c r="C11358" s="56" t="b">
        <v>0</v>
      </c>
      <c r="D11358" s="56" t="b">
        <v>0</v>
      </c>
      <c r="E11358" s="56">
        <f ca="1">IF(PV[[#This Row],[Business Date]]=Control!$C$6, PV[[#This Row],[Notional Value Local Cur]], -PV[[#This Row],[Notional Value Local Cur]])</f>
        <v>0</v>
      </c>
    </row>
    <row r="11359" spans="1:5" x14ac:dyDescent="0.25">
      <c r="A11359" s="36" t="b">
        <v>0</v>
      </c>
      <c r="B11359" s="56" t="b">
        <v>0</v>
      </c>
      <c r="C11359" s="56" t="b">
        <v>0</v>
      </c>
      <c r="D11359" s="56" t="b">
        <v>0</v>
      </c>
      <c r="E11359" s="56">
        <f ca="1">IF(PV[[#This Row],[Business Date]]=Control!$C$6, PV[[#This Row],[Notional Value Local Cur]], -PV[[#This Row],[Notional Value Local Cur]])</f>
        <v>0</v>
      </c>
    </row>
    <row r="11360" spans="1:5" x14ac:dyDescent="0.25">
      <c r="A11360" s="36" t="b">
        <v>0</v>
      </c>
      <c r="B11360" s="56" t="b">
        <v>0</v>
      </c>
      <c r="C11360" s="56" t="b">
        <v>0</v>
      </c>
      <c r="D11360" s="56" t="b">
        <v>0</v>
      </c>
      <c r="E11360" s="56">
        <f ca="1">IF(PV[[#This Row],[Business Date]]=Control!$C$6, PV[[#This Row],[Notional Value Local Cur]], -PV[[#This Row],[Notional Value Local Cur]])</f>
        <v>0</v>
      </c>
    </row>
    <row r="11361" spans="1:5" x14ac:dyDescent="0.25">
      <c r="A11361" s="36" t="b">
        <v>0</v>
      </c>
      <c r="B11361" s="56" t="b">
        <v>0</v>
      </c>
      <c r="C11361" s="56" t="b">
        <v>0</v>
      </c>
      <c r="D11361" s="56" t="b">
        <v>0</v>
      </c>
      <c r="E11361" s="56">
        <f ca="1">IF(PV[[#This Row],[Business Date]]=Control!$C$6, PV[[#This Row],[Notional Value Local Cur]], -PV[[#This Row],[Notional Value Local Cur]])</f>
        <v>0</v>
      </c>
    </row>
    <row r="11362" spans="1:5" x14ac:dyDescent="0.25">
      <c r="A11362" s="36" t="b">
        <v>0</v>
      </c>
      <c r="B11362" s="56" t="b">
        <v>0</v>
      </c>
      <c r="C11362" s="56" t="b">
        <v>0</v>
      </c>
      <c r="D11362" s="56" t="b">
        <v>0</v>
      </c>
      <c r="E11362" s="56">
        <f ca="1">IF(PV[[#This Row],[Business Date]]=Control!$C$6, PV[[#This Row],[Notional Value Local Cur]], -PV[[#This Row],[Notional Value Local Cur]])</f>
        <v>0</v>
      </c>
    </row>
    <row r="11363" spans="1:5" x14ac:dyDescent="0.25">
      <c r="A11363" s="36" t="b">
        <v>0</v>
      </c>
      <c r="B11363" s="56" t="b">
        <v>0</v>
      </c>
      <c r="C11363" s="56" t="b">
        <v>0</v>
      </c>
      <c r="D11363" s="56" t="b">
        <v>0</v>
      </c>
      <c r="E11363" s="56">
        <f ca="1">IF(PV[[#This Row],[Business Date]]=Control!$C$6, PV[[#This Row],[Notional Value Local Cur]], -PV[[#This Row],[Notional Value Local Cur]])</f>
        <v>0</v>
      </c>
    </row>
    <row r="11364" spans="1:5" x14ac:dyDescent="0.25">
      <c r="A11364" s="36" t="b">
        <v>0</v>
      </c>
      <c r="B11364" s="56" t="b">
        <v>0</v>
      </c>
      <c r="C11364" s="56" t="b">
        <v>0</v>
      </c>
      <c r="D11364" s="56" t="b">
        <v>0</v>
      </c>
      <c r="E11364" s="56">
        <f ca="1">IF(PV[[#This Row],[Business Date]]=Control!$C$6, PV[[#This Row],[Notional Value Local Cur]], -PV[[#This Row],[Notional Value Local Cur]])</f>
        <v>0</v>
      </c>
    </row>
    <row r="11365" spans="1:5" x14ac:dyDescent="0.25">
      <c r="A11365" s="36" t="b">
        <v>0</v>
      </c>
      <c r="B11365" s="56" t="b">
        <v>0</v>
      </c>
      <c r="C11365" s="56" t="b">
        <v>0</v>
      </c>
      <c r="D11365" s="56" t="b">
        <v>0</v>
      </c>
      <c r="E11365" s="56">
        <f ca="1">IF(PV[[#This Row],[Business Date]]=Control!$C$6, PV[[#This Row],[Notional Value Local Cur]], -PV[[#This Row],[Notional Value Local Cur]])</f>
        <v>0</v>
      </c>
    </row>
    <row r="11366" spans="1:5" x14ac:dyDescent="0.25">
      <c r="A11366" s="36" t="b">
        <v>0</v>
      </c>
      <c r="B11366" s="56" t="b">
        <v>0</v>
      </c>
      <c r="C11366" s="56" t="b">
        <v>0</v>
      </c>
      <c r="D11366" s="56" t="b">
        <v>0</v>
      </c>
      <c r="E11366" s="56">
        <f ca="1">IF(PV[[#This Row],[Business Date]]=Control!$C$6, PV[[#This Row],[Notional Value Local Cur]], -PV[[#This Row],[Notional Value Local Cur]])</f>
        <v>0</v>
      </c>
    </row>
    <row r="11367" spans="1:5" x14ac:dyDescent="0.25">
      <c r="A11367" s="36" t="b">
        <v>0</v>
      </c>
      <c r="B11367" s="56" t="b">
        <v>0</v>
      </c>
      <c r="C11367" s="56" t="b">
        <v>0</v>
      </c>
      <c r="D11367" s="56" t="b">
        <v>0</v>
      </c>
      <c r="E11367" s="56">
        <f ca="1">IF(PV[[#This Row],[Business Date]]=Control!$C$6, PV[[#This Row],[Notional Value Local Cur]], -PV[[#This Row],[Notional Value Local Cur]])</f>
        <v>0</v>
      </c>
    </row>
    <row r="11368" spans="1:5" x14ac:dyDescent="0.25">
      <c r="A11368" s="36" t="b">
        <v>0</v>
      </c>
      <c r="B11368" s="56" t="b">
        <v>0</v>
      </c>
      <c r="C11368" s="56" t="b">
        <v>0</v>
      </c>
      <c r="D11368" s="56" t="b">
        <v>0</v>
      </c>
      <c r="E11368" s="56">
        <f ca="1">IF(PV[[#This Row],[Business Date]]=Control!$C$6, PV[[#This Row],[Notional Value Local Cur]], -PV[[#This Row],[Notional Value Local Cur]])</f>
        <v>0</v>
      </c>
    </row>
    <row r="11369" spans="1:5" x14ac:dyDescent="0.25">
      <c r="A11369" s="36" t="b">
        <v>0</v>
      </c>
      <c r="B11369" s="56" t="b">
        <v>0</v>
      </c>
      <c r="C11369" s="56" t="b">
        <v>0</v>
      </c>
      <c r="D11369" s="56" t="b">
        <v>0</v>
      </c>
      <c r="E11369" s="56">
        <f ca="1">IF(PV[[#This Row],[Business Date]]=Control!$C$6, PV[[#This Row],[Notional Value Local Cur]], -PV[[#This Row],[Notional Value Local Cur]])</f>
        <v>0</v>
      </c>
    </row>
    <row r="11370" spans="1:5" x14ac:dyDescent="0.25">
      <c r="A11370" s="36" t="b">
        <v>0</v>
      </c>
      <c r="B11370" s="56" t="b">
        <v>0</v>
      </c>
      <c r="C11370" s="56" t="b">
        <v>0</v>
      </c>
      <c r="D11370" s="56" t="b">
        <v>0</v>
      </c>
      <c r="E11370" s="56">
        <f ca="1">IF(PV[[#This Row],[Business Date]]=Control!$C$6, PV[[#This Row],[Notional Value Local Cur]], -PV[[#This Row],[Notional Value Local Cur]])</f>
        <v>0</v>
      </c>
    </row>
    <row r="11371" spans="1:5" x14ac:dyDescent="0.25">
      <c r="A11371" s="36" t="b">
        <v>0</v>
      </c>
      <c r="B11371" s="56" t="b">
        <v>0</v>
      </c>
      <c r="C11371" s="56" t="b">
        <v>0</v>
      </c>
      <c r="D11371" s="56" t="b">
        <v>0</v>
      </c>
      <c r="E11371" s="56">
        <f ca="1">IF(PV[[#This Row],[Business Date]]=Control!$C$6, PV[[#This Row],[Notional Value Local Cur]], -PV[[#This Row],[Notional Value Local Cur]])</f>
        <v>0</v>
      </c>
    </row>
    <row r="11372" spans="1:5" x14ac:dyDescent="0.25">
      <c r="A11372" s="36" t="b">
        <v>0</v>
      </c>
      <c r="B11372" s="56" t="b">
        <v>0</v>
      </c>
      <c r="C11372" s="56" t="b">
        <v>0</v>
      </c>
      <c r="D11372" s="56" t="b">
        <v>0</v>
      </c>
      <c r="E11372" s="56">
        <f ca="1">IF(PV[[#This Row],[Business Date]]=Control!$C$6, PV[[#This Row],[Notional Value Local Cur]], -PV[[#This Row],[Notional Value Local Cur]])</f>
        <v>0</v>
      </c>
    </row>
    <row r="11373" spans="1:5" x14ac:dyDescent="0.25">
      <c r="A11373" s="36" t="b">
        <v>0</v>
      </c>
      <c r="B11373" s="56" t="b">
        <v>0</v>
      </c>
      <c r="C11373" s="56" t="b">
        <v>0</v>
      </c>
      <c r="D11373" s="56" t="b">
        <v>0</v>
      </c>
      <c r="E11373" s="56">
        <f ca="1">IF(PV[[#This Row],[Business Date]]=Control!$C$6, PV[[#This Row],[Notional Value Local Cur]], -PV[[#This Row],[Notional Value Local Cur]])</f>
        <v>0</v>
      </c>
    </row>
    <row r="11374" spans="1:5" x14ac:dyDescent="0.25">
      <c r="A11374" s="36" t="b">
        <v>0</v>
      </c>
      <c r="B11374" s="56" t="b">
        <v>0</v>
      </c>
      <c r="C11374" s="56" t="b">
        <v>0</v>
      </c>
      <c r="D11374" s="56" t="b">
        <v>0</v>
      </c>
      <c r="E11374" s="56">
        <f ca="1">IF(PV[[#This Row],[Business Date]]=Control!$C$6, PV[[#This Row],[Notional Value Local Cur]], -PV[[#This Row],[Notional Value Local Cur]])</f>
        <v>0</v>
      </c>
    </row>
    <row r="11375" spans="1:5" x14ac:dyDescent="0.25">
      <c r="A11375" s="36" t="b">
        <v>0</v>
      </c>
      <c r="B11375" s="56" t="b">
        <v>0</v>
      </c>
      <c r="C11375" s="56" t="b">
        <v>0</v>
      </c>
      <c r="D11375" s="56" t="b">
        <v>0</v>
      </c>
      <c r="E11375" s="56">
        <f ca="1">IF(PV[[#This Row],[Business Date]]=Control!$C$6, PV[[#This Row],[Notional Value Local Cur]], -PV[[#This Row],[Notional Value Local Cur]])</f>
        <v>0</v>
      </c>
    </row>
    <row r="11376" spans="1:5" x14ac:dyDescent="0.25">
      <c r="A11376" s="36" t="b">
        <v>0</v>
      </c>
      <c r="B11376" s="56" t="b">
        <v>0</v>
      </c>
      <c r="C11376" s="56" t="b">
        <v>0</v>
      </c>
      <c r="D11376" s="56" t="b">
        <v>0</v>
      </c>
      <c r="E11376" s="56">
        <f ca="1">IF(PV[[#This Row],[Business Date]]=Control!$C$6, PV[[#This Row],[Notional Value Local Cur]], -PV[[#This Row],[Notional Value Local Cur]])</f>
        <v>0</v>
      </c>
    </row>
    <row r="11377" spans="1:5" x14ac:dyDescent="0.25">
      <c r="A11377" s="36" t="b">
        <v>0</v>
      </c>
      <c r="B11377" s="56" t="b">
        <v>0</v>
      </c>
      <c r="C11377" s="56" t="b">
        <v>0</v>
      </c>
      <c r="D11377" s="56" t="b">
        <v>0</v>
      </c>
      <c r="E11377" s="56">
        <f ca="1">IF(PV[[#This Row],[Business Date]]=Control!$C$6, PV[[#This Row],[Notional Value Local Cur]], -PV[[#This Row],[Notional Value Local Cur]])</f>
        <v>0</v>
      </c>
    </row>
    <row r="11378" spans="1:5" x14ac:dyDescent="0.25">
      <c r="A11378" s="36" t="b">
        <v>0</v>
      </c>
      <c r="B11378" s="56" t="b">
        <v>0</v>
      </c>
      <c r="C11378" s="56" t="b">
        <v>0</v>
      </c>
      <c r="D11378" s="56" t="b">
        <v>0</v>
      </c>
      <c r="E11378" s="56">
        <f ca="1">IF(PV[[#This Row],[Business Date]]=Control!$C$6, PV[[#This Row],[Notional Value Local Cur]], -PV[[#This Row],[Notional Value Local Cur]])</f>
        <v>0</v>
      </c>
    </row>
    <row r="11379" spans="1:5" x14ac:dyDescent="0.25">
      <c r="A11379" s="36" t="b">
        <v>0</v>
      </c>
      <c r="B11379" s="56" t="b">
        <v>0</v>
      </c>
      <c r="C11379" s="56" t="b">
        <v>0</v>
      </c>
      <c r="D11379" s="56" t="b">
        <v>0</v>
      </c>
      <c r="E11379" s="56">
        <f ca="1">IF(PV[[#This Row],[Business Date]]=Control!$C$6, PV[[#This Row],[Notional Value Local Cur]], -PV[[#This Row],[Notional Value Local Cur]])</f>
        <v>0</v>
      </c>
    </row>
    <row r="11380" spans="1:5" x14ac:dyDescent="0.25">
      <c r="A11380" s="36" t="b">
        <v>0</v>
      </c>
      <c r="B11380" s="56" t="b">
        <v>0</v>
      </c>
      <c r="C11380" s="56" t="b">
        <v>0</v>
      </c>
      <c r="D11380" s="56" t="b">
        <v>0</v>
      </c>
      <c r="E11380" s="56">
        <f ca="1">IF(PV[[#This Row],[Business Date]]=Control!$C$6, PV[[#This Row],[Notional Value Local Cur]], -PV[[#This Row],[Notional Value Local Cur]])</f>
        <v>0</v>
      </c>
    </row>
    <row r="11381" spans="1:5" x14ac:dyDescent="0.25">
      <c r="A11381" s="36" t="b">
        <v>0</v>
      </c>
      <c r="B11381" s="56" t="b">
        <v>0</v>
      </c>
      <c r="C11381" s="56" t="b">
        <v>0</v>
      </c>
      <c r="D11381" s="56" t="b">
        <v>0</v>
      </c>
      <c r="E11381" s="56">
        <f ca="1">IF(PV[[#This Row],[Business Date]]=Control!$C$6, PV[[#This Row],[Notional Value Local Cur]], -PV[[#This Row],[Notional Value Local Cur]])</f>
        <v>0</v>
      </c>
    </row>
    <row r="11382" spans="1:5" x14ac:dyDescent="0.25">
      <c r="A11382" s="36" t="b">
        <v>0</v>
      </c>
      <c r="B11382" s="56" t="b">
        <v>0</v>
      </c>
      <c r="C11382" s="56" t="b">
        <v>0</v>
      </c>
      <c r="D11382" s="56" t="b">
        <v>0</v>
      </c>
      <c r="E11382" s="56">
        <f ca="1">IF(PV[[#This Row],[Business Date]]=Control!$C$6, PV[[#This Row],[Notional Value Local Cur]], -PV[[#This Row],[Notional Value Local Cur]])</f>
        <v>0</v>
      </c>
    </row>
    <row r="11383" spans="1:5" x14ac:dyDescent="0.25">
      <c r="A11383" s="36" t="b">
        <v>0</v>
      </c>
      <c r="B11383" s="56" t="b">
        <v>0</v>
      </c>
      <c r="C11383" s="56" t="b">
        <v>0</v>
      </c>
      <c r="D11383" s="56" t="b">
        <v>0</v>
      </c>
      <c r="E11383" s="56">
        <f ca="1">IF(PV[[#This Row],[Business Date]]=Control!$C$6, PV[[#This Row],[Notional Value Local Cur]], -PV[[#This Row],[Notional Value Local Cur]])</f>
        <v>0</v>
      </c>
    </row>
    <row r="11384" spans="1:5" x14ac:dyDescent="0.25">
      <c r="A11384" s="36" t="b">
        <v>0</v>
      </c>
      <c r="B11384" s="56" t="b">
        <v>0</v>
      </c>
      <c r="C11384" s="56" t="b">
        <v>0</v>
      </c>
      <c r="D11384" s="56" t="b">
        <v>0</v>
      </c>
      <c r="E11384" s="56">
        <f ca="1">IF(PV[[#This Row],[Business Date]]=Control!$C$6, PV[[#This Row],[Notional Value Local Cur]], -PV[[#This Row],[Notional Value Local Cur]])</f>
        <v>0</v>
      </c>
    </row>
    <row r="11385" spans="1:5" x14ac:dyDescent="0.25">
      <c r="A11385" s="36" t="b">
        <v>0</v>
      </c>
      <c r="B11385" s="56" t="b">
        <v>0</v>
      </c>
      <c r="C11385" s="56" t="b">
        <v>0</v>
      </c>
      <c r="D11385" s="56" t="b">
        <v>0</v>
      </c>
      <c r="E11385" s="56">
        <f ca="1">IF(PV[[#This Row],[Business Date]]=Control!$C$6, PV[[#This Row],[Notional Value Local Cur]], -PV[[#This Row],[Notional Value Local Cur]])</f>
        <v>0</v>
      </c>
    </row>
    <row r="11386" spans="1:5" x14ac:dyDescent="0.25">
      <c r="A11386" s="36" t="b">
        <v>0</v>
      </c>
      <c r="B11386" s="56" t="b">
        <v>0</v>
      </c>
      <c r="C11386" s="56" t="b">
        <v>0</v>
      </c>
      <c r="D11386" s="56" t="b">
        <v>0</v>
      </c>
      <c r="E11386" s="56">
        <f ca="1">IF(PV[[#This Row],[Business Date]]=Control!$C$6, PV[[#This Row],[Notional Value Local Cur]], -PV[[#This Row],[Notional Value Local Cur]])</f>
        <v>0</v>
      </c>
    </row>
    <row r="11387" spans="1:5" x14ac:dyDescent="0.25">
      <c r="A11387" s="36" t="b">
        <v>0</v>
      </c>
      <c r="B11387" s="56" t="b">
        <v>0</v>
      </c>
      <c r="C11387" s="56" t="b">
        <v>0</v>
      </c>
      <c r="D11387" s="56" t="b">
        <v>0</v>
      </c>
      <c r="E11387" s="56">
        <f ca="1">IF(PV[[#This Row],[Business Date]]=Control!$C$6, PV[[#This Row],[Notional Value Local Cur]], -PV[[#This Row],[Notional Value Local Cur]])</f>
        <v>0</v>
      </c>
    </row>
    <row r="11388" spans="1:5" x14ac:dyDescent="0.25">
      <c r="A11388" s="36" t="b">
        <v>0</v>
      </c>
      <c r="B11388" s="56" t="b">
        <v>0</v>
      </c>
      <c r="C11388" s="56" t="b">
        <v>0</v>
      </c>
      <c r="D11388" s="56" t="b">
        <v>0</v>
      </c>
      <c r="E11388" s="56">
        <f ca="1">IF(PV[[#This Row],[Business Date]]=Control!$C$6, PV[[#This Row],[Notional Value Local Cur]], -PV[[#This Row],[Notional Value Local Cur]])</f>
        <v>0</v>
      </c>
    </row>
    <row r="11389" spans="1:5" x14ac:dyDescent="0.25">
      <c r="A11389" s="36" t="b">
        <v>0</v>
      </c>
      <c r="B11389" s="56" t="b">
        <v>0</v>
      </c>
      <c r="C11389" s="56" t="b">
        <v>0</v>
      </c>
      <c r="D11389" s="56" t="b">
        <v>0</v>
      </c>
      <c r="E11389" s="56">
        <f ca="1">IF(PV[[#This Row],[Business Date]]=Control!$C$6, PV[[#This Row],[Notional Value Local Cur]], -PV[[#This Row],[Notional Value Local Cur]])</f>
        <v>0</v>
      </c>
    </row>
    <row r="11390" spans="1:5" x14ac:dyDescent="0.25">
      <c r="A11390" s="36" t="b">
        <v>0</v>
      </c>
      <c r="B11390" s="56" t="b">
        <v>0</v>
      </c>
      <c r="C11390" s="56" t="b">
        <v>0</v>
      </c>
      <c r="D11390" s="56" t="b">
        <v>0</v>
      </c>
      <c r="E11390" s="56">
        <f ca="1">IF(PV[[#This Row],[Business Date]]=Control!$C$6, PV[[#This Row],[Notional Value Local Cur]], -PV[[#This Row],[Notional Value Local Cur]])</f>
        <v>0</v>
      </c>
    </row>
    <row r="11391" spans="1:5" x14ac:dyDescent="0.25">
      <c r="A11391" s="36" t="b">
        <v>0</v>
      </c>
      <c r="B11391" s="56" t="b">
        <v>0</v>
      </c>
      <c r="C11391" s="56" t="b">
        <v>0</v>
      </c>
      <c r="D11391" s="56" t="b">
        <v>0</v>
      </c>
      <c r="E11391" s="56">
        <f ca="1">IF(PV[[#This Row],[Business Date]]=Control!$C$6, PV[[#This Row],[Notional Value Local Cur]], -PV[[#This Row],[Notional Value Local Cur]])</f>
        <v>0</v>
      </c>
    </row>
    <row r="11392" spans="1:5" x14ac:dyDescent="0.25">
      <c r="A11392" s="36" t="b">
        <v>0</v>
      </c>
      <c r="B11392" s="56" t="b">
        <v>0</v>
      </c>
      <c r="C11392" s="56" t="b">
        <v>0</v>
      </c>
      <c r="D11392" s="56" t="b">
        <v>0</v>
      </c>
      <c r="E11392" s="56">
        <f ca="1">IF(PV[[#This Row],[Business Date]]=Control!$C$6, PV[[#This Row],[Notional Value Local Cur]], -PV[[#This Row],[Notional Value Local Cur]])</f>
        <v>0</v>
      </c>
    </row>
    <row r="11393" spans="1:5" x14ac:dyDescent="0.25">
      <c r="A11393" s="36" t="b">
        <v>0</v>
      </c>
      <c r="B11393" s="56" t="b">
        <v>0</v>
      </c>
      <c r="C11393" s="56" t="b">
        <v>0</v>
      </c>
      <c r="D11393" s="56" t="b">
        <v>0</v>
      </c>
      <c r="E11393" s="56">
        <f ca="1">IF(PV[[#This Row],[Business Date]]=Control!$C$6, PV[[#This Row],[Notional Value Local Cur]], -PV[[#This Row],[Notional Value Local Cur]])</f>
        <v>0</v>
      </c>
    </row>
    <row r="11394" spans="1:5" x14ac:dyDescent="0.25">
      <c r="A11394" s="36" t="b">
        <v>0</v>
      </c>
      <c r="B11394" s="56" t="b">
        <v>0</v>
      </c>
      <c r="C11394" s="56" t="b">
        <v>0</v>
      </c>
      <c r="D11394" s="56" t="b">
        <v>0</v>
      </c>
      <c r="E11394" s="56">
        <f ca="1">IF(PV[[#This Row],[Business Date]]=Control!$C$6, PV[[#This Row],[Notional Value Local Cur]], -PV[[#This Row],[Notional Value Local Cur]])</f>
        <v>0</v>
      </c>
    </row>
    <row r="11395" spans="1:5" x14ac:dyDescent="0.25">
      <c r="A11395" s="36" t="b">
        <v>0</v>
      </c>
      <c r="B11395" s="56" t="b">
        <v>0</v>
      </c>
      <c r="C11395" s="56" t="b">
        <v>0</v>
      </c>
      <c r="D11395" s="56" t="b">
        <v>0</v>
      </c>
      <c r="E11395" s="56">
        <f ca="1">IF(PV[[#This Row],[Business Date]]=Control!$C$6, PV[[#This Row],[Notional Value Local Cur]], -PV[[#This Row],[Notional Value Local Cur]])</f>
        <v>0</v>
      </c>
    </row>
    <row r="11396" spans="1:5" x14ac:dyDescent="0.25">
      <c r="A11396" s="36" t="b">
        <v>0</v>
      </c>
      <c r="B11396" s="56" t="b">
        <v>0</v>
      </c>
      <c r="C11396" s="56" t="b">
        <v>0</v>
      </c>
      <c r="D11396" s="56" t="b">
        <v>0</v>
      </c>
      <c r="E11396" s="56">
        <f ca="1">IF(PV[[#This Row],[Business Date]]=Control!$C$6, PV[[#This Row],[Notional Value Local Cur]], -PV[[#This Row],[Notional Value Local Cur]])</f>
        <v>0</v>
      </c>
    </row>
    <row r="11397" spans="1:5" x14ac:dyDescent="0.25">
      <c r="A11397" s="36" t="b">
        <v>0</v>
      </c>
      <c r="B11397" s="56" t="b">
        <v>0</v>
      </c>
      <c r="C11397" s="56" t="b">
        <v>0</v>
      </c>
      <c r="D11397" s="56" t="b">
        <v>0</v>
      </c>
      <c r="E11397" s="56">
        <f ca="1">IF(PV[[#This Row],[Business Date]]=Control!$C$6, PV[[#This Row],[Notional Value Local Cur]], -PV[[#This Row],[Notional Value Local Cur]])</f>
        <v>0</v>
      </c>
    </row>
    <row r="11398" spans="1:5" x14ac:dyDescent="0.25">
      <c r="A11398" s="36" t="b">
        <v>0</v>
      </c>
      <c r="B11398" s="56" t="b">
        <v>0</v>
      </c>
      <c r="C11398" s="56" t="b">
        <v>0</v>
      </c>
      <c r="D11398" s="56" t="b">
        <v>0</v>
      </c>
      <c r="E11398" s="56">
        <f ca="1">IF(PV[[#This Row],[Business Date]]=Control!$C$6, PV[[#This Row],[Notional Value Local Cur]], -PV[[#This Row],[Notional Value Local Cur]])</f>
        <v>0</v>
      </c>
    </row>
    <row r="11399" spans="1:5" x14ac:dyDescent="0.25">
      <c r="A11399" s="36" t="b">
        <v>0</v>
      </c>
      <c r="B11399" s="56" t="b">
        <v>0</v>
      </c>
      <c r="C11399" s="56" t="b">
        <v>0</v>
      </c>
      <c r="D11399" s="56" t="b">
        <v>0</v>
      </c>
      <c r="E11399" s="56">
        <f ca="1">IF(PV[[#This Row],[Business Date]]=Control!$C$6, PV[[#This Row],[Notional Value Local Cur]], -PV[[#This Row],[Notional Value Local Cur]])</f>
        <v>0</v>
      </c>
    </row>
    <row r="11400" spans="1:5" x14ac:dyDescent="0.25">
      <c r="A11400" s="36" t="b">
        <v>0</v>
      </c>
      <c r="B11400" s="56" t="b">
        <v>0</v>
      </c>
      <c r="C11400" s="56" t="b">
        <v>0</v>
      </c>
      <c r="D11400" s="56" t="b">
        <v>0</v>
      </c>
      <c r="E11400" s="56">
        <f ca="1">IF(PV[[#This Row],[Business Date]]=Control!$C$6, PV[[#This Row],[Notional Value Local Cur]], -PV[[#This Row],[Notional Value Local Cur]])</f>
        <v>0</v>
      </c>
    </row>
    <row r="11401" spans="1:5" x14ac:dyDescent="0.25">
      <c r="A11401" s="36" t="b">
        <v>0</v>
      </c>
      <c r="B11401" s="56" t="b">
        <v>0</v>
      </c>
      <c r="C11401" s="56" t="b">
        <v>0</v>
      </c>
      <c r="D11401" s="56" t="b">
        <v>0</v>
      </c>
      <c r="E11401" s="56">
        <f ca="1">IF(PV[[#This Row],[Business Date]]=Control!$C$6, PV[[#This Row],[Notional Value Local Cur]], -PV[[#This Row],[Notional Value Local Cur]])</f>
        <v>0</v>
      </c>
    </row>
    <row r="11402" spans="1:5" x14ac:dyDescent="0.25">
      <c r="A11402" s="36" t="b">
        <v>0</v>
      </c>
      <c r="B11402" s="56" t="b">
        <v>0</v>
      </c>
      <c r="C11402" s="56" t="b">
        <v>0</v>
      </c>
      <c r="D11402" s="56" t="b">
        <v>0</v>
      </c>
      <c r="E11402" s="56">
        <f ca="1">IF(PV[[#This Row],[Business Date]]=Control!$C$6, PV[[#This Row],[Notional Value Local Cur]], -PV[[#This Row],[Notional Value Local Cur]])</f>
        <v>0</v>
      </c>
    </row>
    <row r="11403" spans="1:5" x14ac:dyDescent="0.25">
      <c r="A11403" s="36" t="b">
        <v>0</v>
      </c>
      <c r="B11403" s="56" t="b">
        <v>0</v>
      </c>
      <c r="C11403" s="56" t="b">
        <v>0</v>
      </c>
      <c r="D11403" s="56" t="b">
        <v>0</v>
      </c>
      <c r="E11403" s="56">
        <f ca="1">IF(PV[[#This Row],[Business Date]]=Control!$C$6, PV[[#This Row],[Notional Value Local Cur]], -PV[[#This Row],[Notional Value Local Cur]])</f>
        <v>0</v>
      </c>
    </row>
    <row r="11404" spans="1:5" x14ac:dyDescent="0.25">
      <c r="A11404" s="36" t="b">
        <v>0</v>
      </c>
      <c r="B11404" s="56" t="b">
        <v>0</v>
      </c>
      <c r="C11404" s="56" t="b">
        <v>0</v>
      </c>
      <c r="D11404" s="56" t="b">
        <v>0</v>
      </c>
      <c r="E11404" s="56">
        <f ca="1">IF(PV[[#This Row],[Business Date]]=Control!$C$6, PV[[#This Row],[Notional Value Local Cur]], -PV[[#This Row],[Notional Value Local Cur]])</f>
        <v>0</v>
      </c>
    </row>
    <row r="11405" spans="1:5" x14ac:dyDescent="0.25">
      <c r="A11405" s="36" t="b">
        <v>0</v>
      </c>
      <c r="B11405" s="56" t="b">
        <v>0</v>
      </c>
      <c r="C11405" s="56" t="b">
        <v>0</v>
      </c>
      <c r="D11405" s="56" t="b">
        <v>0</v>
      </c>
      <c r="E11405" s="56">
        <f ca="1">IF(PV[[#This Row],[Business Date]]=Control!$C$6, PV[[#This Row],[Notional Value Local Cur]], -PV[[#This Row],[Notional Value Local Cur]])</f>
        <v>0</v>
      </c>
    </row>
    <row r="11406" spans="1:5" x14ac:dyDescent="0.25">
      <c r="A11406" s="36" t="b">
        <v>0</v>
      </c>
      <c r="B11406" s="56" t="b">
        <v>0</v>
      </c>
      <c r="C11406" s="56" t="b">
        <v>0</v>
      </c>
      <c r="D11406" s="56" t="b">
        <v>0</v>
      </c>
      <c r="E11406" s="56">
        <f ca="1">IF(PV[[#This Row],[Business Date]]=Control!$C$6, PV[[#This Row],[Notional Value Local Cur]], -PV[[#This Row],[Notional Value Local Cur]])</f>
        <v>0</v>
      </c>
    </row>
    <row r="11407" spans="1:5" x14ac:dyDescent="0.25">
      <c r="A11407" s="36" t="b">
        <v>0</v>
      </c>
      <c r="B11407" s="56" t="b">
        <v>0</v>
      </c>
      <c r="C11407" s="56" t="b">
        <v>0</v>
      </c>
      <c r="D11407" s="56" t="b">
        <v>0</v>
      </c>
      <c r="E11407" s="56">
        <f ca="1">IF(PV[[#This Row],[Business Date]]=Control!$C$6, PV[[#This Row],[Notional Value Local Cur]], -PV[[#This Row],[Notional Value Local Cur]])</f>
        <v>0</v>
      </c>
    </row>
    <row r="11408" spans="1:5" x14ac:dyDescent="0.25">
      <c r="A11408" s="36" t="b">
        <v>0</v>
      </c>
      <c r="B11408" s="56" t="b">
        <v>0</v>
      </c>
      <c r="C11408" s="56" t="b">
        <v>0</v>
      </c>
      <c r="D11408" s="56" t="b">
        <v>0</v>
      </c>
      <c r="E11408" s="56">
        <f ca="1">IF(PV[[#This Row],[Business Date]]=Control!$C$6, PV[[#This Row],[Notional Value Local Cur]], -PV[[#This Row],[Notional Value Local Cur]])</f>
        <v>0</v>
      </c>
    </row>
    <row r="11409" spans="1:5" x14ac:dyDescent="0.25">
      <c r="A11409" s="36" t="b">
        <v>0</v>
      </c>
      <c r="B11409" s="56" t="b">
        <v>0</v>
      </c>
      <c r="C11409" s="56" t="b">
        <v>0</v>
      </c>
      <c r="D11409" s="56" t="b">
        <v>0</v>
      </c>
      <c r="E11409" s="56">
        <f ca="1">IF(PV[[#This Row],[Business Date]]=Control!$C$6, PV[[#This Row],[Notional Value Local Cur]], -PV[[#This Row],[Notional Value Local Cur]])</f>
        <v>0</v>
      </c>
    </row>
    <row r="11410" spans="1:5" x14ac:dyDescent="0.25">
      <c r="A11410" s="36" t="b">
        <v>0</v>
      </c>
      <c r="B11410" s="56" t="b">
        <v>0</v>
      </c>
      <c r="C11410" s="56" t="b">
        <v>0</v>
      </c>
      <c r="D11410" s="56" t="b">
        <v>0</v>
      </c>
      <c r="E11410" s="56">
        <f ca="1">IF(PV[[#This Row],[Business Date]]=Control!$C$6, PV[[#This Row],[Notional Value Local Cur]], -PV[[#This Row],[Notional Value Local Cur]])</f>
        <v>0</v>
      </c>
    </row>
    <row r="11411" spans="1:5" x14ac:dyDescent="0.25">
      <c r="A11411" s="36" t="b">
        <v>0</v>
      </c>
      <c r="B11411" s="56" t="b">
        <v>0</v>
      </c>
      <c r="C11411" s="56" t="b">
        <v>0</v>
      </c>
      <c r="D11411" s="56" t="b">
        <v>0</v>
      </c>
      <c r="E11411" s="56">
        <f ca="1">IF(PV[[#This Row],[Business Date]]=Control!$C$6, PV[[#This Row],[Notional Value Local Cur]], -PV[[#This Row],[Notional Value Local Cur]])</f>
        <v>0</v>
      </c>
    </row>
    <row r="11412" spans="1:5" x14ac:dyDescent="0.25">
      <c r="A11412" s="36" t="b">
        <v>0</v>
      </c>
      <c r="B11412" s="56" t="b">
        <v>0</v>
      </c>
      <c r="C11412" s="56" t="b">
        <v>0</v>
      </c>
      <c r="D11412" s="56" t="b">
        <v>0</v>
      </c>
      <c r="E11412" s="56">
        <f ca="1">IF(PV[[#This Row],[Business Date]]=Control!$C$6, PV[[#This Row],[Notional Value Local Cur]], -PV[[#This Row],[Notional Value Local Cur]])</f>
        <v>0</v>
      </c>
    </row>
    <row r="11413" spans="1:5" x14ac:dyDescent="0.25">
      <c r="A11413" s="36" t="b">
        <v>0</v>
      </c>
      <c r="B11413" s="56" t="b">
        <v>0</v>
      </c>
      <c r="C11413" s="56" t="b">
        <v>0</v>
      </c>
      <c r="D11413" s="56" t="b">
        <v>0</v>
      </c>
      <c r="E11413" s="56">
        <f ca="1">IF(PV[[#This Row],[Business Date]]=Control!$C$6, PV[[#This Row],[Notional Value Local Cur]], -PV[[#This Row],[Notional Value Local Cur]])</f>
        <v>0</v>
      </c>
    </row>
    <row r="11414" spans="1:5" x14ac:dyDescent="0.25">
      <c r="A11414" s="36" t="b">
        <v>0</v>
      </c>
      <c r="B11414" s="56" t="b">
        <v>0</v>
      </c>
      <c r="C11414" s="56" t="b">
        <v>0</v>
      </c>
      <c r="D11414" s="56" t="b">
        <v>0</v>
      </c>
      <c r="E11414" s="56">
        <f ca="1">IF(PV[[#This Row],[Business Date]]=Control!$C$6, PV[[#This Row],[Notional Value Local Cur]], -PV[[#This Row],[Notional Value Local Cur]])</f>
        <v>0</v>
      </c>
    </row>
    <row r="11415" spans="1:5" x14ac:dyDescent="0.25">
      <c r="A11415" s="36" t="b">
        <v>0</v>
      </c>
      <c r="B11415" s="56" t="b">
        <v>0</v>
      </c>
      <c r="C11415" s="56" t="b">
        <v>0</v>
      </c>
      <c r="D11415" s="56" t="b">
        <v>0</v>
      </c>
      <c r="E11415" s="56">
        <f ca="1">IF(PV[[#This Row],[Business Date]]=Control!$C$6, PV[[#This Row],[Notional Value Local Cur]], -PV[[#This Row],[Notional Value Local Cur]])</f>
        <v>0</v>
      </c>
    </row>
    <row r="11416" spans="1:5" x14ac:dyDescent="0.25">
      <c r="A11416" s="36" t="b">
        <v>0</v>
      </c>
      <c r="B11416" s="56" t="b">
        <v>0</v>
      </c>
      <c r="C11416" s="56" t="b">
        <v>0</v>
      </c>
      <c r="D11416" s="56" t="b">
        <v>0</v>
      </c>
      <c r="E11416" s="56">
        <f ca="1">IF(PV[[#This Row],[Business Date]]=Control!$C$6, PV[[#This Row],[Notional Value Local Cur]], -PV[[#This Row],[Notional Value Local Cur]])</f>
        <v>0</v>
      </c>
    </row>
    <row r="11417" spans="1:5" x14ac:dyDescent="0.25">
      <c r="A11417" s="36" t="b">
        <v>0</v>
      </c>
      <c r="B11417" s="56" t="b">
        <v>0</v>
      </c>
      <c r="C11417" s="56" t="b">
        <v>0</v>
      </c>
      <c r="D11417" s="56" t="b">
        <v>0</v>
      </c>
      <c r="E11417" s="56">
        <f ca="1">IF(PV[[#This Row],[Business Date]]=Control!$C$6, PV[[#This Row],[Notional Value Local Cur]], -PV[[#This Row],[Notional Value Local Cur]])</f>
        <v>0</v>
      </c>
    </row>
    <row r="11418" spans="1:5" x14ac:dyDescent="0.25">
      <c r="A11418" s="36" t="b">
        <v>0</v>
      </c>
      <c r="B11418" s="56" t="b">
        <v>0</v>
      </c>
      <c r="C11418" s="56" t="b">
        <v>0</v>
      </c>
      <c r="D11418" s="56" t="b">
        <v>0</v>
      </c>
      <c r="E11418" s="56">
        <f ca="1">IF(PV[[#This Row],[Business Date]]=Control!$C$6, PV[[#This Row],[Notional Value Local Cur]], -PV[[#This Row],[Notional Value Local Cur]])</f>
        <v>0</v>
      </c>
    </row>
    <row r="11419" spans="1:5" x14ac:dyDescent="0.25">
      <c r="A11419" s="36" t="b">
        <v>0</v>
      </c>
      <c r="B11419" s="56" t="b">
        <v>0</v>
      </c>
      <c r="C11419" s="56" t="b">
        <v>0</v>
      </c>
      <c r="D11419" s="56" t="b">
        <v>0</v>
      </c>
      <c r="E11419" s="56">
        <f ca="1">IF(PV[[#This Row],[Business Date]]=Control!$C$6, PV[[#This Row],[Notional Value Local Cur]], -PV[[#This Row],[Notional Value Local Cur]])</f>
        <v>0</v>
      </c>
    </row>
    <row r="11420" spans="1:5" x14ac:dyDescent="0.25">
      <c r="A11420" s="36" t="b">
        <v>0</v>
      </c>
      <c r="B11420" s="56" t="b">
        <v>0</v>
      </c>
      <c r="C11420" s="56" t="b">
        <v>0</v>
      </c>
      <c r="D11420" s="56" t="b">
        <v>0</v>
      </c>
      <c r="E11420" s="56">
        <f ca="1">IF(PV[[#This Row],[Business Date]]=Control!$C$6, PV[[#This Row],[Notional Value Local Cur]], -PV[[#This Row],[Notional Value Local Cur]])</f>
        <v>0</v>
      </c>
    </row>
    <row r="11421" spans="1:5" x14ac:dyDescent="0.25">
      <c r="A11421" s="36" t="b">
        <v>0</v>
      </c>
      <c r="B11421" s="56" t="b">
        <v>0</v>
      </c>
      <c r="C11421" s="56" t="b">
        <v>0</v>
      </c>
      <c r="D11421" s="56" t="b">
        <v>0</v>
      </c>
      <c r="E11421" s="56">
        <f ca="1">IF(PV[[#This Row],[Business Date]]=Control!$C$6, PV[[#This Row],[Notional Value Local Cur]], -PV[[#This Row],[Notional Value Local Cur]])</f>
        <v>0</v>
      </c>
    </row>
    <row r="11422" spans="1:5" x14ac:dyDescent="0.25">
      <c r="A11422" s="36" t="b">
        <v>0</v>
      </c>
      <c r="B11422" s="56" t="b">
        <v>0</v>
      </c>
      <c r="C11422" s="56" t="b">
        <v>0</v>
      </c>
      <c r="D11422" s="56" t="b">
        <v>0</v>
      </c>
      <c r="E11422" s="56">
        <f ca="1">IF(PV[[#This Row],[Business Date]]=Control!$C$6, PV[[#This Row],[Notional Value Local Cur]], -PV[[#This Row],[Notional Value Local Cur]])</f>
        <v>0</v>
      </c>
    </row>
    <row r="11423" spans="1:5" x14ac:dyDescent="0.25">
      <c r="A11423" s="36" t="b">
        <v>0</v>
      </c>
      <c r="B11423" s="56" t="b">
        <v>0</v>
      </c>
      <c r="C11423" s="56" t="b">
        <v>0</v>
      </c>
      <c r="D11423" s="56" t="b">
        <v>0</v>
      </c>
      <c r="E11423" s="56">
        <f ca="1">IF(PV[[#This Row],[Business Date]]=Control!$C$6, PV[[#This Row],[Notional Value Local Cur]], -PV[[#This Row],[Notional Value Local Cur]])</f>
        <v>0</v>
      </c>
    </row>
    <row r="11424" spans="1:5" x14ac:dyDescent="0.25">
      <c r="A11424" s="36" t="b">
        <v>0</v>
      </c>
      <c r="B11424" s="56" t="b">
        <v>0</v>
      </c>
      <c r="C11424" s="56" t="b">
        <v>0</v>
      </c>
      <c r="D11424" s="56" t="b">
        <v>0</v>
      </c>
      <c r="E11424" s="56">
        <f ca="1">IF(PV[[#This Row],[Business Date]]=Control!$C$6, PV[[#This Row],[Notional Value Local Cur]], -PV[[#This Row],[Notional Value Local Cur]])</f>
        <v>0</v>
      </c>
    </row>
    <row r="11425" spans="1:5" x14ac:dyDescent="0.25">
      <c r="A11425" s="36" t="b">
        <v>0</v>
      </c>
      <c r="B11425" s="56" t="b">
        <v>0</v>
      </c>
      <c r="C11425" s="56" t="b">
        <v>0</v>
      </c>
      <c r="D11425" s="56" t="b">
        <v>0</v>
      </c>
      <c r="E11425" s="56">
        <f ca="1">IF(PV[[#This Row],[Business Date]]=Control!$C$6, PV[[#This Row],[Notional Value Local Cur]], -PV[[#This Row],[Notional Value Local Cur]])</f>
        <v>0</v>
      </c>
    </row>
    <row r="11426" spans="1:5" x14ac:dyDescent="0.25">
      <c r="A11426" s="36" t="b">
        <v>0</v>
      </c>
      <c r="B11426" s="56" t="b">
        <v>0</v>
      </c>
      <c r="C11426" s="56" t="b">
        <v>0</v>
      </c>
      <c r="D11426" s="56" t="b">
        <v>0</v>
      </c>
      <c r="E11426" s="56">
        <f ca="1">IF(PV[[#This Row],[Business Date]]=Control!$C$6, PV[[#This Row],[Notional Value Local Cur]], -PV[[#This Row],[Notional Value Local Cur]])</f>
        <v>0</v>
      </c>
    </row>
    <row r="11427" spans="1:5" x14ac:dyDescent="0.25">
      <c r="A11427" s="36" t="b">
        <v>0</v>
      </c>
      <c r="B11427" s="56" t="b">
        <v>0</v>
      </c>
      <c r="C11427" s="56" t="b">
        <v>0</v>
      </c>
      <c r="D11427" s="56" t="b">
        <v>0</v>
      </c>
      <c r="E11427" s="56">
        <f ca="1">IF(PV[[#This Row],[Business Date]]=Control!$C$6, PV[[#This Row],[Notional Value Local Cur]], -PV[[#This Row],[Notional Value Local Cur]])</f>
        <v>0</v>
      </c>
    </row>
    <row r="11428" spans="1:5" x14ac:dyDescent="0.25">
      <c r="A11428" s="36" t="b">
        <v>0</v>
      </c>
      <c r="B11428" s="56" t="b">
        <v>0</v>
      </c>
      <c r="C11428" s="56" t="b">
        <v>0</v>
      </c>
      <c r="D11428" s="56" t="b">
        <v>0</v>
      </c>
      <c r="E11428" s="56">
        <f ca="1">IF(PV[[#This Row],[Business Date]]=Control!$C$6, PV[[#This Row],[Notional Value Local Cur]], -PV[[#This Row],[Notional Value Local Cur]])</f>
        <v>0</v>
      </c>
    </row>
    <row r="11429" spans="1:5" x14ac:dyDescent="0.25">
      <c r="A11429" s="36" t="b">
        <v>0</v>
      </c>
      <c r="B11429" s="56" t="b">
        <v>0</v>
      </c>
      <c r="C11429" s="56" t="b">
        <v>0</v>
      </c>
      <c r="D11429" s="56" t="b">
        <v>0</v>
      </c>
      <c r="E11429" s="56">
        <f ca="1">IF(PV[[#This Row],[Business Date]]=Control!$C$6, PV[[#This Row],[Notional Value Local Cur]], -PV[[#This Row],[Notional Value Local Cur]])</f>
        <v>0</v>
      </c>
    </row>
    <row r="11430" spans="1:5" x14ac:dyDescent="0.25">
      <c r="A11430" s="36" t="b">
        <v>0</v>
      </c>
      <c r="B11430" s="56" t="b">
        <v>0</v>
      </c>
      <c r="C11430" s="56" t="b">
        <v>0</v>
      </c>
      <c r="D11430" s="56" t="b">
        <v>0</v>
      </c>
      <c r="E11430" s="56">
        <f ca="1">IF(PV[[#This Row],[Business Date]]=Control!$C$6, PV[[#This Row],[Notional Value Local Cur]], -PV[[#This Row],[Notional Value Local Cur]])</f>
        <v>0</v>
      </c>
    </row>
    <row r="11431" spans="1:5" x14ac:dyDescent="0.25">
      <c r="A11431" s="36" t="b">
        <v>0</v>
      </c>
      <c r="B11431" s="56" t="b">
        <v>0</v>
      </c>
      <c r="C11431" s="56" t="b">
        <v>0</v>
      </c>
      <c r="D11431" s="56" t="b">
        <v>0</v>
      </c>
      <c r="E11431" s="56">
        <f ca="1">IF(PV[[#This Row],[Business Date]]=Control!$C$6, PV[[#This Row],[Notional Value Local Cur]], -PV[[#This Row],[Notional Value Local Cur]])</f>
        <v>0</v>
      </c>
    </row>
    <row r="11432" spans="1:5" x14ac:dyDescent="0.25">
      <c r="A11432" s="36" t="b">
        <v>0</v>
      </c>
      <c r="B11432" s="56" t="b">
        <v>0</v>
      </c>
      <c r="C11432" s="56" t="b">
        <v>0</v>
      </c>
      <c r="D11432" s="56" t="b">
        <v>0</v>
      </c>
      <c r="E11432" s="56">
        <f ca="1">IF(PV[[#This Row],[Business Date]]=Control!$C$6, PV[[#This Row],[Notional Value Local Cur]], -PV[[#This Row],[Notional Value Local Cur]])</f>
        <v>0</v>
      </c>
    </row>
    <row r="11433" spans="1:5" x14ac:dyDescent="0.25">
      <c r="A11433" s="36" t="b">
        <v>0</v>
      </c>
      <c r="B11433" s="56" t="b">
        <v>0</v>
      </c>
      <c r="C11433" s="56" t="b">
        <v>0</v>
      </c>
      <c r="D11433" s="56" t="b">
        <v>0</v>
      </c>
      <c r="E11433" s="56">
        <f ca="1">IF(PV[[#This Row],[Business Date]]=Control!$C$6, PV[[#This Row],[Notional Value Local Cur]], -PV[[#This Row],[Notional Value Local Cur]])</f>
        <v>0</v>
      </c>
    </row>
    <row r="11434" spans="1:5" x14ac:dyDescent="0.25">
      <c r="A11434" s="36" t="b">
        <v>0</v>
      </c>
      <c r="B11434" s="56" t="b">
        <v>0</v>
      </c>
      <c r="C11434" s="56" t="b">
        <v>0</v>
      </c>
      <c r="D11434" s="56" t="b">
        <v>0</v>
      </c>
      <c r="E11434" s="56">
        <f ca="1">IF(PV[[#This Row],[Business Date]]=Control!$C$6, PV[[#This Row],[Notional Value Local Cur]], -PV[[#This Row],[Notional Value Local Cur]])</f>
        <v>0</v>
      </c>
    </row>
    <row r="11435" spans="1:5" x14ac:dyDescent="0.25">
      <c r="A11435" s="36" t="b">
        <v>0</v>
      </c>
      <c r="B11435" s="56" t="b">
        <v>0</v>
      </c>
      <c r="C11435" s="56" t="b">
        <v>0</v>
      </c>
      <c r="D11435" s="56" t="b">
        <v>0</v>
      </c>
      <c r="E11435" s="56">
        <f ca="1">IF(PV[[#This Row],[Business Date]]=Control!$C$6, PV[[#This Row],[Notional Value Local Cur]], -PV[[#This Row],[Notional Value Local Cur]])</f>
        <v>0</v>
      </c>
    </row>
    <row r="11436" spans="1:5" x14ac:dyDescent="0.25">
      <c r="A11436" s="36" t="b">
        <v>0</v>
      </c>
      <c r="B11436" s="56" t="b">
        <v>0</v>
      </c>
      <c r="C11436" s="56" t="b">
        <v>0</v>
      </c>
      <c r="D11436" s="56" t="b">
        <v>0</v>
      </c>
      <c r="E11436" s="56">
        <f ca="1">IF(PV[[#This Row],[Business Date]]=Control!$C$6, PV[[#This Row],[Notional Value Local Cur]], -PV[[#This Row],[Notional Value Local Cur]])</f>
        <v>0</v>
      </c>
    </row>
    <row r="11437" spans="1:5" x14ac:dyDescent="0.25">
      <c r="A11437" s="36" t="b">
        <v>0</v>
      </c>
      <c r="B11437" s="56" t="b">
        <v>0</v>
      </c>
      <c r="C11437" s="56" t="b">
        <v>0</v>
      </c>
      <c r="D11437" s="56" t="b">
        <v>0</v>
      </c>
      <c r="E11437" s="56">
        <f ca="1">IF(PV[[#This Row],[Business Date]]=Control!$C$6, PV[[#This Row],[Notional Value Local Cur]], -PV[[#This Row],[Notional Value Local Cur]])</f>
        <v>0</v>
      </c>
    </row>
    <row r="11438" spans="1:5" x14ac:dyDescent="0.25">
      <c r="A11438" s="36" t="b">
        <v>0</v>
      </c>
      <c r="B11438" s="56" t="b">
        <v>0</v>
      </c>
      <c r="C11438" s="56" t="b">
        <v>0</v>
      </c>
      <c r="D11438" s="56" t="b">
        <v>0</v>
      </c>
      <c r="E11438" s="56">
        <f ca="1">IF(PV[[#This Row],[Business Date]]=Control!$C$6, PV[[#This Row],[Notional Value Local Cur]], -PV[[#This Row],[Notional Value Local Cur]])</f>
        <v>0</v>
      </c>
    </row>
    <row r="11439" spans="1:5" x14ac:dyDescent="0.25">
      <c r="A11439" s="36" t="b">
        <v>0</v>
      </c>
      <c r="B11439" s="56" t="b">
        <v>0</v>
      </c>
      <c r="C11439" s="56" t="b">
        <v>0</v>
      </c>
      <c r="D11439" s="56" t="b">
        <v>0</v>
      </c>
      <c r="E11439" s="56">
        <f ca="1">IF(PV[[#This Row],[Business Date]]=Control!$C$6, PV[[#This Row],[Notional Value Local Cur]], -PV[[#This Row],[Notional Value Local Cur]])</f>
        <v>0</v>
      </c>
    </row>
    <row r="11440" spans="1:5" x14ac:dyDescent="0.25">
      <c r="A11440" s="36" t="b">
        <v>0</v>
      </c>
      <c r="B11440" s="56" t="b">
        <v>0</v>
      </c>
      <c r="C11440" s="56" t="b">
        <v>0</v>
      </c>
      <c r="D11440" s="56" t="b">
        <v>0</v>
      </c>
      <c r="E11440" s="56">
        <f ca="1">IF(PV[[#This Row],[Business Date]]=Control!$C$6, PV[[#This Row],[Notional Value Local Cur]], -PV[[#This Row],[Notional Value Local Cur]])</f>
        <v>0</v>
      </c>
    </row>
    <row r="11441" spans="1:5" x14ac:dyDescent="0.25">
      <c r="A11441" s="36" t="b">
        <v>0</v>
      </c>
      <c r="B11441" s="56" t="b">
        <v>0</v>
      </c>
      <c r="C11441" s="56" t="b">
        <v>0</v>
      </c>
      <c r="D11441" s="56" t="b">
        <v>0</v>
      </c>
      <c r="E11441" s="56">
        <f ca="1">IF(PV[[#This Row],[Business Date]]=Control!$C$6, PV[[#This Row],[Notional Value Local Cur]], -PV[[#This Row],[Notional Value Local Cur]])</f>
        <v>0</v>
      </c>
    </row>
    <row r="11442" spans="1:5" x14ac:dyDescent="0.25">
      <c r="A11442" s="36" t="b">
        <v>0</v>
      </c>
      <c r="B11442" s="56" t="b">
        <v>0</v>
      </c>
      <c r="C11442" s="56" t="b">
        <v>0</v>
      </c>
      <c r="D11442" s="56" t="b">
        <v>0</v>
      </c>
      <c r="E11442" s="56">
        <f ca="1">IF(PV[[#This Row],[Business Date]]=Control!$C$6, PV[[#This Row],[Notional Value Local Cur]], -PV[[#This Row],[Notional Value Local Cur]])</f>
        <v>0</v>
      </c>
    </row>
    <row r="11443" spans="1:5" x14ac:dyDescent="0.25">
      <c r="A11443" s="36" t="b">
        <v>0</v>
      </c>
      <c r="B11443" s="56" t="b">
        <v>0</v>
      </c>
      <c r="C11443" s="56" t="b">
        <v>0</v>
      </c>
      <c r="D11443" s="56" t="b">
        <v>0</v>
      </c>
      <c r="E11443" s="56">
        <f ca="1">IF(PV[[#This Row],[Business Date]]=Control!$C$6, PV[[#This Row],[Notional Value Local Cur]], -PV[[#This Row],[Notional Value Local Cur]])</f>
        <v>0</v>
      </c>
    </row>
    <row r="11444" spans="1:5" x14ac:dyDescent="0.25">
      <c r="A11444" s="36" t="b">
        <v>0</v>
      </c>
      <c r="B11444" s="56" t="b">
        <v>0</v>
      </c>
      <c r="C11444" s="56" t="b">
        <v>0</v>
      </c>
      <c r="D11444" s="56" t="b">
        <v>0</v>
      </c>
      <c r="E11444" s="56">
        <f ca="1">IF(PV[[#This Row],[Business Date]]=Control!$C$6, PV[[#This Row],[Notional Value Local Cur]], -PV[[#This Row],[Notional Value Local Cur]])</f>
        <v>0</v>
      </c>
    </row>
    <row r="11445" spans="1:5" x14ac:dyDescent="0.25">
      <c r="A11445" s="36" t="b">
        <v>0</v>
      </c>
      <c r="B11445" s="56" t="b">
        <v>0</v>
      </c>
      <c r="C11445" s="56" t="b">
        <v>0</v>
      </c>
      <c r="D11445" s="56" t="b">
        <v>0</v>
      </c>
      <c r="E11445" s="56">
        <f ca="1">IF(PV[[#This Row],[Business Date]]=Control!$C$6, PV[[#This Row],[Notional Value Local Cur]], -PV[[#This Row],[Notional Value Local Cur]])</f>
        <v>0</v>
      </c>
    </row>
    <row r="11446" spans="1:5" x14ac:dyDescent="0.25">
      <c r="A11446" s="36" t="b">
        <v>0</v>
      </c>
      <c r="B11446" s="56" t="b">
        <v>0</v>
      </c>
      <c r="C11446" s="56" t="b">
        <v>0</v>
      </c>
      <c r="D11446" s="56" t="b">
        <v>0</v>
      </c>
      <c r="E11446" s="56">
        <f ca="1">IF(PV[[#This Row],[Business Date]]=Control!$C$6, PV[[#This Row],[Notional Value Local Cur]], -PV[[#This Row],[Notional Value Local Cur]])</f>
        <v>0</v>
      </c>
    </row>
    <row r="11447" spans="1:5" x14ac:dyDescent="0.25">
      <c r="A11447" s="36" t="b">
        <v>0</v>
      </c>
      <c r="B11447" s="56" t="b">
        <v>0</v>
      </c>
      <c r="C11447" s="56" t="b">
        <v>0</v>
      </c>
      <c r="D11447" s="56" t="b">
        <v>0</v>
      </c>
      <c r="E11447" s="56">
        <f ca="1">IF(PV[[#This Row],[Business Date]]=Control!$C$6, PV[[#This Row],[Notional Value Local Cur]], -PV[[#This Row],[Notional Value Local Cur]])</f>
        <v>0</v>
      </c>
    </row>
    <row r="11448" spans="1:5" x14ac:dyDescent="0.25">
      <c r="A11448" s="36" t="b">
        <v>0</v>
      </c>
      <c r="B11448" s="56" t="b">
        <v>0</v>
      </c>
      <c r="C11448" s="56" t="b">
        <v>0</v>
      </c>
      <c r="D11448" s="56" t="b">
        <v>0</v>
      </c>
      <c r="E11448" s="56">
        <f ca="1">IF(PV[[#This Row],[Business Date]]=Control!$C$6, PV[[#This Row],[Notional Value Local Cur]], -PV[[#This Row],[Notional Value Local Cur]])</f>
        <v>0</v>
      </c>
    </row>
    <row r="11449" spans="1:5" x14ac:dyDescent="0.25">
      <c r="A11449" s="36" t="b">
        <v>0</v>
      </c>
      <c r="B11449" s="56" t="b">
        <v>0</v>
      </c>
      <c r="C11449" s="56" t="b">
        <v>0</v>
      </c>
      <c r="D11449" s="56" t="b">
        <v>0</v>
      </c>
      <c r="E11449" s="56">
        <f ca="1">IF(PV[[#This Row],[Business Date]]=Control!$C$6, PV[[#This Row],[Notional Value Local Cur]], -PV[[#This Row],[Notional Value Local Cur]])</f>
        <v>0</v>
      </c>
    </row>
    <row r="11450" spans="1:5" x14ac:dyDescent="0.25">
      <c r="A11450" s="36" t="b">
        <v>0</v>
      </c>
      <c r="B11450" s="56" t="b">
        <v>0</v>
      </c>
      <c r="C11450" s="56" t="b">
        <v>0</v>
      </c>
      <c r="D11450" s="56" t="b">
        <v>0</v>
      </c>
      <c r="E11450" s="56">
        <f ca="1">IF(PV[[#This Row],[Business Date]]=Control!$C$6, PV[[#This Row],[Notional Value Local Cur]], -PV[[#This Row],[Notional Value Local Cur]])</f>
        <v>0</v>
      </c>
    </row>
    <row r="11451" spans="1:5" x14ac:dyDescent="0.25">
      <c r="A11451" s="36" t="b">
        <v>0</v>
      </c>
      <c r="B11451" s="56" t="b">
        <v>0</v>
      </c>
      <c r="C11451" s="56" t="b">
        <v>0</v>
      </c>
      <c r="D11451" s="56" t="b">
        <v>0</v>
      </c>
      <c r="E11451" s="56">
        <f ca="1">IF(PV[[#This Row],[Business Date]]=Control!$C$6, PV[[#This Row],[Notional Value Local Cur]], -PV[[#This Row],[Notional Value Local Cur]])</f>
        <v>0</v>
      </c>
    </row>
    <row r="11452" spans="1:5" x14ac:dyDescent="0.25">
      <c r="A11452" s="36" t="b">
        <v>0</v>
      </c>
      <c r="B11452" s="56" t="b">
        <v>0</v>
      </c>
      <c r="C11452" s="56" t="b">
        <v>0</v>
      </c>
      <c r="D11452" s="56" t="b">
        <v>0</v>
      </c>
      <c r="E11452" s="56">
        <f ca="1">IF(PV[[#This Row],[Business Date]]=Control!$C$6, PV[[#This Row],[Notional Value Local Cur]], -PV[[#This Row],[Notional Value Local Cur]])</f>
        <v>0</v>
      </c>
    </row>
    <row r="11453" spans="1:5" x14ac:dyDescent="0.25">
      <c r="A11453" s="36" t="b">
        <v>0</v>
      </c>
      <c r="B11453" s="56" t="b">
        <v>0</v>
      </c>
      <c r="C11453" s="56" t="b">
        <v>0</v>
      </c>
      <c r="D11453" s="56" t="b">
        <v>0</v>
      </c>
      <c r="E11453" s="56">
        <f ca="1">IF(PV[[#This Row],[Business Date]]=Control!$C$6, PV[[#This Row],[Notional Value Local Cur]], -PV[[#This Row],[Notional Value Local Cur]])</f>
        <v>0</v>
      </c>
    </row>
    <row r="11454" spans="1:5" x14ac:dyDescent="0.25">
      <c r="A11454" s="36" t="b">
        <v>0</v>
      </c>
      <c r="B11454" s="56" t="b">
        <v>0</v>
      </c>
      <c r="C11454" s="56" t="b">
        <v>0</v>
      </c>
      <c r="D11454" s="56" t="b">
        <v>0</v>
      </c>
      <c r="E11454" s="56">
        <f ca="1">IF(PV[[#This Row],[Business Date]]=Control!$C$6, PV[[#This Row],[Notional Value Local Cur]], -PV[[#This Row],[Notional Value Local Cur]])</f>
        <v>0</v>
      </c>
    </row>
    <row r="11455" spans="1:5" x14ac:dyDescent="0.25">
      <c r="A11455" s="36" t="b">
        <v>0</v>
      </c>
      <c r="B11455" s="56" t="b">
        <v>0</v>
      </c>
      <c r="C11455" s="56" t="b">
        <v>0</v>
      </c>
      <c r="D11455" s="56" t="b">
        <v>0</v>
      </c>
      <c r="E11455" s="56">
        <f ca="1">IF(PV[[#This Row],[Business Date]]=Control!$C$6, PV[[#This Row],[Notional Value Local Cur]], -PV[[#This Row],[Notional Value Local Cur]])</f>
        <v>0</v>
      </c>
    </row>
    <row r="11456" spans="1:5" x14ac:dyDescent="0.25">
      <c r="A11456" s="36" t="b">
        <v>0</v>
      </c>
      <c r="B11456" s="56" t="b">
        <v>0</v>
      </c>
      <c r="C11456" s="56" t="b">
        <v>0</v>
      </c>
      <c r="D11456" s="56" t="b">
        <v>0</v>
      </c>
      <c r="E11456" s="56">
        <f ca="1">IF(PV[[#This Row],[Business Date]]=Control!$C$6, PV[[#This Row],[Notional Value Local Cur]], -PV[[#This Row],[Notional Value Local Cur]])</f>
        <v>0</v>
      </c>
    </row>
    <row r="11457" spans="1:5" x14ac:dyDescent="0.25">
      <c r="A11457" s="36" t="b">
        <v>0</v>
      </c>
      <c r="B11457" s="56" t="b">
        <v>0</v>
      </c>
      <c r="C11457" s="56" t="b">
        <v>0</v>
      </c>
      <c r="D11457" s="56" t="b">
        <v>0</v>
      </c>
      <c r="E11457" s="56">
        <f ca="1">IF(PV[[#This Row],[Business Date]]=Control!$C$6, PV[[#This Row],[Notional Value Local Cur]], -PV[[#This Row],[Notional Value Local Cur]])</f>
        <v>0</v>
      </c>
    </row>
    <row r="11458" spans="1:5" x14ac:dyDescent="0.25">
      <c r="A11458" s="36" t="b">
        <v>0</v>
      </c>
      <c r="B11458" s="56" t="b">
        <v>0</v>
      </c>
      <c r="C11458" s="56" t="b">
        <v>0</v>
      </c>
      <c r="D11458" s="56" t="b">
        <v>0</v>
      </c>
      <c r="E11458" s="56">
        <f ca="1">IF(PV[[#This Row],[Business Date]]=Control!$C$6, PV[[#This Row],[Notional Value Local Cur]], -PV[[#This Row],[Notional Value Local Cur]])</f>
        <v>0</v>
      </c>
    </row>
    <row r="11459" spans="1:5" x14ac:dyDescent="0.25">
      <c r="A11459" s="36" t="b">
        <v>0</v>
      </c>
      <c r="B11459" s="56" t="b">
        <v>0</v>
      </c>
      <c r="C11459" s="56" t="b">
        <v>0</v>
      </c>
      <c r="D11459" s="56" t="b">
        <v>0</v>
      </c>
      <c r="E11459" s="56">
        <f ca="1">IF(PV[[#This Row],[Business Date]]=Control!$C$6, PV[[#This Row],[Notional Value Local Cur]], -PV[[#This Row],[Notional Value Local Cur]])</f>
        <v>0</v>
      </c>
    </row>
    <row r="11460" spans="1:5" x14ac:dyDescent="0.25">
      <c r="A11460" s="36" t="b">
        <v>0</v>
      </c>
      <c r="B11460" s="56" t="b">
        <v>0</v>
      </c>
      <c r="C11460" s="56" t="b">
        <v>0</v>
      </c>
      <c r="D11460" s="56" t="b">
        <v>0</v>
      </c>
      <c r="E11460" s="56">
        <f ca="1">IF(PV[[#This Row],[Business Date]]=Control!$C$6, PV[[#This Row],[Notional Value Local Cur]], -PV[[#This Row],[Notional Value Local Cur]])</f>
        <v>0</v>
      </c>
    </row>
    <row r="11461" spans="1:5" x14ac:dyDescent="0.25">
      <c r="A11461" s="36" t="b">
        <v>0</v>
      </c>
      <c r="B11461" s="56" t="b">
        <v>0</v>
      </c>
      <c r="C11461" s="56" t="b">
        <v>0</v>
      </c>
      <c r="D11461" s="56" t="b">
        <v>0</v>
      </c>
      <c r="E11461" s="56">
        <f ca="1">IF(PV[[#This Row],[Business Date]]=Control!$C$6, PV[[#This Row],[Notional Value Local Cur]], -PV[[#This Row],[Notional Value Local Cur]])</f>
        <v>0</v>
      </c>
    </row>
    <row r="11462" spans="1:5" x14ac:dyDescent="0.25">
      <c r="A11462" s="36" t="b">
        <v>0</v>
      </c>
      <c r="B11462" s="56" t="b">
        <v>0</v>
      </c>
      <c r="C11462" s="56" t="b">
        <v>0</v>
      </c>
      <c r="D11462" s="56" t="b">
        <v>0</v>
      </c>
      <c r="E11462" s="56">
        <f ca="1">IF(PV[[#This Row],[Business Date]]=Control!$C$6, PV[[#This Row],[Notional Value Local Cur]], -PV[[#This Row],[Notional Value Local Cur]])</f>
        <v>0</v>
      </c>
    </row>
    <row r="11463" spans="1:5" x14ac:dyDescent="0.25">
      <c r="A11463" s="36" t="b">
        <v>0</v>
      </c>
      <c r="B11463" s="56" t="b">
        <v>0</v>
      </c>
      <c r="C11463" s="56" t="b">
        <v>0</v>
      </c>
      <c r="D11463" s="56" t="b">
        <v>0</v>
      </c>
      <c r="E11463" s="56">
        <f ca="1">IF(PV[[#This Row],[Business Date]]=Control!$C$6, PV[[#This Row],[Notional Value Local Cur]], -PV[[#This Row],[Notional Value Local Cur]])</f>
        <v>0</v>
      </c>
    </row>
    <row r="11464" spans="1:5" x14ac:dyDescent="0.25">
      <c r="A11464" s="36" t="b">
        <v>0</v>
      </c>
      <c r="B11464" s="56" t="b">
        <v>0</v>
      </c>
      <c r="C11464" s="56" t="b">
        <v>0</v>
      </c>
      <c r="D11464" s="56" t="b">
        <v>0</v>
      </c>
      <c r="E11464" s="56">
        <f ca="1">IF(PV[[#This Row],[Business Date]]=Control!$C$6, PV[[#This Row],[Notional Value Local Cur]], -PV[[#This Row],[Notional Value Local Cur]])</f>
        <v>0</v>
      </c>
    </row>
    <row r="11465" spans="1:5" x14ac:dyDescent="0.25">
      <c r="A11465" s="36" t="b">
        <v>0</v>
      </c>
      <c r="B11465" s="56" t="b">
        <v>0</v>
      </c>
      <c r="C11465" s="56" t="b">
        <v>0</v>
      </c>
      <c r="D11465" s="56" t="b">
        <v>0</v>
      </c>
      <c r="E11465" s="56">
        <f ca="1">IF(PV[[#This Row],[Business Date]]=Control!$C$6, PV[[#This Row],[Notional Value Local Cur]], -PV[[#This Row],[Notional Value Local Cur]])</f>
        <v>0</v>
      </c>
    </row>
    <row r="11466" spans="1:5" x14ac:dyDescent="0.25">
      <c r="A11466" s="36" t="b">
        <v>0</v>
      </c>
      <c r="B11466" s="56" t="b">
        <v>0</v>
      </c>
      <c r="C11466" s="56" t="b">
        <v>0</v>
      </c>
      <c r="D11466" s="56" t="b">
        <v>0</v>
      </c>
      <c r="E11466" s="56">
        <f ca="1">IF(PV[[#This Row],[Business Date]]=Control!$C$6, PV[[#This Row],[Notional Value Local Cur]], -PV[[#This Row],[Notional Value Local Cur]])</f>
        <v>0</v>
      </c>
    </row>
    <row r="11467" spans="1:5" x14ac:dyDescent="0.25">
      <c r="A11467" s="36" t="b">
        <v>0</v>
      </c>
      <c r="B11467" s="56" t="b">
        <v>0</v>
      </c>
      <c r="C11467" s="56" t="b">
        <v>0</v>
      </c>
      <c r="D11467" s="56" t="b">
        <v>0</v>
      </c>
      <c r="E11467" s="56">
        <f ca="1">IF(PV[[#This Row],[Business Date]]=Control!$C$6, PV[[#This Row],[Notional Value Local Cur]], -PV[[#This Row],[Notional Value Local Cur]])</f>
        <v>0</v>
      </c>
    </row>
    <row r="11468" spans="1:5" x14ac:dyDescent="0.25">
      <c r="A11468" s="36" t="b">
        <v>0</v>
      </c>
      <c r="B11468" s="56" t="b">
        <v>0</v>
      </c>
      <c r="C11468" s="56" t="b">
        <v>0</v>
      </c>
      <c r="D11468" s="56" t="b">
        <v>0</v>
      </c>
      <c r="E11468" s="56">
        <f ca="1">IF(PV[[#This Row],[Business Date]]=Control!$C$6, PV[[#This Row],[Notional Value Local Cur]], -PV[[#This Row],[Notional Value Local Cur]])</f>
        <v>0</v>
      </c>
    </row>
    <row r="11469" spans="1:5" x14ac:dyDescent="0.25">
      <c r="A11469" s="36" t="b">
        <v>0</v>
      </c>
      <c r="B11469" s="56" t="b">
        <v>0</v>
      </c>
      <c r="C11469" s="56" t="b">
        <v>0</v>
      </c>
      <c r="D11469" s="56" t="b">
        <v>0</v>
      </c>
      <c r="E11469" s="56">
        <f ca="1">IF(PV[[#This Row],[Business Date]]=Control!$C$6, PV[[#This Row],[Notional Value Local Cur]], -PV[[#This Row],[Notional Value Local Cur]])</f>
        <v>0</v>
      </c>
    </row>
    <row r="11470" spans="1:5" x14ac:dyDescent="0.25">
      <c r="A11470" s="36" t="b">
        <v>0</v>
      </c>
      <c r="B11470" s="56" t="b">
        <v>0</v>
      </c>
      <c r="C11470" s="56" t="b">
        <v>0</v>
      </c>
      <c r="D11470" s="56" t="b">
        <v>0</v>
      </c>
      <c r="E11470" s="56">
        <f ca="1">IF(PV[[#This Row],[Business Date]]=Control!$C$6, PV[[#This Row],[Notional Value Local Cur]], -PV[[#This Row],[Notional Value Local Cur]])</f>
        <v>0</v>
      </c>
    </row>
    <row r="11471" spans="1:5" x14ac:dyDescent="0.25">
      <c r="A11471" s="36" t="b">
        <v>0</v>
      </c>
      <c r="B11471" s="56" t="b">
        <v>0</v>
      </c>
      <c r="C11471" s="56" t="b">
        <v>0</v>
      </c>
      <c r="D11471" s="56" t="b">
        <v>0</v>
      </c>
      <c r="E11471" s="56">
        <f ca="1">IF(PV[[#This Row],[Business Date]]=Control!$C$6, PV[[#This Row],[Notional Value Local Cur]], -PV[[#This Row],[Notional Value Local Cur]])</f>
        <v>0</v>
      </c>
    </row>
    <row r="11472" spans="1:5" x14ac:dyDescent="0.25">
      <c r="A11472" s="36" t="b">
        <v>0</v>
      </c>
      <c r="B11472" s="56" t="b">
        <v>0</v>
      </c>
      <c r="C11472" s="56" t="b">
        <v>0</v>
      </c>
      <c r="D11472" s="56" t="b">
        <v>0</v>
      </c>
      <c r="E11472" s="56">
        <f ca="1">IF(PV[[#This Row],[Business Date]]=Control!$C$6, PV[[#This Row],[Notional Value Local Cur]], -PV[[#This Row],[Notional Value Local Cur]])</f>
        <v>0</v>
      </c>
    </row>
    <row r="11473" spans="1:5" x14ac:dyDescent="0.25">
      <c r="A11473" s="36" t="b">
        <v>0</v>
      </c>
      <c r="B11473" s="56" t="b">
        <v>0</v>
      </c>
      <c r="C11473" s="56" t="b">
        <v>0</v>
      </c>
      <c r="D11473" s="56" t="b">
        <v>0</v>
      </c>
      <c r="E11473" s="56">
        <f ca="1">IF(PV[[#This Row],[Business Date]]=Control!$C$6, PV[[#This Row],[Notional Value Local Cur]], -PV[[#This Row],[Notional Value Local Cur]])</f>
        <v>0</v>
      </c>
    </row>
    <row r="11474" spans="1:5" x14ac:dyDescent="0.25">
      <c r="A11474" s="36" t="b">
        <v>0</v>
      </c>
      <c r="B11474" s="56" t="b">
        <v>0</v>
      </c>
      <c r="C11474" s="56" t="b">
        <v>0</v>
      </c>
      <c r="D11474" s="56" t="b">
        <v>0</v>
      </c>
      <c r="E11474" s="56">
        <f ca="1">IF(PV[[#This Row],[Business Date]]=Control!$C$6, PV[[#This Row],[Notional Value Local Cur]], -PV[[#This Row],[Notional Value Local Cur]])</f>
        <v>0</v>
      </c>
    </row>
    <row r="11475" spans="1:5" x14ac:dyDescent="0.25">
      <c r="A11475" s="36" t="b">
        <v>0</v>
      </c>
      <c r="B11475" s="56" t="b">
        <v>0</v>
      </c>
      <c r="C11475" s="56" t="b">
        <v>0</v>
      </c>
      <c r="D11475" s="56" t="b">
        <v>0</v>
      </c>
      <c r="E11475" s="56">
        <f ca="1">IF(PV[[#This Row],[Business Date]]=Control!$C$6, PV[[#This Row],[Notional Value Local Cur]], -PV[[#This Row],[Notional Value Local Cur]])</f>
        <v>0</v>
      </c>
    </row>
    <row r="11476" spans="1:5" x14ac:dyDescent="0.25">
      <c r="A11476" s="36" t="b">
        <v>0</v>
      </c>
      <c r="B11476" s="56" t="b">
        <v>0</v>
      </c>
      <c r="C11476" s="56" t="b">
        <v>0</v>
      </c>
      <c r="D11476" s="56" t="b">
        <v>0</v>
      </c>
      <c r="E11476" s="56">
        <f ca="1">IF(PV[[#This Row],[Business Date]]=Control!$C$6, PV[[#This Row],[Notional Value Local Cur]], -PV[[#This Row],[Notional Value Local Cur]])</f>
        <v>0</v>
      </c>
    </row>
    <row r="11477" spans="1:5" x14ac:dyDescent="0.25">
      <c r="A11477" s="36" t="b">
        <v>0</v>
      </c>
      <c r="B11477" s="56" t="b">
        <v>0</v>
      </c>
      <c r="C11477" s="56" t="b">
        <v>0</v>
      </c>
      <c r="D11477" s="56" t="b">
        <v>0</v>
      </c>
      <c r="E11477" s="56">
        <f ca="1">IF(PV[[#This Row],[Business Date]]=Control!$C$6, PV[[#This Row],[Notional Value Local Cur]], -PV[[#This Row],[Notional Value Local Cur]])</f>
        <v>0</v>
      </c>
    </row>
    <row r="11478" spans="1:5" x14ac:dyDescent="0.25">
      <c r="A11478" s="36" t="b">
        <v>0</v>
      </c>
      <c r="B11478" s="56" t="b">
        <v>0</v>
      </c>
      <c r="C11478" s="56" t="b">
        <v>0</v>
      </c>
      <c r="D11478" s="56" t="b">
        <v>0</v>
      </c>
      <c r="E11478" s="56">
        <f ca="1">IF(PV[[#This Row],[Business Date]]=Control!$C$6, PV[[#This Row],[Notional Value Local Cur]], -PV[[#This Row],[Notional Value Local Cur]])</f>
        <v>0</v>
      </c>
    </row>
    <row r="11479" spans="1:5" x14ac:dyDescent="0.25">
      <c r="A11479" s="36" t="b">
        <v>0</v>
      </c>
      <c r="B11479" s="56" t="b">
        <v>0</v>
      </c>
      <c r="C11479" s="56" t="b">
        <v>0</v>
      </c>
      <c r="D11479" s="56" t="b">
        <v>0</v>
      </c>
      <c r="E11479" s="56">
        <f ca="1">IF(PV[[#This Row],[Business Date]]=Control!$C$6, PV[[#This Row],[Notional Value Local Cur]], -PV[[#This Row],[Notional Value Local Cur]])</f>
        <v>0</v>
      </c>
    </row>
    <row r="11480" spans="1:5" x14ac:dyDescent="0.25">
      <c r="A11480" s="36" t="b">
        <v>0</v>
      </c>
      <c r="B11480" s="56" t="b">
        <v>0</v>
      </c>
      <c r="C11480" s="56" t="b">
        <v>0</v>
      </c>
      <c r="D11480" s="56" t="b">
        <v>0</v>
      </c>
      <c r="E11480" s="56">
        <f ca="1">IF(PV[[#This Row],[Business Date]]=Control!$C$6, PV[[#This Row],[Notional Value Local Cur]], -PV[[#This Row],[Notional Value Local Cur]])</f>
        <v>0</v>
      </c>
    </row>
    <row r="11481" spans="1:5" x14ac:dyDescent="0.25">
      <c r="A11481" s="36" t="b">
        <v>0</v>
      </c>
      <c r="B11481" s="56" t="b">
        <v>0</v>
      </c>
      <c r="C11481" s="56" t="b">
        <v>0</v>
      </c>
      <c r="D11481" s="56" t="b">
        <v>0</v>
      </c>
      <c r="E11481" s="56">
        <f ca="1">IF(PV[[#This Row],[Business Date]]=Control!$C$6, PV[[#This Row],[Notional Value Local Cur]], -PV[[#This Row],[Notional Value Local Cur]])</f>
        <v>0</v>
      </c>
    </row>
    <row r="11482" spans="1:5" x14ac:dyDescent="0.25">
      <c r="A11482" s="36" t="b">
        <v>0</v>
      </c>
      <c r="B11482" s="56" t="b">
        <v>0</v>
      </c>
      <c r="C11482" s="56" t="b">
        <v>0</v>
      </c>
      <c r="D11482" s="56" t="b">
        <v>0</v>
      </c>
      <c r="E11482" s="56">
        <f ca="1">IF(PV[[#This Row],[Business Date]]=Control!$C$6, PV[[#This Row],[Notional Value Local Cur]], -PV[[#This Row],[Notional Value Local Cur]])</f>
        <v>0</v>
      </c>
    </row>
    <row r="11483" spans="1:5" x14ac:dyDescent="0.25">
      <c r="A11483" s="36" t="b">
        <v>0</v>
      </c>
      <c r="B11483" s="56" t="b">
        <v>0</v>
      </c>
      <c r="C11483" s="56" t="b">
        <v>0</v>
      </c>
      <c r="D11483" s="56" t="b">
        <v>0</v>
      </c>
      <c r="E11483" s="56">
        <f ca="1">IF(PV[[#This Row],[Business Date]]=Control!$C$6, PV[[#This Row],[Notional Value Local Cur]], -PV[[#This Row],[Notional Value Local Cur]])</f>
        <v>0</v>
      </c>
    </row>
    <row r="11484" spans="1:5" x14ac:dyDescent="0.25">
      <c r="A11484" s="36" t="b">
        <v>0</v>
      </c>
      <c r="B11484" s="56" t="b">
        <v>0</v>
      </c>
      <c r="C11484" s="56" t="b">
        <v>0</v>
      </c>
      <c r="D11484" s="56" t="b">
        <v>0</v>
      </c>
      <c r="E11484" s="56">
        <f ca="1">IF(PV[[#This Row],[Business Date]]=Control!$C$6, PV[[#This Row],[Notional Value Local Cur]], -PV[[#This Row],[Notional Value Local Cur]])</f>
        <v>0</v>
      </c>
    </row>
    <row r="11485" spans="1:5" x14ac:dyDescent="0.25">
      <c r="A11485" s="36" t="b">
        <v>0</v>
      </c>
      <c r="B11485" s="56" t="b">
        <v>0</v>
      </c>
      <c r="C11485" s="56" t="b">
        <v>0</v>
      </c>
      <c r="D11485" s="56" t="b">
        <v>0</v>
      </c>
      <c r="E11485" s="56">
        <f ca="1">IF(PV[[#This Row],[Business Date]]=Control!$C$6, PV[[#This Row],[Notional Value Local Cur]], -PV[[#This Row],[Notional Value Local Cur]])</f>
        <v>0</v>
      </c>
    </row>
    <row r="11486" spans="1:5" x14ac:dyDescent="0.25">
      <c r="A11486" s="36" t="b">
        <v>0</v>
      </c>
      <c r="B11486" s="56" t="b">
        <v>0</v>
      </c>
      <c r="C11486" s="56" t="b">
        <v>0</v>
      </c>
      <c r="D11486" s="56" t="b">
        <v>0</v>
      </c>
      <c r="E11486" s="56">
        <f ca="1">IF(PV[[#This Row],[Business Date]]=Control!$C$6, PV[[#This Row],[Notional Value Local Cur]], -PV[[#This Row],[Notional Value Local Cur]])</f>
        <v>0</v>
      </c>
    </row>
    <row r="11487" spans="1:5" x14ac:dyDescent="0.25">
      <c r="A11487" s="36" t="b">
        <v>0</v>
      </c>
      <c r="B11487" s="56" t="b">
        <v>0</v>
      </c>
      <c r="C11487" s="56" t="b">
        <v>0</v>
      </c>
      <c r="D11487" s="56" t="b">
        <v>0</v>
      </c>
      <c r="E11487" s="56">
        <f ca="1">IF(PV[[#This Row],[Business Date]]=Control!$C$6, PV[[#This Row],[Notional Value Local Cur]], -PV[[#This Row],[Notional Value Local Cur]])</f>
        <v>0</v>
      </c>
    </row>
    <row r="11488" spans="1:5" x14ac:dyDescent="0.25">
      <c r="A11488" s="36" t="b">
        <v>0</v>
      </c>
      <c r="B11488" s="56" t="b">
        <v>0</v>
      </c>
      <c r="C11488" s="56" t="b">
        <v>0</v>
      </c>
      <c r="D11488" s="56" t="b">
        <v>0</v>
      </c>
      <c r="E11488" s="56">
        <f ca="1">IF(PV[[#This Row],[Business Date]]=Control!$C$6, PV[[#This Row],[Notional Value Local Cur]], -PV[[#This Row],[Notional Value Local Cur]])</f>
        <v>0</v>
      </c>
    </row>
    <row r="11489" spans="1:5" x14ac:dyDescent="0.25">
      <c r="A11489" s="36" t="b">
        <v>0</v>
      </c>
      <c r="B11489" s="56" t="b">
        <v>0</v>
      </c>
      <c r="C11489" s="56" t="b">
        <v>0</v>
      </c>
      <c r="D11489" s="56" t="b">
        <v>0</v>
      </c>
      <c r="E11489" s="56">
        <f ca="1">IF(PV[[#This Row],[Business Date]]=Control!$C$6, PV[[#This Row],[Notional Value Local Cur]], -PV[[#This Row],[Notional Value Local Cur]])</f>
        <v>0</v>
      </c>
    </row>
    <row r="11490" spans="1:5" x14ac:dyDescent="0.25">
      <c r="A11490" s="36" t="b">
        <v>0</v>
      </c>
      <c r="B11490" s="56" t="b">
        <v>0</v>
      </c>
      <c r="C11490" s="56" t="b">
        <v>0</v>
      </c>
      <c r="D11490" s="56" t="b">
        <v>0</v>
      </c>
      <c r="E11490" s="56">
        <f ca="1">IF(PV[[#This Row],[Business Date]]=Control!$C$6, PV[[#This Row],[Notional Value Local Cur]], -PV[[#This Row],[Notional Value Local Cur]])</f>
        <v>0</v>
      </c>
    </row>
    <row r="11491" spans="1:5" x14ac:dyDescent="0.25">
      <c r="A11491" s="36" t="b">
        <v>0</v>
      </c>
      <c r="B11491" s="56" t="b">
        <v>0</v>
      </c>
      <c r="C11491" s="56" t="b">
        <v>0</v>
      </c>
      <c r="D11491" s="56" t="b">
        <v>0</v>
      </c>
      <c r="E11491" s="56">
        <f ca="1">IF(PV[[#This Row],[Business Date]]=Control!$C$6, PV[[#This Row],[Notional Value Local Cur]], -PV[[#This Row],[Notional Value Local Cur]])</f>
        <v>0</v>
      </c>
    </row>
    <row r="11492" spans="1:5" x14ac:dyDescent="0.25">
      <c r="A11492" s="36" t="b">
        <v>0</v>
      </c>
      <c r="B11492" s="56" t="b">
        <v>0</v>
      </c>
      <c r="C11492" s="56" t="b">
        <v>0</v>
      </c>
      <c r="D11492" s="56" t="b">
        <v>0</v>
      </c>
      <c r="E11492" s="56">
        <f ca="1">IF(PV[[#This Row],[Business Date]]=Control!$C$6, PV[[#This Row],[Notional Value Local Cur]], -PV[[#This Row],[Notional Value Local Cur]])</f>
        <v>0</v>
      </c>
    </row>
    <row r="11493" spans="1:5" x14ac:dyDescent="0.25">
      <c r="A11493" s="36" t="b">
        <v>0</v>
      </c>
      <c r="B11493" s="56" t="b">
        <v>0</v>
      </c>
      <c r="C11493" s="56" t="b">
        <v>0</v>
      </c>
      <c r="D11493" s="56" t="b">
        <v>0</v>
      </c>
      <c r="E11493" s="56">
        <f ca="1">IF(PV[[#This Row],[Business Date]]=Control!$C$6, PV[[#This Row],[Notional Value Local Cur]], -PV[[#This Row],[Notional Value Local Cur]])</f>
        <v>0</v>
      </c>
    </row>
    <row r="11494" spans="1:5" x14ac:dyDescent="0.25">
      <c r="A11494" s="36" t="b">
        <v>0</v>
      </c>
      <c r="B11494" s="56" t="b">
        <v>0</v>
      </c>
      <c r="C11494" s="56" t="b">
        <v>0</v>
      </c>
      <c r="D11494" s="56" t="b">
        <v>0</v>
      </c>
      <c r="E11494" s="56">
        <f ca="1">IF(PV[[#This Row],[Business Date]]=Control!$C$6, PV[[#This Row],[Notional Value Local Cur]], -PV[[#This Row],[Notional Value Local Cur]])</f>
        <v>0</v>
      </c>
    </row>
    <row r="11495" spans="1:5" x14ac:dyDescent="0.25">
      <c r="A11495" s="36" t="b">
        <v>0</v>
      </c>
      <c r="B11495" s="56" t="b">
        <v>0</v>
      </c>
      <c r="C11495" s="56" t="b">
        <v>0</v>
      </c>
      <c r="D11495" s="56" t="b">
        <v>0</v>
      </c>
      <c r="E11495" s="56">
        <f ca="1">IF(PV[[#This Row],[Business Date]]=Control!$C$6, PV[[#This Row],[Notional Value Local Cur]], -PV[[#This Row],[Notional Value Local Cur]])</f>
        <v>0</v>
      </c>
    </row>
    <row r="11496" spans="1:5" x14ac:dyDescent="0.25">
      <c r="A11496" s="36" t="b">
        <v>0</v>
      </c>
      <c r="B11496" s="56" t="b">
        <v>0</v>
      </c>
      <c r="C11496" s="56" t="b">
        <v>0</v>
      </c>
      <c r="D11496" s="56" t="b">
        <v>0</v>
      </c>
      <c r="E11496" s="56">
        <f ca="1">IF(PV[[#This Row],[Business Date]]=Control!$C$6, PV[[#This Row],[Notional Value Local Cur]], -PV[[#This Row],[Notional Value Local Cur]])</f>
        <v>0</v>
      </c>
    </row>
    <row r="11497" spans="1:5" x14ac:dyDescent="0.25">
      <c r="A11497" s="36" t="b">
        <v>0</v>
      </c>
      <c r="B11497" s="56" t="b">
        <v>0</v>
      </c>
      <c r="C11497" s="56" t="b">
        <v>0</v>
      </c>
      <c r="D11497" s="56" t="b">
        <v>0</v>
      </c>
      <c r="E11497" s="56">
        <f ca="1">IF(PV[[#This Row],[Business Date]]=Control!$C$6, PV[[#This Row],[Notional Value Local Cur]], -PV[[#This Row],[Notional Value Local Cur]])</f>
        <v>0</v>
      </c>
    </row>
    <row r="11498" spans="1:5" x14ac:dyDescent="0.25">
      <c r="A11498" s="36" t="b">
        <v>0</v>
      </c>
      <c r="B11498" s="56" t="b">
        <v>0</v>
      </c>
      <c r="C11498" s="56" t="b">
        <v>0</v>
      </c>
      <c r="D11498" s="56" t="b">
        <v>0</v>
      </c>
      <c r="E11498" s="56">
        <f ca="1">IF(PV[[#This Row],[Business Date]]=Control!$C$6, PV[[#This Row],[Notional Value Local Cur]], -PV[[#This Row],[Notional Value Local Cur]])</f>
        <v>0</v>
      </c>
    </row>
    <row r="11499" spans="1:5" x14ac:dyDescent="0.25">
      <c r="A11499" s="36" t="b">
        <v>0</v>
      </c>
      <c r="B11499" s="56" t="b">
        <v>0</v>
      </c>
      <c r="C11499" s="56" t="b">
        <v>0</v>
      </c>
      <c r="D11499" s="56" t="b">
        <v>0</v>
      </c>
      <c r="E11499" s="56">
        <f ca="1">IF(PV[[#This Row],[Business Date]]=Control!$C$6, PV[[#This Row],[Notional Value Local Cur]], -PV[[#This Row],[Notional Value Local Cur]])</f>
        <v>0</v>
      </c>
    </row>
    <row r="11500" spans="1:5" x14ac:dyDescent="0.25">
      <c r="A11500" s="36" t="b">
        <v>0</v>
      </c>
      <c r="B11500" s="56" t="b">
        <v>0</v>
      </c>
      <c r="C11500" s="56" t="b">
        <v>0</v>
      </c>
      <c r="D11500" s="56" t="b">
        <v>0</v>
      </c>
      <c r="E11500" s="56">
        <f ca="1">IF(PV[[#This Row],[Business Date]]=Control!$C$6, PV[[#This Row],[Notional Value Local Cur]], -PV[[#This Row],[Notional Value Local Cur]])</f>
        <v>0</v>
      </c>
    </row>
    <row r="11501" spans="1:5" x14ac:dyDescent="0.25">
      <c r="A11501" s="36" t="b">
        <v>0</v>
      </c>
      <c r="B11501" s="56" t="b">
        <v>0</v>
      </c>
      <c r="C11501" s="56" t="b">
        <v>0</v>
      </c>
      <c r="D11501" s="56" t="b">
        <v>0</v>
      </c>
      <c r="E11501" s="56">
        <f ca="1">IF(PV[[#This Row],[Business Date]]=Control!$C$6, PV[[#This Row],[Notional Value Local Cur]], -PV[[#This Row],[Notional Value Local Cur]])</f>
        <v>0</v>
      </c>
    </row>
    <row r="11502" spans="1:5" x14ac:dyDescent="0.25">
      <c r="A11502" s="36" t="b">
        <v>0</v>
      </c>
      <c r="B11502" s="56" t="b">
        <v>0</v>
      </c>
      <c r="C11502" s="56" t="b">
        <v>0</v>
      </c>
      <c r="D11502" s="56" t="b">
        <v>0</v>
      </c>
      <c r="E11502" s="56">
        <f ca="1">IF(PV[[#This Row],[Business Date]]=Control!$C$6, PV[[#This Row],[Notional Value Local Cur]], -PV[[#This Row],[Notional Value Local Cur]])</f>
        <v>0</v>
      </c>
    </row>
    <row r="11503" spans="1:5" x14ac:dyDescent="0.25">
      <c r="A11503" s="36" t="b">
        <v>0</v>
      </c>
      <c r="B11503" s="56" t="b">
        <v>0</v>
      </c>
      <c r="C11503" s="56" t="b">
        <v>0</v>
      </c>
      <c r="D11503" s="56" t="b">
        <v>0</v>
      </c>
      <c r="E11503" s="56">
        <f ca="1">IF(PV[[#This Row],[Business Date]]=Control!$C$6, PV[[#This Row],[Notional Value Local Cur]], -PV[[#This Row],[Notional Value Local Cur]])</f>
        <v>0</v>
      </c>
    </row>
    <row r="11504" spans="1:5" x14ac:dyDescent="0.25">
      <c r="A11504" s="36" t="b">
        <v>0</v>
      </c>
      <c r="B11504" s="56" t="b">
        <v>0</v>
      </c>
      <c r="C11504" s="56" t="b">
        <v>0</v>
      </c>
      <c r="D11504" s="56" t="b">
        <v>0</v>
      </c>
      <c r="E11504" s="56">
        <f ca="1">IF(PV[[#This Row],[Business Date]]=Control!$C$6, PV[[#This Row],[Notional Value Local Cur]], -PV[[#This Row],[Notional Value Local Cur]])</f>
        <v>0</v>
      </c>
    </row>
    <row r="11505" spans="1:5" x14ac:dyDescent="0.25">
      <c r="A11505" s="36" t="b">
        <v>0</v>
      </c>
      <c r="B11505" s="56" t="b">
        <v>0</v>
      </c>
      <c r="C11505" s="56" t="b">
        <v>0</v>
      </c>
      <c r="D11505" s="56" t="b">
        <v>0</v>
      </c>
      <c r="E11505" s="56">
        <f ca="1">IF(PV[[#This Row],[Business Date]]=Control!$C$6, PV[[#This Row],[Notional Value Local Cur]], -PV[[#This Row],[Notional Value Local Cur]])</f>
        <v>0</v>
      </c>
    </row>
    <row r="11506" spans="1:5" x14ac:dyDescent="0.25">
      <c r="A11506" s="36" t="b">
        <v>0</v>
      </c>
      <c r="B11506" s="56" t="b">
        <v>0</v>
      </c>
      <c r="C11506" s="56" t="b">
        <v>0</v>
      </c>
      <c r="D11506" s="56" t="b">
        <v>0</v>
      </c>
      <c r="E11506" s="56">
        <f ca="1">IF(PV[[#This Row],[Business Date]]=Control!$C$6, PV[[#This Row],[Notional Value Local Cur]], -PV[[#This Row],[Notional Value Local Cur]])</f>
        <v>0</v>
      </c>
    </row>
    <row r="11507" spans="1:5" x14ac:dyDescent="0.25">
      <c r="A11507" s="36" t="b">
        <v>0</v>
      </c>
      <c r="B11507" s="56" t="b">
        <v>0</v>
      </c>
      <c r="C11507" s="56" t="b">
        <v>0</v>
      </c>
      <c r="D11507" s="56" t="b">
        <v>0</v>
      </c>
      <c r="E11507" s="56">
        <f ca="1">IF(PV[[#This Row],[Business Date]]=Control!$C$6, PV[[#This Row],[Notional Value Local Cur]], -PV[[#This Row],[Notional Value Local Cur]])</f>
        <v>0</v>
      </c>
    </row>
    <row r="11508" spans="1:5" x14ac:dyDescent="0.25">
      <c r="A11508" s="36" t="b">
        <v>0</v>
      </c>
      <c r="B11508" s="56" t="b">
        <v>0</v>
      </c>
      <c r="C11508" s="56" t="b">
        <v>0</v>
      </c>
      <c r="D11508" s="56" t="b">
        <v>0</v>
      </c>
      <c r="E11508" s="56">
        <f ca="1">IF(PV[[#This Row],[Business Date]]=Control!$C$6, PV[[#This Row],[Notional Value Local Cur]], -PV[[#This Row],[Notional Value Local Cur]])</f>
        <v>0</v>
      </c>
    </row>
    <row r="11509" spans="1:5" x14ac:dyDescent="0.25">
      <c r="A11509" s="36" t="b">
        <v>0</v>
      </c>
      <c r="B11509" s="56" t="b">
        <v>0</v>
      </c>
      <c r="C11509" s="56" t="b">
        <v>0</v>
      </c>
      <c r="D11509" s="56" t="b">
        <v>0</v>
      </c>
      <c r="E11509" s="56">
        <f ca="1">IF(PV[[#This Row],[Business Date]]=Control!$C$6, PV[[#This Row],[Notional Value Local Cur]], -PV[[#This Row],[Notional Value Local Cur]])</f>
        <v>0</v>
      </c>
    </row>
    <row r="11510" spans="1:5" x14ac:dyDescent="0.25">
      <c r="A11510" s="36" t="b">
        <v>0</v>
      </c>
      <c r="B11510" s="56" t="b">
        <v>0</v>
      </c>
      <c r="C11510" s="56" t="b">
        <v>0</v>
      </c>
      <c r="D11510" s="56" t="b">
        <v>0</v>
      </c>
      <c r="E11510" s="56">
        <f ca="1">IF(PV[[#This Row],[Business Date]]=Control!$C$6, PV[[#This Row],[Notional Value Local Cur]], -PV[[#This Row],[Notional Value Local Cur]])</f>
        <v>0</v>
      </c>
    </row>
    <row r="11511" spans="1:5" x14ac:dyDescent="0.25">
      <c r="A11511" s="36" t="b">
        <v>0</v>
      </c>
      <c r="B11511" s="56" t="b">
        <v>0</v>
      </c>
      <c r="C11511" s="56" t="b">
        <v>0</v>
      </c>
      <c r="D11511" s="56" t="b">
        <v>0</v>
      </c>
      <c r="E11511" s="56">
        <f ca="1">IF(PV[[#This Row],[Business Date]]=Control!$C$6, PV[[#This Row],[Notional Value Local Cur]], -PV[[#This Row],[Notional Value Local Cur]])</f>
        <v>0</v>
      </c>
    </row>
    <row r="11512" spans="1:5" x14ac:dyDescent="0.25">
      <c r="A11512" s="36" t="b">
        <v>0</v>
      </c>
      <c r="B11512" s="56" t="b">
        <v>0</v>
      </c>
      <c r="C11512" s="56" t="b">
        <v>0</v>
      </c>
      <c r="D11512" s="56" t="b">
        <v>0</v>
      </c>
      <c r="E11512" s="56">
        <f ca="1">IF(PV[[#This Row],[Business Date]]=Control!$C$6, PV[[#This Row],[Notional Value Local Cur]], -PV[[#This Row],[Notional Value Local Cur]])</f>
        <v>0</v>
      </c>
    </row>
    <row r="11513" spans="1:5" x14ac:dyDescent="0.25">
      <c r="A11513" s="36" t="b">
        <v>0</v>
      </c>
      <c r="B11513" s="56" t="b">
        <v>0</v>
      </c>
      <c r="C11513" s="56" t="b">
        <v>0</v>
      </c>
      <c r="D11513" s="56" t="b">
        <v>0</v>
      </c>
      <c r="E11513" s="56">
        <f ca="1">IF(PV[[#This Row],[Business Date]]=Control!$C$6, PV[[#This Row],[Notional Value Local Cur]], -PV[[#This Row],[Notional Value Local Cur]])</f>
        <v>0</v>
      </c>
    </row>
    <row r="11514" spans="1:5" x14ac:dyDescent="0.25">
      <c r="A11514" s="36" t="b">
        <v>0</v>
      </c>
      <c r="B11514" s="56" t="b">
        <v>0</v>
      </c>
      <c r="C11514" s="56" t="b">
        <v>0</v>
      </c>
      <c r="D11514" s="56" t="b">
        <v>0</v>
      </c>
      <c r="E11514" s="56">
        <f ca="1">IF(PV[[#This Row],[Business Date]]=Control!$C$6, PV[[#This Row],[Notional Value Local Cur]], -PV[[#This Row],[Notional Value Local Cur]])</f>
        <v>0</v>
      </c>
    </row>
    <row r="11515" spans="1:5" x14ac:dyDescent="0.25">
      <c r="A11515" s="36" t="b">
        <v>0</v>
      </c>
      <c r="B11515" s="56" t="b">
        <v>0</v>
      </c>
      <c r="C11515" s="56" t="b">
        <v>0</v>
      </c>
      <c r="D11515" s="56" t="b">
        <v>0</v>
      </c>
      <c r="E11515" s="56">
        <f ca="1">IF(PV[[#This Row],[Business Date]]=Control!$C$6, PV[[#This Row],[Notional Value Local Cur]], -PV[[#This Row],[Notional Value Local Cur]])</f>
        <v>0</v>
      </c>
    </row>
    <row r="11516" spans="1:5" x14ac:dyDescent="0.25">
      <c r="A11516" s="36" t="b">
        <v>0</v>
      </c>
      <c r="B11516" s="56" t="b">
        <v>0</v>
      </c>
      <c r="C11516" s="56" t="b">
        <v>0</v>
      </c>
      <c r="D11516" s="56" t="b">
        <v>0</v>
      </c>
      <c r="E11516" s="56">
        <f ca="1">IF(PV[[#This Row],[Business Date]]=Control!$C$6, PV[[#This Row],[Notional Value Local Cur]], -PV[[#This Row],[Notional Value Local Cur]])</f>
        <v>0</v>
      </c>
    </row>
    <row r="11517" spans="1:5" x14ac:dyDescent="0.25">
      <c r="A11517" s="36" t="b">
        <v>0</v>
      </c>
      <c r="B11517" s="56" t="b">
        <v>0</v>
      </c>
      <c r="C11517" s="56" t="b">
        <v>0</v>
      </c>
      <c r="D11517" s="56" t="b">
        <v>0</v>
      </c>
      <c r="E11517" s="56">
        <f ca="1">IF(PV[[#This Row],[Business Date]]=Control!$C$6, PV[[#This Row],[Notional Value Local Cur]], -PV[[#This Row],[Notional Value Local Cur]])</f>
        <v>0</v>
      </c>
    </row>
    <row r="11518" spans="1:5" x14ac:dyDescent="0.25">
      <c r="A11518" s="36" t="b">
        <v>0</v>
      </c>
      <c r="B11518" s="56" t="b">
        <v>0</v>
      </c>
      <c r="C11518" s="56" t="b">
        <v>0</v>
      </c>
      <c r="D11518" s="56" t="b">
        <v>0</v>
      </c>
      <c r="E11518" s="56">
        <f ca="1">IF(PV[[#This Row],[Business Date]]=Control!$C$6, PV[[#This Row],[Notional Value Local Cur]], -PV[[#This Row],[Notional Value Local Cur]])</f>
        <v>0</v>
      </c>
    </row>
    <row r="11519" spans="1:5" x14ac:dyDescent="0.25">
      <c r="A11519" s="36" t="b">
        <v>0</v>
      </c>
      <c r="B11519" s="56" t="b">
        <v>0</v>
      </c>
      <c r="C11519" s="56" t="b">
        <v>0</v>
      </c>
      <c r="D11519" s="56" t="b">
        <v>0</v>
      </c>
      <c r="E11519" s="56">
        <f ca="1">IF(PV[[#This Row],[Business Date]]=Control!$C$6, PV[[#This Row],[Notional Value Local Cur]], -PV[[#This Row],[Notional Value Local Cur]])</f>
        <v>0</v>
      </c>
    </row>
    <row r="11520" spans="1:5" x14ac:dyDescent="0.25">
      <c r="A11520" s="36" t="b">
        <v>0</v>
      </c>
      <c r="B11520" s="56" t="b">
        <v>0</v>
      </c>
      <c r="C11520" s="56" t="b">
        <v>0</v>
      </c>
      <c r="D11520" s="56" t="b">
        <v>0</v>
      </c>
      <c r="E11520" s="56">
        <f ca="1">IF(PV[[#This Row],[Business Date]]=Control!$C$6, PV[[#This Row],[Notional Value Local Cur]], -PV[[#This Row],[Notional Value Local Cur]])</f>
        <v>0</v>
      </c>
    </row>
    <row r="11521" spans="1:5" x14ac:dyDescent="0.25">
      <c r="A11521" s="36" t="b">
        <v>0</v>
      </c>
      <c r="B11521" s="56" t="b">
        <v>0</v>
      </c>
      <c r="C11521" s="56" t="b">
        <v>0</v>
      </c>
      <c r="D11521" s="56" t="b">
        <v>0</v>
      </c>
      <c r="E11521" s="56">
        <f ca="1">IF(PV[[#This Row],[Business Date]]=Control!$C$6, PV[[#This Row],[Notional Value Local Cur]], -PV[[#This Row],[Notional Value Local Cur]])</f>
        <v>0</v>
      </c>
    </row>
    <row r="11522" spans="1:5" x14ac:dyDescent="0.25">
      <c r="A11522" s="36" t="b">
        <v>0</v>
      </c>
      <c r="B11522" s="56" t="b">
        <v>0</v>
      </c>
      <c r="C11522" s="56" t="b">
        <v>0</v>
      </c>
      <c r="D11522" s="56" t="b">
        <v>0</v>
      </c>
      <c r="E11522" s="56">
        <f ca="1">IF(PV[[#This Row],[Business Date]]=Control!$C$6, PV[[#This Row],[Notional Value Local Cur]], -PV[[#This Row],[Notional Value Local Cur]])</f>
        <v>0</v>
      </c>
    </row>
    <row r="11523" spans="1:5" x14ac:dyDescent="0.25">
      <c r="A11523" s="36" t="b">
        <v>0</v>
      </c>
      <c r="B11523" s="56" t="b">
        <v>0</v>
      </c>
      <c r="C11523" s="56" t="b">
        <v>0</v>
      </c>
      <c r="D11523" s="56" t="b">
        <v>0</v>
      </c>
      <c r="E11523" s="56">
        <f ca="1">IF(PV[[#This Row],[Business Date]]=Control!$C$6, PV[[#This Row],[Notional Value Local Cur]], -PV[[#This Row],[Notional Value Local Cur]])</f>
        <v>0</v>
      </c>
    </row>
    <row r="11524" spans="1:5" x14ac:dyDescent="0.25">
      <c r="A11524" s="36" t="b">
        <v>0</v>
      </c>
      <c r="B11524" s="56" t="b">
        <v>0</v>
      </c>
      <c r="C11524" s="56" t="b">
        <v>0</v>
      </c>
      <c r="D11524" s="56" t="b">
        <v>0</v>
      </c>
      <c r="E11524" s="56">
        <f ca="1">IF(PV[[#This Row],[Business Date]]=Control!$C$6, PV[[#This Row],[Notional Value Local Cur]], -PV[[#This Row],[Notional Value Local Cur]])</f>
        <v>0</v>
      </c>
    </row>
    <row r="11525" spans="1:5" x14ac:dyDescent="0.25">
      <c r="A11525" s="36" t="b">
        <v>0</v>
      </c>
      <c r="B11525" s="56" t="b">
        <v>0</v>
      </c>
      <c r="C11525" s="56" t="b">
        <v>0</v>
      </c>
      <c r="D11525" s="56" t="b">
        <v>0</v>
      </c>
      <c r="E11525" s="56">
        <f ca="1">IF(PV[[#This Row],[Business Date]]=Control!$C$6, PV[[#This Row],[Notional Value Local Cur]], -PV[[#This Row],[Notional Value Local Cur]])</f>
        <v>0</v>
      </c>
    </row>
    <row r="11526" spans="1:5" x14ac:dyDescent="0.25">
      <c r="A11526" s="36" t="b">
        <v>0</v>
      </c>
      <c r="B11526" s="56" t="b">
        <v>0</v>
      </c>
      <c r="C11526" s="56" t="b">
        <v>0</v>
      </c>
      <c r="D11526" s="56" t="b">
        <v>0</v>
      </c>
      <c r="E11526" s="56">
        <f ca="1">IF(PV[[#This Row],[Business Date]]=Control!$C$6, PV[[#This Row],[Notional Value Local Cur]], -PV[[#This Row],[Notional Value Local Cur]])</f>
        <v>0</v>
      </c>
    </row>
    <row r="11527" spans="1:5" x14ac:dyDescent="0.25">
      <c r="A11527" s="36" t="b">
        <v>0</v>
      </c>
      <c r="B11527" s="56" t="b">
        <v>0</v>
      </c>
      <c r="C11527" s="56" t="b">
        <v>0</v>
      </c>
      <c r="D11527" s="56" t="b">
        <v>0</v>
      </c>
      <c r="E11527" s="56">
        <f ca="1">IF(PV[[#This Row],[Business Date]]=Control!$C$6, PV[[#This Row],[Notional Value Local Cur]], -PV[[#This Row],[Notional Value Local Cur]])</f>
        <v>0</v>
      </c>
    </row>
    <row r="11528" spans="1:5" x14ac:dyDescent="0.25">
      <c r="A11528" s="36" t="b">
        <v>0</v>
      </c>
      <c r="B11528" s="56" t="b">
        <v>0</v>
      </c>
      <c r="C11528" s="56" t="b">
        <v>0</v>
      </c>
      <c r="D11528" s="56" t="b">
        <v>0</v>
      </c>
      <c r="E11528" s="56">
        <f ca="1">IF(PV[[#This Row],[Business Date]]=Control!$C$6, PV[[#This Row],[Notional Value Local Cur]], -PV[[#This Row],[Notional Value Local Cur]])</f>
        <v>0</v>
      </c>
    </row>
    <row r="11529" spans="1:5" x14ac:dyDescent="0.25">
      <c r="A11529" s="36" t="b">
        <v>0</v>
      </c>
      <c r="B11529" s="56" t="b">
        <v>0</v>
      </c>
      <c r="C11529" s="56" t="b">
        <v>0</v>
      </c>
      <c r="D11529" s="56" t="b">
        <v>0</v>
      </c>
      <c r="E11529" s="56">
        <f ca="1">IF(PV[[#This Row],[Business Date]]=Control!$C$6, PV[[#This Row],[Notional Value Local Cur]], -PV[[#This Row],[Notional Value Local Cur]])</f>
        <v>0</v>
      </c>
    </row>
    <row r="11530" spans="1:5" x14ac:dyDescent="0.25">
      <c r="A11530" s="36" t="b">
        <v>0</v>
      </c>
      <c r="B11530" s="56" t="b">
        <v>0</v>
      </c>
      <c r="C11530" s="56" t="b">
        <v>0</v>
      </c>
      <c r="D11530" s="56" t="b">
        <v>0</v>
      </c>
      <c r="E11530" s="56">
        <f ca="1">IF(PV[[#This Row],[Business Date]]=Control!$C$6, PV[[#This Row],[Notional Value Local Cur]], -PV[[#This Row],[Notional Value Local Cur]])</f>
        <v>0</v>
      </c>
    </row>
    <row r="11531" spans="1:5" x14ac:dyDescent="0.25">
      <c r="A11531" s="36" t="b">
        <v>0</v>
      </c>
      <c r="B11531" s="56" t="b">
        <v>0</v>
      </c>
      <c r="C11531" s="56" t="b">
        <v>0</v>
      </c>
      <c r="D11531" s="56" t="b">
        <v>0</v>
      </c>
      <c r="E11531" s="56">
        <f ca="1">IF(PV[[#This Row],[Business Date]]=Control!$C$6, PV[[#This Row],[Notional Value Local Cur]], -PV[[#This Row],[Notional Value Local Cur]])</f>
        <v>0</v>
      </c>
    </row>
    <row r="11532" spans="1:5" x14ac:dyDescent="0.25">
      <c r="A11532" s="36" t="b">
        <v>0</v>
      </c>
      <c r="B11532" s="56" t="b">
        <v>0</v>
      </c>
      <c r="C11532" s="56" t="b">
        <v>0</v>
      </c>
      <c r="D11532" s="56" t="b">
        <v>0</v>
      </c>
      <c r="E11532" s="56">
        <f ca="1">IF(PV[[#This Row],[Business Date]]=Control!$C$6, PV[[#This Row],[Notional Value Local Cur]], -PV[[#This Row],[Notional Value Local Cur]])</f>
        <v>0</v>
      </c>
    </row>
    <row r="11533" spans="1:5" x14ac:dyDescent="0.25">
      <c r="A11533" s="36" t="b">
        <v>0</v>
      </c>
      <c r="B11533" s="56" t="b">
        <v>0</v>
      </c>
      <c r="C11533" s="56" t="b">
        <v>0</v>
      </c>
      <c r="D11533" s="56" t="b">
        <v>0</v>
      </c>
      <c r="E11533" s="56">
        <f ca="1">IF(PV[[#This Row],[Business Date]]=Control!$C$6, PV[[#This Row],[Notional Value Local Cur]], -PV[[#This Row],[Notional Value Local Cur]])</f>
        <v>0</v>
      </c>
    </row>
    <row r="11534" spans="1:5" x14ac:dyDescent="0.25">
      <c r="A11534" s="36" t="b">
        <v>0</v>
      </c>
      <c r="B11534" s="56" t="b">
        <v>0</v>
      </c>
      <c r="C11534" s="56" t="b">
        <v>0</v>
      </c>
      <c r="D11534" s="56" t="b">
        <v>0</v>
      </c>
      <c r="E11534" s="56">
        <f ca="1">IF(PV[[#This Row],[Business Date]]=Control!$C$6, PV[[#This Row],[Notional Value Local Cur]], -PV[[#This Row],[Notional Value Local Cur]])</f>
        <v>0</v>
      </c>
    </row>
    <row r="11535" spans="1:5" x14ac:dyDescent="0.25">
      <c r="A11535" s="36" t="b">
        <v>0</v>
      </c>
      <c r="B11535" s="56" t="b">
        <v>0</v>
      </c>
      <c r="C11535" s="56" t="b">
        <v>0</v>
      </c>
      <c r="D11535" s="56" t="b">
        <v>0</v>
      </c>
      <c r="E11535" s="56">
        <f ca="1">IF(PV[[#This Row],[Business Date]]=Control!$C$6, PV[[#This Row],[Notional Value Local Cur]], -PV[[#This Row],[Notional Value Local Cur]])</f>
        <v>0</v>
      </c>
    </row>
    <row r="11536" spans="1:5" x14ac:dyDescent="0.25">
      <c r="A11536" s="36" t="b">
        <v>0</v>
      </c>
      <c r="B11536" s="56" t="b">
        <v>0</v>
      </c>
      <c r="C11536" s="56" t="b">
        <v>0</v>
      </c>
      <c r="D11536" s="56" t="b">
        <v>0</v>
      </c>
      <c r="E11536" s="56">
        <f ca="1">IF(PV[[#This Row],[Business Date]]=Control!$C$6, PV[[#This Row],[Notional Value Local Cur]], -PV[[#This Row],[Notional Value Local Cur]])</f>
        <v>0</v>
      </c>
    </row>
    <row r="11537" spans="1:5" x14ac:dyDescent="0.25">
      <c r="A11537" s="36" t="b">
        <v>0</v>
      </c>
      <c r="B11537" s="56" t="b">
        <v>0</v>
      </c>
      <c r="C11537" s="56" t="b">
        <v>0</v>
      </c>
      <c r="D11537" s="56" t="b">
        <v>0</v>
      </c>
      <c r="E11537" s="56">
        <f ca="1">IF(PV[[#This Row],[Business Date]]=Control!$C$6, PV[[#This Row],[Notional Value Local Cur]], -PV[[#This Row],[Notional Value Local Cur]])</f>
        <v>0</v>
      </c>
    </row>
    <row r="11538" spans="1:5" x14ac:dyDescent="0.25">
      <c r="A11538" s="36" t="b">
        <v>0</v>
      </c>
      <c r="B11538" s="56" t="b">
        <v>0</v>
      </c>
      <c r="C11538" s="56" t="b">
        <v>0</v>
      </c>
      <c r="D11538" s="56" t="b">
        <v>0</v>
      </c>
      <c r="E11538" s="56">
        <f ca="1">IF(PV[[#This Row],[Business Date]]=Control!$C$6, PV[[#This Row],[Notional Value Local Cur]], -PV[[#This Row],[Notional Value Local Cur]])</f>
        <v>0</v>
      </c>
    </row>
    <row r="11539" spans="1:5" x14ac:dyDescent="0.25">
      <c r="A11539" s="36" t="b">
        <v>0</v>
      </c>
      <c r="B11539" s="56" t="b">
        <v>0</v>
      </c>
      <c r="C11539" s="56" t="b">
        <v>0</v>
      </c>
      <c r="D11539" s="56" t="b">
        <v>0</v>
      </c>
      <c r="E11539" s="56">
        <f ca="1">IF(PV[[#This Row],[Business Date]]=Control!$C$6, PV[[#This Row],[Notional Value Local Cur]], -PV[[#This Row],[Notional Value Local Cur]])</f>
        <v>0</v>
      </c>
    </row>
    <row r="11540" spans="1:5" x14ac:dyDescent="0.25">
      <c r="A11540" s="36" t="b">
        <v>0</v>
      </c>
      <c r="B11540" s="56" t="b">
        <v>0</v>
      </c>
      <c r="C11540" s="56" t="b">
        <v>0</v>
      </c>
      <c r="D11540" s="56" t="b">
        <v>0</v>
      </c>
      <c r="E11540" s="56">
        <f ca="1">IF(PV[[#This Row],[Business Date]]=Control!$C$6, PV[[#This Row],[Notional Value Local Cur]], -PV[[#This Row],[Notional Value Local Cur]])</f>
        <v>0</v>
      </c>
    </row>
    <row r="11541" spans="1:5" x14ac:dyDescent="0.25">
      <c r="A11541" s="36" t="b">
        <v>0</v>
      </c>
      <c r="B11541" s="56" t="b">
        <v>0</v>
      </c>
      <c r="C11541" s="56" t="b">
        <v>0</v>
      </c>
      <c r="D11541" s="56" t="b">
        <v>0</v>
      </c>
      <c r="E11541" s="56">
        <f ca="1">IF(PV[[#This Row],[Business Date]]=Control!$C$6, PV[[#This Row],[Notional Value Local Cur]], -PV[[#This Row],[Notional Value Local Cur]])</f>
        <v>0</v>
      </c>
    </row>
    <row r="11542" spans="1:5" x14ac:dyDescent="0.25">
      <c r="A11542" s="36" t="b">
        <v>0</v>
      </c>
      <c r="B11542" s="56" t="b">
        <v>0</v>
      </c>
      <c r="C11542" s="56" t="b">
        <v>0</v>
      </c>
      <c r="D11542" s="56" t="b">
        <v>0</v>
      </c>
      <c r="E11542" s="56">
        <f ca="1">IF(PV[[#This Row],[Business Date]]=Control!$C$6, PV[[#This Row],[Notional Value Local Cur]], -PV[[#This Row],[Notional Value Local Cur]])</f>
        <v>0</v>
      </c>
    </row>
    <row r="11543" spans="1:5" x14ac:dyDescent="0.25">
      <c r="A11543" s="36" t="b">
        <v>0</v>
      </c>
      <c r="B11543" s="56" t="b">
        <v>0</v>
      </c>
      <c r="C11543" s="56" t="b">
        <v>0</v>
      </c>
      <c r="D11543" s="56" t="b">
        <v>0</v>
      </c>
      <c r="E11543" s="56">
        <f ca="1">IF(PV[[#This Row],[Business Date]]=Control!$C$6, PV[[#This Row],[Notional Value Local Cur]], -PV[[#This Row],[Notional Value Local Cur]])</f>
        <v>0</v>
      </c>
    </row>
    <row r="11544" spans="1:5" x14ac:dyDescent="0.25">
      <c r="A11544" s="36" t="b">
        <v>0</v>
      </c>
      <c r="B11544" s="56" t="b">
        <v>0</v>
      </c>
      <c r="C11544" s="56" t="b">
        <v>0</v>
      </c>
      <c r="D11544" s="56" t="b">
        <v>0</v>
      </c>
      <c r="E11544" s="56">
        <f ca="1">IF(PV[[#This Row],[Business Date]]=Control!$C$6, PV[[#This Row],[Notional Value Local Cur]], -PV[[#This Row],[Notional Value Local Cur]])</f>
        <v>0</v>
      </c>
    </row>
    <row r="11545" spans="1:5" x14ac:dyDescent="0.25">
      <c r="A11545" s="36" t="b">
        <v>0</v>
      </c>
      <c r="B11545" s="56" t="b">
        <v>0</v>
      </c>
      <c r="C11545" s="56" t="b">
        <v>0</v>
      </c>
      <c r="D11545" s="56" t="b">
        <v>0</v>
      </c>
      <c r="E11545" s="56">
        <f ca="1">IF(PV[[#This Row],[Business Date]]=Control!$C$6, PV[[#This Row],[Notional Value Local Cur]], -PV[[#This Row],[Notional Value Local Cur]])</f>
        <v>0</v>
      </c>
    </row>
    <row r="11546" spans="1:5" x14ac:dyDescent="0.25">
      <c r="A11546" s="36" t="b">
        <v>0</v>
      </c>
      <c r="B11546" s="56" t="b">
        <v>0</v>
      </c>
      <c r="C11546" s="56" t="b">
        <v>0</v>
      </c>
      <c r="D11546" s="56" t="b">
        <v>0</v>
      </c>
      <c r="E11546" s="56">
        <f ca="1">IF(PV[[#This Row],[Business Date]]=Control!$C$6, PV[[#This Row],[Notional Value Local Cur]], -PV[[#This Row],[Notional Value Local Cur]])</f>
        <v>0</v>
      </c>
    </row>
    <row r="11547" spans="1:5" x14ac:dyDescent="0.25">
      <c r="A11547" s="36" t="b">
        <v>0</v>
      </c>
      <c r="B11547" s="56" t="b">
        <v>0</v>
      </c>
      <c r="C11547" s="56" t="b">
        <v>0</v>
      </c>
      <c r="D11547" s="56" t="b">
        <v>0</v>
      </c>
      <c r="E11547" s="56">
        <f ca="1">IF(PV[[#This Row],[Business Date]]=Control!$C$6, PV[[#This Row],[Notional Value Local Cur]], -PV[[#This Row],[Notional Value Local Cur]])</f>
        <v>0</v>
      </c>
    </row>
    <row r="11548" spans="1:5" x14ac:dyDescent="0.25">
      <c r="A11548" s="36" t="b">
        <v>0</v>
      </c>
      <c r="B11548" s="56" t="b">
        <v>0</v>
      </c>
      <c r="C11548" s="56" t="b">
        <v>0</v>
      </c>
      <c r="D11548" s="56" t="b">
        <v>0</v>
      </c>
      <c r="E11548" s="56">
        <f ca="1">IF(PV[[#This Row],[Business Date]]=Control!$C$6, PV[[#This Row],[Notional Value Local Cur]], -PV[[#This Row],[Notional Value Local Cur]])</f>
        <v>0</v>
      </c>
    </row>
    <row r="11549" spans="1:5" x14ac:dyDescent="0.25">
      <c r="A11549" s="36" t="b">
        <v>0</v>
      </c>
      <c r="B11549" s="56" t="b">
        <v>0</v>
      </c>
      <c r="C11549" s="56" t="b">
        <v>0</v>
      </c>
      <c r="D11549" s="56" t="b">
        <v>0</v>
      </c>
      <c r="E11549" s="56">
        <f ca="1">IF(PV[[#This Row],[Business Date]]=Control!$C$6, PV[[#This Row],[Notional Value Local Cur]], -PV[[#This Row],[Notional Value Local Cur]])</f>
        <v>0</v>
      </c>
    </row>
    <row r="11550" spans="1:5" x14ac:dyDescent="0.25">
      <c r="A11550" s="36" t="b">
        <v>0</v>
      </c>
      <c r="B11550" s="56" t="b">
        <v>0</v>
      </c>
      <c r="C11550" s="56" t="b">
        <v>0</v>
      </c>
      <c r="D11550" s="56" t="b">
        <v>0</v>
      </c>
      <c r="E11550" s="56">
        <f ca="1">IF(PV[[#This Row],[Business Date]]=Control!$C$6, PV[[#This Row],[Notional Value Local Cur]], -PV[[#This Row],[Notional Value Local Cur]])</f>
        <v>0</v>
      </c>
    </row>
    <row r="11551" spans="1:5" x14ac:dyDescent="0.25">
      <c r="A11551" s="36" t="b">
        <v>0</v>
      </c>
      <c r="B11551" s="56" t="b">
        <v>0</v>
      </c>
      <c r="C11551" s="56" t="b">
        <v>0</v>
      </c>
      <c r="D11551" s="56" t="b">
        <v>0</v>
      </c>
      <c r="E11551" s="56">
        <f ca="1">IF(PV[[#This Row],[Business Date]]=Control!$C$6, PV[[#This Row],[Notional Value Local Cur]], -PV[[#This Row],[Notional Value Local Cur]])</f>
        <v>0</v>
      </c>
    </row>
    <row r="11552" spans="1:5" x14ac:dyDescent="0.25">
      <c r="A11552" s="36" t="b">
        <v>0</v>
      </c>
      <c r="B11552" s="56" t="b">
        <v>0</v>
      </c>
      <c r="C11552" s="56" t="b">
        <v>0</v>
      </c>
      <c r="D11552" s="56" t="b">
        <v>0</v>
      </c>
      <c r="E11552" s="56">
        <f ca="1">IF(PV[[#This Row],[Business Date]]=Control!$C$6, PV[[#This Row],[Notional Value Local Cur]], -PV[[#This Row],[Notional Value Local Cur]])</f>
        <v>0</v>
      </c>
    </row>
    <row r="11553" spans="1:5" x14ac:dyDescent="0.25">
      <c r="A11553" s="36" t="b">
        <v>0</v>
      </c>
      <c r="B11553" s="56" t="b">
        <v>0</v>
      </c>
      <c r="C11553" s="56" t="b">
        <v>0</v>
      </c>
      <c r="D11553" s="56" t="b">
        <v>0</v>
      </c>
      <c r="E11553" s="56">
        <f ca="1">IF(PV[[#This Row],[Business Date]]=Control!$C$6, PV[[#This Row],[Notional Value Local Cur]], -PV[[#This Row],[Notional Value Local Cur]])</f>
        <v>0</v>
      </c>
    </row>
    <row r="11554" spans="1:5" x14ac:dyDescent="0.25">
      <c r="A11554" s="36" t="b">
        <v>0</v>
      </c>
      <c r="B11554" s="56" t="b">
        <v>0</v>
      </c>
      <c r="C11554" s="56" t="b">
        <v>0</v>
      </c>
      <c r="D11554" s="56" t="b">
        <v>0</v>
      </c>
      <c r="E11554" s="56">
        <f ca="1">IF(PV[[#This Row],[Business Date]]=Control!$C$6, PV[[#This Row],[Notional Value Local Cur]], -PV[[#This Row],[Notional Value Local Cur]])</f>
        <v>0</v>
      </c>
    </row>
    <row r="11555" spans="1:5" x14ac:dyDescent="0.25">
      <c r="A11555" s="36" t="b">
        <v>0</v>
      </c>
      <c r="B11555" s="56" t="b">
        <v>0</v>
      </c>
      <c r="C11555" s="56" t="b">
        <v>0</v>
      </c>
      <c r="D11555" s="56" t="b">
        <v>0</v>
      </c>
      <c r="E11555" s="56">
        <f ca="1">IF(PV[[#This Row],[Business Date]]=Control!$C$6, PV[[#This Row],[Notional Value Local Cur]], -PV[[#This Row],[Notional Value Local Cur]])</f>
        <v>0</v>
      </c>
    </row>
    <row r="11556" spans="1:5" x14ac:dyDescent="0.25">
      <c r="A11556" s="36" t="b">
        <v>0</v>
      </c>
      <c r="B11556" s="56" t="b">
        <v>0</v>
      </c>
      <c r="C11556" s="56" t="b">
        <v>0</v>
      </c>
      <c r="D11556" s="56" t="b">
        <v>0</v>
      </c>
      <c r="E11556" s="56">
        <f ca="1">IF(PV[[#This Row],[Business Date]]=Control!$C$6, PV[[#This Row],[Notional Value Local Cur]], -PV[[#This Row],[Notional Value Local Cur]])</f>
        <v>0</v>
      </c>
    </row>
    <row r="11557" spans="1:5" x14ac:dyDescent="0.25">
      <c r="A11557" s="36" t="b">
        <v>0</v>
      </c>
      <c r="B11557" s="56" t="b">
        <v>0</v>
      </c>
      <c r="C11557" s="56" t="b">
        <v>0</v>
      </c>
      <c r="D11557" s="56" t="b">
        <v>0</v>
      </c>
      <c r="E11557" s="56">
        <f ca="1">IF(PV[[#This Row],[Business Date]]=Control!$C$6, PV[[#This Row],[Notional Value Local Cur]], -PV[[#This Row],[Notional Value Local Cur]])</f>
        <v>0</v>
      </c>
    </row>
    <row r="11558" spans="1:5" x14ac:dyDescent="0.25">
      <c r="A11558" s="36" t="b">
        <v>0</v>
      </c>
      <c r="B11558" s="56" t="b">
        <v>0</v>
      </c>
      <c r="C11558" s="56" t="b">
        <v>0</v>
      </c>
      <c r="D11558" s="56" t="b">
        <v>0</v>
      </c>
      <c r="E11558" s="56">
        <f ca="1">IF(PV[[#This Row],[Business Date]]=Control!$C$6, PV[[#This Row],[Notional Value Local Cur]], -PV[[#This Row],[Notional Value Local Cur]])</f>
        <v>0</v>
      </c>
    </row>
    <row r="11559" spans="1:5" x14ac:dyDescent="0.25">
      <c r="A11559" s="36" t="b">
        <v>0</v>
      </c>
      <c r="B11559" s="56" t="b">
        <v>0</v>
      </c>
      <c r="C11559" s="56" t="b">
        <v>0</v>
      </c>
      <c r="D11559" s="56" t="b">
        <v>0</v>
      </c>
      <c r="E11559" s="56">
        <f ca="1">IF(PV[[#This Row],[Business Date]]=Control!$C$6, PV[[#This Row],[Notional Value Local Cur]], -PV[[#This Row],[Notional Value Local Cur]])</f>
        <v>0</v>
      </c>
    </row>
    <row r="11560" spans="1:5" x14ac:dyDescent="0.25">
      <c r="A11560" s="36" t="b">
        <v>0</v>
      </c>
      <c r="B11560" s="56" t="b">
        <v>0</v>
      </c>
      <c r="C11560" s="56" t="b">
        <v>0</v>
      </c>
      <c r="D11560" s="56" t="b">
        <v>0</v>
      </c>
      <c r="E11560" s="56">
        <f ca="1">IF(PV[[#This Row],[Business Date]]=Control!$C$6, PV[[#This Row],[Notional Value Local Cur]], -PV[[#This Row],[Notional Value Local Cur]])</f>
        <v>0</v>
      </c>
    </row>
    <row r="11561" spans="1:5" x14ac:dyDescent="0.25">
      <c r="A11561" s="36" t="b">
        <v>0</v>
      </c>
      <c r="B11561" s="56" t="b">
        <v>0</v>
      </c>
      <c r="C11561" s="56" t="b">
        <v>0</v>
      </c>
      <c r="D11561" s="56" t="b">
        <v>0</v>
      </c>
      <c r="E11561" s="56">
        <f ca="1">IF(PV[[#This Row],[Business Date]]=Control!$C$6, PV[[#This Row],[Notional Value Local Cur]], -PV[[#This Row],[Notional Value Local Cur]])</f>
        <v>0</v>
      </c>
    </row>
    <row r="11562" spans="1:5" x14ac:dyDescent="0.25">
      <c r="A11562" s="36" t="b">
        <v>0</v>
      </c>
      <c r="B11562" s="56" t="b">
        <v>0</v>
      </c>
      <c r="C11562" s="56" t="b">
        <v>0</v>
      </c>
      <c r="D11562" s="56" t="b">
        <v>0</v>
      </c>
      <c r="E11562" s="56">
        <f ca="1">IF(PV[[#This Row],[Business Date]]=Control!$C$6, PV[[#This Row],[Notional Value Local Cur]], -PV[[#This Row],[Notional Value Local Cur]])</f>
        <v>0</v>
      </c>
    </row>
    <row r="11563" spans="1:5" x14ac:dyDescent="0.25">
      <c r="A11563" s="36" t="b">
        <v>0</v>
      </c>
      <c r="B11563" s="56" t="b">
        <v>0</v>
      </c>
      <c r="C11563" s="56" t="b">
        <v>0</v>
      </c>
      <c r="D11563" s="56" t="b">
        <v>0</v>
      </c>
      <c r="E11563" s="56">
        <f ca="1">IF(PV[[#This Row],[Business Date]]=Control!$C$6, PV[[#This Row],[Notional Value Local Cur]], -PV[[#This Row],[Notional Value Local Cur]])</f>
        <v>0</v>
      </c>
    </row>
    <row r="11564" spans="1:5" x14ac:dyDescent="0.25">
      <c r="A11564" s="36" t="b">
        <v>0</v>
      </c>
      <c r="B11564" s="56" t="b">
        <v>0</v>
      </c>
      <c r="C11564" s="56" t="b">
        <v>0</v>
      </c>
      <c r="D11564" s="56" t="b">
        <v>0</v>
      </c>
      <c r="E11564" s="56">
        <f ca="1">IF(PV[[#This Row],[Business Date]]=Control!$C$6, PV[[#This Row],[Notional Value Local Cur]], -PV[[#This Row],[Notional Value Local Cur]])</f>
        <v>0</v>
      </c>
    </row>
    <row r="11565" spans="1:5" x14ac:dyDescent="0.25">
      <c r="A11565" s="36" t="b">
        <v>0</v>
      </c>
      <c r="B11565" s="56" t="b">
        <v>0</v>
      </c>
      <c r="C11565" s="56" t="b">
        <v>0</v>
      </c>
      <c r="D11565" s="56" t="b">
        <v>0</v>
      </c>
      <c r="E11565" s="56">
        <f ca="1">IF(PV[[#This Row],[Business Date]]=Control!$C$6, PV[[#This Row],[Notional Value Local Cur]], -PV[[#This Row],[Notional Value Local Cur]])</f>
        <v>0</v>
      </c>
    </row>
    <row r="11566" spans="1:5" x14ac:dyDescent="0.25">
      <c r="A11566" s="36" t="b">
        <v>0</v>
      </c>
      <c r="B11566" s="56" t="b">
        <v>0</v>
      </c>
      <c r="C11566" s="56" t="b">
        <v>0</v>
      </c>
      <c r="D11566" s="56" t="b">
        <v>0</v>
      </c>
      <c r="E11566" s="56">
        <f ca="1">IF(PV[[#This Row],[Business Date]]=Control!$C$6, PV[[#This Row],[Notional Value Local Cur]], -PV[[#This Row],[Notional Value Local Cur]])</f>
        <v>0</v>
      </c>
    </row>
    <row r="11567" spans="1:5" x14ac:dyDescent="0.25">
      <c r="A11567" s="36" t="b">
        <v>0</v>
      </c>
      <c r="B11567" s="56" t="b">
        <v>0</v>
      </c>
      <c r="C11567" s="56" t="b">
        <v>0</v>
      </c>
      <c r="D11567" s="56" t="b">
        <v>0</v>
      </c>
      <c r="E11567" s="56">
        <f ca="1">IF(PV[[#This Row],[Business Date]]=Control!$C$6, PV[[#This Row],[Notional Value Local Cur]], -PV[[#This Row],[Notional Value Local Cur]])</f>
        <v>0</v>
      </c>
    </row>
    <row r="11568" spans="1:5" x14ac:dyDescent="0.25">
      <c r="A11568" s="36" t="b">
        <v>0</v>
      </c>
      <c r="B11568" s="56" t="b">
        <v>0</v>
      </c>
      <c r="C11568" s="56" t="b">
        <v>0</v>
      </c>
      <c r="D11568" s="56" t="b">
        <v>0</v>
      </c>
      <c r="E11568" s="56">
        <f ca="1">IF(PV[[#This Row],[Business Date]]=Control!$C$6, PV[[#This Row],[Notional Value Local Cur]], -PV[[#This Row],[Notional Value Local Cur]])</f>
        <v>0</v>
      </c>
    </row>
    <row r="11569" spans="1:5" x14ac:dyDescent="0.25">
      <c r="A11569" s="36" t="b">
        <v>0</v>
      </c>
      <c r="B11569" s="56" t="b">
        <v>0</v>
      </c>
      <c r="C11569" s="56" t="b">
        <v>0</v>
      </c>
      <c r="D11569" s="56" t="b">
        <v>0</v>
      </c>
      <c r="E11569" s="56">
        <f ca="1">IF(PV[[#This Row],[Business Date]]=Control!$C$6, PV[[#This Row],[Notional Value Local Cur]], -PV[[#This Row],[Notional Value Local Cur]])</f>
        <v>0</v>
      </c>
    </row>
    <row r="11570" spans="1:5" x14ac:dyDescent="0.25">
      <c r="A11570" s="36" t="b">
        <v>0</v>
      </c>
      <c r="B11570" s="56" t="b">
        <v>0</v>
      </c>
      <c r="C11570" s="56" t="b">
        <v>0</v>
      </c>
      <c r="D11570" s="56" t="b">
        <v>0</v>
      </c>
      <c r="E11570" s="56">
        <f ca="1">IF(PV[[#This Row],[Business Date]]=Control!$C$6, PV[[#This Row],[Notional Value Local Cur]], -PV[[#This Row],[Notional Value Local Cur]])</f>
        <v>0</v>
      </c>
    </row>
    <row r="11571" spans="1:5" x14ac:dyDescent="0.25">
      <c r="A11571" s="36" t="b">
        <v>0</v>
      </c>
      <c r="B11571" s="56" t="b">
        <v>0</v>
      </c>
      <c r="C11571" s="56" t="b">
        <v>0</v>
      </c>
      <c r="D11571" s="56" t="b">
        <v>0</v>
      </c>
      <c r="E11571" s="56">
        <f ca="1">IF(PV[[#This Row],[Business Date]]=Control!$C$6, PV[[#This Row],[Notional Value Local Cur]], -PV[[#This Row],[Notional Value Local Cur]])</f>
        <v>0</v>
      </c>
    </row>
    <row r="11572" spans="1:5" x14ac:dyDescent="0.25">
      <c r="A11572" s="36" t="b">
        <v>0</v>
      </c>
      <c r="B11572" s="56" t="b">
        <v>0</v>
      </c>
      <c r="C11572" s="56" t="b">
        <v>0</v>
      </c>
      <c r="D11572" s="56" t="b">
        <v>0</v>
      </c>
      <c r="E11572" s="56">
        <f ca="1">IF(PV[[#This Row],[Business Date]]=Control!$C$6, PV[[#This Row],[Notional Value Local Cur]], -PV[[#This Row],[Notional Value Local Cur]])</f>
        <v>0</v>
      </c>
    </row>
    <row r="11573" spans="1:5" x14ac:dyDescent="0.25">
      <c r="A11573" s="36" t="b">
        <v>0</v>
      </c>
      <c r="B11573" s="56" t="b">
        <v>0</v>
      </c>
      <c r="C11573" s="56" t="b">
        <v>0</v>
      </c>
      <c r="D11573" s="56" t="b">
        <v>0</v>
      </c>
      <c r="E11573" s="56">
        <f ca="1">IF(PV[[#This Row],[Business Date]]=Control!$C$6, PV[[#This Row],[Notional Value Local Cur]], -PV[[#This Row],[Notional Value Local Cur]])</f>
        <v>0</v>
      </c>
    </row>
    <row r="11574" spans="1:5" x14ac:dyDescent="0.25">
      <c r="A11574" s="36" t="b">
        <v>0</v>
      </c>
      <c r="B11574" s="56" t="b">
        <v>0</v>
      </c>
      <c r="C11574" s="56" t="b">
        <v>0</v>
      </c>
      <c r="D11574" s="56" t="b">
        <v>0</v>
      </c>
      <c r="E11574" s="56">
        <f ca="1">IF(PV[[#This Row],[Business Date]]=Control!$C$6, PV[[#This Row],[Notional Value Local Cur]], -PV[[#This Row],[Notional Value Local Cur]])</f>
        <v>0</v>
      </c>
    </row>
    <row r="11575" spans="1:5" x14ac:dyDescent="0.25">
      <c r="A11575" s="36" t="b">
        <v>0</v>
      </c>
      <c r="B11575" s="56" t="b">
        <v>0</v>
      </c>
      <c r="C11575" s="56" t="b">
        <v>0</v>
      </c>
      <c r="D11575" s="56" t="b">
        <v>0</v>
      </c>
      <c r="E11575" s="56">
        <f ca="1">IF(PV[[#This Row],[Business Date]]=Control!$C$6, PV[[#This Row],[Notional Value Local Cur]], -PV[[#This Row],[Notional Value Local Cur]])</f>
        <v>0</v>
      </c>
    </row>
    <row r="11576" spans="1:5" x14ac:dyDescent="0.25">
      <c r="A11576" s="36" t="b">
        <v>0</v>
      </c>
      <c r="B11576" s="56" t="b">
        <v>0</v>
      </c>
      <c r="C11576" s="56" t="b">
        <v>0</v>
      </c>
      <c r="D11576" s="56" t="b">
        <v>0</v>
      </c>
      <c r="E11576" s="56">
        <f ca="1">IF(PV[[#This Row],[Business Date]]=Control!$C$6, PV[[#This Row],[Notional Value Local Cur]], -PV[[#This Row],[Notional Value Local Cur]])</f>
        <v>0</v>
      </c>
    </row>
    <row r="11577" spans="1:5" x14ac:dyDescent="0.25">
      <c r="A11577" s="36" t="b">
        <v>0</v>
      </c>
      <c r="B11577" s="56" t="b">
        <v>0</v>
      </c>
      <c r="C11577" s="56" t="b">
        <v>0</v>
      </c>
      <c r="D11577" s="56" t="b">
        <v>0</v>
      </c>
      <c r="E11577" s="56">
        <f ca="1">IF(PV[[#This Row],[Business Date]]=Control!$C$6, PV[[#This Row],[Notional Value Local Cur]], -PV[[#This Row],[Notional Value Local Cur]])</f>
        <v>0</v>
      </c>
    </row>
    <row r="11578" spans="1:5" x14ac:dyDescent="0.25">
      <c r="A11578" s="36" t="b">
        <v>0</v>
      </c>
      <c r="B11578" s="56" t="b">
        <v>0</v>
      </c>
      <c r="C11578" s="56" t="b">
        <v>0</v>
      </c>
      <c r="D11578" s="56" t="b">
        <v>0</v>
      </c>
      <c r="E11578" s="56">
        <f ca="1">IF(PV[[#This Row],[Business Date]]=Control!$C$6, PV[[#This Row],[Notional Value Local Cur]], -PV[[#This Row],[Notional Value Local Cur]])</f>
        <v>0</v>
      </c>
    </row>
    <row r="11579" spans="1:5" x14ac:dyDescent="0.25">
      <c r="A11579" s="36" t="b">
        <v>0</v>
      </c>
      <c r="B11579" s="56" t="b">
        <v>0</v>
      </c>
      <c r="C11579" s="56" t="b">
        <v>0</v>
      </c>
      <c r="D11579" s="56" t="b">
        <v>0</v>
      </c>
      <c r="E11579" s="56">
        <f ca="1">IF(PV[[#This Row],[Business Date]]=Control!$C$6, PV[[#This Row],[Notional Value Local Cur]], -PV[[#This Row],[Notional Value Local Cur]])</f>
        <v>0</v>
      </c>
    </row>
    <row r="11580" spans="1:5" x14ac:dyDescent="0.25">
      <c r="A11580" s="36" t="b">
        <v>0</v>
      </c>
      <c r="B11580" s="56" t="b">
        <v>0</v>
      </c>
      <c r="C11580" s="56" t="b">
        <v>0</v>
      </c>
      <c r="D11580" s="56" t="b">
        <v>0</v>
      </c>
      <c r="E11580" s="56">
        <f ca="1">IF(PV[[#This Row],[Business Date]]=Control!$C$6, PV[[#This Row],[Notional Value Local Cur]], -PV[[#This Row],[Notional Value Local Cur]])</f>
        <v>0</v>
      </c>
    </row>
    <row r="11581" spans="1:5" x14ac:dyDescent="0.25">
      <c r="A11581" s="36" t="b">
        <v>0</v>
      </c>
      <c r="B11581" s="56" t="b">
        <v>0</v>
      </c>
      <c r="C11581" s="56" t="b">
        <v>0</v>
      </c>
      <c r="D11581" s="56" t="b">
        <v>0</v>
      </c>
      <c r="E11581" s="56">
        <f ca="1">IF(PV[[#This Row],[Business Date]]=Control!$C$6, PV[[#This Row],[Notional Value Local Cur]], -PV[[#This Row],[Notional Value Local Cur]])</f>
        <v>0</v>
      </c>
    </row>
    <row r="11582" spans="1:5" x14ac:dyDescent="0.25">
      <c r="A11582" s="36" t="b">
        <v>0</v>
      </c>
      <c r="B11582" s="56" t="b">
        <v>0</v>
      </c>
      <c r="C11582" s="56" t="b">
        <v>0</v>
      </c>
      <c r="D11582" s="56" t="b">
        <v>0</v>
      </c>
      <c r="E11582" s="56">
        <f ca="1">IF(PV[[#This Row],[Business Date]]=Control!$C$6, PV[[#This Row],[Notional Value Local Cur]], -PV[[#This Row],[Notional Value Local Cur]])</f>
        <v>0</v>
      </c>
    </row>
    <row r="11583" spans="1:5" x14ac:dyDescent="0.25">
      <c r="A11583" s="36" t="b">
        <v>0</v>
      </c>
      <c r="B11583" s="56" t="b">
        <v>0</v>
      </c>
      <c r="C11583" s="56" t="b">
        <v>0</v>
      </c>
      <c r="D11583" s="56" t="b">
        <v>0</v>
      </c>
      <c r="E11583" s="56">
        <f ca="1">IF(PV[[#This Row],[Business Date]]=Control!$C$6, PV[[#This Row],[Notional Value Local Cur]], -PV[[#This Row],[Notional Value Local Cur]])</f>
        <v>0</v>
      </c>
    </row>
    <row r="11584" spans="1:5" x14ac:dyDescent="0.25">
      <c r="A11584" s="36" t="b">
        <v>0</v>
      </c>
      <c r="B11584" s="56" t="b">
        <v>0</v>
      </c>
      <c r="C11584" s="56" t="b">
        <v>0</v>
      </c>
      <c r="D11584" s="56" t="b">
        <v>0</v>
      </c>
      <c r="E11584" s="56">
        <f ca="1">IF(PV[[#This Row],[Business Date]]=Control!$C$6, PV[[#This Row],[Notional Value Local Cur]], -PV[[#This Row],[Notional Value Local Cur]])</f>
        <v>0</v>
      </c>
    </row>
    <row r="11585" spans="1:5" x14ac:dyDescent="0.25">
      <c r="A11585" s="36" t="b">
        <v>0</v>
      </c>
      <c r="B11585" s="56" t="b">
        <v>0</v>
      </c>
      <c r="C11585" s="56" t="b">
        <v>0</v>
      </c>
      <c r="D11585" s="56" t="b">
        <v>0</v>
      </c>
      <c r="E11585" s="56">
        <f ca="1">IF(PV[[#This Row],[Business Date]]=Control!$C$6, PV[[#This Row],[Notional Value Local Cur]], -PV[[#This Row],[Notional Value Local Cur]])</f>
        <v>0</v>
      </c>
    </row>
    <row r="11586" spans="1:5" x14ac:dyDescent="0.25">
      <c r="A11586" s="36" t="b">
        <v>0</v>
      </c>
      <c r="B11586" s="56" t="b">
        <v>0</v>
      </c>
      <c r="C11586" s="56" t="b">
        <v>0</v>
      </c>
      <c r="D11586" s="56" t="b">
        <v>0</v>
      </c>
      <c r="E11586" s="56">
        <f ca="1">IF(PV[[#This Row],[Business Date]]=Control!$C$6, PV[[#This Row],[Notional Value Local Cur]], -PV[[#This Row],[Notional Value Local Cur]])</f>
        <v>0</v>
      </c>
    </row>
    <row r="11587" spans="1:5" x14ac:dyDescent="0.25">
      <c r="A11587" s="36" t="b">
        <v>0</v>
      </c>
      <c r="B11587" s="56" t="b">
        <v>0</v>
      </c>
      <c r="C11587" s="56" t="b">
        <v>0</v>
      </c>
      <c r="D11587" s="56" t="b">
        <v>0</v>
      </c>
      <c r="E11587" s="56">
        <f ca="1">IF(PV[[#This Row],[Business Date]]=Control!$C$6, PV[[#This Row],[Notional Value Local Cur]], -PV[[#This Row],[Notional Value Local Cur]])</f>
        <v>0</v>
      </c>
    </row>
    <row r="11588" spans="1:5" x14ac:dyDescent="0.25">
      <c r="A11588" s="36" t="b">
        <v>0</v>
      </c>
      <c r="B11588" s="56" t="b">
        <v>0</v>
      </c>
      <c r="C11588" s="56" t="b">
        <v>0</v>
      </c>
      <c r="D11588" s="56" t="b">
        <v>0</v>
      </c>
      <c r="E11588" s="56">
        <f ca="1">IF(PV[[#This Row],[Business Date]]=Control!$C$6, PV[[#This Row],[Notional Value Local Cur]], -PV[[#This Row],[Notional Value Local Cur]])</f>
        <v>0</v>
      </c>
    </row>
    <row r="11589" spans="1:5" x14ac:dyDescent="0.25">
      <c r="A11589" s="36" t="b">
        <v>0</v>
      </c>
      <c r="B11589" s="56" t="b">
        <v>0</v>
      </c>
      <c r="C11589" s="56" t="b">
        <v>0</v>
      </c>
      <c r="D11589" s="56" t="b">
        <v>0</v>
      </c>
      <c r="E11589" s="56">
        <f ca="1">IF(PV[[#This Row],[Business Date]]=Control!$C$6, PV[[#This Row],[Notional Value Local Cur]], -PV[[#This Row],[Notional Value Local Cur]])</f>
        <v>0</v>
      </c>
    </row>
    <row r="11590" spans="1:5" x14ac:dyDescent="0.25">
      <c r="A11590" s="36" t="b">
        <v>0</v>
      </c>
      <c r="B11590" s="56" t="b">
        <v>0</v>
      </c>
      <c r="C11590" s="56" t="b">
        <v>0</v>
      </c>
      <c r="D11590" s="56" t="b">
        <v>0</v>
      </c>
      <c r="E11590" s="56">
        <f ca="1">IF(PV[[#This Row],[Business Date]]=Control!$C$6, PV[[#This Row],[Notional Value Local Cur]], -PV[[#This Row],[Notional Value Local Cur]])</f>
        <v>0</v>
      </c>
    </row>
    <row r="11591" spans="1:5" x14ac:dyDescent="0.25">
      <c r="A11591" s="36" t="b">
        <v>0</v>
      </c>
      <c r="B11591" s="56" t="b">
        <v>0</v>
      </c>
      <c r="C11591" s="56" t="b">
        <v>0</v>
      </c>
      <c r="D11591" s="56" t="b">
        <v>0</v>
      </c>
      <c r="E11591" s="56">
        <f ca="1">IF(PV[[#This Row],[Business Date]]=Control!$C$6, PV[[#This Row],[Notional Value Local Cur]], -PV[[#This Row],[Notional Value Local Cur]])</f>
        <v>0</v>
      </c>
    </row>
    <row r="11592" spans="1:5" x14ac:dyDescent="0.25">
      <c r="A11592" s="36" t="b">
        <v>0</v>
      </c>
      <c r="B11592" s="56" t="b">
        <v>0</v>
      </c>
      <c r="C11592" s="56" t="b">
        <v>0</v>
      </c>
      <c r="D11592" s="56" t="b">
        <v>0</v>
      </c>
      <c r="E11592" s="56">
        <f ca="1">IF(PV[[#This Row],[Business Date]]=Control!$C$6, PV[[#This Row],[Notional Value Local Cur]], -PV[[#This Row],[Notional Value Local Cur]])</f>
        <v>0</v>
      </c>
    </row>
    <row r="11593" spans="1:5" x14ac:dyDescent="0.25">
      <c r="A11593" s="36" t="b">
        <v>0</v>
      </c>
      <c r="B11593" s="56" t="b">
        <v>0</v>
      </c>
      <c r="C11593" s="56" t="b">
        <v>0</v>
      </c>
      <c r="D11593" s="56" t="b">
        <v>0</v>
      </c>
      <c r="E11593" s="56">
        <f ca="1">IF(PV[[#This Row],[Business Date]]=Control!$C$6, PV[[#This Row],[Notional Value Local Cur]], -PV[[#This Row],[Notional Value Local Cur]])</f>
        <v>0</v>
      </c>
    </row>
    <row r="11594" spans="1:5" x14ac:dyDescent="0.25">
      <c r="A11594" s="36" t="b">
        <v>0</v>
      </c>
      <c r="B11594" s="56" t="b">
        <v>0</v>
      </c>
      <c r="C11594" s="56" t="b">
        <v>0</v>
      </c>
      <c r="D11594" s="56" t="b">
        <v>0</v>
      </c>
      <c r="E11594" s="56">
        <f ca="1">IF(PV[[#This Row],[Business Date]]=Control!$C$6, PV[[#This Row],[Notional Value Local Cur]], -PV[[#This Row],[Notional Value Local Cur]])</f>
        <v>0</v>
      </c>
    </row>
    <row r="11595" spans="1:5" x14ac:dyDescent="0.25">
      <c r="A11595" s="36" t="b">
        <v>0</v>
      </c>
      <c r="B11595" s="56" t="b">
        <v>0</v>
      </c>
      <c r="C11595" s="56" t="b">
        <v>0</v>
      </c>
      <c r="D11595" s="56" t="b">
        <v>0</v>
      </c>
      <c r="E11595" s="56">
        <f ca="1">IF(PV[[#This Row],[Business Date]]=Control!$C$6, PV[[#This Row],[Notional Value Local Cur]], -PV[[#This Row],[Notional Value Local Cur]])</f>
        <v>0</v>
      </c>
    </row>
    <row r="11596" spans="1:5" x14ac:dyDescent="0.25">
      <c r="A11596" s="36" t="b">
        <v>0</v>
      </c>
      <c r="B11596" s="56" t="b">
        <v>0</v>
      </c>
      <c r="C11596" s="56" t="b">
        <v>0</v>
      </c>
      <c r="D11596" s="56" t="b">
        <v>0</v>
      </c>
      <c r="E11596" s="56">
        <f ca="1">IF(PV[[#This Row],[Business Date]]=Control!$C$6, PV[[#This Row],[Notional Value Local Cur]], -PV[[#This Row],[Notional Value Local Cur]])</f>
        <v>0</v>
      </c>
    </row>
    <row r="11597" spans="1:5" x14ac:dyDescent="0.25">
      <c r="A11597" s="36" t="b">
        <v>0</v>
      </c>
      <c r="B11597" s="56" t="b">
        <v>0</v>
      </c>
      <c r="C11597" s="56" t="b">
        <v>0</v>
      </c>
      <c r="D11597" s="56" t="b">
        <v>0</v>
      </c>
      <c r="E11597" s="56">
        <f ca="1">IF(PV[[#This Row],[Business Date]]=Control!$C$6, PV[[#This Row],[Notional Value Local Cur]], -PV[[#This Row],[Notional Value Local Cur]])</f>
        <v>0</v>
      </c>
    </row>
    <row r="11598" spans="1:5" x14ac:dyDescent="0.25">
      <c r="A11598" s="36" t="b">
        <v>0</v>
      </c>
      <c r="B11598" s="56" t="b">
        <v>0</v>
      </c>
      <c r="C11598" s="56" t="b">
        <v>0</v>
      </c>
      <c r="D11598" s="56" t="b">
        <v>0</v>
      </c>
      <c r="E11598" s="56">
        <f ca="1">IF(PV[[#This Row],[Business Date]]=Control!$C$6, PV[[#This Row],[Notional Value Local Cur]], -PV[[#This Row],[Notional Value Local Cur]])</f>
        <v>0</v>
      </c>
    </row>
    <row r="11599" spans="1:5" x14ac:dyDescent="0.25">
      <c r="A11599" s="36" t="b">
        <v>0</v>
      </c>
      <c r="B11599" s="56" t="b">
        <v>0</v>
      </c>
      <c r="C11599" s="56" t="b">
        <v>0</v>
      </c>
      <c r="D11599" s="56" t="b">
        <v>0</v>
      </c>
      <c r="E11599" s="56">
        <f ca="1">IF(PV[[#This Row],[Business Date]]=Control!$C$6, PV[[#This Row],[Notional Value Local Cur]], -PV[[#This Row],[Notional Value Local Cur]])</f>
        <v>0</v>
      </c>
    </row>
    <row r="11600" spans="1:5" x14ac:dyDescent="0.25">
      <c r="A11600" s="36" t="b">
        <v>0</v>
      </c>
      <c r="B11600" s="56" t="b">
        <v>0</v>
      </c>
      <c r="C11600" s="56" t="b">
        <v>0</v>
      </c>
      <c r="D11600" s="56" t="b">
        <v>0</v>
      </c>
      <c r="E11600" s="56">
        <f ca="1">IF(PV[[#This Row],[Business Date]]=Control!$C$6, PV[[#This Row],[Notional Value Local Cur]], -PV[[#This Row],[Notional Value Local Cur]])</f>
        <v>0</v>
      </c>
    </row>
    <row r="11601" spans="1:5" x14ac:dyDescent="0.25">
      <c r="A11601" s="36" t="b">
        <v>0</v>
      </c>
      <c r="B11601" s="56" t="b">
        <v>0</v>
      </c>
      <c r="C11601" s="56" t="b">
        <v>0</v>
      </c>
      <c r="D11601" s="56" t="b">
        <v>0</v>
      </c>
      <c r="E11601" s="56">
        <f ca="1">IF(PV[[#This Row],[Business Date]]=Control!$C$6, PV[[#This Row],[Notional Value Local Cur]], -PV[[#This Row],[Notional Value Local Cur]])</f>
        <v>0</v>
      </c>
    </row>
    <row r="11602" spans="1:5" x14ac:dyDescent="0.25">
      <c r="A11602" s="36" t="b">
        <v>0</v>
      </c>
      <c r="B11602" s="56" t="b">
        <v>0</v>
      </c>
      <c r="C11602" s="56" t="b">
        <v>0</v>
      </c>
      <c r="D11602" s="56" t="b">
        <v>0</v>
      </c>
      <c r="E11602" s="56">
        <f ca="1">IF(PV[[#This Row],[Business Date]]=Control!$C$6, PV[[#This Row],[Notional Value Local Cur]], -PV[[#This Row],[Notional Value Local Cur]])</f>
        <v>0</v>
      </c>
    </row>
    <row r="11603" spans="1:5" x14ac:dyDescent="0.25">
      <c r="A11603" s="36" t="b">
        <v>0</v>
      </c>
      <c r="B11603" s="56" t="b">
        <v>0</v>
      </c>
      <c r="C11603" s="56" t="b">
        <v>0</v>
      </c>
      <c r="D11603" s="56" t="b">
        <v>0</v>
      </c>
      <c r="E11603" s="56">
        <f ca="1">IF(PV[[#This Row],[Business Date]]=Control!$C$6, PV[[#This Row],[Notional Value Local Cur]], -PV[[#This Row],[Notional Value Local Cur]])</f>
        <v>0</v>
      </c>
    </row>
    <row r="11604" spans="1:5" x14ac:dyDescent="0.25">
      <c r="A11604" s="36" t="b">
        <v>0</v>
      </c>
      <c r="B11604" s="56" t="b">
        <v>0</v>
      </c>
      <c r="C11604" s="56" t="b">
        <v>0</v>
      </c>
      <c r="D11604" s="56" t="b">
        <v>0</v>
      </c>
      <c r="E11604" s="56">
        <f ca="1">IF(PV[[#This Row],[Business Date]]=Control!$C$6, PV[[#This Row],[Notional Value Local Cur]], -PV[[#This Row],[Notional Value Local Cur]])</f>
        <v>0</v>
      </c>
    </row>
    <row r="11605" spans="1:5" x14ac:dyDescent="0.25">
      <c r="A11605" s="36" t="b">
        <v>0</v>
      </c>
      <c r="B11605" s="56" t="b">
        <v>0</v>
      </c>
      <c r="C11605" s="56" t="b">
        <v>0</v>
      </c>
      <c r="D11605" s="56" t="b">
        <v>0</v>
      </c>
      <c r="E11605" s="56">
        <f ca="1">IF(PV[[#This Row],[Business Date]]=Control!$C$6, PV[[#This Row],[Notional Value Local Cur]], -PV[[#This Row],[Notional Value Local Cur]])</f>
        <v>0</v>
      </c>
    </row>
    <row r="11606" spans="1:5" x14ac:dyDescent="0.25">
      <c r="A11606" s="36" t="b">
        <v>0</v>
      </c>
      <c r="B11606" s="56" t="b">
        <v>0</v>
      </c>
      <c r="C11606" s="56" t="b">
        <v>0</v>
      </c>
      <c r="D11606" s="56" t="b">
        <v>0</v>
      </c>
      <c r="E11606" s="56">
        <f ca="1">IF(PV[[#This Row],[Business Date]]=Control!$C$6, PV[[#This Row],[Notional Value Local Cur]], -PV[[#This Row],[Notional Value Local Cur]])</f>
        <v>0</v>
      </c>
    </row>
    <row r="11607" spans="1:5" x14ac:dyDescent="0.25">
      <c r="A11607" s="36" t="b">
        <v>0</v>
      </c>
      <c r="B11607" s="56" t="b">
        <v>0</v>
      </c>
      <c r="C11607" s="56" t="b">
        <v>0</v>
      </c>
      <c r="D11607" s="56" t="b">
        <v>0</v>
      </c>
      <c r="E11607" s="56">
        <f ca="1">IF(PV[[#This Row],[Business Date]]=Control!$C$6, PV[[#This Row],[Notional Value Local Cur]], -PV[[#This Row],[Notional Value Local Cur]])</f>
        <v>0</v>
      </c>
    </row>
    <row r="11608" spans="1:5" x14ac:dyDescent="0.25">
      <c r="A11608" s="36" t="b">
        <v>0</v>
      </c>
      <c r="B11608" s="56" t="b">
        <v>0</v>
      </c>
      <c r="C11608" s="56" t="b">
        <v>0</v>
      </c>
      <c r="D11608" s="56" t="b">
        <v>0</v>
      </c>
      <c r="E11608" s="56">
        <f ca="1">IF(PV[[#This Row],[Business Date]]=Control!$C$6, PV[[#This Row],[Notional Value Local Cur]], -PV[[#This Row],[Notional Value Local Cur]])</f>
        <v>0</v>
      </c>
    </row>
    <row r="11609" spans="1:5" x14ac:dyDescent="0.25">
      <c r="A11609" s="36" t="b">
        <v>0</v>
      </c>
      <c r="B11609" s="56" t="b">
        <v>0</v>
      </c>
      <c r="C11609" s="56" t="b">
        <v>0</v>
      </c>
      <c r="D11609" s="56" t="b">
        <v>0</v>
      </c>
      <c r="E11609" s="56">
        <f ca="1">IF(PV[[#This Row],[Business Date]]=Control!$C$6, PV[[#This Row],[Notional Value Local Cur]], -PV[[#This Row],[Notional Value Local Cur]])</f>
        <v>0</v>
      </c>
    </row>
    <row r="11610" spans="1:5" x14ac:dyDescent="0.25">
      <c r="A11610" s="36" t="b">
        <v>0</v>
      </c>
      <c r="B11610" s="56" t="b">
        <v>0</v>
      </c>
      <c r="C11610" s="56" t="b">
        <v>0</v>
      </c>
      <c r="D11610" s="56" t="b">
        <v>0</v>
      </c>
      <c r="E11610" s="56">
        <f ca="1">IF(PV[[#This Row],[Business Date]]=Control!$C$6, PV[[#This Row],[Notional Value Local Cur]], -PV[[#This Row],[Notional Value Local Cur]])</f>
        <v>0</v>
      </c>
    </row>
    <row r="11611" spans="1:5" x14ac:dyDescent="0.25">
      <c r="A11611" s="36" t="b">
        <v>0</v>
      </c>
      <c r="B11611" s="56" t="b">
        <v>0</v>
      </c>
      <c r="C11611" s="56" t="b">
        <v>0</v>
      </c>
      <c r="D11611" s="56" t="b">
        <v>0</v>
      </c>
      <c r="E11611" s="56">
        <f ca="1">IF(PV[[#This Row],[Business Date]]=Control!$C$6, PV[[#This Row],[Notional Value Local Cur]], -PV[[#This Row],[Notional Value Local Cur]])</f>
        <v>0</v>
      </c>
    </row>
    <row r="11612" spans="1:5" x14ac:dyDescent="0.25">
      <c r="A11612" s="36" t="b">
        <v>0</v>
      </c>
      <c r="B11612" s="56" t="b">
        <v>0</v>
      </c>
      <c r="C11612" s="56" t="b">
        <v>0</v>
      </c>
      <c r="D11612" s="56" t="b">
        <v>0</v>
      </c>
      <c r="E11612" s="56">
        <f ca="1">IF(PV[[#This Row],[Business Date]]=Control!$C$6, PV[[#This Row],[Notional Value Local Cur]], -PV[[#This Row],[Notional Value Local Cur]])</f>
        <v>0</v>
      </c>
    </row>
    <row r="11613" spans="1:5" x14ac:dyDescent="0.25">
      <c r="A11613" s="36" t="b">
        <v>0</v>
      </c>
      <c r="B11613" s="56" t="b">
        <v>0</v>
      </c>
      <c r="C11613" s="56" t="b">
        <v>0</v>
      </c>
      <c r="D11613" s="56" t="b">
        <v>0</v>
      </c>
      <c r="E11613" s="56">
        <f ca="1">IF(PV[[#This Row],[Business Date]]=Control!$C$6, PV[[#This Row],[Notional Value Local Cur]], -PV[[#This Row],[Notional Value Local Cur]])</f>
        <v>0</v>
      </c>
    </row>
    <row r="11614" spans="1:5" x14ac:dyDescent="0.25">
      <c r="A11614" s="36" t="b">
        <v>0</v>
      </c>
      <c r="B11614" s="56" t="b">
        <v>0</v>
      </c>
      <c r="C11614" s="56" t="b">
        <v>0</v>
      </c>
      <c r="D11614" s="56" t="b">
        <v>0</v>
      </c>
      <c r="E11614" s="56">
        <f ca="1">IF(PV[[#This Row],[Business Date]]=Control!$C$6, PV[[#This Row],[Notional Value Local Cur]], -PV[[#This Row],[Notional Value Local Cur]])</f>
        <v>0</v>
      </c>
    </row>
    <row r="11615" spans="1:5" x14ac:dyDescent="0.25">
      <c r="A11615" s="36" t="b">
        <v>0</v>
      </c>
      <c r="B11615" s="56" t="b">
        <v>0</v>
      </c>
      <c r="C11615" s="56" t="b">
        <v>0</v>
      </c>
      <c r="D11615" s="56" t="b">
        <v>0</v>
      </c>
      <c r="E11615" s="56">
        <f ca="1">IF(PV[[#This Row],[Business Date]]=Control!$C$6, PV[[#This Row],[Notional Value Local Cur]], -PV[[#This Row],[Notional Value Local Cur]])</f>
        <v>0</v>
      </c>
    </row>
    <row r="11616" spans="1:5" x14ac:dyDescent="0.25">
      <c r="A11616" s="36" t="b">
        <v>0</v>
      </c>
      <c r="B11616" s="56" t="b">
        <v>0</v>
      </c>
      <c r="C11616" s="56" t="b">
        <v>0</v>
      </c>
      <c r="D11616" s="56" t="b">
        <v>0</v>
      </c>
      <c r="E11616" s="56">
        <f ca="1">IF(PV[[#This Row],[Business Date]]=Control!$C$6, PV[[#This Row],[Notional Value Local Cur]], -PV[[#This Row],[Notional Value Local Cur]])</f>
        <v>0</v>
      </c>
    </row>
    <row r="11617" spans="1:5" x14ac:dyDescent="0.25">
      <c r="A11617" s="36" t="b">
        <v>0</v>
      </c>
      <c r="B11617" s="56" t="b">
        <v>0</v>
      </c>
      <c r="C11617" s="56" t="b">
        <v>0</v>
      </c>
      <c r="D11617" s="56" t="b">
        <v>0</v>
      </c>
      <c r="E11617" s="56">
        <f ca="1">IF(PV[[#This Row],[Business Date]]=Control!$C$6, PV[[#This Row],[Notional Value Local Cur]], -PV[[#This Row],[Notional Value Local Cur]])</f>
        <v>0</v>
      </c>
    </row>
    <row r="11618" spans="1:5" x14ac:dyDescent="0.25">
      <c r="A11618" s="36" t="b">
        <v>0</v>
      </c>
      <c r="B11618" s="56" t="b">
        <v>0</v>
      </c>
      <c r="C11618" s="56" t="b">
        <v>0</v>
      </c>
      <c r="D11618" s="56" t="b">
        <v>0</v>
      </c>
      <c r="E11618" s="56">
        <f ca="1">IF(PV[[#This Row],[Business Date]]=Control!$C$6, PV[[#This Row],[Notional Value Local Cur]], -PV[[#This Row],[Notional Value Local Cur]])</f>
        <v>0</v>
      </c>
    </row>
    <row r="11619" spans="1:5" x14ac:dyDescent="0.25">
      <c r="A11619" s="36" t="b">
        <v>0</v>
      </c>
      <c r="B11619" s="56" t="b">
        <v>0</v>
      </c>
      <c r="C11619" s="56" t="b">
        <v>0</v>
      </c>
      <c r="D11619" s="56" t="b">
        <v>0</v>
      </c>
      <c r="E11619" s="56">
        <f ca="1">IF(PV[[#This Row],[Business Date]]=Control!$C$6, PV[[#This Row],[Notional Value Local Cur]], -PV[[#This Row],[Notional Value Local Cur]])</f>
        <v>0</v>
      </c>
    </row>
    <row r="11620" spans="1:5" x14ac:dyDescent="0.25">
      <c r="A11620" s="36" t="b">
        <v>0</v>
      </c>
      <c r="B11620" s="56" t="b">
        <v>0</v>
      </c>
      <c r="C11620" s="56" t="b">
        <v>0</v>
      </c>
      <c r="D11620" s="56" t="b">
        <v>0</v>
      </c>
      <c r="E11620" s="56">
        <f ca="1">IF(PV[[#This Row],[Business Date]]=Control!$C$6, PV[[#This Row],[Notional Value Local Cur]], -PV[[#This Row],[Notional Value Local Cur]])</f>
        <v>0</v>
      </c>
    </row>
    <row r="11621" spans="1:5" x14ac:dyDescent="0.25">
      <c r="A11621" s="36" t="b">
        <v>0</v>
      </c>
      <c r="B11621" s="56" t="b">
        <v>0</v>
      </c>
      <c r="C11621" s="56" t="b">
        <v>0</v>
      </c>
      <c r="D11621" s="56" t="b">
        <v>0</v>
      </c>
      <c r="E11621" s="56">
        <f ca="1">IF(PV[[#This Row],[Business Date]]=Control!$C$6, PV[[#This Row],[Notional Value Local Cur]], -PV[[#This Row],[Notional Value Local Cur]])</f>
        <v>0</v>
      </c>
    </row>
    <row r="11622" spans="1:5" x14ac:dyDescent="0.25">
      <c r="A11622" s="36" t="b">
        <v>0</v>
      </c>
      <c r="B11622" s="56" t="b">
        <v>0</v>
      </c>
      <c r="C11622" s="56" t="b">
        <v>0</v>
      </c>
      <c r="D11622" s="56" t="b">
        <v>0</v>
      </c>
      <c r="E11622" s="56">
        <f ca="1">IF(PV[[#This Row],[Business Date]]=Control!$C$6, PV[[#This Row],[Notional Value Local Cur]], -PV[[#This Row],[Notional Value Local Cur]])</f>
        <v>0</v>
      </c>
    </row>
    <row r="11623" spans="1:5" x14ac:dyDescent="0.25">
      <c r="A11623" s="36" t="b">
        <v>0</v>
      </c>
      <c r="B11623" s="56" t="b">
        <v>0</v>
      </c>
      <c r="C11623" s="56" t="b">
        <v>0</v>
      </c>
      <c r="D11623" s="56" t="b">
        <v>0</v>
      </c>
      <c r="E11623" s="56">
        <f ca="1">IF(PV[[#This Row],[Business Date]]=Control!$C$6, PV[[#This Row],[Notional Value Local Cur]], -PV[[#This Row],[Notional Value Local Cur]])</f>
        <v>0</v>
      </c>
    </row>
    <row r="11624" spans="1:5" x14ac:dyDescent="0.25">
      <c r="A11624" s="36" t="b">
        <v>0</v>
      </c>
      <c r="B11624" s="56" t="b">
        <v>0</v>
      </c>
      <c r="C11624" s="56" t="b">
        <v>0</v>
      </c>
      <c r="D11624" s="56" t="b">
        <v>0</v>
      </c>
      <c r="E11624" s="56">
        <f ca="1">IF(PV[[#This Row],[Business Date]]=Control!$C$6, PV[[#This Row],[Notional Value Local Cur]], -PV[[#This Row],[Notional Value Local Cur]])</f>
        <v>0</v>
      </c>
    </row>
    <row r="11625" spans="1:5" x14ac:dyDescent="0.25">
      <c r="A11625" s="36" t="b">
        <v>0</v>
      </c>
      <c r="B11625" s="56" t="b">
        <v>0</v>
      </c>
      <c r="C11625" s="56" t="b">
        <v>0</v>
      </c>
      <c r="D11625" s="56" t="b">
        <v>0</v>
      </c>
      <c r="E11625" s="56">
        <f ca="1">IF(PV[[#This Row],[Business Date]]=Control!$C$6, PV[[#This Row],[Notional Value Local Cur]], -PV[[#This Row],[Notional Value Local Cur]])</f>
        <v>0</v>
      </c>
    </row>
    <row r="11626" spans="1:5" x14ac:dyDescent="0.25">
      <c r="A11626" s="36" t="b">
        <v>0</v>
      </c>
      <c r="B11626" s="56" t="b">
        <v>0</v>
      </c>
      <c r="C11626" s="56" t="b">
        <v>0</v>
      </c>
      <c r="D11626" s="56" t="b">
        <v>0</v>
      </c>
      <c r="E11626" s="56">
        <f ca="1">IF(PV[[#This Row],[Business Date]]=Control!$C$6, PV[[#This Row],[Notional Value Local Cur]], -PV[[#This Row],[Notional Value Local Cur]])</f>
        <v>0</v>
      </c>
    </row>
    <row r="11627" spans="1:5" x14ac:dyDescent="0.25">
      <c r="A11627" s="36" t="b">
        <v>0</v>
      </c>
      <c r="B11627" s="56" t="b">
        <v>0</v>
      </c>
      <c r="C11627" s="56" t="b">
        <v>0</v>
      </c>
      <c r="D11627" s="56" t="b">
        <v>0</v>
      </c>
      <c r="E11627" s="56">
        <f ca="1">IF(PV[[#This Row],[Business Date]]=Control!$C$6, PV[[#This Row],[Notional Value Local Cur]], -PV[[#This Row],[Notional Value Local Cur]])</f>
        <v>0</v>
      </c>
    </row>
    <row r="11628" spans="1:5" x14ac:dyDescent="0.25">
      <c r="A11628" s="36" t="b">
        <v>0</v>
      </c>
      <c r="B11628" s="56" t="b">
        <v>0</v>
      </c>
      <c r="C11628" s="56" t="b">
        <v>0</v>
      </c>
      <c r="D11628" s="56" t="b">
        <v>0</v>
      </c>
      <c r="E11628" s="56">
        <f ca="1">IF(PV[[#This Row],[Business Date]]=Control!$C$6, PV[[#This Row],[Notional Value Local Cur]], -PV[[#This Row],[Notional Value Local Cur]])</f>
        <v>0</v>
      </c>
    </row>
    <row r="11629" spans="1:5" x14ac:dyDescent="0.25">
      <c r="A11629" s="36" t="b">
        <v>0</v>
      </c>
      <c r="B11629" s="56" t="b">
        <v>0</v>
      </c>
      <c r="C11629" s="56" t="b">
        <v>0</v>
      </c>
      <c r="D11629" s="56" t="b">
        <v>0</v>
      </c>
      <c r="E11629" s="56">
        <f ca="1">IF(PV[[#This Row],[Business Date]]=Control!$C$6, PV[[#This Row],[Notional Value Local Cur]], -PV[[#This Row],[Notional Value Local Cur]])</f>
        <v>0</v>
      </c>
    </row>
    <row r="11630" spans="1:5" x14ac:dyDescent="0.25">
      <c r="A11630" s="36" t="b">
        <v>0</v>
      </c>
      <c r="B11630" s="56" t="b">
        <v>0</v>
      </c>
      <c r="C11630" s="56" t="b">
        <v>0</v>
      </c>
      <c r="D11630" s="56" t="b">
        <v>0</v>
      </c>
      <c r="E11630" s="56">
        <f ca="1">IF(PV[[#This Row],[Business Date]]=Control!$C$6, PV[[#This Row],[Notional Value Local Cur]], -PV[[#This Row],[Notional Value Local Cur]])</f>
        <v>0</v>
      </c>
    </row>
    <row r="11631" spans="1:5" x14ac:dyDescent="0.25">
      <c r="A11631" s="36" t="b">
        <v>0</v>
      </c>
      <c r="B11631" s="56" t="b">
        <v>0</v>
      </c>
      <c r="C11631" s="56" t="b">
        <v>0</v>
      </c>
      <c r="D11631" s="56" t="b">
        <v>0</v>
      </c>
      <c r="E11631" s="56">
        <f ca="1">IF(PV[[#This Row],[Business Date]]=Control!$C$6, PV[[#This Row],[Notional Value Local Cur]], -PV[[#This Row],[Notional Value Local Cur]])</f>
        <v>0</v>
      </c>
    </row>
    <row r="11632" spans="1:5" x14ac:dyDescent="0.25">
      <c r="A11632" s="36" t="b">
        <v>0</v>
      </c>
      <c r="B11632" s="56" t="b">
        <v>0</v>
      </c>
      <c r="C11632" s="56" t="b">
        <v>0</v>
      </c>
      <c r="D11632" s="56" t="b">
        <v>0</v>
      </c>
      <c r="E11632" s="56">
        <f ca="1">IF(PV[[#This Row],[Business Date]]=Control!$C$6, PV[[#This Row],[Notional Value Local Cur]], -PV[[#This Row],[Notional Value Local Cur]])</f>
        <v>0</v>
      </c>
    </row>
    <row r="11633" spans="1:5" x14ac:dyDescent="0.25">
      <c r="A11633" s="36" t="b">
        <v>0</v>
      </c>
      <c r="B11633" s="56" t="b">
        <v>0</v>
      </c>
      <c r="C11633" s="56" t="b">
        <v>0</v>
      </c>
      <c r="D11633" s="56" t="b">
        <v>0</v>
      </c>
      <c r="E11633" s="56">
        <f ca="1">IF(PV[[#This Row],[Business Date]]=Control!$C$6, PV[[#This Row],[Notional Value Local Cur]], -PV[[#This Row],[Notional Value Local Cur]])</f>
        <v>0</v>
      </c>
    </row>
    <row r="11634" spans="1:5" x14ac:dyDescent="0.25">
      <c r="A11634" s="36" t="b">
        <v>0</v>
      </c>
      <c r="B11634" s="56" t="b">
        <v>0</v>
      </c>
      <c r="C11634" s="56" t="b">
        <v>0</v>
      </c>
      <c r="D11634" s="56" t="b">
        <v>0</v>
      </c>
      <c r="E11634" s="56">
        <f ca="1">IF(PV[[#This Row],[Business Date]]=Control!$C$6, PV[[#This Row],[Notional Value Local Cur]], -PV[[#This Row],[Notional Value Local Cur]])</f>
        <v>0</v>
      </c>
    </row>
    <row r="11635" spans="1:5" x14ac:dyDescent="0.25">
      <c r="A11635" s="36" t="b">
        <v>0</v>
      </c>
      <c r="B11635" s="56" t="b">
        <v>0</v>
      </c>
      <c r="C11635" s="56" t="b">
        <v>0</v>
      </c>
      <c r="D11635" s="56" t="b">
        <v>0</v>
      </c>
      <c r="E11635" s="56">
        <f ca="1">IF(PV[[#This Row],[Business Date]]=Control!$C$6, PV[[#This Row],[Notional Value Local Cur]], -PV[[#This Row],[Notional Value Local Cur]])</f>
        <v>0</v>
      </c>
    </row>
    <row r="11636" spans="1:5" x14ac:dyDescent="0.25">
      <c r="A11636" s="36" t="b">
        <v>0</v>
      </c>
      <c r="B11636" s="56" t="b">
        <v>0</v>
      </c>
      <c r="C11636" s="56" t="b">
        <v>0</v>
      </c>
      <c r="D11636" s="56" t="b">
        <v>0</v>
      </c>
      <c r="E11636" s="56">
        <f ca="1">IF(PV[[#This Row],[Business Date]]=Control!$C$6, PV[[#This Row],[Notional Value Local Cur]], -PV[[#This Row],[Notional Value Local Cur]])</f>
        <v>0</v>
      </c>
    </row>
    <row r="11637" spans="1:5" x14ac:dyDescent="0.25">
      <c r="A11637" s="36" t="b">
        <v>0</v>
      </c>
      <c r="B11637" s="56" t="b">
        <v>0</v>
      </c>
      <c r="C11637" s="56" t="b">
        <v>0</v>
      </c>
      <c r="D11637" s="56" t="b">
        <v>0</v>
      </c>
      <c r="E11637" s="56">
        <f ca="1">IF(PV[[#This Row],[Business Date]]=Control!$C$6, PV[[#This Row],[Notional Value Local Cur]], -PV[[#This Row],[Notional Value Local Cur]])</f>
        <v>0</v>
      </c>
    </row>
    <row r="11638" spans="1:5" x14ac:dyDescent="0.25">
      <c r="A11638" s="36" t="b">
        <v>0</v>
      </c>
      <c r="B11638" s="56" t="b">
        <v>0</v>
      </c>
      <c r="C11638" s="56" t="b">
        <v>0</v>
      </c>
      <c r="D11638" s="56" t="b">
        <v>0</v>
      </c>
      <c r="E11638" s="56">
        <f ca="1">IF(PV[[#This Row],[Business Date]]=Control!$C$6, PV[[#This Row],[Notional Value Local Cur]], -PV[[#This Row],[Notional Value Local Cur]])</f>
        <v>0</v>
      </c>
    </row>
    <row r="11639" spans="1:5" x14ac:dyDescent="0.25">
      <c r="A11639" s="36" t="b">
        <v>0</v>
      </c>
      <c r="B11639" s="56" t="b">
        <v>0</v>
      </c>
      <c r="C11639" s="56" t="b">
        <v>0</v>
      </c>
      <c r="D11639" s="56" t="b">
        <v>0</v>
      </c>
      <c r="E11639" s="56">
        <f ca="1">IF(PV[[#This Row],[Business Date]]=Control!$C$6, PV[[#This Row],[Notional Value Local Cur]], -PV[[#This Row],[Notional Value Local Cur]])</f>
        <v>0</v>
      </c>
    </row>
    <row r="11640" spans="1:5" x14ac:dyDescent="0.25">
      <c r="A11640" s="36" t="b">
        <v>0</v>
      </c>
      <c r="B11640" s="56" t="b">
        <v>0</v>
      </c>
      <c r="C11640" s="56" t="b">
        <v>0</v>
      </c>
      <c r="D11640" s="56" t="b">
        <v>0</v>
      </c>
      <c r="E11640" s="56">
        <f ca="1">IF(PV[[#This Row],[Business Date]]=Control!$C$6, PV[[#This Row],[Notional Value Local Cur]], -PV[[#This Row],[Notional Value Local Cur]])</f>
        <v>0</v>
      </c>
    </row>
    <row r="11641" spans="1:5" x14ac:dyDescent="0.25">
      <c r="A11641" s="36" t="b">
        <v>0</v>
      </c>
      <c r="B11641" s="56" t="b">
        <v>0</v>
      </c>
      <c r="C11641" s="56" t="b">
        <v>0</v>
      </c>
      <c r="D11641" s="56" t="b">
        <v>0</v>
      </c>
      <c r="E11641" s="56">
        <f ca="1">IF(PV[[#This Row],[Business Date]]=Control!$C$6, PV[[#This Row],[Notional Value Local Cur]], -PV[[#This Row],[Notional Value Local Cur]])</f>
        <v>0</v>
      </c>
    </row>
    <row r="11642" spans="1:5" x14ac:dyDescent="0.25">
      <c r="A11642" s="36" t="b">
        <v>0</v>
      </c>
      <c r="B11642" s="56" t="b">
        <v>0</v>
      </c>
      <c r="C11642" s="56" t="b">
        <v>0</v>
      </c>
      <c r="D11642" s="56" t="b">
        <v>0</v>
      </c>
      <c r="E11642" s="56">
        <f ca="1">IF(PV[[#This Row],[Business Date]]=Control!$C$6, PV[[#This Row],[Notional Value Local Cur]], -PV[[#This Row],[Notional Value Local Cur]])</f>
        <v>0</v>
      </c>
    </row>
    <row r="11643" spans="1:5" x14ac:dyDescent="0.25">
      <c r="A11643" s="36" t="b">
        <v>0</v>
      </c>
      <c r="B11643" s="56" t="b">
        <v>0</v>
      </c>
      <c r="C11643" s="56" t="b">
        <v>0</v>
      </c>
      <c r="D11643" s="56" t="b">
        <v>0</v>
      </c>
      <c r="E11643" s="56">
        <f ca="1">IF(PV[[#This Row],[Business Date]]=Control!$C$6, PV[[#This Row],[Notional Value Local Cur]], -PV[[#This Row],[Notional Value Local Cur]])</f>
        <v>0</v>
      </c>
    </row>
    <row r="11644" spans="1:5" x14ac:dyDescent="0.25">
      <c r="A11644" s="36" t="b">
        <v>0</v>
      </c>
      <c r="B11644" s="56" t="b">
        <v>0</v>
      </c>
      <c r="C11644" s="56" t="b">
        <v>0</v>
      </c>
      <c r="D11644" s="56" t="b">
        <v>0</v>
      </c>
      <c r="E11644" s="56">
        <f ca="1">IF(PV[[#This Row],[Business Date]]=Control!$C$6, PV[[#This Row],[Notional Value Local Cur]], -PV[[#This Row],[Notional Value Local Cur]])</f>
        <v>0</v>
      </c>
    </row>
    <row r="11645" spans="1:5" x14ac:dyDescent="0.25">
      <c r="A11645" s="36" t="b">
        <v>0</v>
      </c>
      <c r="B11645" s="56" t="b">
        <v>0</v>
      </c>
      <c r="C11645" s="56" t="b">
        <v>0</v>
      </c>
      <c r="D11645" s="56" t="b">
        <v>0</v>
      </c>
      <c r="E11645" s="56">
        <f ca="1">IF(PV[[#This Row],[Business Date]]=Control!$C$6, PV[[#This Row],[Notional Value Local Cur]], -PV[[#This Row],[Notional Value Local Cur]])</f>
        <v>0</v>
      </c>
    </row>
    <row r="11646" spans="1:5" x14ac:dyDescent="0.25">
      <c r="A11646" s="36" t="b">
        <v>0</v>
      </c>
      <c r="B11646" s="56" t="b">
        <v>0</v>
      </c>
      <c r="C11646" s="56" t="b">
        <v>0</v>
      </c>
      <c r="D11646" s="56" t="b">
        <v>0</v>
      </c>
      <c r="E11646" s="56">
        <f ca="1">IF(PV[[#This Row],[Business Date]]=Control!$C$6, PV[[#This Row],[Notional Value Local Cur]], -PV[[#This Row],[Notional Value Local Cur]])</f>
        <v>0</v>
      </c>
    </row>
    <row r="11647" spans="1:5" x14ac:dyDescent="0.25">
      <c r="A11647" s="36" t="b">
        <v>0</v>
      </c>
      <c r="B11647" s="56" t="b">
        <v>0</v>
      </c>
      <c r="C11647" s="56" t="b">
        <v>0</v>
      </c>
      <c r="D11647" s="56" t="b">
        <v>0</v>
      </c>
      <c r="E11647" s="56">
        <f ca="1">IF(PV[[#This Row],[Business Date]]=Control!$C$6, PV[[#This Row],[Notional Value Local Cur]], -PV[[#This Row],[Notional Value Local Cur]])</f>
        <v>0</v>
      </c>
    </row>
    <row r="11648" spans="1:5" x14ac:dyDescent="0.25">
      <c r="A11648" s="36" t="b">
        <v>0</v>
      </c>
      <c r="B11648" s="56" t="b">
        <v>0</v>
      </c>
      <c r="C11648" s="56" t="b">
        <v>0</v>
      </c>
      <c r="D11648" s="56" t="b">
        <v>0</v>
      </c>
      <c r="E11648" s="56">
        <f ca="1">IF(PV[[#This Row],[Business Date]]=Control!$C$6, PV[[#This Row],[Notional Value Local Cur]], -PV[[#This Row],[Notional Value Local Cur]])</f>
        <v>0</v>
      </c>
    </row>
    <row r="11649" spans="1:5" x14ac:dyDescent="0.25">
      <c r="A11649" s="36" t="b">
        <v>0</v>
      </c>
      <c r="B11649" s="56" t="b">
        <v>0</v>
      </c>
      <c r="C11649" s="56" t="b">
        <v>0</v>
      </c>
      <c r="D11649" s="56" t="b">
        <v>0</v>
      </c>
      <c r="E11649" s="56">
        <f ca="1">IF(PV[[#This Row],[Business Date]]=Control!$C$6, PV[[#This Row],[Notional Value Local Cur]], -PV[[#This Row],[Notional Value Local Cur]])</f>
        <v>0</v>
      </c>
    </row>
    <row r="11650" spans="1:5" x14ac:dyDescent="0.25">
      <c r="A11650" s="36" t="b">
        <v>0</v>
      </c>
      <c r="B11650" s="56" t="b">
        <v>0</v>
      </c>
      <c r="C11650" s="56" t="b">
        <v>0</v>
      </c>
      <c r="D11650" s="56" t="b">
        <v>0</v>
      </c>
      <c r="E11650" s="56">
        <f ca="1">IF(PV[[#This Row],[Business Date]]=Control!$C$6, PV[[#This Row],[Notional Value Local Cur]], -PV[[#This Row],[Notional Value Local Cur]])</f>
        <v>0</v>
      </c>
    </row>
    <row r="11651" spans="1:5" x14ac:dyDescent="0.25">
      <c r="A11651" s="36" t="b">
        <v>0</v>
      </c>
      <c r="B11651" s="56" t="b">
        <v>0</v>
      </c>
      <c r="C11651" s="56" t="b">
        <v>0</v>
      </c>
      <c r="D11651" s="56" t="b">
        <v>0</v>
      </c>
      <c r="E11651" s="56">
        <f ca="1">IF(PV[[#This Row],[Business Date]]=Control!$C$6, PV[[#This Row],[Notional Value Local Cur]], -PV[[#This Row],[Notional Value Local Cur]])</f>
        <v>0</v>
      </c>
    </row>
    <row r="11652" spans="1:5" x14ac:dyDescent="0.25">
      <c r="A11652" s="36" t="b">
        <v>0</v>
      </c>
      <c r="B11652" s="56" t="b">
        <v>0</v>
      </c>
      <c r="C11652" s="56" t="b">
        <v>0</v>
      </c>
      <c r="D11652" s="56" t="b">
        <v>0</v>
      </c>
      <c r="E11652" s="56">
        <f ca="1">IF(PV[[#This Row],[Business Date]]=Control!$C$6, PV[[#This Row],[Notional Value Local Cur]], -PV[[#This Row],[Notional Value Local Cur]])</f>
        <v>0</v>
      </c>
    </row>
    <row r="11653" spans="1:5" x14ac:dyDescent="0.25">
      <c r="A11653" s="36" t="b">
        <v>0</v>
      </c>
      <c r="B11653" s="56" t="b">
        <v>0</v>
      </c>
      <c r="C11653" s="56" t="b">
        <v>0</v>
      </c>
      <c r="D11653" s="56" t="b">
        <v>0</v>
      </c>
      <c r="E11653" s="56">
        <f ca="1">IF(PV[[#This Row],[Business Date]]=Control!$C$6, PV[[#This Row],[Notional Value Local Cur]], -PV[[#This Row],[Notional Value Local Cur]])</f>
        <v>0</v>
      </c>
    </row>
    <row r="11654" spans="1:5" x14ac:dyDescent="0.25">
      <c r="A11654" s="36" t="b">
        <v>0</v>
      </c>
      <c r="B11654" s="56" t="b">
        <v>0</v>
      </c>
      <c r="C11654" s="56" t="b">
        <v>0</v>
      </c>
      <c r="D11654" s="56" t="b">
        <v>0</v>
      </c>
      <c r="E11654" s="56">
        <f ca="1">IF(PV[[#This Row],[Business Date]]=Control!$C$6, PV[[#This Row],[Notional Value Local Cur]], -PV[[#This Row],[Notional Value Local Cur]])</f>
        <v>0</v>
      </c>
    </row>
    <row r="11655" spans="1:5" x14ac:dyDescent="0.25">
      <c r="A11655" s="36" t="b">
        <v>0</v>
      </c>
      <c r="B11655" s="56" t="b">
        <v>0</v>
      </c>
      <c r="C11655" s="56" t="b">
        <v>0</v>
      </c>
      <c r="D11655" s="56" t="b">
        <v>0</v>
      </c>
      <c r="E11655" s="56">
        <f ca="1">IF(PV[[#This Row],[Business Date]]=Control!$C$6, PV[[#This Row],[Notional Value Local Cur]], -PV[[#This Row],[Notional Value Local Cur]])</f>
        <v>0</v>
      </c>
    </row>
    <row r="11656" spans="1:5" x14ac:dyDescent="0.25">
      <c r="A11656" s="36" t="b">
        <v>0</v>
      </c>
      <c r="B11656" s="56" t="b">
        <v>0</v>
      </c>
      <c r="C11656" s="56" t="b">
        <v>0</v>
      </c>
      <c r="D11656" s="56" t="b">
        <v>0</v>
      </c>
      <c r="E11656" s="56">
        <f ca="1">IF(PV[[#This Row],[Business Date]]=Control!$C$6, PV[[#This Row],[Notional Value Local Cur]], -PV[[#This Row],[Notional Value Local Cur]])</f>
        <v>0</v>
      </c>
    </row>
    <row r="11657" spans="1:5" x14ac:dyDescent="0.25">
      <c r="A11657" s="36" t="b">
        <v>0</v>
      </c>
      <c r="B11657" s="56" t="b">
        <v>0</v>
      </c>
      <c r="C11657" s="56" t="b">
        <v>0</v>
      </c>
      <c r="D11657" s="56" t="b">
        <v>0</v>
      </c>
      <c r="E11657" s="56">
        <f ca="1">IF(PV[[#This Row],[Business Date]]=Control!$C$6, PV[[#This Row],[Notional Value Local Cur]], -PV[[#This Row],[Notional Value Local Cur]])</f>
        <v>0</v>
      </c>
    </row>
    <row r="11658" spans="1:5" x14ac:dyDescent="0.25">
      <c r="A11658" s="36" t="b">
        <v>0</v>
      </c>
      <c r="B11658" s="56" t="b">
        <v>0</v>
      </c>
      <c r="C11658" s="56" t="b">
        <v>0</v>
      </c>
      <c r="D11658" s="56" t="b">
        <v>0</v>
      </c>
      <c r="E11658" s="56">
        <f ca="1">IF(PV[[#This Row],[Business Date]]=Control!$C$6, PV[[#This Row],[Notional Value Local Cur]], -PV[[#This Row],[Notional Value Local Cur]])</f>
        <v>0</v>
      </c>
    </row>
    <row r="11659" spans="1:5" x14ac:dyDescent="0.25">
      <c r="A11659" s="36" t="b">
        <v>0</v>
      </c>
      <c r="B11659" s="56" t="b">
        <v>0</v>
      </c>
      <c r="C11659" s="56" t="b">
        <v>0</v>
      </c>
      <c r="D11659" s="56" t="b">
        <v>0</v>
      </c>
      <c r="E11659" s="56">
        <f ca="1">IF(PV[[#This Row],[Business Date]]=Control!$C$6, PV[[#This Row],[Notional Value Local Cur]], -PV[[#This Row],[Notional Value Local Cur]])</f>
        <v>0</v>
      </c>
    </row>
    <row r="11660" spans="1:5" x14ac:dyDescent="0.25">
      <c r="A11660" s="36" t="b">
        <v>0</v>
      </c>
      <c r="B11660" s="56" t="b">
        <v>0</v>
      </c>
      <c r="C11660" s="56" t="b">
        <v>0</v>
      </c>
      <c r="D11660" s="56" t="b">
        <v>0</v>
      </c>
      <c r="E11660" s="56">
        <f ca="1">IF(PV[[#This Row],[Business Date]]=Control!$C$6, PV[[#This Row],[Notional Value Local Cur]], -PV[[#This Row],[Notional Value Local Cur]])</f>
        <v>0</v>
      </c>
    </row>
    <row r="11661" spans="1:5" x14ac:dyDescent="0.25">
      <c r="A11661" s="36" t="b">
        <v>0</v>
      </c>
      <c r="B11661" s="56" t="b">
        <v>0</v>
      </c>
      <c r="C11661" s="56" t="b">
        <v>0</v>
      </c>
      <c r="D11661" s="56" t="b">
        <v>0</v>
      </c>
      <c r="E11661" s="56">
        <f ca="1">IF(PV[[#This Row],[Business Date]]=Control!$C$6, PV[[#This Row],[Notional Value Local Cur]], -PV[[#This Row],[Notional Value Local Cur]])</f>
        <v>0</v>
      </c>
    </row>
    <row r="11662" spans="1:5" x14ac:dyDescent="0.25">
      <c r="A11662" s="36" t="b">
        <v>0</v>
      </c>
      <c r="B11662" s="56" t="b">
        <v>0</v>
      </c>
      <c r="C11662" s="56" t="b">
        <v>0</v>
      </c>
      <c r="D11662" s="56" t="b">
        <v>0</v>
      </c>
      <c r="E11662" s="56">
        <f ca="1">IF(PV[[#This Row],[Business Date]]=Control!$C$6, PV[[#This Row],[Notional Value Local Cur]], -PV[[#This Row],[Notional Value Local Cur]])</f>
        <v>0</v>
      </c>
    </row>
    <row r="11663" spans="1:5" x14ac:dyDescent="0.25">
      <c r="A11663" s="36" t="b">
        <v>0</v>
      </c>
      <c r="B11663" s="56" t="b">
        <v>0</v>
      </c>
      <c r="C11663" s="56" t="b">
        <v>0</v>
      </c>
      <c r="D11663" s="56" t="b">
        <v>0</v>
      </c>
      <c r="E11663" s="56">
        <f ca="1">IF(PV[[#This Row],[Business Date]]=Control!$C$6, PV[[#This Row],[Notional Value Local Cur]], -PV[[#This Row],[Notional Value Local Cur]])</f>
        <v>0</v>
      </c>
    </row>
    <row r="11664" spans="1:5" x14ac:dyDescent="0.25">
      <c r="A11664" s="36" t="b">
        <v>0</v>
      </c>
      <c r="B11664" s="56" t="b">
        <v>0</v>
      </c>
      <c r="C11664" s="56" t="b">
        <v>0</v>
      </c>
      <c r="D11664" s="56" t="b">
        <v>0</v>
      </c>
      <c r="E11664" s="56">
        <f ca="1">IF(PV[[#This Row],[Business Date]]=Control!$C$6, PV[[#This Row],[Notional Value Local Cur]], -PV[[#This Row],[Notional Value Local Cur]])</f>
        <v>0</v>
      </c>
    </row>
    <row r="11665" spans="1:5" x14ac:dyDescent="0.25">
      <c r="A11665" s="36" t="b">
        <v>0</v>
      </c>
      <c r="B11665" s="56" t="b">
        <v>0</v>
      </c>
      <c r="C11665" s="56" t="b">
        <v>0</v>
      </c>
      <c r="D11665" s="56" t="b">
        <v>0</v>
      </c>
      <c r="E11665" s="56">
        <f ca="1">IF(PV[[#This Row],[Business Date]]=Control!$C$6, PV[[#This Row],[Notional Value Local Cur]], -PV[[#This Row],[Notional Value Local Cur]])</f>
        <v>0</v>
      </c>
    </row>
    <row r="11666" spans="1:5" x14ac:dyDescent="0.25">
      <c r="A11666" s="36" t="b">
        <v>0</v>
      </c>
      <c r="B11666" s="56" t="b">
        <v>0</v>
      </c>
      <c r="C11666" s="56" t="b">
        <v>0</v>
      </c>
      <c r="D11666" s="56" t="b">
        <v>0</v>
      </c>
      <c r="E11666" s="56">
        <f ca="1">IF(PV[[#This Row],[Business Date]]=Control!$C$6, PV[[#This Row],[Notional Value Local Cur]], -PV[[#This Row],[Notional Value Local Cur]])</f>
        <v>0</v>
      </c>
    </row>
    <row r="11667" spans="1:5" x14ac:dyDescent="0.25">
      <c r="A11667" s="36" t="b">
        <v>0</v>
      </c>
      <c r="B11667" s="56" t="b">
        <v>0</v>
      </c>
      <c r="C11667" s="56" t="b">
        <v>0</v>
      </c>
      <c r="D11667" s="56" t="b">
        <v>0</v>
      </c>
      <c r="E11667" s="56">
        <f ca="1">IF(PV[[#This Row],[Business Date]]=Control!$C$6, PV[[#This Row],[Notional Value Local Cur]], -PV[[#This Row],[Notional Value Local Cur]])</f>
        <v>0</v>
      </c>
    </row>
    <row r="11668" spans="1:5" x14ac:dyDescent="0.25">
      <c r="A11668" s="36" t="b">
        <v>0</v>
      </c>
      <c r="B11668" s="56" t="b">
        <v>0</v>
      </c>
      <c r="C11668" s="56" t="b">
        <v>0</v>
      </c>
      <c r="D11668" s="56" t="b">
        <v>0</v>
      </c>
      <c r="E11668" s="56">
        <f ca="1">IF(PV[[#This Row],[Business Date]]=Control!$C$6, PV[[#This Row],[Notional Value Local Cur]], -PV[[#This Row],[Notional Value Local Cur]])</f>
        <v>0</v>
      </c>
    </row>
    <row r="11669" spans="1:5" x14ac:dyDescent="0.25">
      <c r="A11669" s="36" t="b">
        <v>0</v>
      </c>
      <c r="B11669" s="56" t="b">
        <v>0</v>
      </c>
      <c r="C11669" s="56" t="b">
        <v>0</v>
      </c>
      <c r="D11669" s="56" t="b">
        <v>0</v>
      </c>
      <c r="E11669" s="56">
        <f ca="1">IF(PV[[#This Row],[Business Date]]=Control!$C$6, PV[[#This Row],[Notional Value Local Cur]], -PV[[#This Row],[Notional Value Local Cur]])</f>
        <v>0</v>
      </c>
    </row>
    <row r="11670" spans="1:5" x14ac:dyDescent="0.25">
      <c r="A11670" s="36" t="b">
        <v>0</v>
      </c>
      <c r="B11670" s="56" t="b">
        <v>0</v>
      </c>
      <c r="C11670" s="56" t="b">
        <v>0</v>
      </c>
      <c r="D11670" s="56" t="b">
        <v>0</v>
      </c>
      <c r="E11670" s="56">
        <f ca="1">IF(PV[[#This Row],[Business Date]]=Control!$C$6, PV[[#This Row],[Notional Value Local Cur]], -PV[[#This Row],[Notional Value Local Cur]])</f>
        <v>0</v>
      </c>
    </row>
    <row r="11671" spans="1:5" x14ac:dyDescent="0.25">
      <c r="A11671" s="36" t="b">
        <v>0</v>
      </c>
      <c r="B11671" s="56" t="b">
        <v>0</v>
      </c>
      <c r="C11671" s="56" t="b">
        <v>0</v>
      </c>
      <c r="D11671" s="56" t="b">
        <v>0</v>
      </c>
      <c r="E11671" s="56">
        <f ca="1">IF(PV[[#This Row],[Business Date]]=Control!$C$6, PV[[#This Row],[Notional Value Local Cur]], -PV[[#This Row],[Notional Value Local Cur]])</f>
        <v>0</v>
      </c>
    </row>
    <row r="11672" spans="1:5" x14ac:dyDescent="0.25">
      <c r="A11672" s="36" t="b">
        <v>0</v>
      </c>
      <c r="B11672" s="56" t="b">
        <v>0</v>
      </c>
      <c r="C11672" s="56" t="b">
        <v>0</v>
      </c>
      <c r="D11672" s="56" t="b">
        <v>0</v>
      </c>
      <c r="E11672" s="56">
        <f ca="1">IF(PV[[#This Row],[Business Date]]=Control!$C$6, PV[[#This Row],[Notional Value Local Cur]], -PV[[#This Row],[Notional Value Local Cur]])</f>
        <v>0</v>
      </c>
    </row>
    <row r="11673" spans="1:5" x14ac:dyDescent="0.25">
      <c r="A11673" s="36" t="b">
        <v>0</v>
      </c>
      <c r="B11673" s="56" t="b">
        <v>0</v>
      </c>
      <c r="C11673" s="56" t="b">
        <v>0</v>
      </c>
      <c r="D11673" s="56" t="b">
        <v>0</v>
      </c>
      <c r="E11673" s="56">
        <f ca="1">IF(PV[[#This Row],[Business Date]]=Control!$C$6, PV[[#This Row],[Notional Value Local Cur]], -PV[[#This Row],[Notional Value Local Cur]])</f>
        <v>0</v>
      </c>
    </row>
    <row r="11674" spans="1:5" x14ac:dyDescent="0.25">
      <c r="A11674" s="36" t="b">
        <v>0</v>
      </c>
      <c r="B11674" s="56" t="b">
        <v>0</v>
      </c>
      <c r="C11674" s="56" t="b">
        <v>0</v>
      </c>
      <c r="D11674" s="56" t="b">
        <v>0</v>
      </c>
      <c r="E11674" s="56">
        <f ca="1">IF(PV[[#This Row],[Business Date]]=Control!$C$6, PV[[#This Row],[Notional Value Local Cur]], -PV[[#This Row],[Notional Value Local Cur]])</f>
        <v>0</v>
      </c>
    </row>
    <row r="11675" spans="1:5" x14ac:dyDescent="0.25">
      <c r="A11675" s="36" t="b">
        <v>0</v>
      </c>
      <c r="B11675" s="56" t="b">
        <v>0</v>
      </c>
      <c r="C11675" s="56" t="b">
        <v>0</v>
      </c>
      <c r="D11675" s="56" t="b">
        <v>0</v>
      </c>
      <c r="E11675" s="56">
        <f ca="1">IF(PV[[#This Row],[Business Date]]=Control!$C$6, PV[[#This Row],[Notional Value Local Cur]], -PV[[#This Row],[Notional Value Local Cur]])</f>
        <v>0</v>
      </c>
    </row>
    <row r="11676" spans="1:5" x14ac:dyDescent="0.25">
      <c r="A11676" s="36" t="b">
        <v>0</v>
      </c>
      <c r="B11676" s="56" t="b">
        <v>0</v>
      </c>
      <c r="C11676" s="56" t="b">
        <v>0</v>
      </c>
      <c r="D11676" s="56" t="b">
        <v>0</v>
      </c>
      <c r="E11676" s="56">
        <f ca="1">IF(PV[[#This Row],[Business Date]]=Control!$C$6, PV[[#This Row],[Notional Value Local Cur]], -PV[[#This Row],[Notional Value Local Cur]])</f>
        <v>0</v>
      </c>
    </row>
    <row r="11677" spans="1:5" x14ac:dyDescent="0.25">
      <c r="A11677" s="36" t="b">
        <v>0</v>
      </c>
      <c r="B11677" s="56" t="b">
        <v>0</v>
      </c>
      <c r="C11677" s="56" t="b">
        <v>0</v>
      </c>
      <c r="D11677" s="56" t="b">
        <v>0</v>
      </c>
      <c r="E11677" s="56">
        <f ca="1">IF(PV[[#This Row],[Business Date]]=Control!$C$6, PV[[#This Row],[Notional Value Local Cur]], -PV[[#This Row],[Notional Value Local Cur]])</f>
        <v>0</v>
      </c>
    </row>
    <row r="11678" spans="1:5" x14ac:dyDescent="0.25">
      <c r="A11678" s="36" t="b">
        <v>0</v>
      </c>
      <c r="B11678" s="56" t="b">
        <v>0</v>
      </c>
      <c r="C11678" s="56" t="b">
        <v>0</v>
      </c>
      <c r="D11678" s="56" t="b">
        <v>0</v>
      </c>
      <c r="E11678" s="56">
        <f ca="1">IF(PV[[#This Row],[Business Date]]=Control!$C$6, PV[[#This Row],[Notional Value Local Cur]], -PV[[#This Row],[Notional Value Local Cur]])</f>
        <v>0</v>
      </c>
    </row>
    <row r="11679" spans="1:5" x14ac:dyDescent="0.25">
      <c r="A11679" s="36" t="b">
        <v>0</v>
      </c>
      <c r="B11679" s="56" t="b">
        <v>0</v>
      </c>
      <c r="C11679" s="56" t="b">
        <v>0</v>
      </c>
      <c r="D11679" s="56" t="b">
        <v>0</v>
      </c>
      <c r="E11679" s="56">
        <f ca="1">IF(PV[[#This Row],[Business Date]]=Control!$C$6, PV[[#This Row],[Notional Value Local Cur]], -PV[[#This Row],[Notional Value Local Cur]])</f>
        <v>0</v>
      </c>
    </row>
    <row r="11680" spans="1:5" x14ac:dyDescent="0.25">
      <c r="A11680" s="36" t="b">
        <v>0</v>
      </c>
      <c r="B11680" s="56" t="b">
        <v>0</v>
      </c>
      <c r="C11680" s="56" t="b">
        <v>0</v>
      </c>
      <c r="D11680" s="56" t="b">
        <v>0</v>
      </c>
      <c r="E11680" s="56">
        <f ca="1">IF(PV[[#This Row],[Business Date]]=Control!$C$6, PV[[#This Row],[Notional Value Local Cur]], -PV[[#This Row],[Notional Value Local Cur]])</f>
        <v>0</v>
      </c>
    </row>
    <row r="11681" spans="1:5" x14ac:dyDescent="0.25">
      <c r="A11681" s="36" t="b">
        <v>0</v>
      </c>
      <c r="B11681" s="56" t="b">
        <v>0</v>
      </c>
      <c r="C11681" s="56" t="b">
        <v>0</v>
      </c>
      <c r="D11681" s="56" t="b">
        <v>0</v>
      </c>
      <c r="E11681" s="56">
        <f ca="1">IF(PV[[#This Row],[Business Date]]=Control!$C$6, PV[[#This Row],[Notional Value Local Cur]], -PV[[#This Row],[Notional Value Local Cur]])</f>
        <v>0</v>
      </c>
    </row>
    <row r="11682" spans="1:5" x14ac:dyDescent="0.25">
      <c r="A11682" s="36" t="b">
        <v>0</v>
      </c>
      <c r="B11682" s="56" t="b">
        <v>0</v>
      </c>
      <c r="C11682" s="56" t="b">
        <v>0</v>
      </c>
      <c r="D11682" s="56" t="b">
        <v>0</v>
      </c>
      <c r="E11682" s="56">
        <f ca="1">IF(PV[[#This Row],[Business Date]]=Control!$C$6, PV[[#This Row],[Notional Value Local Cur]], -PV[[#This Row],[Notional Value Local Cur]])</f>
        <v>0</v>
      </c>
    </row>
    <row r="11683" spans="1:5" x14ac:dyDescent="0.25">
      <c r="A11683" s="36" t="b">
        <v>0</v>
      </c>
      <c r="B11683" s="56" t="b">
        <v>0</v>
      </c>
      <c r="C11683" s="56" t="b">
        <v>0</v>
      </c>
      <c r="D11683" s="56" t="b">
        <v>0</v>
      </c>
      <c r="E11683" s="56">
        <f ca="1">IF(PV[[#This Row],[Business Date]]=Control!$C$6, PV[[#This Row],[Notional Value Local Cur]], -PV[[#This Row],[Notional Value Local Cur]])</f>
        <v>0</v>
      </c>
    </row>
    <row r="11684" spans="1:5" x14ac:dyDescent="0.25">
      <c r="A11684" s="36" t="b">
        <v>0</v>
      </c>
      <c r="B11684" s="56" t="b">
        <v>0</v>
      </c>
      <c r="C11684" s="56" t="b">
        <v>0</v>
      </c>
      <c r="D11684" s="56" t="b">
        <v>0</v>
      </c>
      <c r="E11684" s="56">
        <f ca="1">IF(PV[[#This Row],[Business Date]]=Control!$C$6, PV[[#This Row],[Notional Value Local Cur]], -PV[[#This Row],[Notional Value Local Cur]])</f>
        <v>0</v>
      </c>
    </row>
    <row r="11685" spans="1:5" x14ac:dyDescent="0.25">
      <c r="A11685" s="36" t="b">
        <v>0</v>
      </c>
      <c r="B11685" s="56" t="b">
        <v>0</v>
      </c>
      <c r="C11685" s="56" t="b">
        <v>0</v>
      </c>
      <c r="D11685" s="56" t="b">
        <v>0</v>
      </c>
      <c r="E11685" s="56">
        <f ca="1">IF(PV[[#This Row],[Business Date]]=Control!$C$6, PV[[#This Row],[Notional Value Local Cur]], -PV[[#This Row],[Notional Value Local Cur]])</f>
        <v>0</v>
      </c>
    </row>
    <row r="11686" spans="1:5" x14ac:dyDescent="0.25">
      <c r="A11686" s="36" t="b">
        <v>0</v>
      </c>
      <c r="B11686" s="56" t="b">
        <v>0</v>
      </c>
      <c r="C11686" s="56" t="b">
        <v>0</v>
      </c>
      <c r="D11686" s="56" t="b">
        <v>0</v>
      </c>
      <c r="E11686" s="56">
        <f ca="1">IF(PV[[#This Row],[Business Date]]=Control!$C$6, PV[[#This Row],[Notional Value Local Cur]], -PV[[#This Row],[Notional Value Local Cur]])</f>
        <v>0</v>
      </c>
    </row>
    <row r="11687" spans="1:5" x14ac:dyDescent="0.25">
      <c r="A11687" s="36" t="b">
        <v>0</v>
      </c>
      <c r="B11687" s="56" t="b">
        <v>0</v>
      </c>
      <c r="C11687" s="56" t="b">
        <v>0</v>
      </c>
      <c r="D11687" s="56" t="b">
        <v>0</v>
      </c>
      <c r="E11687" s="56">
        <f ca="1">IF(PV[[#This Row],[Business Date]]=Control!$C$6, PV[[#This Row],[Notional Value Local Cur]], -PV[[#This Row],[Notional Value Local Cur]])</f>
        <v>0</v>
      </c>
    </row>
    <row r="11688" spans="1:5" x14ac:dyDescent="0.25">
      <c r="A11688" s="36" t="b">
        <v>0</v>
      </c>
      <c r="B11688" s="56" t="b">
        <v>0</v>
      </c>
      <c r="C11688" s="56" t="b">
        <v>0</v>
      </c>
      <c r="D11688" s="56" t="b">
        <v>0</v>
      </c>
      <c r="E11688" s="56">
        <f ca="1">IF(PV[[#This Row],[Business Date]]=Control!$C$6, PV[[#This Row],[Notional Value Local Cur]], -PV[[#This Row],[Notional Value Local Cur]])</f>
        <v>0</v>
      </c>
    </row>
    <row r="11689" spans="1:5" x14ac:dyDescent="0.25">
      <c r="A11689" s="36" t="b">
        <v>0</v>
      </c>
      <c r="B11689" s="56" t="b">
        <v>0</v>
      </c>
      <c r="C11689" s="56" t="b">
        <v>0</v>
      </c>
      <c r="D11689" s="56" t="b">
        <v>0</v>
      </c>
      <c r="E11689" s="56">
        <f ca="1">IF(PV[[#This Row],[Business Date]]=Control!$C$6, PV[[#This Row],[Notional Value Local Cur]], -PV[[#This Row],[Notional Value Local Cur]])</f>
        <v>0</v>
      </c>
    </row>
    <row r="11690" spans="1:5" x14ac:dyDescent="0.25">
      <c r="A11690" s="36" t="b">
        <v>0</v>
      </c>
      <c r="B11690" s="56" t="b">
        <v>0</v>
      </c>
      <c r="C11690" s="56" t="b">
        <v>0</v>
      </c>
      <c r="D11690" s="56" t="b">
        <v>0</v>
      </c>
      <c r="E11690" s="56">
        <f ca="1">IF(PV[[#This Row],[Business Date]]=Control!$C$6, PV[[#This Row],[Notional Value Local Cur]], -PV[[#This Row],[Notional Value Local Cur]])</f>
        <v>0</v>
      </c>
    </row>
    <row r="11691" spans="1:5" x14ac:dyDescent="0.25">
      <c r="A11691" s="36" t="b">
        <v>0</v>
      </c>
      <c r="B11691" s="56" t="b">
        <v>0</v>
      </c>
      <c r="C11691" s="56" t="b">
        <v>0</v>
      </c>
      <c r="D11691" s="56" t="b">
        <v>0</v>
      </c>
      <c r="E11691" s="56">
        <f ca="1">IF(PV[[#This Row],[Business Date]]=Control!$C$6, PV[[#This Row],[Notional Value Local Cur]], -PV[[#This Row],[Notional Value Local Cur]])</f>
        <v>0</v>
      </c>
    </row>
    <row r="11692" spans="1:5" x14ac:dyDescent="0.25">
      <c r="A11692" s="36" t="b">
        <v>0</v>
      </c>
      <c r="B11692" s="56" t="b">
        <v>0</v>
      </c>
      <c r="C11692" s="56" t="b">
        <v>0</v>
      </c>
      <c r="D11692" s="56" t="b">
        <v>0</v>
      </c>
      <c r="E11692" s="56">
        <f ca="1">IF(PV[[#This Row],[Business Date]]=Control!$C$6, PV[[#This Row],[Notional Value Local Cur]], -PV[[#This Row],[Notional Value Local Cur]])</f>
        <v>0</v>
      </c>
    </row>
    <row r="11693" spans="1:5" x14ac:dyDescent="0.25">
      <c r="A11693" s="36" t="b">
        <v>0</v>
      </c>
      <c r="B11693" s="56" t="b">
        <v>0</v>
      </c>
      <c r="C11693" s="56" t="b">
        <v>0</v>
      </c>
      <c r="D11693" s="56" t="b">
        <v>0</v>
      </c>
      <c r="E11693" s="56">
        <f ca="1">IF(PV[[#This Row],[Business Date]]=Control!$C$6, PV[[#This Row],[Notional Value Local Cur]], -PV[[#This Row],[Notional Value Local Cur]])</f>
        <v>0</v>
      </c>
    </row>
    <row r="11694" spans="1:5" x14ac:dyDescent="0.25">
      <c r="A11694" s="36" t="b">
        <v>0</v>
      </c>
      <c r="B11694" s="56" t="b">
        <v>0</v>
      </c>
      <c r="C11694" s="56" t="b">
        <v>0</v>
      </c>
      <c r="D11694" s="56" t="b">
        <v>0</v>
      </c>
      <c r="E11694" s="56">
        <f ca="1">IF(PV[[#This Row],[Business Date]]=Control!$C$6, PV[[#This Row],[Notional Value Local Cur]], -PV[[#This Row],[Notional Value Local Cur]])</f>
        <v>0</v>
      </c>
    </row>
    <row r="11695" spans="1:5" x14ac:dyDescent="0.25">
      <c r="A11695" s="36" t="b">
        <v>0</v>
      </c>
      <c r="B11695" s="56" t="b">
        <v>0</v>
      </c>
      <c r="C11695" s="56" t="b">
        <v>0</v>
      </c>
      <c r="D11695" s="56" t="b">
        <v>0</v>
      </c>
      <c r="E11695" s="56">
        <f ca="1">IF(PV[[#This Row],[Business Date]]=Control!$C$6, PV[[#This Row],[Notional Value Local Cur]], -PV[[#This Row],[Notional Value Local Cur]])</f>
        <v>0</v>
      </c>
    </row>
    <row r="11696" spans="1:5" x14ac:dyDescent="0.25">
      <c r="A11696" s="36" t="b">
        <v>0</v>
      </c>
      <c r="B11696" s="56" t="b">
        <v>0</v>
      </c>
      <c r="C11696" s="56" t="b">
        <v>0</v>
      </c>
      <c r="D11696" s="56" t="b">
        <v>0</v>
      </c>
      <c r="E11696" s="56">
        <f ca="1">IF(PV[[#This Row],[Business Date]]=Control!$C$6, PV[[#This Row],[Notional Value Local Cur]], -PV[[#This Row],[Notional Value Local Cur]])</f>
        <v>0</v>
      </c>
    </row>
    <row r="11697" spans="1:5" x14ac:dyDescent="0.25">
      <c r="A11697" s="36" t="b">
        <v>0</v>
      </c>
      <c r="B11697" s="56" t="b">
        <v>0</v>
      </c>
      <c r="C11697" s="56" t="b">
        <v>0</v>
      </c>
      <c r="D11697" s="56" t="b">
        <v>0</v>
      </c>
      <c r="E11697" s="56">
        <f ca="1">IF(PV[[#This Row],[Business Date]]=Control!$C$6, PV[[#This Row],[Notional Value Local Cur]], -PV[[#This Row],[Notional Value Local Cur]])</f>
        <v>0</v>
      </c>
    </row>
    <row r="11698" spans="1:5" x14ac:dyDescent="0.25">
      <c r="A11698" s="36" t="b">
        <v>0</v>
      </c>
      <c r="B11698" s="56" t="b">
        <v>0</v>
      </c>
      <c r="C11698" s="56" t="b">
        <v>0</v>
      </c>
      <c r="D11698" s="56" t="b">
        <v>0</v>
      </c>
      <c r="E11698" s="56">
        <f ca="1">IF(PV[[#This Row],[Business Date]]=Control!$C$6, PV[[#This Row],[Notional Value Local Cur]], -PV[[#This Row],[Notional Value Local Cur]])</f>
        <v>0</v>
      </c>
    </row>
    <row r="11699" spans="1:5" x14ac:dyDescent="0.25">
      <c r="A11699" s="36" t="b">
        <v>0</v>
      </c>
      <c r="B11699" s="56" t="b">
        <v>0</v>
      </c>
      <c r="C11699" s="56" t="b">
        <v>0</v>
      </c>
      <c r="D11699" s="56" t="b">
        <v>0</v>
      </c>
      <c r="E11699" s="56">
        <f ca="1">IF(PV[[#This Row],[Business Date]]=Control!$C$6, PV[[#This Row],[Notional Value Local Cur]], -PV[[#This Row],[Notional Value Local Cur]])</f>
        <v>0</v>
      </c>
    </row>
    <row r="11700" spans="1:5" x14ac:dyDescent="0.25">
      <c r="A11700" s="36" t="b">
        <v>0</v>
      </c>
      <c r="B11700" s="56" t="b">
        <v>0</v>
      </c>
      <c r="C11700" s="56" t="b">
        <v>0</v>
      </c>
      <c r="D11700" s="56" t="b">
        <v>0</v>
      </c>
      <c r="E11700" s="56">
        <f ca="1">IF(PV[[#This Row],[Business Date]]=Control!$C$6, PV[[#This Row],[Notional Value Local Cur]], -PV[[#This Row],[Notional Value Local Cur]])</f>
        <v>0</v>
      </c>
    </row>
    <row r="11701" spans="1:5" x14ac:dyDescent="0.25">
      <c r="A11701" s="36" t="b">
        <v>0</v>
      </c>
      <c r="B11701" s="56" t="b">
        <v>0</v>
      </c>
      <c r="C11701" s="56" t="b">
        <v>0</v>
      </c>
      <c r="D11701" s="56" t="b">
        <v>0</v>
      </c>
      <c r="E11701" s="56">
        <f ca="1">IF(PV[[#This Row],[Business Date]]=Control!$C$6, PV[[#This Row],[Notional Value Local Cur]], -PV[[#This Row],[Notional Value Local Cur]])</f>
        <v>0</v>
      </c>
    </row>
    <row r="11702" spans="1:5" x14ac:dyDescent="0.25">
      <c r="A11702" s="36" t="b">
        <v>0</v>
      </c>
      <c r="B11702" s="56" t="b">
        <v>0</v>
      </c>
      <c r="C11702" s="56" t="b">
        <v>0</v>
      </c>
      <c r="D11702" s="56" t="b">
        <v>0</v>
      </c>
      <c r="E11702" s="56">
        <f ca="1">IF(PV[[#This Row],[Business Date]]=Control!$C$6, PV[[#This Row],[Notional Value Local Cur]], -PV[[#This Row],[Notional Value Local Cur]])</f>
        <v>0</v>
      </c>
    </row>
    <row r="11703" spans="1:5" x14ac:dyDescent="0.25">
      <c r="A11703" s="36" t="b">
        <v>0</v>
      </c>
      <c r="B11703" s="56" t="b">
        <v>0</v>
      </c>
      <c r="C11703" s="56" t="b">
        <v>0</v>
      </c>
      <c r="D11703" s="56" t="b">
        <v>0</v>
      </c>
      <c r="E11703" s="56">
        <f ca="1">IF(PV[[#This Row],[Business Date]]=Control!$C$6, PV[[#This Row],[Notional Value Local Cur]], -PV[[#This Row],[Notional Value Local Cur]])</f>
        <v>0</v>
      </c>
    </row>
    <row r="11704" spans="1:5" x14ac:dyDescent="0.25">
      <c r="A11704" s="36" t="b">
        <v>0</v>
      </c>
      <c r="B11704" s="56" t="b">
        <v>0</v>
      </c>
      <c r="C11704" s="56" t="b">
        <v>0</v>
      </c>
      <c r="D11704" s="56" t="b">
        <v>0</v>
      </c>
      <c r="E11704" s="56">
        <f ca="1">IF(PV[[#This Row],[Business Date]]=Control!$C$6, PV[[#This Row],[Notional Value Local Cur]], -PV[[#This Row],[Notional Value Local Cur]])</f>
        <v>0</v>
      </c>
    </row>
    <row r="11705" spans="1:5" x14ac:dyDescent="0.25">
      <c r="A11705" s="36" t="b">
        <v>0</v>
      </c>
      <c r="B11705" s="56" t="b">
        <v>0</v>
      </c>
      <c r="C11705" s="56" t="b">
        <v>0</v>
      </c>
      <c r="D11705" s="56" t="b">
        <v>0</v>
      </c>
      <c r="E11705" s="56">
        <f ca="1">IF(PV[[#This Row],[Business Date]]=Control!$C$6, PV[[#This Row],[Notional Value Local Cur]], -PV[[#This Row],[Notional Value Local Cur]])</f>
        <v>0</v>
      </c>
    </row>
    <row r="11706" spans="1:5" x14ac:dyDescent="0.25">
      <c r="A11706" s="36" t="b">
        <v>0</v>
      </c>
      <c r="B11706" s="56" t="b">
        <v>0</v>
      </c>
      <c r="C11706" s="56" t="b">
        <v>0</v>
      </c>
      <c r="D11706" s="56" t="b">
        <v>0</v>
      </c>
      <c r="E11706" s="56">
        <f ca="1">IF(PV[[#This Row],[Business Date]]=Control!$C$6, PV[[#This Row],[Notional Value Local Cur]], -PV[[#This Row],[Notional Value Local Cur]])</f>
        <v>0</v>
      </c>
    </row>
    <row r="11707" spans="1:5" x14ac:dyDescent="0.25">
      <c r="A11707" s="36" t="b">
        <v>0</v>
      </c>
      <c r="B11707" s="56" t="b">
        <v>0</v>
      </c>
      <c r="C11707" s="56" t="b">
        <v>0</v>
      </c>
      <c r="D11707" s="56" t="b">
        <v>0</v>
      </c>
      <c r="E11707" s="56">
        <f ca="1">IF(PV[[#This Row],[Business Date]]=Control!$C$6, PV[[#This Row],[Notional Value Local Cur]], -PV[[#This Row],[Notional Value Local Cur]])</f>
        <v>0</v>
      </c>
    </row>
    <row r="11708" spans="1:5" x14ac:dyDescent="0.25">
      <c r="A11708" s="36" t="b">
        <v>0</v>
      </c>
      <c r="B11708" s="56" t="b">
        <v>0</v>
      </c>
      <c r="C11708" s="56" t="b">
        <v>0</v>
      </c>
      <c r="D11708" s="56" t="b">
        <v>0</v>
      </c>
      <c r="E11708" s="56">
        <f ca="1">IF(PV[[#This Row],[Business Date]]=Control!$C$6, PV[[#This Row],[Notional Value Local Cur]], -PV[[#This Row],[Notional Value Local Cur]])</f>
        <v>0</v>
      </c>
    </row>
    <row r="11709" spans="1:5" x14ac:dyDescent="0.25">
      <c r="A11709" s="36" t="b">
        <v>0</v>
      </c>
      <c r="B11709" s="56" t="b">
        <v>0</v>
      </c>
      <c r="C11709" s="56" t="b">
        <v>0</v>
      </c>
      <c r="D11709" s="56" t="b">
        <v>0</v>
      </c>
      <c r="E11709" s="56">
        <f ca="1">IF(PV[[#This Row],[Business Date]]=Control!$C$6, PV[[#This Row],[Notional Value Local Cur]], -PV[[#This Row],[Notional Value Local Cur]])</f>
        <v>0</v>
      </c>
    </row>
    <row r="11710" spans="1:5" x14ac:dyDescent="0.25">
      <c r="A11710" s="36" t="b">
        <v>0</v>
      </c>
      <c r="B11710" s="56" t="b">
        <v>0</v>
      </c>
      <c r="C11710" s="56" t="b">
        <v>0</v>
      </c>
      <c r="D11710" s="56" t="b">
        <v>0</v>
      </c>
      <c r="E11710" s="56">
        <f ca="1">IF(PV[[#This Row],[Business Date]]=Control!$C$6, PV[[#This Row],[Notional Value Local Cur]], -PV[[#This Row],[Notional Value Local Cur]])</f>
        <v>0</v>
      </c>
    </row>
    <row r="11711" spans="1:5" x14ac:dyDescent="0.25">
      <c r="A11711" s="36" t="b">
        <v>0</v>
      </c>
      <c r="B11711" s="56" t="b">
        <v>0</v>
      </c>
      <c r="C11711" s="56" t="b">
        <v>0</v>
      </c>
      <c r="D11711" s="56" t="b">
        <v>0</v>
      </c>
      <c r="E11711" s="56">
        <f ca="1">IF(PV[[#This Row],[Business Date]]=Control!$C$6, PV[[#This Row],[Notional Value Local Cur]], -PV[[#This Row],[Notional Value Local Cur]])</f>
        <v>0</v>
      </c>
    </row>
    <row r="11712" spans="1:5" x14ac:dyDescent="0.25">
      <c r="A11712" s="36" t="b">
        <v>0</v>
      </c>
      <c r="B11712" s="56" t="b">
        <v>0</v>
      </c>
      <c r="C11712" s="56" t="b">
        <v>0</v>
      </c>
      <c r="D11712" s="56" t="b">
        <v>0</v>
      </c>
      <c r="E11712" s="56">
        <f ca="1">IF(PV[[#This Row],[Business Date]]=Control!$C$6, PV[[#This Row],[Notional Value Local Cur]], -PV[[#This Row],[Notional Value Local Cur]])</f>
        <v>0</v>
      </c>
    </row>
    <row r="11713" spans="1:5" x14ac:dyDescent="0.25">
      <c r="A11713" s="36" t="b">
        <v>0</v>
      </c>
      <c r="B11713" s="56" t="b">
        <v>0</v>
      </c>
      <c r="C11713" s="56" t="b">
        <v>0</v>
      </c>
      <c r="D11713" s="56" t="b">
        <v>0</v>
      </c>
      <c r="E11713" s="56">
        <f ca="1">IF(PV[[#This Row],[Business Date]]=Control!$C$6, PV[[#This Row],[Notional Value Local Cur]], -PV[[#This Row],[Notional Value Local Cur]])</f>
        <v>0</v>
      </c>
    </row>
    <row r="11714" spans="1:5" x14ac:dyDescent="0.25">
      <c r="A11714" s="36" t="b">
        <v>0</v>
      </c>
      <c r="B11714" s="56" t="b">
        <v>0</v>
      </c>
      <c r="C11714" s="56" t="b">
        <v>0</v>
      </c>
      <c r="D11714" s="56" t="b">
        <v>0</v>
      </c>
      <c r="E11714" s="56">
        <f ca="1">IF(PV[[#This Row],[Business Date]]=Control!$C$6, PV[[#This Row],[Notional Value Local Cur]], -PV[[#This Row],[Notional Value Local Cur]])</f>
        <v>0</v>
      </c>
    </row>
    <row r="11715" spans="1:5" x14ac:dyDescent="0.25">
      <c r="A11715" s="36" t="b">
        <v>0</v>
      </c>
      <c r="B11715" s="56" t="b">
        <v>0</v>
      </c>
      <c r="C11715" s="56" t="b">
        <v>0</v>
      </c>
      <c r="D11715" s="56" t="b">
        <v>0</v>
      </c>
      <c r="E11715" s="56">
        <f ca="1">IF(PV[[#This Row],[Business Date]]=Control!$C$6, PV[[#This Row],[Notional Value Local Cur]], -PV[[#This Row],[Notional Value Local Cur]])</f>
        <v>0</v>
      </c>
    </row>
    <row r="11716" spans="1:5" x14ac:dyDescent="0.25">
      <c r="A11716" s="36" t="b">
        <v>0</v>
      </c>
      <c r="B11716" s="56" t="b">
        <v>0</v>
      </c>
      <c r="C11716" s="56" t="b">
        <v>0</v>
      </c>
      <c r="D11716" s="56" t="b">
        <v>0</v>
      </c>
      <c r="E11716" s="56">
        <f ca="1">IF(PV[[#This Row],[Business Date]]=Control!$C$6, PV[[#This Row],[Notional Value Local Cur]], -PV[[#This Row],[Notional Value Local Cur]])</f>
        <v>0</v>
      </c>
    </row>
    <row r="11717" spans="1:5" x14ac:dyDescent="0.25">
      <c r="A11717" s="36" t="b">
        <v>0</v>
      </c>
      <c r="B11717" s="56" t="b">
        <v>0</v>
      </c>
      <c r="C11717" s="56" t="b">
        <v>0</v>
      </c>
      <c r="D11717" s="56" t="b">
        <v>0</v>
      </c>
      <c r="E11717" s="56">
        <f ca="1">IF(PV[[#This Row],[Business Date]]=Control!$C$6, PV[[#This Row],[Notional Value Local Cur]], -PV[[#This Row],[Notional Value Local Cur]])</f>
        <v>0</v>
      </c>
    </row>
    <row r="11718" spans="1:5" x14ac:dyDescent="0.25">
      <c r="A11718" s="36" t="b">
        <v>0</v>
      </c>
      <c r="B11718" s="56" t="b">
        <v>0</v>
      </c>
      <c r="C11718" s="56" t="b">
        <v>0</v>
      </c>
      <c r="D11718" s="56" t="b">
        <v>0</v>
      </c>
      <c r="E11718" s="56">
        <f ca="1">IF(PV[[#This Row],[Business Date]]=Control!$C$6, PV[[#This Row],[Notional Value Local Cur]], -PV[[#This Row],[Notional Value Local Cur]])</f>
        <v>0</v>
      </c>
    </row>
    <row r="11719" spans="1:5" x14ac:dyDescent="0.25">
      <c r="A11719" s="36" t="b">
        <v>0</v>
      </c>
      <c r="B11719" s="56" t="b">
        <v>0</v>
      </c>
      <c r="C11719" s="56" t="b">
        <v>0</v>
      </c>
      <c r="D11719" s="56" t="b">
        <v>0</v>
      </c>
      <c r="E11719" s="56">
        <f ca="1">IF(PV[[#This Row],[Business Date]]=Control!$C$6, PV[[#This Row],[Notional Value Local Cur]], -PV[[#This Row],[Notional Value Local Cur]])</f>
        <v>0</v>
      </c>
    </row>
    <row r="11720" spans="1:5" x14ac:dyDescent="0.25">
      <c r="A11720" s="36" t="b">
        <v>0</v>
      </c>
      <c r="B11720" s="56" t="b">
        <v>0</v>
      </c>
      <c r="C11720" s="56" t="b">
        <v>0</v>
      </c>
      <c r="D11720" s="56" t="b">
        <v>0</v>
      </c>
      <c r="E11720" s="56">
        <f ca="1">IF(PV[[#This Row],[Business Date]]=Control!$C$6, PV[[#This Row],[Notional Value Local Cur]], -PV[[#This Row],[Notional Value Local Cur]])</f>
        <v>0</v>
      </c>
    </row>
    <row r="11721" spans="1:5" x14ac:dyDescent="0.25">
      <c r="A11721" s="36" t="b">
        <v>0</v>
      </c>
      <c r="B11721" s="56" t="b">
        <v>0</v>
      </c>
      <c r="C11721" s="56" t="b">
        <v>0</v>
      </c>
      <c r="D11721" s="56" t="b">
        <v>0</v>
      </c>
      <c r="E11721" s="56">
        <f ca="1">IF(PV[[#This Row],[Business Date]]=Control!$C$6, PV[[#This Row],[Notional Value Local Cur]], -PV[[#This Row],[Notional Value Local Cur]])</f>
        <v>0</v>
      </c>
    </row>
    <row r="11722" spans="1:5" x14ac:dyDescent="0.25">
      <c r="A11722" s="36" t="b">
        <v>0</v>
      </c>
      <c r="B11722" s="56" t="b">
        <v>0</v>
      </c>
      <c r="C11722" s="56" t="b">
        <v>0</v>
      </c>
      <c r="D11722" s="56" t="b">
        <v>0</v>
      </c>
      <c r="E11722" s="56">
        <f ca="1">IF(PV[[#This Row],[Business Date]]=Control!$C$6, PV[[#This Row],[Notional Value Local Cur]], -PV[[#This Row],[Notional Value Local Cur]])</f>
        <v>0</v>
      </c>
    </row>
    <row r="11723" spans="1:5" x14ac:dyDescent="0.25">
      <c r="A11723" s="36" t="b">
        <v>0</v>
      </c>
      <c r="B11723" s="56" t="b">
        <v>0</v>
      </c>
      <c r="C11723" s="56" t="b">
        <v>0</v>
      </c>
      <c r="D11723" s="56" t="b">
        <v>0</v>
      </c>
      <c r="E11723" s="56">
        <f ca="1">IF(PV[[#This Row],[Business Date]]=Control!$C$6, PV[[#This Row],[Notional Value Local Cur]], -PV[[#This Row],[Notional Value Local Cur]])</f>
        <v>0</v>
      </c>
    </row>
    <row r="11724" spans="1:5" x14ac:dyDescent="0.25">
      <c r="A11724" s="36" t="b">
        <v>0</v>
      </c>
      <c r="B11724" s="56" t="b">
        <v>0</v>
      </c>
      <c r="C11724" s="56" t="b">
        <v>0</v>
      </c>
      <c r="D11724" s="56" t="b">
        <v>0</v>
      </c>
      <c r="E11724" s="56">
        <f ca="1">IF(PV[[#This Row],[Business Date]]=Control!$C$6, PV[[#This Row],[Notional Value Local Cur]], -PV[[#This Row],[Notional Value Local Cur]])</f>
        <v>0</v>
      </c>
    </row>
    <row r="11725" spans="1:5" x14ac:dyDescent="0.25">
      <c r="A11725" s="36" t="b">
        <v>0</v>
      </c>
      <c r="B11725" s="56" t="b">
        <v>0</v>
      </c>
      <c r="C11725" s="56" t="b">
        <v>0</v>
      </c>
      <c r="D11725" s="56" t="b">
        <v>0</v>
      </c>
      <c r="E11725" s="56">
        <f ca="1">IF(PV[[#This Row],[Business Date]]=Control!$C$6, PV[[#This Row],[Notional Value Local Cur]], -PV[[#This Row],[Notional Value Local Cur]])</f>
        <v>0</v>
      </c>
    </row>
    <row r="11726" spans="1:5" x14ac:dyDescent="0.25">
      <c r="A11726" s="36" t="b">
        <v>0</v>
      </c>
      <c r="B11726" s="56" t="b">
        <v>0</v>
      </c>
      <c r="C11726" s="56" t="b">
        <v>0</v>
      </c>
      <c r="D11726" s="56" t="b">
        <v>0</v>
      </c>
      <c r="E11726" s="56">
        <f ca="1">IF(PV[[#This Row],[Business Date]]=Control!$C$6, PV[[#This Row],[Notional Value Local Cur]], -PV[[#This Row],[Notional Value Local Cur]])</f>
        <v>0</v>
      </c>
    </row>
    <row r="11727" spans="1:5" x14ac:dyDescent="0.25">
      <c r="A11727" s="36" t="b">
        <v>0</v>
      </c>
      <c r="B11727" s="56" t="b">
        <v>0</v>
      </c>
      <c r="C11727" s="56" t="b">
        <v>0</v>
      </c>
      <c r="D11727" s="56" t="b">
        <v>0</v>
      </c>
      <c r="E11727" s="56">
        <f ca="1">IF(PV[[#This Row],[Business Date]]=Control!$C$6, PV[[#This Row],[Notional Value Local Cur]], -PV[[#This Row],[Notional Value Local Cur]])</f>
        <v>0</v>
      </c>
    </row>
    <row r="11728" spans="1:5" x14ac:dyDescent="0.25">
      <c r="A11728" s="36" t="b">
        <v>0</v>
      </c>
      <c r="B11728" s="56" t="b">
        <v>0</v>
      </c>
      <c r="C11728" s="56" t="b">
        <v>0</v>
      </c>
      <c r="D11728" s="56" t="b">
        <v>0</v>
      </c>
      <c r="E11728" s="56">
        <f ca="1">IF(PV[[#This Row],[Business Date]]=Control!$C$6, PV[[#This Row],[Notional Value Local Cur]], -PV[[#This Row],[Notional Value Local Cur]])</f>
        <v>0</v>
      </c>
    </row>
    <row r="11729" spans="1:5" x14ac:dyDescent="0.25">
      <c r="A11729" s="36" t="b">
        <v>0</v>
      </c>
      <c r="B11729" s="56" t="b">
        <v>0</v>
      </c>
      <c r="C11729" s="56" t="b">
        <v>0</v>
      </c>
      <c r="D11729" s="56" t="b">
        <v>0</v>
      </c>
      <c r="E11729" s="56">
        <f ca="1">IF(PV[[#This Row],[Business Date]]=Control!$C$6, PV[[#This Row],[Notional Value Local Cur]], -PV[[#This Row],[Notional Value Local Cur]])</f>
        <v>0</v>
      </c>
    </row>
    <row r="11730" spans="1:5" x14ac:dyDescent="0.25">
      <c r="A11730" s="36" t="b">
        <v>0</v>
      </c>
      <c r="B11730" s="56" t="b">
        <v>0</v>
      </c>
      <c r="C11730" s="56" t="b">
        <v>0</v>
      </c>
      <c r="D11730" s="56" t="b">
        <v>0</v>
      </c>
      <c r="E11730" s="56">
        <f ca="1">IF(PV[[#This Row],[Business Date]]=Control!$C$6, PV[[#This Row],[Notional Value Local Cur]], -PV[[#This Row],[Notional Value Local Cur]])</f>
        <v>0</v>
      </c>
    </row>
    <row r="11731" spans="1:5" x14ac:dyDescent="0.25">
      <c r="A11731" s="36" t="b">
        <v>0</v>
      </c>
      <c r="B11731" s="56" t="b">
        <v>0</v>
      </c>
      <c r="C11731" s="56" t="b">
        <v>0</v>
      </c>
      <c r="D11731" s="56" t="b">
        <v>0</v>
      </c>
      <c r="E11731" s="56">
        <f ca="1">IF(PV[[#This Row],[Business Date]]=Control!$C$6, PV[[#This Row],[Notional Value Local Cur]], -PV[[#This Row],[Notional Value Local Cur]])</f>
        <v>0</v>
      </c>
    </row>
    <row r="11732" spans="1:5" x14ac:dyDescent="0.25">
      <c r="A11732" s="36" t="b">
        <v>0</v>
      </c>
      <c r="B11732" s="56" t="b">
        <v>0</v>
      </c>
      <c r="C11732" s="56" t="b">
        <v>0</v>
      </c>
      <c r="D11732" s="56" t="b">
        <v>0</v>
      </c>
      <c r="E11732" s="56">
        <f ca="1">IF(PV[[#This Row],[Business Date]]=Control!$C$6, PV[[#This Row],[Notional Value Local Cur]], -PV[[#This Row],[Notional Value Local Cur]])</f>
        <v>0</v>
      </c>
    </row>
    <row r="11733" spans="1:5" x14ac:dyDescent="0.25">
      <c r="A11733" s="36" t="b">
        <v>0</v>
      </c>
      <c r="B11733" s="56" t="b">
        <v>0</v>
      </c>
      <c r="C11733" s="56" t="b">
        <v>0</v>
      </c>
      <c r="D11733" s="56" t="b">
        <v>0</v>
      </c>
      <c r="E11733" s="56">
        <f ca="1">IF(PV[[#This Row],[Business Date]]=Control!$C$6, PV[[#This Row],[Notional Value Local Cur]], -PV[[#This Row],[Notional Value Local Cur]])</f>
        <v>0</v>
      </c>
    </row>
    <row r="11734" spans="1:5" x14ac:dyDescent="0.25">
      <c r="A11734" s="36" t="b">
        <v>0</v>
      </c>
      <c r="B11734" s="56" t="b">
        <v>0</v>
      </c>
      <c r="C11734" s="56" t="b">
        <v>0</v>
      </c>
      <c r="D11734" s="56" t="b">
        <v>0</v>
      </c>
      <c r="E11734" s="56">
        <f ca="1">IF(PV[[#This Row],[Business Date]]=Control!$C$6, PV[[#This Row],[Notional Value Local Cur]], -PV[[#This Row],[Notional Value Local Cur]])</f>
        <v>0</v>
      </c>
    </row>
    <row r="11735" spans="1:5" x14ac:dyDescent="0.25">
      <c r="A11735" s="36" t="b">
        <v>0</v>
      </c>
      <c r="B11735" s="56" t="b">
        <v>0</v>
      </c>
      <c r="C11735" s="56" t="b">
        <v>0</v>
      </c>
      <c r="D11735" s="56" t="b">
        <v>0</v>
      </c>
      <c r="E11735" s="56">
        <f ca="1">IF(PV[[#This Row],[Business Date]]=Control!$C$6, PV[[#This Row],[Notional Value Local Cur]], -PV[[#This Row],[Notional Value Local Cur]])</f>
        <v>0</v>
      </c>
    </row>
    <row r="11736" spans="1:5" x14ac:dyDescent="0.25">
      <c r="A11736" s="36" t="b">
        <v>0</v>
      </c>
      <c r="B11736" s="56" t="b">
        <v>0</v>
      </c>
      <c r="C11736" s="56" t="b">
        <v>0</v>
      </c>
      <c r="D11736" s="56" t="b">
        <v>0</v>
      </c>
      <c r="E11736" s="56">
        <f ca="1">IF(PV[[#This Row],[Business Date]]=Control!$C$6, PV[[#This Row],[Notional Value Local Cur]], -PV[[#This Row],[Notional Value Local Cur]])</f>
        <v>0</v>
      </c>
    </row>
    <row r="11737" spans="1:5" x14ac:dyDescent="0.25">
      <c r="A11737" s="36" t="b">
        <v>0</v>
      </c>
      <c r="B11737" s="56" t="b">
        <v>0</v>
      </c>
      <c r="C11737" s="56" t="b">
        <v>0</v>
      </c>
      <c r="D11737" s="56" t="b">
        <v>0</v>
      </c>
      <c r="E11737" s="56">
        <f ca="1">IF(PV[[#This Row],[Business Date]]=Control!$C$6, PV[[#This Row],[Notional Value Local Cur]], -PV[[#This Row],[Notional Value Local Cur]])</f>
        <v>0</v>
      </c>
    </row>
    <row r="11738" spans="1:5" x14ac:dyDescent="0.25">
      <c r="A11738" s="36" t="b">
        <v>0</v>
      </c>
      <c r="B11738" s="56" t="b">
        <v>0</v>
      </c>
      <c r="C11738" s="56" t="b">
        <v>0</v>
      </c>
      <c r="D11738" s="56" t="b">
        <v>0</v>
      </c>
      <c r="E11738" s="56">
        <f ca="1">IF(PV[[#This Row],[Business Date]]=Control!$C$6, PV[[#This Row],[Notional Value Local Cur]], -PV[[#This Row],[Notional Value Local Cur]])</f>
        <v>0</v>
      </c>
    </row>
    <row r="11739" spans="1:5" x14ac:dyDescent="0.25">
      <c r="A11739" s="36" t="b">
        <v>0</v>
      </c>
      <c r="B11739" s="56" t="b">
        <v>0</v>
      </c>
      <c r="C11739" s="56" t="b">
        <v>0</v>
      </c>
      <c r="D11739" s="56" t="b">
        <v>0</v>
      </c>
      <c r="E11739" s="56">
        <f ca="1">IF(PV[[#This Row],[Business Date]]=Control!$C$6, PV[[#This Row],[Notional Value Local Cur]], -PV[[#This Row],[Notional Value Local Cur]])</f>
        <v>0</v>
      </c>
    </row>
    <row r="11740" spans="1:5" x14ac:dyDescent="0.25">
      <c r="A11740" s="36" t="b">
        <v>0</v>
      </c>
      <c r="B11740" s="56" t="b">
        <v>0</v>
      </c>
      <c r="C11740" s="56" t="b">
        <v>0</v>
      </c>
      <c r="D11740" s="56" t="b">
        <v>0</v>
      </c>
      <c r="E11740" s="56">
        <f ca="1">IF(PV[[#This Row],[Business Date]]=Control!$C$6, PV[[#This Row],[Notional Value Local Cur]], -PV[[#This Row],[Notional Value Local Cur]])</f>
        <v>0</v>
      </c>
    </row>
    <row r="11741" spans="1:5" x14ac:dyDescent="0.25">
      <c r="A11741" s="36" t="b">
        <v>0</v>
      </c>
      <c r="B11741" s="56" t="b">
        <v>0</v>
      </c>
      <c r="C11741" s="56" t="b">
        <v>0</v>
      </c>
      <c r="D11741" s="56" t="b">
        <v>0</v>
      </c>
      <c r="E11741" s="56">
        <f ca="1">IF(PV[[#This Row],[Business Date]]=Control!$C$6, PV[[#This Row],[Notional Value Local Cur]], -PV[[#This Row],[Notional Value Local Cur]])</f>
        <v>0</v>
      </c>
    </row>
    <row r="11742" spans="1:5" x14ac:dyDescent="0.25">
      <c r="A11742" s="36" t="b">
        <v>0</v>
      </c>
      <c r="B11742" s="56" t="b">
        <v>0</v>
      </c>
      <c r="C11742" s="56" t="b">
        <v>0</v>
      </c>
      <c r="D11742" s="56" t="b">
        <v>0</v>
      </c>
      <c r="E11742" s="56">
        <f ca="1">IF(PV[[#This Row],[Business Date]]=Control!$C$6, PV[[#This Row],[Notional Value Local Cur]], -PV[[#This Row],[Notional Value Local Cur]])</f>
        <v>0</v>
      </c>
    </row>
    <row r="11743" spans="1:5" x14ac:dyDescent="0.25">
      <c r="A11743" s="36" t="b">
        <v>0</v>
      </c>
      <c r="B11743" s="56" t="b">
        <v>0</v>
      </c>
      <c r="C11743" s="56" t="b">
        <v>0</v>
      </c>
      <c r="D11743" s="56" t="b">
        <v>0</v>
      </c>
      <c r="E11743" s="56">
        <f ca="1">IF(PV[[#This Row],[Business Date]]=Control!$C$6, PV[[#This Row],[Notional Value Local Cur]], -PV[[#This Row],[Notional Value Local Cur]])</f>
        <v>0</v>
      </c>
    </row>
    <row r="11744" spans="1:5" x14ac:dyDescent="0.25">
      <c r="A11744" s="36" t="b">
        <v>0</v>
      </c>
      <c r="B11744" s="56" t="b">
        <v>0</v>
      </c>
      <c r="C11744" s="56" t="b">
        <v>0</v>
      </c>
      <c r="D11744" s="56" t="b">
        <v>0</v>
      </c>
      <c r="E11744" s="56">
        <f ca="1">IF(PV[[#This Row],[Business Date]]=Control!$C$6, PV[[#This Row],[Notional Value Local Cur]], -PV[[#This Row],[Notional Value Local Cur]])</f>
        <v>0</v>
      </c>
    </row>
    <row r="11745" spans="1:5" x14ac:dyDescent="0.25">
      <c r="A11745" s="36" t="b">
        <v>0</v>
      </c>
      <c r="B11745" s="56" t="b">
        <v>0</v>
      </c>
      <c r="C11745" s="56" t="b">
        <v>0</v>
      </c>
      <c r="D11745" s="56" t="b">
        <v>0</v>
      </c>
      <c r="E11745" s="56">
        <f ca="1">IF(PV[[#This Row],[Business Date]]=Control!$C$6, PV[[#This Row],[Notional Value Local Cur]], -PV[[#This Row],[Notional Value Local Cur]])</f>
        <v>0</v>
      </c>
    </row>
    <row r="11746" spans="1:5" x14ac:dyDescent="0.25">
      <c r="A11746" s="36" t="b">
        <v>0</v>
      </c>
      <c r="B11746" s="56" t="b">
        <v>0</v>
      </c>
      <c r="C11746" s="56" t="b">
        <v>0</v>
      </c>
      <c r="D11746" s="56" t="b">
        <v>0</v>
      </c>
      <c r="E11746" s="56">
        <f ca="1">IF(PV[[#This Row],[Business Date]]=Control!$C$6, PV[[#This Row],[Notional Value Local Cur]], -PV[[#This Row],[Notional Value Local Cur]])</f>
        <v>0</v>
      </c>
    </row>
    <row r="11747" spans="1:5" x14ac:dyDescent="0.25">
      <c r="A11747" s="36" t="b">
        <v>0</v>
      </c>
      <c r="B11747" s="56" t="b">
        <v>0</v>
      </c>
      <c r="C11747" s="56" t="b">
        <v>0</v>
      </c>
      <c r="D11747" s="56" t="b">
        <v>0</v>
      </c>
      <c r="E11747" s="56">
        <f ca="1">IF(PV[[#This Row],[Business Date]]=Control!$C$6, PV[[#This Row],[Notional Value Local Cur]], -PV[[#This Row],[Notional Value Local Cur]])</f>
        <v>0</v>
      </c>
    </row>
    <row r="11748" spans="1:5" x14ac:dyDescent="0.25">
      <c r="A11748" s="36" t="b">
        <v>0</v>
      </c>
      <c r="B11748" s="56" t="b">
        <v>0</v>
      </c>
      <c r="C11748" s="56" t="b">
        <v>0</v>
      </c>
      <c r="D11748" s="56" t="b">
        <v>0</v>
      </c>
      <c r="E11748" s="56">
        <f ca="1">IF(PV[[#This Row],[Business Date]]=Control!$C$6, PV[[#This Row],[Notional Value Local Cur]], -PV[[#This Row],[Notional Value Local Cur]])</f>
        <v>0</v>
      </c>
    </row>
    <row r="11749" spans="1:5" x14ac:dyDescent="0.25">
      <c r="A11749" s="36" t="b">
        <v>0</v>
      </c>
      <c r="B11749" s="56" t="b">
        <v>0</v>
      </c>
      <c r="C11749" s="56" t="b">
        <v>0</v>
      </c>
      <c r="D11749" s="56" t="b">
        <v>0</v>
      </c>
      <c r="E11749" s="56">
        <f ca="1">IF(PV[[#This Row],[Business Date]]=Control!$C$6, PV[[#This Row],[Notional Value Local Cur]], -PV[[#This Row],[Notional Value Local Cur]])</f>
        <v>0</v>
      </c>
    </row>
    <row r="11750" spans="1:5" x14ac:dyDescent="0.25">
      <c r="A11750" s="36" t="b">
        <v>0</v>
      </c>
      <c r="B11750" s="56" t="b">
        <v>0</v>
      </c>
      <c r="C11750" s="56" t="b">
        <v>0</v>
      </c>
      <c r="D11750" s="56" t="b">
        <v>0</v>
      </c>
      <c r="E11750" s="56">
        <f ca="1">IF(PV[[#This Row],[Business Date]]=Control!$C$6, PV[[#This Row],[Notional Value Local Cur]], -PV[[#This Row],[Notional Value Local Cur]])</f>
        <v>0</v>
      </c>
    </row>
    <row r="11751" spans="1:5" x14ac:dyDescent="0.25">
      <c r="A11751" s="36" t="b">
        <v>0</v>
      </c>
      <c r="B11751" s="56" t="b">
        <v>0</v>
      </c>
      <c r="C11751" s="56" t="b">
        <v>0</v>
      </c>
      <c r="D11751" s="56" t="b">
        <v>0</v>
      </c>
      <c r="E11751" s="56">
        <f ca="1">IF(PV[[#This Row],[Business Date]]=Control!$C$6, PV[[#This Row],[Notional Value Local Cur]], -PV[[#This Row],[Notional Value Local Cur]])</f>
        <v>0</v>
      </c>
    </row>
    <row r="11752" spans="1:5" x14ac:dyDescent="0.25">
      <c r="A11752" s="36" t="b">
        <v>0</v>
      </c>
      <c r="B11752" s="56" t="b">
        <v>0</v>
      </c>
      <c r="C11752" s="56" t="b">
        <v>0</v>
      </c>
      <c r="D11752" s="56" t="b">
        <v>0</v>
      </c>
      <c r="E11752" s="56">
        <f ca="1">IF(PV[[#This Row],[Business Date]]=Control!$C$6, PV[[#This Row],[Notional Value Local Cur]], -PV[[#This Row],[Notional Value Local Cur]])</f>
        <v>0</v>
      </c>
    </row>
    <row r="11753" spans="1:5" x14ac:dyDescent="0.25">
      <c r="A11753" s="36" t="b">
        <v>0</v>
      </c>
      <c r="B11753" s="56" t="b">
        <v>0</v>
      </c>
      <c r="C11753" s="56" t="b">
        <v>0</v>
      </c>
      <c r="D11753" s="56" t="b">
        <v>0</v>
      </c>
      <c r="E11753" s="56">
        <f ca="1">IF(PV[[#This Row],[Business Date]]=Control!$C$6, PV[[#This Row],[Notional Value Local Cur]], -PV[[#This Row],[Notional Value Local Cur]])</f>
        <v>0</v>
      </c>
    </row>
    <row r="11754" spans="1:5" x14ac:dyDescent="0.25">
      <c r="A11754" s="36" t="b">
        <v>0</v>
      </c>
      <c r="B11754" s="56" t="b">
        <v>0</v>
      </c>
      <c r="C11754" s="56" t="b">
        <v>0</v>
      </c>
      <c r="D11754" s="56" t="b">
        <v>0</v>
      </c>
      <c r="E11754" s="56">
        <f ca="1">IF(PV[[#This Row],[Business Date]]=Control!$C$6, PV[[#This Row],[Notional Value Local Cur]], -PV[[#This Row],[Notional Value Local Cur]])</f>
        <v>0</v>
      </c>
    </row>
    <row r="11755" spans="1:5" x14ac:dyDescent="0.25">
      <c r="A11755" s="36" t="b">
        <v>0</v>
      </c>
      <c r="B11755" s="56" t="b">
        <v>0</v>
      </c>
      <c r="C11755" s="56" t="b">
        <v>0</v>
      </c>
      <c r="D11755" s="56" t="b">
        <v>0</v>
      </c>
      <c r="E11755" s="56">
        <f ca="1">IF(PV[[#This Row],[Business Date]]=Control!$C$6, PV[[#This Row],[Notional Value Local Cur]], -PV[[#This Row],[Notional Value Local Cur]])</f>
        <v>0</v>
      </c>
    </row>
    <row r="11756" spans="1:5" x14ac:dyDescent="0.25">
      <c r="A11756" s="36" t="b">
        <v>0</v>
      </c>
      <c r="B11756" s="56" t="b">
        <v>0</v>
      </c>
      <c r="C11756" s="56" t="b">
        <v>0</v>
      </c>
      <c r="D11756" s="56" t="b">
        <v>0</v>
      </c>
      <c r="E11756" s="56">
        <f ca="1">IF(PV[[#This Row],[Business Date]]=Control!$C$6, PV[[#This Row],[Notional Value Local Cur]], -PV[[#This Row],[Notional Value Local Cur]])</f>
        <v>0</v>
      </c>
    </row>
    <row r="11757" spans="1:5" x14ac:dyDescent="0.25">
      <c r="A11757" s="36" t="b">
        <v>0</v>
      </c>
      <c r="B11757" s="56" t="b">
        <v>0</v>
      </c>
      <c r="C11757" s="56" t="b">
        <v>0</v>
      </c>
      <c r="D11757" s="56" t="b">
        <v>0</v>
      </c>
      <c r="E11757" s="56">
        <f ca="1">IF(PV[[#This Row],[Business Date]]=Control!$C$6, PV[[#This Row],[Notional Value Local Cur]], -PV[[#This Row],[Notional Value Local Cur]])</f>
        <v>0</v>
      </c>
    </row>
    <row r="11758" spans="1:5" x14ac:dyDescent="0.25">
      <c r="A11758" s="36" t="b">
        <v>0</v>
      </c>
      <c r="B11758" s="56" t="b">
        <v>0</v>
      </c>
      <c r="C11758" s="56" t="b">
        <v>0</v>
      </c>
      <c r="D11758" s="56" t="b">
        <v>0</v>
      </c>
      <c r="E11758" s="56">
        <f ca="1">IF(PV[[#This Row],[Business Date]]=Control!$C$6, PV[[#This Row],[Notional Value Local Cur]], -PV[[#This Row],[Notional Value Local Cur]])</f>
        <v>0</v>
      </c>
    </row>
    <row r="11759" spans="1:5" x14ac:dyDescent="0.25">
      <c r="A11759" s="36" t="b">
        <v>0</v>
      </c>
      <c r="B11759" s="56" t="b">
        <v>0</v>
      </c>
      <c r="C11759" s="56" t="b">
        <v>0</v>
      </c>
      <c r="D11759" s="56" t="b">
        <v>0</v>
      </c>
      <c r="E11759" s="56">
        <f ca="1">IF(PV[[#This Row],[Business Date]]=Control!$C$6, PV[[#This Row],[Notional Value Local Cur]], -PV[[#This Row],[Notional Value Local Cur]])</f>
        <v>0</v>
      </c>
    </row>
    <row r="11760" spans="1:5" x14ac:dyDescent="0.25">
      <c r="A11760" s="36" t="b">
        <v>0</v>
      </c>
      <c r="B11760" s="56" t="b">
        <v>0</v>
      </c>
      <c r="C11760" s="56" t="b">
        <v>0</v>
      </c>
      <c r="D11760" s="56" t="b">
        <v>0</v>
      </c>
      <c r="E11760" s="56">
        <f ca="1">IF(PV[[#This Row],[Business Date]]=Control!$C$6, PV[[#This Row],[Notional Value Local Cur]], -PV[[#This Row],[Notional Value Local Cur]])</f>
        <v>0</v>
      </c>
    </row>
    <row r="11761" spans="1:5" x14ac:dyDescent="0.25">
      <c r="A11761" s="36" t="b">
        <v>0</v>
      </c>
      <c r="B11761" s="56" t="b">
        <v>0</v>
      </c>
      <c r="C11761" s="56" t="b">
        <v>0</v>
      </c>
      <c r="D11761" s="56" t="b">
        <v>0</v>
      </c>
      <c r="E11761" s="56">
        <f ca="1">IF(PV[[#This Row],[Business Date]]=Control!$C$6, PV[[#This Row],[Notional Value Local Cur]], -PV[[#This Row],[Notional Value Local Cur]])</f>
        <v>0</v>
      </c>
    </row>
    <row r="11762" spans="1:5" x14ac:dyDescent="0.25">
      <c r="A11762" s="36" t="b">
        <v>0</v>
      </c>
      <c r="B11762" s="56" t="b">
        <v>0</v>
      </c>
      <c r="C11762" s="56" t="b">
        <v>0</v>
      </c>
      <c r="D11762" s="56" t="b">
        <v>0</v>
      </c>
      <c r="E11762" s="56">
        <f ca="1">IF(PV[[#This Row],[Business Date]]=Control!$C$6, PV[[#This Row],[Notional Value Local Cur]], -PV[[#This Row],[Notional Value Local Cur]])</f>
        <v>0</v>
      </c>
    </row>
    <row r="11763" spans="1:5" x14ac:dyDescent="0.25">
      <c r="A11763" s="36" t="b">
        <v>0</v>
      </c>
      <c r="B11763" s="56" t="b">
        <v>0</v>
      </c>
      <c r="C11763" s="56" t="b">
        <v>0</v>
      </c>
      <c r="D11763" s="56" t="b">
        <v>0</v>
      </c>
      <c r="E11763" s="56">
        <f ca="1">IF(PV[[#This Row],[Business Date]]=Control!$C$6, PV[[#This Row],[Notional Value Local Cur]], -PV[[#This Row],[Notional Value Local Cur]])</f>
        <v>0</v>
      </c>
    </row>
    <row r="11764" spans="1:5" x14ac:dyDescent="0.25">
      <c r="A11764" s="36" t="b">
        <v>0</v>
      </c>
      <c r="B11764" s="56" t="b">
        <v>0</v>
      </c>
      <c r="C11764" s="56" t="b">
        <v>0</v>
      </c>
      <c r="D11764" s="56" t="b">
        <v>0</v>
      </c>
      <c r="E11764" s="56">
        <f ca="1">IF(PV[[#This Row],[Business Date]]=Control!$C$6, PV[[#This Row],[Notional Value Local Cur]], -PV[[#This Row],[Notional Value Local Cur]])</f>
        <v>0</v>
      </c>
    </row>
    <row r="11765" spans="1:5" x14ac:dyDescent="0.25">
      <c r="A11765" s="36" t="b">
        <v>0</v>
      </c>
      <c r="B11765" s="56" t="b">
        <v>0</v>
      </c>
      <c r="C11765" s="56" t="b">
        <v>0</v>
      </c>
      <c r="D11765" s="56" t="b">
        <v>0</v>
      </c>
      <c r="E11765" s="56">
        <f ca="1">IF(PV[[#This Row],[Business Date]]=Control!$C$6, PV[[#This Row],[Notional Value Local Cur]], -PV[[#This Row],[Notional Value Local Cur]])</f>
        <v>0</v>
      </c>
    </row>
    <row r="11766" spans="1:5" x14ac:dyDescent="0.25">
      <c r="A11766" s="36" t="b">
        <v>0</v>
      </c>
      <c r="B11766" s="56" t="b">
        <v>0</v>
      </c>
      <c r="C11766" s="56" t="b">
        <v>0</v>
      </c>
      <c r="D11766" s="56" t="b">
        <v>0</v>
      </c>
      <c r="E11766" s="56">
        <f ca="1">IF(PV[[#This Row],[Business Date]]=Control!$C$6, PV[[#This Row],[Notional Value Local Cur]], -PV[[#This Row],[Notional Value Local Cur]])</f>
        <v>0</v>
      </c>
    </row>
    <row r="11767" spans="1:5" x14ac:dyDescent="0.25">
      <c r="A11767" s="36" t="b">
        <v>0</v>
      </c>
      <c r="B11767" s="56" t="b">
        <v>0</v>
      </c>
      <c r="C11767" s="56" t="b">
        <v>0</v>
      </c>
      <c r="D11767" s="56" t="b">
        <v>0</v>
      </c>
      <c r="E11767" s="56">
        <f ca="1">IF(PV[[#This Row],[Business Date]]=Control!$C$6, PV[[#This Row],[Notional Value Local Cur]], -PV[[#This Row],[Notional Value Local Cur]])</f>
        <v>0</v>
      </c>
    </row>
    <row r="11768" spans="1:5" x14ac:dyDescent="0.25">
      <c r="A11768" s="36" t="b">
        <v>0</v>
      </c>
      <c r="B11768" s="56" t="b">
        <v>0</v>
      </c>
      <c r="C11768" s="56" t="b">
        <v>0</v>
      </c>
      <c r="D11768" s="56" t="b">
        <v>0</v>
      </c>
      <c r="E11768" s="56">
        <f ca="1">IF(PV[[#This Row],[Business Date]]=Control!$C$6, PV[[#This Row],[Notional Value Local Cur]], -PV[[#This Row],[Notional Value Local Cur]])</f>
        <v>0</v>
      </c>
    </row>
    <row r="11769" spans="1:5" x14ac:dyDescent="0.25">
      <c r="A11769" s="36" t="b">
        <v>0</v>
      </c>
      <c r="B11769" s="56" t="b">
        <v>0</v>
      </c>
      <c r="C11769" s="56" t="b">
        <v>0</v>
      </c>
      <c r="D11769" s="56" t="b">
        <v>0</v>
      </c>
      <c r="E11769" s="56">
        <f ca="1">IF(PV[[#This Row],[Business Date]]=Control!$C$6, PV[[#This Row],[Notional Value Local Cur]], -PV[[#This Row],[Notional Value Local Cur]])</f>
        <v>0</v>
      </c>
    </row>
    <row r="11770" spans="1:5" x14ac:dyDescent="0.25">
      <c r="A11770" s="36" t="b">
        <v>0</v>
      </c>
      <c r="B11770" s="56" t="b">
        <v>0</v>
      </c>
      <c r="C11770" s="56" t="b">
        <v>0</v>
      </c>
      <c r="D11770" s="56" t="b">
        <v>0</v>
      </c>
      <c r="E11770" s="56">
        <f ca="1">IF(PV[[#This Row],[Business Date]]=Control!$C$6, PV[[#This Row],[Notional Value Local Cur]], -PV[[#This Row],[Notional Value Local Cur]])</f>
        <v>0</v>
      </c>
    </row>
    <row r="11771" spans="1:5" x14ac:dyDescent="0.25">
      <c r="A11771" s="36" t="b">
        <v>0</v>
      </c>
      <c r="B11771" s="56" t="b">
        <v>0</v>
      </c>
      <c r="C11771" s="56" t="b">
        <v>0</v>
      </c>
      <c r="D11771" s="56" t="b">
        <v>0</v>
      </c>
      <c r="E11771" s="56">
        <f ca="1">IF(PV[[#This Row],[Business Date]]=Control!$C$6, PV[[#This Row],[Notional Value Local Cur]], -PV[[#This Row],[Notional Value Local Cur]])</f>
        <v>0</v>
      </c>
    </row>
    <row r="11772" spans="1:5" x14ac:dyDescent="0.25">
      <c r="A11772" s="36" t="b">
        <v>0</v>
      </c>
      <c r="B11772" s="56" t="b">
        <v>0</v>
      </c>
      <c r="C11772" s="56" t="b">
        <v>0</v>
      </c>
      <c r="D11772" s="56" t="b">
        <v>0</v>
      </c>
      <c r="E11772" s="56">
        <f ca="1">IF(PV[[#This Row],[Business Date]]=Control!$C$6, PV[[#This Row],[Notional Value Local Cur]], -PV[[#This Row],[Notional Value Local Cur]])</f>
        <v>0</v>
      </c>
    </row>
    <row r="11773" spans="1:5" x14ac:dyDescent="0.25">
      <c r="A11773" s="36" t="b">
        <v>0</v>
      </c>
      <c r="B11773" s="56" t="b">
        <v>0</v>
      </c>
      <c r="C11773" s="56" t="b">
        <v>0</v>
      </c>
      <c r="D11773" s="56" t="b">
        <v>0</v>
      </c>
      <c r="E11773" s="56">
        <f ca="1">IF(PV[[#This Row],[Business Date]]=Control!$C$6, PV[[#This Row],[Notional Value Local Cur]], -PV[[#This Row],[Notional Value Local Cur]])</f>
        <v>0</v>
      </c>
    </row>
    <row r="11774" spans="1:5" x14ac:dyDescent="0.25">
      <c r="A11774" s="36" t="b">
        <v>0</v>
      </c>
      <c r="B11774" s="56" t="b">
        <v>0</v>
      </c>
      <c r="C11774" s="56" t="b">
        <v>0</v>
      </c>
      <c r="D11774" s="56" t="b">
        <v>0</v>
      </c>
      <c r="E11774" s="56">
        <f ca="1">IF(PV[[#This Row],[Business Date]]=Control!$C$6, PV[[#This Row],[Notional Value Local Cur]], -PV[[#This Row],[Notional Value Local Cur]])</f>
        <v>0</v>
      </c>
    </row>
    <row r="11775" spans="1:5" x14ac:dyDescent="0.25">
      <c r="A11775" s="36" t="b">
        <v>0</v>
      </c>
      <c r="B11775" s="56" t="b">
        <v>0</v>
      </c>
      <c r="C11775" s="56" t="b">
        <v>0</v>
      </c>
      <c r="D11775" s="56" t="b">
        <v>0</v>
      </c>
      <c r="E11775" s="56">
        <f ca="1">IF(PV[[#This Row],[Business Date]]=Control!$C$6, PV[[#This Row],[Notional Value Local Cur]], -PV[[#This Row],[Notional Value Local Cur]])</f>
        <v>0</v>
      </c>
    </row>
    <row r="11776" spans="1:5" x14ac:dyDescent="0.25">
      <c r="A11776" s="36" t="b">
        <v>0</v>
      </c>
      <c r="B11776" s="56" t="b">
        <v>0</v>
      </c>
      <c r="C11776" s="56" t="b">
        <v>0</v>
      </c>
      <c r="D11776" s="56" t="b">
        <v>0</v>
      </c>
      <c r="E11776" s="56">
        <f ca="1">IF(PV[[#This Row],[Business Date]]=Control!$C$6, PV[[#This Row],[Notional Value Local Cur]], -PV[[#This Row],[Notional Value Local Cur]])</f>
        <v>0</v>
      </c>
    </row>
    <row r="11777" spans="1:5" x14ac:dyDescent="0.25">
      <c r="A11777" s="36" t="b">
        <v>0</v>
      </c>
      <c r="B11777" s="56" t="b">
        <v>0</v>
      </c>
      <c r="C11777" s="56" t="b">
        <v>0</v>
      </c>
      <c r="D11777" s="56" t="b">
        <v>0</v>
      </c>
      <c r="E11777" s="56">
        <f ca="1">IF(PV[[#This Row],[Business Date]]=Control!$C$6, PV[[#This Row],[Notional Value Local Cur]], -PV[[#This Row],[Notional Value Local Cur]])</f>
        <v>0</v>
      </c>
    </row>
    <row r="11778" spans="1:5" x14ac:dyDescent="0.25">
      <c r="A11778" s="36" t="b">
        <v>0</v>
      </c>
      <c r="B11778" s="56" t="b">
        <v>0</v>
      </c>
      <c r="C11778" s="56" t="b">
        <v>0</v>
      </c>
      <c r="D11778" s="56" t="b">
        <v>0</v>
      </c>
      <c r="E11778" s="56">
        <f ca="1">IF(PV[[#This Row],[Business Date]]=Control!$C$6, PV[[#This Row],[Notional Value Local Cur]], -PV[[#This Row],[Notional Value Local Cur]])</f>
        <v>0</v>
      </c>
    </row>
    <row r="11779" spans="1:5" x14ac:dyDescent="0.25">
      <c r="A11779" s="36" t="b">
        <v>0</v>
      </c>
      <c r="B11779" s="56" t="b">
        <v>0</v>
      </c>
      <c r="C11779" s="56" t="b">
        <v>0</v>
      </c>
      <c r="D11779" s="56" t="b">
        <v>0</v>
      </c>
      <c r="E11779" s="56">
        <f ca="1">IF(PV[[#This Row],[Business Date]]=Control!$C$6, PV[[#This Row],[Notional Value Local Cur]], -PV[[#This Row],[Notional Value Local Cur]])</f>
        <v>0</v>
      </c>
    </row>
    <row r="11780" spans="1:5" x14ac:dyDescent="0.25">
      <c r="A11780" s="36" t="b">
        <v>0</v>
      </c>
      <c r="B11780" s="56" t="b">
        <v>0</v>
      </c>
      <c r="C11780" s="56" t="b">
        <v>0</v>
      </c>
      <c r="D11780" s="56" t="b">
        <v>0</v>
      </c>
      <c r="E11780" s="56">
        <f ca="1">IF(PV[[#This Row],[Business Date]]=Control!$C$6, PV[[#This Row],[Notional Value Local Cur]], -PV[[#This Row],[Notional Value Local Cur]])</f>
        <v>0</v>
      </c>
    </row>
    <row r="11781" spans="1:5" x14ac:dyDescent="0.25">
      <c r="A11781" s="36" t="b">
        <v>0</v>
      </c>
      <c r="B11781" s="56" t="b">
        <v>0</v>
      </c>
      <c r="C11781" s="56" t="b">
        <v>0</v>
      </c>
      <c r="D11781" s="56" t="b">
        <v>0</v>
      </c>
      <c r="E11781" s="56">
        <f ca="1">IF(PV[[#This Row],[Business Date]]=Control!$C$6, PV[[#This Row],[Notional Value Local Cur]], -PV[[#This Row],[Notional Value Local Cur]])</f>
        <v>0</v>
      </c>
    </row>
    <row r="11782" spans="1:5" x14ac:dyDescent="0.25">
      <c r="A11782" s="36" t="b">
        <v>0</v>
      </c>
      <c r="B11782" s="56" t="b">
        <v>0</v>
      </c>
      <c r="C11782" s="56" t="b">
        <v>0</v>
      </c>
      <c r="D11782" s="56" t="b">
        <v>0</v>
      </c>
      <c r="E11782" s="56">
        <f ca="1">IF(PV[[#This Row],[Business Date]]=Control!$C$6, PV[[#This Row],[Notional Value Local Cur]], -PV[[#This Row],[Notional Value Local Cur]])</f>
        <v>0</v>
      </c>
    </row>
    <row r="11783" spans="1:5" x14ac:dyDescent="0.25">
      <c r="A11783" s="36" t="b">
        <v>0</v>
      </c>
      <c r="B11783" s="56" t="b">
        <v>0</v>
      </c>
      <c r="C11783" s="56" t="b">
        <v>0</v>
      </c>
      <c r="D11783" s="56" t="b">
        <v>0</v>
      </c>
      <c r="E11783" s="56">
        <f ca="1">IF(PV[[#This Row],[Business Date]]=Control!$C$6, PV[[#This Row],[Notional Value Local Cur]], -PV[[#This Row],[Notional Value Local Cur]])</f>
        <v>0</v>
      </c>
    </row>
    <row r="11784" spans="1:5" x14ac:dyDescent="0.25">
      <c r="A11784" s="36" t="b">
        <v>0</v>
      </c>
      <c r="B11784" s="56" t="b">
        <v>0</v>
      </c>
      <c r="C11784" s="56" t="b">
        <v>0</v>
      </c>
      <c r="D11784" s="56" t="b">
        <v>0</v>
      </c>
      <c r="E11784" s="56">
        <f ca="1">IF(PV[[#This Row],[Business Date]]=Control!$C$6, PV[[#This Row],[Notional Value Local Cur]], -PV[[#This Row],[Notional Value Local Cur]])</f>
        <v>0</v>
      </c>
    </row>
    <row r="11785" spans="1:5" x14ac:dyDescent="0.25">
      <c r="A11785" s="36" t="b">
        <v>0</v>
      </c>
      <c r="B11785" s="56" t="b">
        <v>0</v>
      </c>
      <c r="C11785" s="56" t="b">
        <v>0</v>
      </c>
      <c r="D11785" s="56" t="b">
        <v>0</v>
      </c>
      <c r="E11785" s="56">
        <f ca="1">IF(PV[[#This Row],[Business Date]]=Control!$C$6, PV[[#This Row],[Notional Value Local Cur]], -PV[[#This Row],[Notional Value Local Cur]])</f>
        <v>0</v>
      </c>
    </row>
    <row r="11786" spans="1:5" x14ac:dyDescent="0.25">
      <c r="A11786" s="36" t="b">
        <v>0</v>
      </c>
      <c r="B11786" s="56" t="b">
        <v>0</v>
      </c>
      <c r="C11786" s="56" t="b">
        <v>0</v>
      </c>
      <c r="D11786" s="56" t="b">
        <v>0</v>
      </c>
      <c r="E11786" s="56">
        <f ca="1">IF(PV[[#This Row],[Business Date]]=Control!$C$6, PV[[#This Row],[Notional Value Local Cur]], -PV[[#This Row],[Notional Value Local Cur]])</f>
        <v>0</v>
      </c>
    </row>
    <row r="11787" spans="1:5" x14ac:dyDescent="0.25">
      <c r="A11787" s="36" t="b">
        <v>0</v>
      </c>
      <c r="B11787" s="56" t="b">
        <v>0</v>
      </c>
      <c r="C11787" s="56" t="b">
        <v>0</v>
      </c>
      <c r="D11787" s="56" t="b">
        <v>0</v>
      </c>
      <c r="E11787" s="56">
        <f ca="1">IF(PV[[#This Row],[Business Date]]=Control!$C$6, PV[[#This Row],[Notional Value Local Cur]], -PV[[#This Row],[Notional Value Local Cur]])</f>
        <v>0</v>
      </c>
    </row>
    <row r="11788" spans="1:5" x14ac:dyDescent="0.25">
      <c r="A11788" s="36" t="b">
        <v>0</v>
      </c>
      <c r="B11788" s="56" t="b">
        <v>0</v>
      </c>
      <c r="C11788" s="56" t="b">
        <v>0</v>
      </c>
      <c r="D11788" s="56" t="b">
        <v>0</v>
      </c>
      <c r="E11788" s="56">
        <f ca="1">IF(PV[[#This Row],[Business Date]]=Control!$C$6, PV[[#This Row],[Notional Value Local Cur]], -PV[[#This Row],[Notional Value Local Cur]])</f>
        <v>0</v>
      </c>
    </row>
    <row r="11789" spans="1:5" x14ac:dyDescent="0.25">
      <c r="A11789" s="36" t="b">
        <v>0</v>
      </c>
      <c r="B11789" s="56" t="b">
        <v>0</v>
      </c>
      <c r="C11789" s="56" t="b">
        <v>0</v>
      </c>
      <c r="D11789" s="56" t="b">
        <v>0</v>
      </c>
      <c r="E11789" s="56">
        <f ca="1">IF(PV[[#This Row],[Business Date]]=Control!$C$6, PV[[#This Row],[Notional Value Local Cur]], -PV[[#This Row],[Notional Value Local Cur]])</f>
        <v>0</v>
      </c>
    </row>
    <row r="11790" spans="1:5" x14ac:dyDescent="0.25">
      <c r="A11790" s="36" t="b">
        <v>0</v>
      </c>
      <c r="B11790" s="56" t="b">
        <v>0</v>
      </c>
      <c r="C11790" s="56" t="b">
        <v>0</v>
      </c>
      <c r="D11790" s="56" t="b">
        <v>0</v>
      </c>
      <c r="E11790" s="56">
        <f ca="1">IF(PV[[#This Row],[Business Date]]=Control!$C$6, PV[[#This Row],[Notional Value Local Cur]], -PV[[#This Row],[Notional Value Local Cur]])</f>
        <v>0</v>
      </c>
    </row>
    <row r="11791" spans="1:5" x14ac:dyDescent="0.25">
      <c r="A11791" s="36" t="b">
        <v>0</v>
      </c>
      <c r="B11791" s="56" t="b">
        <v>0</v>
      </c>
      <c r="C11791" s="56" t="b">
        <v>0</v>
      </c>
      <c r="D11791" s="56" t="b">
        <v>0</v>
      </c>
      <c r="E11791" s="56">
        <f ca="1">IF(PV[[#This Row],[Business Date]]=Control!$C$6, PV[[#This Row],[Notional Value Local Cur]], -PV[[#This Row],[Notional Value Local Cur]])</f>
        <v>0</v>
      </c>
    </row>
    <row r="11792" spans="1:5" x14ac:dyDescent="0.25">
      <c r="A11792" s="36" t="b">
        <v>0</v>
      </c>
      <c r="B11792" s="56" t="b">
        <v>0</v>
      </c>
      <c r="C11792" s="56" t="b">
        <v>0</v>
      </c>
      <c r="D11792" s="56" t="b">
        <v>0</v>
      </c>
      <c r="E11792" s="56">
        <f ca="1">IF(PV[[#This Row],[Business Date]]=Control!$C$6, PV[[#This Row],[Notional Value Local Cur]], -PV[[#This Row],[Notional Value Local Cur]])</f>
        <v>0</v>
      </c>
    </row>
    <row r="11793" spans="1:5" x14ac:dyDescent="0.25">
      <c r="A11793" s="36" t="b">
        <v>0</v>
      </c>
      <c r="B11793" s="56" t="b">
        <v>0</v>
      </c>
      <c r="C11793" s="56" t="b">
        <v>0</v>
      </c>
      <c r="D11793" s="56" t="b">
        <v>0</v>
      </c>
      <c r="E11793" s="56">
        <f ca="1">IF(PV[[#This Row],[Business Date]]=Control!$C$6, PV[[#This Row],[Notional Value Local Cur]], -PV[[#This Row],[Notional Value Local Cur]])</f>
        <v>0</v>
      </c>
    </row>
    <row r="11794" spans="1:5" x14ac:dyDescent="0.25">
      <c r="A11794" s="36" t="b">
        <v>0</v>
      </c>
      <c r="B11794" s="56" t="b">
        <v>0</v>
      </c>
      <c r="C11794" s="56" t="b">
        <v>0</v>
      </c>
      <c r="D11794" s="56" t="b">
        <v>0</v>
      </c>
      <c r="E11794" s="56">
        <f ca="1">IF(PV[[#This Row],[Business Date]]=Control!$C$6, PV[[#This Row],[Notional Value Local Cur]], -PV[[#This Row],[Notional Value Local Cur]])</f>
        <v>0</v>
      </c>
    </row>
    <row r="11795" spans="1:5" x14ac:dyDescent="0.25">
      <c r="A11795" s="36" t="b">
        <v>0</v>
      </c>
      <c r="B11795" s="56" t="b">
        <v>0</v>
      </c>
      <c r="C11795" s="56" t="b">
        <v>0</v>
      </c>
      <c r="D11795" s="56" t="b">
        <v>0</v>
      </c>
      <c r="E11795" s="56">
        <f ca="1">IF(PV[[#This Row],[Business Date]]=Control!$C$6, PV[[#This Row],[Notional Value Local Cur]], -PV[[#This Row],[Notional Value Local Cur]])</f>
        <v>0</v>
      </c>
    </row>
    <row r="11796" spans="1:5" x14ac:dyDescent="0.25">
      <c r="A11796" s="36" t="b">
        <v>0</v>
      </c>
      <c r="B11796" s="56" t="b">
        <v>0</v>
      </c>
      <c r="C11796" s="56" t="b">
        <v>0</v>
      </c>
      <c r="D11796" s="56" t="b">
        <v>0</v>
      </c>
      <c r="E11796" s="56">
        <f ca="1">IF(PV[[#This Row],[Business Date]]=Control!$C$6, PV[[#This Row],[Notional Value Local Cur]], -PV[[#This Row],[Notional Value Local Cur]])</f>
        <v>0</v>
      </c>
    </row>
    <row r="11797" spans="1:5" x14ac:dyDescent="0.25">
      <c r="A11797" s="36" t="b">
        <v>0</v>
      </c>
      <c r="B11797" s="56" t="b">
        <v>0</v>
      </c>
      <c r="C11797" s="56" t="b">
        <v>0</v>
      </c>
      <c r="D11797" s="56" t="b">
        <v>0</v>
      </c>
      <c r="E11797" s="56">
        <f ca="1">IF(PV[[#This Row],[Business Date]]=Control!$C$6, PV[[#This Row],[Notional Value Local Cur]], -PV[[#This Row],[Notional Value Local Cur]])</f>
        <v>0</v>
      </c>
    </row>
    <row r="11798" spans="1:5" x14ac:dyDescent="0.25">
      <c r="A11798" s="36" t="b">
        <v>0</v>
      </c>
      <c r="B11798" s="56" t="b">
        <v>0</v>
      </c>
      <c r="C11798" s="56" t="b">
        <v>0</v>
      </c>
      <c r="D11798" s="56" t="b">
        <v>0</v>
      </c>
      <c r="E11798" s="56">
        <f ca="1">IF(PV[[#This Row],[Business Date]]=Control!$C$6, PV[[#This Row],[Notional Value Local Cur]], -PV[[#This Row],[Notional Value Local Cur]])</f>
        <v>0</v>
      </c>
    </row>
    <row r="11799" spans="1:5" x14ac:dyDescent="0.25">
      <c r="A11799" s="36" t="b">
        <v>0</v>
      </c>
      <c r="B11799" s="56" t="b">
        <v>0</v>
      </c>
      <c r="C11799" s="56" t="b">
        <v>0</v>
      </c>
      <c r="D11799" s="56" t="b">
        <v>0</v>
      </c>
      <c r="E11799" s="56">
        <f ca="1">IF(PV[[#This Row],[Business Date]]=Control!$C$6, PV[[#This Row],[Notional Value Local Cur]], -PV[[#This Row],[Notional Value Local Cur]])</f>
        <v>0</v>
      </c>
    </row>
    <row r="11800" spans="1:5" x14ac:dyDescent="0.25">
      <c r="A11800" s="36" t="b">
        <v>0</v>
      </c>
      <c r="B11800" s="56" t="b">
        <v>0</v>
      </c>
      <c r="C11800" s="56" t="b">
        <v>0</v>
      </c>
      <c r="D11800" s="56" t="b">
        <v>0</v>
      </c>
      <c r="E11800" s="56">
        <f ca="1">IF(PV[[#This Row],[Business Date]]=Control!$C$6, PV[[#This Row],[Notional Value Local Cur]], -PV[[#This Row],[Notional Value Local Cur]])</f>
        <v>0</v>
      </c>
    </row>
    <row r="11801" spans="1:5" x14ac:dyDescent="0.25">
      <c r="A11801" s="36" t="b">
        <v>0</v>
      </c>
      <c r="B11801" s="56" t="b">
        <v>0</v>
      </c>
      <c r="C11801" s="56" t="b">
        <v>0</v>
      </c>
      <c r="D11801" s="56" t="b">
        <v>0</v>
      </c>
      <c r="E11801" s="56">
        <f ca="1">IF(PV[[#This Row],[Business Date]]=Control!$C$6, PV[[#This Row],[Notional Value Local Cur]], -PV[[#This Row],[Notional Value Local Cur]])</f>
        <v>0</v>
      </c>
    </row>
    <row r="11802" spans="1:5" x14ac:dyDescent="0.25">
      <c r="A11802" s="36" t="b">
        <v>0</v>
      </c>
      <c r="B11802" s="56" t="b">
        <v>0</v>
      </c>
      <c r="C11802" s="56" t="b">
        <v>0</v>
      </c>
      <c r="D11802" s="56" t="b">
        <v>0</v>
      </c>
      <c r="E11802" s="56">
        <f ca="1">IF(PV[[#This Row],[Business Date]]=Control!$C$6, PV[[#This Row],[Notional Value Local Cur]], -PV[[#This Row],[Notional Value Local Cur]])</f>
        <v>0</v>
      </c>
    </row>
    <row r="11803" spans="1:5" x14ac:dyDescent="0.25">
      <c r="A11803" s="36" t="b">
        <v>0</v>
      </c>
      <c r="B11803" s="56" t="b">
        <v>0</v>
      </c>
      <c r="C11803" s="56" t="b">
        <v>0</v>
      </c>
      <c r="D11803" s="56" t="b">
        <v>0</v>
      </c>
      <c r="E11803" s="56">
        <f ca="1">IF(PV[[#This Row],[Business Date]]=Control!$C$6, PV[[#This Row],[Notional Value Local Cur]], -PV[[#This Row],[Notional Value Local Cur]])</f>
        <v>0</v>
      </c>
    </row>
    <row r="11804" spans="1:5" x14ac:dyDescent="0.25">
      <c r="A11804" s="36" t="b">
        <v>0</v>
      </c>
      <c r="B11804" s="56" t="b">
        <v>0</v>
      </c>
      <c r="C11804" s="56" t="b">
        <v>0</v>
      </c>
      <c r="D11804" s="56" t="b">
        <v>0</v>
      </c>
      <c r="E11804" s="56">
        <f ca="1">IF(PV[[#This Row],[Business Date]]=Control!$C$6, PV[[#This Row],[Notional Value Local Cur]], -PV[[#This Row],[Notional Value Local Cur]])</f>
        <v>0</v>
      </c>
    </row>
    <row r="11805" spans="1:5" x14ac:dyDescent="0.25">
      <c r="A11805" s="36" t="b">
        <v>0</v>
      </c>
      <c r="B11805" s="56" t="b">
        <v>0</v>
      </c>
      <c r="C11805" s="56" t="b">
        <v>0</v>
      </c>
      <c r="D11805" s="56" t="b">
        <v>0</v>
      </c>
      <c r="E11805" s="56">
        <f ca="1">IF(PV[[#This Row],[Business Date]]=Control!$C$6, PV[[#This Row],[Notional Value Local Cur]], -PV[[#This Row],[Notional Value Local Cur]])</f>
        <v>0</v>
      </c>
    </row>
    <row r="11806" spans="1:5" x14ac:dyDescent="0.25">
      <c r="A11806" s="36" t="b">
        <v>0</v>
      </c>
      <c r="B11806" s="56" t="b">
        <v>0</v>
      </c>
      <c r="C11806" s="56" t="b">
        <v>0</v>
      </c>
      <c r="D11806" s="56" t="b">
        <v>0</v>
      </c>
      <c r="E11806" s="56">
        <f ca="1">IF(PV[[#This Row],[Business Date]]=Control!$C$6, PV[[#This Row],[Notional Value Local Cur]], -PV[[#This Row],[Notional Value Local Cur]])</f>
        <v>0</v>
      </c>
    </row>
    <row r="11807" spans="1:5" x14ac:dyDescent="0.25">
      <c r="A11807" s="36" t="b">
        <v>0</v>
      </c>
      <c r="B11807" s="56" t="b">
        <v>0</v>
      </c>
      <c r="C11807" s="56" t="b">
        <v>0</v>
      </c>
      <c r="D11807" s="56" t="b">
        <v>0</v>
      </c>
      <c r="E11807" s="56">
        <f ca="1">IF(PV[[#This Row],[Business Date]]=Control!$C$6, PV[[#This Row],[Notional Value Local Cur]], -PV[[#This Row],[Notional Value Local Cur]])</f>
        <v>0</v>
      </c>
    </row>
    <row r="11808" spans="1:5" x14ac:dyDescent="0.25">
      <c r="A11808" s="36" t="b">
        <v>0</v>
      </c>
      <c r="B11808" s="56" t="b">
        <v>0</v>
      </c>
      <c r="C11808" s="56" t="b">
        <v>0</v>
      </c>
      <c r="D11808" s="56" t="b">
        <v>0</v>
      </c>
      <c r="E11808" s="56">
        <f ca="1">IF(PV[[#This Row],[Business Date]]=Control!$C$6, PV[[#This Row],[Notional Value Local Cur]], -PV[[#This Row],[Notional Value Local Cur]])</f>
        <v>0</v>
      </c>
    </row>
    <row r="11809" spans="1:5" x14ac:dyDescent="0.25">
      <c r="A11809" s="36" t="b">
        <v>0</v>
      </c>
      <c r="B11809" s="56" t="b">
        <v>0</v>
      </c>
      <c r="C11809" s="56" t="b">
        <v>0</v>
      </c>
      <c r="D11809" s="56" t="b">
        <v>0</v>
      </c>
      <c r="E11809" s="56">
        <f ca="1">IF(PV[[#This Row],[Business Date]]=Control!$C$6, PV[[#This Row],[Notional Value Local Cur]], -PV[[#This Row],[Notional Value Local Cur]])</f>
        <v>0</v>
      </c>
    </row>
    <row r="11810" spans="1:5" x14ac:dyDescent="0.25">
      <c r="A11810" s="36" t="b">
        <v>0</v>
      </c>
      <c r="B11810" s="56" t="b">
        <v>0</v>
      </c>
      <c r="C11810" s="56" t="b">
        <v>0</v>
      </c>
      <c r="D11810" s="56" t="b">
        <v>0</v>
      </c>
      <c r="E11810" s="56">
        <f ca="1">IF(PV[[#This Row],[Business Date]]=Control!$C$6, PV[[#This Row],[Notional Value Local Cur]], -PV[[#This Row],[Notional Value Local Cur]])</f>
        <v>0</v>
      </c>
    </row>
    <row r="11811" spans="1:5" x14ac:dyDescent="0.25">
      <c r="A11811" s="36" t="b">
        <v>0</v>
      </c>
      <c r="B11811" s="56" t="b">
        <v>0</v>
      </c>
      <c r="C11811" s="56" t="b">
        <v>0</v>
      </c>
      <c r="D11811" s="56" t="b">
        <v>0</v>
      </c>
      <c r="E11811" s="56">
        <f ca="1">IF(PV[[#This Row],[Business Date]]=Control!$C$6, PV[[#This Row],[Notional Value Local Cur]], -PV[[#This Row],[Notional Value Local Cur]])</f>
        <v>0</v>
      </c>
    </row>
    <row r="11812" spans="1:5" x14ac:dyDescent="0.25">
      <c r="A11812" s="36" t="b">
        <v>0</v>
      </c>
      <c r="B11812" s="56" t="b">
        <v>0</v>
      </c>
      <c r="C11812" s="56" t="b">
        <v>0</v>
      </c>
      <c r="D11812" s="56" t="b">
        <v>0</v>
      </c>
      <c r="E11812" s="56">
        <f ca="1">IF(PV[[#This Row],[Business Date]]=Control!$C$6, PV[[#This Row],[Notional Value Local Cur]], -PV[[#This Row],[Notional Value Local Cur]])</f>
        <v>0</v>
      </c>
    </row>
    <row r="11813" spans="1:5" x14ac:dyDescent="0.25">
      <c r="A11813" s="36" t="b">
        <v>0</v>
      </c>
      <c r="B11813" s="56" t="b">
        <v>0</v>
      </c>
      <c r="C11813" s="56" t="b">
        <v>0</v>
      </c>
      <c r="D11813" s="56" t="b">
        <v>0</v>
      </c>
      <c r="E11813" s="56">
        <f ca="1">IF(PV[[#This Row],[Business Date]]=Control!$C$6, PV[[#This Row],[Notional Value Local Cur]], -PV[[#This Row],[Notional Value Local Cur]])</f>
        <v>0</v>
      </c>
    </row>
    <row r="11814" spans="1:5" x14ac:dyDescent="0.25">
      <c r="A11814" s="36" t="b">
        <v>0</v>
      </c>
      <c r="B11814" s="56" t="b">
        <v>0</v>
      </c>
      <c r="C11814" s="56" t="b">
        <v>0</v>
      </c>
      <c r="D11814" s="56" t="b">
        <v>0</v>
      </c>
      <c r="E11814" s="56">
        <f ca="1">IF(PV[[#This Row],[Business Date]]=Control!$C$6, PV[[#This Row],[Notional Value Local Cur]], -PV[[#This Row],[Notional Value Local Cur]])</f>
        <v>0</v>
      </c>
    </row>
    <row r="11815" spans="1:5" x14ac:dyDescent="0.25">
      <c r="A11815" s="36" t="b">
        <v>0</v>
      </c>
      <c r="B11815" s="56" t="b">
        <v>0</v>
      </c>
      <c r="C11815" s="56" t="b">
        <v>0</v>
      </c>
      <c r="D11815" s="56" t="b">
        <v>0</v>
      </c>
      <c r="E11815" s="56">
        <f ca="1">IF(PV[[#This Row],[Business Date]]=Control!$C$6, PV[[#This Row],[Notional Value Local Cur]], -PV[[#This Row],[Notional Value Local Cur]])</f>
        <v>0</v>
      </c>
    </row>
    <row r="11816" spans="1:5" x14ac:dyDescent="0.25">
      <c r="A11816" s="36" t="b">
        <v>0</v>
      </c>
      <c r="B11816" s="56" t="b">
        <v>0</v>
      </c>
      <c r="C11816" s="56" t="b">
        <v>0</v>
      </c>
      <c r="D11816" s="56" t="b">
        <v>0</v>
      </c>
      <c r="E11816" s="56">
        <f ca="1">IF(PV[[#This Row],[Business Date]]=Control!$C$6, PV[[#This Row],[Notional Value Local Cur]], -PV[[#This Row],[Notional Value Local Cur]])</f>
        <v>0</v>
      </c>
    </row>
    <row r="11817" spans="1:5" x14ac:dyDescent="0.25">
      <c r="A11817" s="36" t="b">
        <v>0</v>
      </c>
      <c r="B11817" s="56" t="b">
        <v>0</v>
      </c>
      <c r="C11817" s="56" t="b">
        <v>0</v>
      </c>
      <c r="D11817" s="56" t="b">
        <v>0</v>
      </c>
      <c r="E11817" s="56">
        <f ca="1">IF(PV[[#This Row],[Business Date]]=Control!$C$6, PV[[#This Row],[Notional Value Local Cur]], -PV[[#This Row],[Notional Value Local Cur]])</f>
        <v>0</v>
      </c>
    </row>
    <row r="11818" spans="1:5" x14ac:dyDescent="0.25">
      <c r="A11818" s="36" t="b">
        <v>0</v>
      </c>
      <c r="B11818" s="56" t="b">
        <v>0</v>
      </c>
      <c r="C11818" s="56" t="b">
        <v>0</v>
      </c>
      <c r="D11818" s="56" t="b">
        <v>0</v>
      </c>
      <c r="E11818" s="56">
        <f ca="1">IF(PV[[#This Row],[Business Date]]=Control!$C$6, PV[[#This Row],[Notional Value Local Cur]], -PV[[#This Row],[Notional Value Local Cur]])</f>
        <v>0</v>
      </c>
    </row>
    <row r="11819" spans="1:5" x14ac:dyDescent="0.25">
      <c r="A11819" s="36" t="b">
        <v>0</v>
      </c>
      <c r="B11819" s="56" t="b">
        <v>0</v>
      </c>
      <c r="C11819" s="56" t="b">
        <v>0</v>
      </c>
      <c r="D11819" s="56" t="b">
        <v>0</v>
      </c>
      <c r="E11819" s="56">
        <f ca="1">IF(PV[[#This Row],[Business Date]]=Control!$C$6, PV[[#This Row],[Notional Value Local Cur]], -PV[[#This Row],[Notional Value Local Cur]])</f>
        <v>0</v>
      </c>
    </row>
    <row r="11820" spans="1:5" x14ac:dyDescent="0.25">
      <c r="A11820" s="36" t="b">
        <v>0</v>
      </c>
      <c r="B11820" s="56" t="b">
        <v>0</v>
      </c>
      <c r="C11820" s="56" t="b">
        <v>0</v>
      </c>
      <c r="D11820" s="56" t="b">
        <v>0</v>
      </c>
      <c r="E11820" s="56">
        <f ca="1">IF(PV[[#This Row],[Business Date]]=Control!$C$6, PV[[#This Row],[Notional Value Local Cur]], -PV[[#This Row],[Notional Value Local Cur]])</f>
        <v>0</v>
      </c>
    </row>
    <row r="11821" spans="1:5" x14ac:dyDescent="0.25">
      <c r="A11821" s="36" t="b">
        <v>0</v>
      </c>
      <c r="B11821" s="56" t="b">
        <v>0</v>
      </c>
      <c r="C11821" s="56" t="b">
        <v>0</v>
      </c>
      <c r="D11821" s="56" t="b">
        <v>0</v>
      </c>
      <c r="E11821" s="56">
        <f ca="1">IF(PV[[#This Row],[Business Date]]=Control!$C$6, PV[[#This Row],[Notional Value Local Cur]], -PV[[#This Row],[Notional Value Local Cur]])</f>
        <v>0</v>
      </c>
    </row>
    <row r="11822" spans="1:5" x14ac:dyDescent="0.25">
      <c r="A11822" s="36" t="b">
        <v>0</v>
      </c>
      <c r="B11822" s="56" t="b">
        <v>0</v>
      </c>
      <c r="C11822" s="56" t="b">
        <v>0</v>
      </c>
      <c r="D11822" s="56" t="b">
        <v>0</v>
      </c>
      <c r="E11822" s="56">
        <f ca="1">IF(PV[[#This Row],[Business Date]]=Control!$C$6, PV[[#This Row],[Notional Value Local Cur]], -PV[[#This Row],[Notional Value Local Cur]])</f>
        <v>0</v>
      </c>
    </row>
    <row r="11823" spans="1:5" x14ac:dyDescent="0.25">
      <c r="A11823" s="36" t="b">
        <v>0</v>
      </c>
      <c r="B11823" s="56" t="b">
        <v>0</v>
      </c>
      <c r="C11823" s="56" t="b">
        <v>0</v>
      </c>
      <c r="D11823" s="56" t="b">
        <v>0</v>
      </c>
      <c r="E11823" s="56">
        <f ca="1">IF(PV[[#This Row],[Business Date]]=Control!$C$6, PV[[#This Row],[Notional Value Local Cur]], -PV[[#This Row],[Notional Value Local Cur]])</f>
        <v>0</v>
      </c>
    </row>
    <row r="11824" spans="1:5" x14ac:dyDescent="0.25">
      <c r="A11824" s="36" t="b">
        <v>0</v>
      </c>
      <c r="B11824" s="56" t="b">
        <v>0</v>
      </c>
      <c r="C11824" s="56" t="b">
        <v>0</v>
      </c>
      <c r="D11824" s="56" t="b">
        <v>0</v>
      </c>
      <c r="E11824" s="56">
        <f ca="1">IF(PV[[#This Row],[Business Date]]=Control!$C$6, PV[[#This Row],[Notional Value Local Cur]], -PV[[#This Row],[Notional Value Local Cur]])</f>
        <v>0</v>
      </c>
    </row>
    <row r="11825" spans="1:5" x14ac:dyDescent="0.25">
      <c r="A11825" s="36" t="b">
        <v>0</v>
      </c>
      <c r="B11825" s="56" t="b">
        <v>0</v>
      </c>
      <c r="C11825" s="56" t="b">
        <v>0</v>
      </c>
      <c r="D11825" s="56" t="b">
        <v>0</v>
      </c>
      <c r="E11825" s="56">
        <f ca="1">IF(PV[[#This Row],[Business Date]]=Control!$C$6, PV[[#This Row],[Notional Value Local Cur]], -PV[[#This Row],[Notional Value Local Cur]])</f>
        <v>0</v>
      </c>
    </row>
    <row r="11826" spans="1:5" x14ac:dyDescent="0.25">
      <c r="A11826" s="36" t="b">
        <v>0</v>
      </c>
      <c r="B11826" s="56" t="b">
        <v>0</v>
      </c>
      <c r="C11826" s="56" t="b">
        <v>0</v>
      </c>
      <c r="D11826" s="56" t="b">
        <v>0</v>
      </c>
      <c r="E11826" s="56">
        <f ca="1">IF(PV[[#This Row],[Business Date]]=Control!$C$6, PV[[#This Row],[Notional Value Local Cur]], -PV[[#This Row],[Notional Value Local Cur]])</f>
        <v>0</v>
      </c>
    </row>
    <row r="11827" spans="1:5" x14ac:dyDescent="0.25">
      <c r="A11827" s="36" t="b">
        <v>0</v>
      </c>
      <c r="B11827" s="56" t="b">
        <v>0</v>
      </c>
      <c r="C11827" s="56" t="b">
        <v>0</v>
      </c>
      <c r="D11827" s="56" t="b">
        <v>0</v>
      </c>
      <c r="E11827" s="56">
        <f ca="1">IF(PV[[#This Row],[Business Date]]=Control!$C$6, PV[[#This Row],[Notional Value Local Cur]], -PV[[#This Row],[Notional Value Local Cur]])</f>
        <v>0</v>
      </c>
    </row>
    <row r="11828" spans="1:5" x14ac:dyDescent="0.25">
      <c r="A11828" s="36" t="b">
        <v>0</v>
      </c>
      <c r="B11828" s="56" t="b">
        <v>0</v>
      </c>
      <c r="C11828" s="56" t="b">
        <v>0</v>
      </c>
      <c r="D11828" s="56" t="b">
        <v>0</v>
      </c>
      <c r="E11828" s="56">
        <f ca="1">IF(PV[[#This Row],[Business Date]]=Control!$C$6, PV[[#This Row],[Notional Value Local Cur]], -PV[[#This Row],[Notional Value Local Cur]])</f>
        <v>0</v>
      </c>
    </row>
    <row r="11829" spans="1:5" x14ac:dyDescent="0.25">
      <c r="A11829" s="36" t="b">
        <v>0</v>
      </c>
      <c r="B11829" s="56" t="b">
        <v>0</v>
      </c>
      <c r="C11829" s="56" t="b">
        <v>0</v>
      </c>
      <c r="D11829" s="56" t="b">
        <v>0</v>
      </c>
      <c r="E11829" s="56">
        <f ca="1">IF(PV[[#This Row],[Business Date]]=Control!$C$6, PV[[#This Row],[Notional Value Local Cur]], -PV[[#This Row],[Notional Value Local Cur]])</f>
        <v>0</v>
      </c>
    </row>
    <row r="11830" spans="1:5" x14ac:dyDescent="0.25">
      <c r="A11830" s="36" t="b">
        <v>0</v>
      </c>
      <c r="B11830" s="56" t="b">
        <v>0</v>
      </c>
      <c r="C11830" s="56" t="b">
        <v>0</v>
      </c>
      <c r="D11830" s="56" t="b">
        <v>0</v>
      </c>
      <c r="E11830" s="56">
        <f ca="1">IF(PV[[#This Row],[Business Date]]=Control!$C$6, PV[[#This Row],[Notional Value Local Cur]], -PV[[#This Row],[Notional Value Local Cur]])</f>
        <v>0</v>
      </c>
    </row>
    <row r="11831" spans="1:5" x14ac:dyDescent="0.25">
      <c r="A11831" s="36" t="b">
        <v>0</v>
      </c>
      <c r="B11831" s="56" t="b">
        <v>0</v>
      </c>
      <c r="C11831" s="56" t="b">
        <v>0</v>
      </c>
      <c r="D11831" s="56" t="b">
        <v>0</v>
      </c>
      <c r="E11831" s="56">
        <f ca="1">IF(PV[[#This Row],[Business Date]]=Control!$C$6, PV[[#This Row],[Notional Value Local Cur]], -PV[[#This Row],[Notional Value Local Cur]])</f>
        <v>0</v>
      </c>
    </row>
    <row r="11832" spans="1:5" x14ac:dyDescent="0.25">
      <c r="A11832" s="36" t="b">
        <v>0</v>
      </c>
      <c r="B11832" s="56" t="b">
        <v>0</v>
      </c>
      <c r="C11832" s="56" t="b">
        <v>0</v>
      </c>
      <c r="D11832" s="56" t="b">
        <v>0</v>
      </c>
      <c r="E11832" s="56">
        <f ca="1">IF(PV[[#This Row],[Business Date]]=Control!$C$6, PV[[#This Row],[Notional Value Local Cur]], -PV[[#This Row],[Notional Value Local Cur]])</f>
        <v>0</v>
      </c>
    </row>
    <row r="11833" spans="1:5" x14ac:dyDescent="0.25">
      <c r="A11833" s="36" t="b">
        <v>0</v>
      </c>
      <c r="B11833" s="56" t="b">
        <v>0</v>
      </c>
      <c r="C11833" s="56" t="b">
        <v>0</v>
      </c>
      <c r="D11833" s="56" t="b">
        <v>0</v>
      </c>
      <c r="E11833" s="56">
        <f ca="1">IF(PV[[#This Row],[Business Date]]=Control!$C$6, PV[[#This Row],[Notional Value Local Cur]], -PV[[#This Row],[Notional Value Local Cur]])</f>
        <v>0</v>
      </c>
    </row>
    <row r="11834" spans="1:5" x14ac:dyDescent="0.25">
      <c r="A11834" s="36" t="b">
        <v>0</v>
      </c>
      <c r="B11834" s="56" t="b">
        <v>0</v>
      </c>
      <c r="C11834" s="56" t="b">
        <v>0</v>
      </c>
      <c r="D11834" s="56" t="b">
        <v>0</v>
      </c>
      <c r="E11834" s="56">
        <f ca="1">IF(PV[[#This Row],[Business Date]]=Control!$C$6, PV[[#This Row],[Notional Value Local Cur]], -PV[[#This Row],[Notional Value Local Cur]])</f>
        <v>0</v>
      </c>
    </row>
    <row r="11835" spans="1:5" x14ac:dyDescent="0.25">
      <c r="A11835" s="36" t="b">
        <v>0</v>
      </c>
      <c r="B11835" s="56" t="b">
        <v>0</v>
      </c>
      <c r="C11835" s="56" t="b">
        <v>0</v>
      </c>
      <c r="D11835" s="56" t="b">
        <v>0</v>
      </c>
      <c r="E11835" s="56">
        <f ca="1">IF(PV[[#This Row],[Business Date]]=Control!$C$6, PV[[#This Row],[Notional Value Local Cur]], -PV[[#This Row],[Notional Value Local Cur]])</f>
        <v>0</v>
      </c>
    </row>
    <row r="11836" spans="1:5" x14ac:dyDescent="0.25">
      <c r="A11836" s="36" t="b">
        <v>0</v>
      </c>
      <c r="B11836" s="56" t="b">
        <v>0</v>
      </c>
      <c r="C11836" s="56" t="b">
        <v>0</v>
      </c>
      <c r="D11836" s="56" t="b">
        <v>0</v>
      </c>
      <c r="E11836" s="56">
        <f ca="1">IF(PV[[#This Row],[Business Date]]=Control!$C$6, PV[[#This Row],[Notional Value Local Cur]], -PV[[#This Row],[Notional Value Local Cur]])</f>
        <v>0</v>
      </c>
    </row>
    <row r="11837" spans="1:5" x14ac:dyDescent="0.25">
      <c r="A11837" s="36" t="b">
        <v>0</v>
      </c>
      <c r="B11837" s="56" t="b">
        <v>0</v>
      </c>
      <c r="C11837" s="56" t="b">
        <v>0</v>
      </c>
      <c r="D11837" s="56" t="b">
        <v>0</v>
      </c>
      <c r="E11837" s="56">
        <f ca="1">IF(PV[[#This Row],[Business Date]]=Control!$C$6, PV[[#This Row],[Notional Value Local Cur]], -PV[[#This Row],[Notional Value Local Cur]])</f>
        <v>0</v>
      </c>
    </row>
    <row r="11838" spans="1:5" x14ac:dyDescent="0.25">
      <c r="A11838" s="36" t="b">
        <v>0</v>
      </c>
      <c r="B11838" s="56" t="b">
        <v>0</v>
      </c>
      <c r="C11838" s="56" t="b">
        <v>0</v>
      </c>
      <c r="D11838" s="56" t="b">
        <v>0</v>
      </c>
      <c r="E11838" s="56">
        <f ca="1">IF(PV[[#This Row],[Business Date]]=Control!$C$6, PV[[#This Row],[Notional Value Local Cur]], -PV[[#This Row],[Notional Value Local Cur]])</f>
        <v>0</v>
      </c>
    </row>
    <row r="11839" spans="1:5" x14ac:dyDescent="0.25">
      <c r="A11839" s="36" t="b">
        <v>0</v>
      </c>
      <c r="B11839" s="56" t="b">
        <v>0</v>
      </c>
      <c r="C11839" s="56" t="b">
        <v>0</v>
      </c>
      <c r="D11839" s="56" t="b">
        <v>0</v>
      </c>
      <c r="E11839" s="56">
        <f ca="1">IF(PV[[#This Row],[Business Date]]=Control!$C$6, PV[[#This Row],[Notional Value Local Cur]], -PV[[#This Row],[Notional Value Local Cur]])</f>
        <v>0</v>
      </c>
    </row>
    <row r="11840" spans="1:5" x14ac:dyDescent="0.25">
      <c r="A11840" s="36" t="b">
        <v>0</v>
      </c>
      <c r="B11840" s="56" t="b">
        <v>0</v>
      </c>
      <c r="C11840" s="56" t="b">
        <v>0</v>
      </c>
      <c r="D11840" s="56" t="b">
        <v>0</v>
      </c>
      <c r="E11840" s="56">
        <f ca="1">IF(PV[[#This Row],[Business Date]]=Control!$C$6, PV[[#This Row],[Notional Value Local Cur]], -PV[[#This Row],[Notional Value Local Cur]])</f>
        <v>0</v>
      </c>
    </row>
    <row r="11841" spans="1:5" x14ac:dyDescent="0.25">
      <c r="A11841" s="36" t="b">
        <v>0</v>
      </c>
      <c r="B11841" s="56" t="b">
        <v>0</v>
      </c>
      <c r="C11841" s="56" t="b">
        <v>0</v>
      </c>
      <c r="D11841" s="56" t="b">
        <v>0</v>
      </c>
      <c r="E11841" s="56">
        <f ca="1">IF(PV[[#This Row],[Business Date]]=Control!$C$6, PV[[#This Row],[Notional Value Local Cur]], -PV[[#This Row],[Notional Value Local Cur]])</f>
        <v>0</v>
      </c>
    </row>
    <row r="11842" spans="1:5" x14ac:dyDescent="0.25">
      <c r="A11842" s="36" t="b">
        <v>0</v>
      </c>
      <c r="B11842" s="56" t="b">
        <v>0</v>
      </c>
      <c r="C11842" s="56" t="b">
        <v>0</v>
      </c>
      <c r="D11842" s="56" t="b">
        <v>0</v>
      </c>
      <c r="E11842" s="56">
        <f ca="1">IF(PV[[#This Row],[Business Date]]=Control!$C$6, PV[[#This Row],[Notional Value Local Cur]], -PV[[#This Row],[Notional Value Local Cur]])</f>
        <v>0</v>
      </c>
    </row>
    <row r="11843" spans="1:5" x14ac:dyDescent="0.25">
      <c r="A11843" s="36" t="b">
        <v>0</v>
      </c>
      <c r="B11843" s="56" t="b">
        <v>0</v>
      </c>
      <c r="C11843" s="56" t="b">
        <v>0</v>
      </c>
      <c r="D11843" s="56" t="b">
        <v>0</v>
      </c>
      <c r="E11843" s="56">
        <f ca="1">IF(PV[[#This Row],[Business Date]]=Control!$C$6, PV[[#This Row],[Notional Value Local Cur]], -PV[[#This Row],[Notional Value Local Cur]])</f>
        <v>0</v>
      </c>
    </row>
    <row r="11844" spans="1:5" x14ac:dyDescent="0.25">
      <c r="A11844" s="36" t="b">
        <v>0</v>
      </c>
      <c r="B11844" s="56" t="b">
        <v>0</v>
      </c>
      <c r="C11844" s="56" t="b">
        <v>0</v>
      </c>
      <c r="D11844" s="56" t="b">
        <v>0</v>
      </c>
      <c r="E11844" s="56">
        <f ca="1">IF(PV[[#This Row],[Business Date]]=Control!$C$6, PV[[#This Row],[Notional Value Local Cur]], -PV[[#This Row],[Notional Value Local Cur]])</f>
        <v>0</v>
      </c>
    </row>
    <row r="11845" spans="1:5" x14ac:dyDescent="0.25">
      <c r="A11845" s="36" t="b">
        <v>0</v>
      </c>
      <c r="B11845" s="56" t="b">
        <v>0</v>
      </c>
      <c r="C11845" s="56" t="b">
        <v>0</v>
      </c>
      <c r="D11845" s="56" t="b">
        <v>0</v>
      </c>
      <c r="E11845" s="56">
        <f ca="1">IF(PV[[#This Row],[Business Date]]=Control!$C$6, PV[[#This Row],[Notional Value Local Cur]], -PV[[#This Row],[Notional Value Local Cur]])</f>
        <v>0</v>
      </c>
    </row>
    <row r="11846" spans="1:5" x14ac:dyDescent="0.25">
      <c r="A11846" s="36" t="b">
        <v>0</v>
      </c>
      <c r="B11846" s="56" t="b">
        <v>0</v>
      </c>
      <c r="C11846" s="56" t="b">
        <v>0</v>
      </c>
      <c r="D11846" s="56" t="b">
        <v>0</v>
      </c>
      <c r="E11846" s="56">
        <f ca="1">IF(PV[[#This Row],[Business Date]]=Control!$C$6, PV[[#This Row],[Notional Value Local Cur]], -PV[[#This Row],[Notional Value Local Cur]])</f>
        <v>0</v>
      </c>
    </row>
    <row r="11847" spans="1:5" x14ac:dyDescent="0.25">
      <c r="A11847" s="36" t="b">
        <v>0</v>
      </c>
      <c r="B11847" s="56" t="b">
        <v>0</v>
      </c>
      <c r="C11847" s="56" t="b">
        <v>0</v>
      </c>
      <c r="D11847" s="56" t="b">
        <v>0</v>
      </c>
      <c r="E11847" s="56">
        <f ca="1">IF(PV[[#This Row],[Business Date]]=Control!$C$6, PV[[#This Row],[Notional Value Local Cur]], -PV[[#This Row],[Notional Value Local Cur]])</f>
        <v>0</v>
      </c>
    </row>
    <row r="11848" spans="1:5" x14ac:dyDescent="0.25">
      <c r="A11848" s="36" t="b">
        <v>0</v>
      </c>
      <c r="B11848" s="56" t="b">
        <v>0</v>
      </c>
      <c r="C11848" s="56" t="b">
        <v>0</v>
      </c>
      <c r="D11848" s="56" t="b">
        <v>0</v>
      </c>
      <c r="E11848" s="56">
        <f ca="1">IF(PV[[#This Row],[Business Date]]=Control!$C$6, PV[[#This Row],[Notional Value Local Cur]], -PV[[#This Row],[Notional Value Local Cur]])</f>
        <v>0</v>
      </c>
    </row>
    <row r="11849" spans="1:5" x14ac:dyDescent="0.25">
      <c r="A11849" s="36" t="b">
        <v>0</v>
      </c>
      <c r="B11849" s="56" t="b">
        <v>0</v>
      </c>
      <c r="C11849" s="56" t="b">
        <v>0</v>
      </c>
      <c r="D11849" s="56" t="b">
        <v>0</v>
      </c>
      <c r="E11849" s="56">
        <f ca="1">IF(PV[[#This Row],[Business Date]]=Control!$C$6, PV[[#This Row],[Notional Value Local Cur]], -PV[[#This Row],[Notional Value Local Cur]])</f>
        <v>0</v>
      </c>
    </row>
    <row r="11850" spans="1:5" x14ac:dyDescent="0.25">
      <c r="A11850" s="36" t="b">
        <v>0</v>
      </c>
      <c r="B11850" s="56" t="b">
        <v>0</v>
      </c>
      <c r="C11850" s="56" t="b">
        <v>0</v>
      </c>
      <c r="D11850" s="56" t="b">
        <v>0</v>
      </c>
      <c r="E11850" s="56">
        <f ca="1">IF(PV[[#This Row],[Business Date]]=Control!$C$6, PV[[#This Row],[Notional Value Local Cur]], -PV[[#This Row],[Notional Value Local Cur]])</f>
        <v>0</v>
      </c>
    </row>
    <row r="11851" spans="1:5" x14ac:dyDescent="0.25">
      <c r="A11851" s="36" t="b">
        <v>0</v>
      </c>
      <c r="B11851" s="56" t="b">
        <v>0</v>
      </c>
      <c r="C11851" s="56" t="b">
        <v>0</v>
      </c>
      <c r="D11851" s="56" t="b">
        <v>0</v>
      </c>
      <c r="E11851" s="56">
        <f ca="1">IF(PV[[#This Row],[Business Date]]=Control!$C$6, PV[[#This Row],[Notional Value Local Cur]], -PV[[#This Row],[Notional Value Local Cur]])</f>
        <v>0</v>
      </c>
    </row>
    <row r="11852" spans="1:5" x14ac:dyDescent="0.25">
      <c r="A11852" s="36" t="b">
        <v>0</v>
      </c>
      <c r="B11852" s="56" t="b">
        <v>0</v>
      </c>
      <c r="C11852" s="56" t="b">
        <v>0</v>
      </c>
      <c r="D11852" s="56" t="b">
        <v>0</v>
      </c>
      <c r="E11852" s="56">
        <f ca="1">IF(PV[[#This Row],[Business Date]]=Control!$C$6, PV[[#This Row],[Notional Value Local Cur]], -PV[[#This Row],[Notional Value Local Cur]])</f>
        <v>0</v>
      </c>
    </row>
    <row r="11853" spans="1:5" x14ac:dyDescent="0.25">
      <c r="A11853" s="36" t="b">
        <v>0</v>
      </c>
      <c r="B11853" s="56" t="b">
        <v>0</v>
      </c>
      <c r="C11853" s="56" t="b">
        <v>0</v>
      </c>
      <c r="D11853" s="56" t="b">
        <v>0</v>
      </c>
      <c r="E11853" s="56">
        <f ca="1">IF(PV[[#This Row],[Business Date]]=Control!$C$6, PV[[#This Row],[Notional Value Local Cur]], -PV[[#This Row],[Notional Value Local Cur]])</f>
        <v>0</v>
      </c>
    </row>
    <row r="11854" spans="1:5" x14ac:dyDescent="0.25">
      <c r="A11854" s="36" t="b">
        <v>0</v>
      </c>
      <c r="B11854" s="56" t="b">
        <v>0</v>
      </c>
      <c r="C11854" s="56" t="b">
        <v>0</v>
      </c>
      <c r="D11854" s="56" t="b">
        <v>0</v>
      </c>
      <c r="E11854" s="56">
        <f ca="1">IF(PV[[#This Row],[Business Date]]=Control!$C$6, PV[[#This Row],[Notional Value Local Cur]], -PV[[#This Row],[Notional Value Local Cur]])</f>
        <v>0</v>
      </c>
    </row>
    <row r="11855" spans="1:5" x14ac:dyDescent="0.25">
      <c r="A11855" s="36" t="b">
        <v>0</v>
      </c>
      <c r="B11855" s="56" t="b">
        <v>0</v>
      </c>
      <c r="C11855" s="56" t="b">
        <v>0</v>
      </c>
      <c r="D11855" s="56" t="b">
        <v>0</v>
      </c>
      <c r="E11855" s="56">
        <f ca="1">IF(PV[[#This Row],[Business Date]]=Control!$C$6, PV[[#This Row],[Notional Value Local Cur]], -PV[[#This Row],[Notional Value Local Cur]])</f>
        <v>0</v>
      </c>
    </row>
    <row r="11856" spans="1:5" x14ac:dyDescent="0.25">
      <c r="A11856" s="36" t="b">
        <v>0</v>
      </c>
      <c r="B11856" s="56" t="b">
        <v>0</v>
      </c>
      <c r="C11856" s="56" t="b">
        <v>0</v>
      </c>
      <c r="D11856" s="56" t="b">
        <v>0</v>
      </c>
      <c r="E11856" s="56">
        <f ca="1">IF(PV[[#This Row],[Business Date]]=Control!$C$6, PV[[#This Row],[Notional Value Local Cur]], -PV[[#This Row],[Notional Value Local Cur]])</f>
        <v>0</v>
      </c>
    </row>
    <row r="11857" spans="1:5" x14ac:dyDescent="0.25">
      <c r="A11857" s="36" t="b">
        <v>0</v>
      </c>
      <c r="B11857" s="56" t="b">
        <v>0</v>
      </c>
      <c r="C11857" s="56" t="b">
        <v>0</v>
      </c>
      <c r="D11857" s="56" t="b">
        <v>0</v>
      </c>
      <c r="E11857" s="56">
        <f ca="1">IF(PV[[#This Row],[Business Date]]=Control!$C$6, PV[[#This Row],[Notional Value Local Cur]], -PV[[#This Row],[Notional Value Local Cur]])</f>
        <v>0</v>
      </c>
    </row>
    <row r="11858" spans="1:5" x14ac:dyDescent="0.25">
      <c r="A11858" s="36" t="b">
        <v>0</v>
      </c>
      <c r="B11858" s="56" t="b">
        <v>0</v>
      </c>
      <c r="C11858" s="56" t="b">
        <v>0</v>
      </c>
      <c r="D11858" s="56" t="b">
        <v>0</v>
      </c>
      <c r="E11858" s="56">
        <f ca="1">IF(PV[[#This Row],[Business Date]]=Control!$C$6, PV[[#This Row],[Notional Value Local Cur]], -PV[[#This Row],[Notional Value Local Cur]])</f>
        <v>0</v>
      </c>
    </row>
    <row r="11859" spans="1:5" x14ac:dyDescent="0.25">
      <c r="A11859" s="36" t="b">
        <v>0</v>
      </c>
      <c r="B11859" s="56" t="b">
        <v>0</v>
      </c>
      <c r="C11859" s="56" t="b">
        <v>0</v>
      </c>
      <c r="D11859" s="56" t="b">
        <v>0</v>
      </c>
      <c r="E11859" s="56">
        <f ca="1">IF(PV[[#This Row],[Business Date]]=Control!$C$6, PV[[#This Row],[Notional Value Local Cur]], -PV[[#This Row],[Notional Value Local Cur]])</f>
        <v>0</v>
      </c>
    </row>
    <row r="11860" spans="1:5" x14ac:dyDescent="0.25">
      <c r="A11860" s="36" t="b">
        <v>0</v>
      </c>
      <c r="B11860" s="56" t="b">
        <v>0</v>
      </c>
      <c r="C11860" s="56" t="b">
        <v>0</v>
      </c>
      <c r="D11860" s="56" t="b">
        <v>0</v>
      </c>
      <c r="E11860" s="56">
        <f ca="1">IF(PV[[#This Row],[Business Date]]=Control!$C$6, PV[[#This Row],[Notional Value Local Cur]], -PV[[#This Row],[Notional Value Local Cur]])</f>
        <v>0</v>
      </c>
    </row>
    <row r="11861" spans="1:5" x14ac:dyDescent="0.25">
      <c r="A11861" s="36" t="b">
        <v>0</v>
      </c>
      <c r="B11861" s="56" t="b">
        <v>0</v>
      </c>
      <c r="C11861" s="56" t="b">
        <v>0</v>
      </c>
      <c r="D11861" s="56" t="b">
        <v>0</v>
      </c>
      <c r="E11861" s="56">
        <f ca="1">IF(PV[[#This Row],[Business Date]]=Control!$C$6, PV[[#This Row],[Notional Value Local Cur]], -PV[[#This Row],[Notional Value Local Cur]])</f>
        <v>0</v>
      </c>
    </row>
    <row r="11862" spans="1:5" x14ac:dyDescent="0.25">
      <c r="A11862" s="36" t="b">
        <v>0</v>
      </c>
      <c r="B11862" s="56" t="b">
        <v>0</v>
      </c>
      <c r="C11862" s="56" t="b">
        <v>0</v>
      </c>
      <c r="D11862" s="56" t="b">
        <v>0</v>
      </c>
      <c r="E11862" s="56">
        <f ca="1">IF(PV[[#This Row],[Business Date]]=Control!$C$6, PV[[#This Row],[Notional Value Local Cur]], -PV[[#This Row],[Notional Value Local Cur]])</f>
        <v>0</v>
      </c>
    </row>
    <row r="11863" spans="1:5" x14ac:dyDescent="0.25">
      <c r="A11863" s="36" t="b">
        <v>0</v>
      </c>
      <c r="B11863" s="56" t="b">
        <v>0</v>
      </c>
      <c r="C11863" s="56" t="b">
        <v>0</v>
      </c>
      <c r="D11863" s="56" t="b">
        <v>0</v>
      </c>
      <c r="E11863" s="56">
        <f ca="1">IF(PV[[#This Row],[Business Date]]=Control!$C$6, PV[[#This Row],[Notional Value Local Cur]], -PV[[#This Row],[Notional Value Local Cur]])</f>
        <v>0</v>
      </c>
    </row>
    <row r="11864" spans="1:5" x14ac:dyDescent="0.25">
      <c r="A11864" s="36" t="b">
        <v>0</v>
      </c>
      <c r="B11864" s="56" t="b">
        <v>0</v>
      </c>
      <c r="C11864" s="56" t="b">
        <v>0</v>
      </c>
      <c r="D11864" s="56" t="b">
        <v>0</v>
      </c>
      <c r="E11864" s="56">
        <f ca="1">IF(PV[[#This Row],[Business Date]]=Control!$C$6, PV[[#This Row],[Notional Value Local Cur]], -PV[[#This Row],[Notional Value Local Cur]])</f>
        <v>0</v>
      </c>
    </row>
    <row r="11865" spans="1:5" x14ac:dyDescent="0.25">
      <c r="A11865" s="36" t="b">
        <v>0</v>
      </c>
      <c r="B11865" s="56" t="b">
        <v>0</v>
      </c>
      <c r="C11865" s="56" t="b">
        <v>0</v>
      </c>
      <c r="D11865" s="56" t="b">
        <v>0</v>
      </c>
      <c r="E11865" s="56">
        <f ca="1">IF(PV[[#This Row],[Business Date]]=Control!$C$6, PV[[#This Row],[Notional Value Local Cur]], -PV[[#This Row],[Notional Value Local Cur]])</f>
        <v>0</v>
      </c>
    </row>
    <row r="11866" spans="1:5" x14ac:dyDescent="0.25">
      <c r="A11866" s="36" t="b">
        <v>0</v>
      </c>
      <c r="B11866" s="56" t="b">
        <v>0</v>
      </c>
      <c r="C11866" s="56" t="b">
        <v>0</v>
      </c>
      <c r="D11866" s="56" t="b">
        <v>0</v>
      </c>
      <c r="E11866" s="56">
        <f ca="1">IF(PV[[#This Row],[Business Date]]=Control!$C$6, PV[[#This Row],[Notional Value Local Cur]], -PV[[#This Row],[Notional Value Local Cur]])</f>
        <v>0</v>
      </c>
    </row>
    <row r="11867" spans="1:5" x14ac:dyDescent="0.25">
      <c r="A11867" s="36" t="b">
        <v>0</v>
      </c>
      <c r="B11867" s="56" t="b">
        <v>0</v>
      </c>
      <c r="C11867" s="56" t="b">
        <v>0</v>
      </c>
      <c r="D11867" s="56" t="b">
        <v>0</v>
      </c>
      <c r="E11867" s="56">
        <f ca="1">IF(PV[[#This Row],[Business Date]]=Control!$C$6, PV[[#This Row],[Notional Value Local Cur]], -PV[[#This Row],[Notional Value Local Cur]])</f>
        <v>0</v>
      </c>
    </row>
    <row r="11868" spans="1:5" x14ac:dyDescent="0.25">
      <c r="A11868" s="36" t="b">
        <v>0</v>
      </c>
      <c r="B11868" s="56" t="b">
        <v>0</v>
      </c>
      <c r="C11868" s="56" t="b">
        <v>0</v>
      </c>
      <c r="D11868" s="56" t="b">
        <v>0</v>
      </c>
      <c r="E11868" s="56">
        <f ca="1">IF(PV[[#This Row],[Business Date]]=Control!$C$6, PV[[#This Row],[Notional Value Local Cur]], -PV[[#This Row],[Notional Value Local Cur]])</f>
        <v>0</v>
      </c>
    </row>
    <row r="11869" spans="1:5" x14ac:dyDescent="0.25">
      <c r="A11869" s="36" t="b">
        <v>0</v>
      </c>
      <c r="B11869" s="56" t="b">
        <v>0</v>
      </c>
      <c r="C11869" s="56" t="b">
        <v>0</v>
      </c>
      <c r="D11869" s="56" t="b">
        <v>0</v>
      </c>
      <c r="E11869" s="56">
        <f ca="1">IF(PV[[#This Row],[Business Date]]=Control!$C$6, PV[[#This Row],[Notional Value Local Cur]], -PV[[#This Row],[Notional Value Local Cur]])</f>
        <v>0</v>
      </c>
    </row>
    <row r="11870" spans="1:5" x14ac:dyDescent="0.25">
      <c r="A11870" s="36" t="b">
        <v>0</v>
      </c>
      <c r="B11870" s="56" t="b">
        <v>0</v>
      </c>
      <c r="C11870" s="56" t="b">
        <v>0</v>
      </c>
      <c r="D11870" s="56" t="b">
        <v>0</v>
      </c>
      <c r="E11870" s="56">
        <f ca="1">IF(PV[[#This Row],[Business Date]]=Control!$C$6, PV[[#This Row],[Notional Value Local Cur]], -PV[[#This Row],[Notional Value Local Cur]])</f>
        <v>0</v>
      </c>
    </row>
    <row r="11871" spans="1:5" x14ac:dyDescent="0.25">
      <c r="A11871" s="36" t="b">
        <v>0</v>
      </c>
      <c r="B11871" s="56" t="b">
        <v>0</v>
      </c>
      <c r="C11871" s="56" t="b">
        <v>0</v>
      </c>
      <c r="D11871" s="56" t="b">
        <v>0</v>
      </c>
      <c r="E11871" s="56">
        <f ca="1">IF(PV[[#This Row],[Business Date]]=Control!$C$6, PV[[#This Row],[Notional Value Local Cur]], -PV[[#This Row],[Notional Value Local Cur]])</f>
        <v>0</v>
      </c>
    </row>
    <row r="11872" spans="1:5" x14ac:dyDescent="0.25">
      <c r="A11872" s="36" t="b">
        <v>0</v>
      </c>
      <c r="B11872" s="56" t="b">
        <v>0</v>
      </c>
      <c r="C11872" s="56" t="b">
        <v>0</v>
      </c>
      <c r="D11872" s="56" t="b">
        <v>0</v>
      </c>
      <c r="E11872" s="56">
        <f ca="1">IF(PV[[#This Row],[Business Date]]=Control!$C$6, PV[[#This Row],[Notional Value Local Cur]], -PV[[#This Row],[Notional Value Local Cur]])</f>
        <v>0</v>
      </c>
    </row>
    <row r="11873" spans="1:5" x14ac:dyDescent="0.25">
      <c r="A11873" s="36" t="b">
        <v>0</v>
      </c>
      <c r="B11873" s="56" t="b">
        <v>0</v>
      </c>
      <c r="C11873" s="56" t="b">
        <v>0</v>
      </c>
      <c r="D11873" s="56" t="b">
        <v>0</v>
      </c>
      <c r="E11873" s="56">
        <f ca="1">IF(PV[[#This Row],[Business Date]]=Control!$C$6, PV[[#This Row],[Notional Value Local Cur]], -PV[[#This Row],[Notional Value Local Cur]])</f>
        <v>0</v>
      </c>
    </row>
    <row r="11874" spans="1:5" x14ac:dyDescent="0.25">
      <c r="A11874" s="36" t="b">
        <v>0</v>
      </c>
      <c r="B11874" s="56" t="b">
        <v>0</v>
      </c>
      <c r="C11874" s="56" t="b">
        <v>0</v>
      </c>
      <c r="D11874" s="56" t="b">
        <v>0</v>
      </c>
      <c r="E11874" s="56">
        <f ca="1">IF(PV[[#This Row],[Business Date]]=Control!$C$6, PV[[#This Row],[Notional Value Local Cur]], -PV[[#This Row],[Notional Value Local Cur]])</f>
        <v>0</v>
      </c>
    </row>
    <row r="11875" spans="1:5" x14ac:dyDescent="0.25">
      <c r="A11875" s="36" t="b">
        <v>0</v>
      </c>
      <c r="B11875" s="56" t="b">
        <v>0</v>
      </c>
      <c r="C11875" s="56" t="b">
        <v>0</v>
      </c>
      <c r="D11875" s="56" t="b">
        <v>0</v>
      </c>
      <c r="E11875" s="56">
        <f ca="1">IF(PV[[#This Row],[Business Date]]=Control!$C$6, PV[[#This Row],[Notional Value Local Cur]], -PV[[#This Row],[Notional Value Local Cur]])</f>
        <v>0</v>
      </c>
    </row>
    <row r="11876" spans="1:5" x14ac:dyDescent="0.25">
      <c r="A11876" s="36" t="b">
        <v>0</v>
      </c>
      <c r="B11876" s="56" t="b">
        <v>0</v>
      </c>
      <c r="C11876" s="56" t="b">
        <v>0</v>
      </c>
      <c r="D11876" s="56" t="b">
        <v>0</v>
      </c>
      <c r="E11876" s="56">
        <f ca="1">IF(PV[[#This Row],[Business Date]]=Control!$C$6, PV[[#This Row],[Notional Value Local Cur]], -PV[[#This Row],[Notional Value Local Cur]])</f>
        <v>0</v>
      </c>
    </row>
    <row r="11877" spans="1:5" x14ac:dyDescent="0.25">
      <c r="A11877" s="36" t="b">
        <v>0</v>
      </c>
      <c r="B11877" s="56" t="b">
        <v>0</v>
      </c>
      <c r="C11877" s="56" t="b">
        <v>0</v>
      </c>
      <c r="D11877" s="56" t="b">
        <v>0</v>
      </c>
      <c r="E11877" s="56">
        <f ca="1">IF(PV[[#This Row],[Business Date]]=Control!$C$6, PV[[#This Row],[Notional Value Local Cur]], -PV[[#This Row],[Notional Value Local Cur]])</f>
        <v>0</v>
      </c>
    </row>
    <row r="11878" spans="1:5" x14ac:dyDescent="0.25">
      <c r="A11878" s="36" t="b">
        <v>0</v>
      </c>
      <c r="B11878" s="56" t="b">
        <v>0</v>
      </c>
      <c r="C11878" s="56" t="b">
        <v>0</v>
      </c>
      <c r="D11878" s="56" t="b">
        <v>0</v>
      </c>
      <c r="E11878" s="56">
        <f ca="1">IF(PV[[#This Row],[Business Date]]=Control!$C$6, PV[[#This Row],[Notional Value Local Cur]], -PV[[#This Row],[Notional Value Local Cur]])</f>
        <v>0</v>
      </c>
    </row>
    <row r="11879" spans="1:5" x14ac:dyDescent="0.25">
      <c r="A11879" s="36" t="b">
        <v>0</v>
      </c>
      <c r="B11879" s="56" t="b">
        <v>0</v>
      </c>
      <c r="C11879" s="56" t="b">
        <v>0</v>
      </c>
      <c r="D11879" s="56" t="b">
        <v>0</v>
      </c>
      <c r="E11879" s="56">
        <f ca="1">IF(PV[[#This Row],[Business Date]]=Control!$C$6, PV[[#This Row],[Notional Value Local Cur]], -PV[[#This Row],[Notional Value Local Cur]])</f>
        <v>0</v>
      </c>
    </row>
    <row r="11880" spans="1:5" x14ac:dyDescent="0.25">
      <c r="A11880" s="36" t="b">
        <v>0</v>
      </c>
      <c r="B11880" s="56" t="b">
        <v>0</v>
      </c>
      <c r="C11880" s="56" t="b">
        <v>0</v>
      </c>
      <c r="D11880" s="56" t="b">
        <v>0</v>
      </c>
      <c r="E11880" s="56">
        <f ca="1">IF(PV[[#This Row],[Business Date]]=Control!$C$6, PV[[#This Row],[Notional Value Local Cur]], -PV[[#This Row],[Notional Value Local Cur]])</f>
        <v>0</v>
      </c>
    </row>
    <row r="11881" spans="1:5" x14ac:dyDescent="0.25">
      <c r="A11881" s="36" t="b">
        <v>0</v>
      </c>
      <c r="B11881" s="56" t="b">
        <v>0</v>
      </c>
      <c r="C11881" s="56" t="b">
        <v>0</v>
      </c>
      <c r="D11881" s="56" t="b">
        <v>0</v>
      </c>
      <c r="E11881" s="56">
        <f ca="1">IF(PV[[#This Row],[Business Date]]=Control!$C$6, PV[[#This Row],[Notional Value Local Cur]], -PV[[#This Row],[Notional Value Local Cur]])</f>
        <v>0</v>
      </c>
    </row>
    <row r="11882" spans="1:5" x14ac:dyDescent="0.25">
      <c r="A11882" s="36" t="b">
        <v>0</v>
      </c>
      <c r="B11882" s="56" t="b">
        <v>0</v>
      </c>
      <c r="C11882" s="56" t="b">
        <v>0</v>
      </c>
      <c r="D11882" s="56" t="b">
        <v>0</v>
      </c>
      <c r="E11882" s="56">
        <f ca="1">IF(PV[[#This Row],[Business Date]]=Control!$C$6, PV[[#This Row],[Notional Value Local Cur]], -PV[[#This Row],[Notional Value Local Cur]])</f>
        <v>0</v>
      </c>
    </row>
    <row r="11883" spans="1:5" x14ac:dyDescent="0.25">
      <c r="A11883" s="36" t="b">
        <v>0</v>
      </c>
      <c r="B11883" s="56" t="b">
        <v>0</v>
      </c>
      <c r="C11883" s="56" t="b">
        <v>0</v>
      </c>
      <c r="D11883" s="56" t="b">
        <v>0</v>
      </c>
      <c r="E11883" s="56">
        <f ca="1">IF(PV[[#This Row],[Business Date]]=Control!$C$6, PV[[#This Row],[Notional Value Local Cur]], -PV[[#This Row],[Notional Value Local Cur]])</f>
        <v>0</v>
      </c>
    </row>
    <row r="11884" spans="1:5" x14ac:dyDescent="0.25">
      <c r="A11884" s="36" t="b">
        <v>0</v>
      </c>
      <c r="B11884" s="56" t="b">
        <v>0</v>
      </c>
      <c r="C11884" s="56" t="b">
        <v>0</v>
      </c>
      <c r="D11884" s="56" t="b">
        <v>0</v>
      </c>
      <c r="E11884" s="56">
        <f ca="1">IF(PV[[#This Row],[Business Date]]=Control!$C$6, PV[[#This Row],[Notional Value Local Cur]], -PV[[#This Row],[Notional Value Local Cur]])</f>
        <v>0</v>
      </c>
    </row>
    <row r="11885" spans="1:5" x14ac:dyDescent="0.25">
      <c r="A11885" s="36" t="b">
        <v>0</v>
      </c>
      <c r="B11885" s="56" t="b">
        <v>0</v>
      </c>
      <c r="C11885" s="56" t="b">
        <v>0</v>
      </c>
      <c r="D11885" s="56" t="b">
        <v>0</v>
      </c>
      <c r="E11885" s="56">
        <f ca="1">IF(PV[[#This Row],[Business Date]]=Control!$C$6, PV[[#This Row],[Notional Value Local Cur]], -PV[[#This Row],[Notional Value Local Cur]])</f>
        <v>0</v>
      </c>
    </row>
    <row r="11886" spans="1:5" x14ac:dyDescent="0.25">
      <c r="A11886" s="36" t="b">
        <v>0</v>
      </c>
      <c r="B11886" s="56" t="b">
        <v>0</v>
      </c>
      <c r="C11886" s="56" t="b">
        <v>0</v>
      </c>
      <c r="D11886" s="56" t="b">
        <v>0</v>
      </c>
      <c r="E11886" s="56">
        <f ca="1">IF(PV[[#This Row],[Business Date]]=Control!$C$6, PV[[#This Row],[Notional Value Local Cur]], -PV[[#This Row],[Notional Value Local Cur]])</f>
        <v>0</v>
      </c>
    </row>
    <row r="11887" spans="1:5" x14ac:dyDescent="0.25">
      <c r="A11887" s="36" t="b">
        <v>0</v>
      </c>
      <c r="B11887" s="56" t="b">
        <v>0</v>
      </c>
      <c r="C11887" s="56" t="b">
        <v>0</v>
      </c>
      <c r="D11887" s="56" t="b">
        <v>0</v>
      </c>
      <c r="E11887" s="56">
        <f ca="1">IF(PV[[#This Row],[Business Date]]=Control!$C$6, PV[[#This Row],[Notional Value Local Cur]], -PV[[#This Row],[Notional Value Local Cur]])</f>
        <v>0</v>
      </c>
    </row>
    <row r="11888" spans="1:5" x14ac:dyDescent="0.25">
      <c r="A11888" s="36" t="b">
        <v>0</v>
      </c>
      <c r="B11888" s="56" t="b">
        <v>0</v>
      </c>
      <c r="C11888" s="56" t="b">
        <v>0</v>
      </c>
      <c r="D11888" s="56" t="b">
        <v>0</v>
      </c>
      <c r="E11888" s="56">
        <f ca="1">IF(PV[[#This Row],[Business Date]]=Control!$C$6, PV[[#This Row],[Notional Value Local Cur]], -PV[[#This Row],[Notional Value Local Cur]])</f>
        <v>0</v>
      </c>
    </row>
    <row r="11889" spans="1:5" x14ac:dyDescent="0.25">
      <c r="A11889" s="36" t="b">
        <v>0</v>
      </c>
      <c r="B11889" s="56" t="b">
        <v>0</v>
      </c>
      <c r="C11889" s="56" t="b">
        <v>0</v>
      </c>
      <c r="D11889" s="56" t="b">
        <v>0</v>
      </c>
      <c r="E11889" s="56">
        <f ca="1">IF(PV[[#This Row],[Business Date]]=Control!$C$6, PV[[#This Row],[Notional Value Local Cur]], -PV[[#This Row],[Notional Value Local Cur]])</f>
        <v>0</v>
      </c>
    </row>
    <row r="11890" spans="1:5" x14ac:dyDescent="0.25">
      <c r="A11890" s="36" t="b">
        <v>0</v>
      </c>
      <c r="B11890" s="56" t="b">
        <v>0</v>
      </c>
      <c r="C11890" s="56" t="b">
        <v>0</v>
      </c>
      <c r="D11890" s="56" t="b">
        <v>0</v>
      </c>
      <c r="E11890" s="56">
        <f ca="1">IF(PV[[#This Row],[Business Date]]=Control!$C$6, PV[[#This Row],[Notional Value Local Cur]], -PV[[#This Row],[Notional Value Local Cur]])</f>
        <v>0</v>
      </c>
    </row>
    <row r="11891" spans="1:5" x14ac:dyDescent="0.25">
      <c r="A11891" s="36" t="b">
        <v>0</v>
      </c>
      <c r="B11891" s="56" t="b">
        <v>0</v>
      </c>
      <c r="C11891" s="56" t="b">
        <v>0</v>
      </c>
      <c r="D11891" s="56" t="b">
        <v>0</v>
      </c>
      <c r="E11891" s="56">
        <f ca="1">IF(PV[[#This Row],[Business Date]]=Control!$C$6, PV[[#This Row],[Notional Value Local Cur]], -PV[[#This Row],[Notional Value Local Cur]])</f>
        <v>0</v>
      </c>
    </row>
    <row r="11892" spans="1:5" x14ac:dyDescent="0.25">
      <c r="A11892" s="36" t="b">
        <v>0</v>
      </c>
      <c r="B11892" s="56" t="b">
        <v>0</v>
      </c>
      <c r="C11892" s="56" t="b">
        <v>0</v>
      </c>
      <c r="D11892" s="56" t="b">
        <v>0</v>
      </c>
      <c r="E11892" s="56">
        <f ca="1">IF(PV[[#This Row],[Business Date]]=Control!$C$6, PV[[#This Row],[Notional Value Local Cur]], -PV[[#This Row],[Notional Value Local Cur]])</f>
        <v>0</v>
      </c>
    </row>
    <row r="11893" spans="1:5" x14ac:dyDescent="0.25">
      <c r="A11893" s="36" t="b">
        <v>0</v>
      </c>
      <c r="B11893" s="56" t="b">
        <v>0</v>
      </c>
      <c r="C11893" s="56" t="b">
        <v>0</v>
      </c>
      <c r="D11893" s="56" t="b">
        <v>0</v>
      </c>
      <c r="E11893" s="56">
        <f ca="1">IF(PV[[#This Row],[Business Date]]=Control!$C$6, PV[[#This Row],[Notional Value Local Cur]], -PV[[#This Row],[Notional Value Local Cur]])</f>
        <v>0</v>
      </c>
    </row>
    <row r="11894" spans="1:5" x14ac:dyDescent="0.25">
      <c r="A11894" s="36" t="b">
        <v>0</v>
      </c>
      <c r="B11894" s="56" t="b">
        <v>0</v>
      </c>
      <c r="C11894" s="56" t="b">
        <v>0</v>
      </c>
      <c r="D11894" s="56" t="b">
        <v>0</v>
      </c>
      <c r="E11894" s="56">
        <f ca="1">IF(PV[[#This Row],[Business Date]]=Control!$C$6, PV[[#This Row],[Notional Value Local Cur]], -PV[[#This Row],[Notional Value Local Cur]])</f>
        <v>0</v>
      </c>
    </row>
    <row r="11895" spans="1:5" x14ac:dyDescent="0.25">
      <c r="A11895" s="36" t="b">
        <v>0</v>
      </c>
      <c r="B11895" s="56" t="b">
        <v>0</v>
      </c>
      <c r="C11895" s="56" t="b">
        <v>0</v>
      </c>
      <c r="D11895" s="56" t="b">
        <v>0</v>
      </c>
      <c r="E11895" s="56">
        <f ca="1">IF(PV[[#This Row],[Business Date]]=Control!$C$6, PV[[#This Row],[Notional Value Local Cur]], -PV[[#This Row],[Notional Value Local Cur]])</f>
        <v>0</v>
      </c>
    </row>
    <row r="11896" spans="1:5" x14ac:dyDescent="0.25">
      <c r="A11896" s="36" t="b">
        <v>0</v>
      </c>
      <c r="B11896" s="56" t="b">
        <v>0</v>
      </c>
      <c r="C11896" s="56" t="b">
        <v>0</v>
      </c>
      <c r="D11896" s="56" t="b">
        <v>0</v>
      </c>
      <c r="E11896" s="56">
        <f ca="1">IF(PV[[#This Row],[Business Date]]=Control!$C$6, PV[[#This Row],[Notional Value Local Cur]], -PV[[#This Row],[Notional Value Local Cur]])</f>
        <v>0</v>
      </c>
    </row>
    <row r="11897" spans="1:5" x14ac:dyDescent="0.25">
      <c r="A11897" s="36" t="b">
        <v>0</v>
      </c>
      <c r="B11897" s="56" t="b">
        <v>0</v>
      </c>
      <c r="C11897" s="56" t="b">
        <v>0</v>
      </c>
      <c r="D11897" s="56" t="b">
        <v>0</v>
      </c>
      <c r="E11897" s="56">
        <f ca="1">IF(PV[[#This Row],[Business Date]]=Control!$C$6, PV[[#This Row],[Notional Value Local Cur]], -PV[[#This Row],[Notional Value Local Cur]])</f>
        <v>0</v>
      </c>
    </row>
    <row r="11898" spans="1:5" x14ac:dyDescent="0.25">
      <c r="A11898" s="36" t="b">
        <v>0</v>
      </c>
      <c r="B11898" s="56" t="b">
        <v>0</v>
      </c>
      <c r="C11898" s="56" t="b">
        <v>0</v>
      </c>
      <c r="D11898" s="56" t="b">
        <v>0</v>
      </c>
      <c r="E11898" s="56">
        <f ca="1">IF(PV[[#This Row],[Business Date]]=Control!$C$6, PV[[#This Row],[Notional Value Local Cur]], -PV[[#This Row],[Notional Value Local Cur]])</f>
        <v>0</v>
      </c>
    </row>
    <row r="11899" spans="1:5" x14ac:dyDescent="0.25">
      <c r="A11899" s="36" t="b">
        <v>0</v>
      </c>
      <c r="B11899" s="56" t="b">
        <v>0</v>
      </c>
      <c r="C11899" s="56" t="b">
        <v>0</v>
      </c>
      <c r="D11899" s="56" t="b">
        <v>0</v>
      </c>
      <c r="E11899" s="56">
        <f ca="1">IF(PV[[#This Row],[Business Date]]=Control!$C$6, PV[[#This Row],[Notional Value Local Cur]], -PV[[#This Row],[Notional Value Local Cur]])</f>
        <v>0</v>
      </c>
    </row>
    <row r="11900" spans="1:5" x14ac:dyDescent="0.25">
      <c r="A11900" s="36" t="b">
        <v>0</v>
      </c>
      <c r="B11900" s="56" t="b">
        <v>0</v>
      </c>
      <c r="C11900" s="56" t="b">
        <v>0</v>
      </c>
      <c r="D11900" s="56" t="b">
        <v>0</v>
      </c>
      <c r="E11900" s="56">
        <f ca="1">IF(PV[[#This Row],[Business Date]]=Control!$C$6, PV[[#This Row],[Notional Value Local Cur]], -PV[[#This Row],[Notional Value Local Cur]])</f>
        <v>0</v>
      </c>
    </row>
    <row r="11901" spans="1:5" x14ac:dyDescent="0.25">
      <c r="A11901" s="36" t="b">
        <v>0</v>
      </c>
      <c r="B11901" s="56" t="b">
        <v>0</v>
      </c>
      <c r="C11901" s="56" t="b">
        <v>0</v>
      </c>
      <c r="D11901" s="56" t="b">
        <v>0</v>
      </c>
      <c r="E11901" s="56">
        <f ca="1">IF(PV[[#This Row],[Business Date]]=Control!$C$6, PV[[#This Row],[Notional Value Local Cur]], -PV[[#This Row],[Notional Value Local Cur]])</f>
        <v>0</v>
      </c>
    </row>
    <row r="11902" spans="1:5" x14ac:dyDescent="0.25">
      <c r="A11902" s="36" t="b">
        <v>0</v>
      </c>
      <c r="B11902" s="56" t="b">
        <v>0</v>
      </c>
      <c r="C11902" s="56" t="b">
        <v>0</v>
      </c>
      <c r="D11902" s="56" t="b">
        <v>0</v>
      </c>
      <c r="E11902" s="56">
        <f ca="1">IF(PV[[#This Row],[Business Date]]=Control!$C$6, PV[[#This Row],[Notional Value Local Cur]], -PV[[#This Row],[Notional Value Local Cur]])</f>
        <v>0</v>
      </c>
    </row>
    <row r="11903" spans="1:5" x14ac:dyDescent="0.25">
      <c r="A11903" s="36" t="b">
        <v>0</v>
      </c>
      <c r="B11903" s="56" t="b">
        <v>0</v>
      </c>
      <c r="C11903" s="56" t="b">
        <v>0</v>
      </c>
      <c r="D11903" s="56" t="b">
        <v>0</v>
      </c>
      <c r="E11903" s="56">
        <f ca="1">IF(PV[[#This Row],[Business Date]]=Control!$C$6, PV[[#This Row],[Notional Value Local Cur]], -PV[[#This Row],[Notional Value Local Cur]])</f>
        <v>0</v>
      </c>
    </row>
    <row r="11904" spans="1:5" x14ac:dyDescent="0.25">
      <c r="A11904" s="36" t="b">
        <v>0</v>
      </c>
      <c r="B11904" s="56" t="b">
        <v>0</v>
      </c>
      <c r="C11904" s="56" t="b">
        <v>0</v>
      </c>
      <c r="D11904" s="56" t="b">
        <v>0</v>
      </c>
      <c r="E11904" s="56">
        <f ca="1">IF(PV[[#This Row],[Business Date]]=Control!$C$6, PV[[#This Row],[Notional Value Local Cur]], -PV[[#This Row],[Notional Value Local Cur]])</f>
        <v>0</v>
      </c>
    </row>
    <row r="11905" spans="1:5" x14ac:dyDescent="0.25">
      <c r="A11905" s="36" t="b">
        <v>0</v>
      </c>
      <c r="B11905" s="56" t="b">
        <v>0</v>
      </c>
      <c r="C11905" s="56" t="b">
        <v>0</v>
      </c>
      <c r="D11905" s="56" t="b">
        <v>0</v>
      </c>
      <c r="E11905" s="56">
        <f ca="1">IF(PV[[#This Row],[Business Date]]=Control!$C$6, PV[[#This Row],[Notional Value Local Cur]], -PV[[#This Row],[Notional Value Local Cur]])</f>
        <v>0</v>
      </c>
    </row>
    <row r="11906" spans="1:5" x14ac:dyDescent="0.25">
      <c r="A11906" s="36" t="b">
        <v>0</v>
      </c>
      <c r="B11906" s="56" t="b">
        <v>0</v>
      </c>
      <c r="C11906" s="56" t="b">
        <v>0</v>
      </c>
      <c r="D11906" s="56" t="b">
        <v>0</v>
      </c>
      <c r="E11906" s="56">
        <f ca="1">IF(PV[[#This Row],[Business Date]]=Control!$C$6, PV[[#This Row],[Notional Value Local Cur]], -PV[[#This Row],[Notional Value Local Cur]])</f>
        <v>0</v>
      </c>
    </row>
    <row r="11907" spans="1:5" x14ac:dyDescent="0.25">
      <c r="A11907" s="36" t="b">
        <v>0</v>
      </c>
      <c r="B11907" s="56" t="b">
        <v>0</v>
      </c>
      <c r="C11907" s="56" t="b">
        <v>0</v>
      </c>
      <c r="D11907" s="56" t="b">
        <v>0</v>
      </c>
      <c r="E11907" s="56">
        <f ca="1">IF(PV[[#This Row],[Business Date]]=Control!$C$6, PV[[#This Row],[Notional Value Local Cur]], -PV[[#This Row],[Notional Value Local Cur]])</f>
        <v>0</v>
      </c>
    </row>
    <row r="11908" spans="1:5" x14ac:dyDescent="0.25">
      <c r="A11908" s="36" t="b">
        <v>0</v>
      </c>
      <c r="B11908" s="56" t="b">
        <v>0</v>
      </c>
      <c r="C11908" s="56" t="b">
        <v>0</v>
      </c>
      <c r="D11908" s="56" t="b">
        <v>0</v>
      </c>
      <c r="E11908" s="56">
        <f ca="1">IF(PV[[#This Row],[Business Date]]=Control!$C$6, PV[[#This Row],[Notional Value Local Cur]], -PV[[#This Row],[Notional Value Local Cur]])</f>
        <v>0</v>
      </c>
    </row>
    <row r="11909" spans="1:5" x14ac:dyDescent="0.25">
      <c r="A11909" s="36" t="b">
        <v>0</v>
      </c>
      <c r="B11909" s="56" t="b">
        <v>0</v>
      </c>
      <c r="C11909" s="56" t="b">
        <v>0</v>
      </c>
      <c r="D11909" s="56" t="b">
        <v>0</v>
      </c>
      <c r="E11909" s="56">
        <f ca="1">IF(PV[[#This Row],[Business Date]]=Control!$C$6, PV[[#This Row],[Notional Value Local Cur]], -PV[[#This Row],[Notional Value Local Cur]])</f>
        <v>0</v>
      </c>
    </row>
    <row r="11910" spans="1:5" x14ac:dyDescent="0.25">
      <c r="A11910" s="36" t="b">
        <v>0</v>
      </c>
      <c r="B11910" s="56" t="b">
        <v>0</v>
      </c>
      <c r="C11910" s="56" t="b">
        <v>0</v>
      </c>
      <c r="D11910" s="56" t="b">
        <v>0</v>
      </c>
      <c r="E11910" s="56">
        <f ca="1">IF(PV[[#This Row],[Business Date]]=Control!$C$6, PV[[#This Row],[Notional Value Local Cur]], -PV[[#This Row],[Notional Value Local Cur]])</f>
        <v>0</v>
      </c>
    </row>
    <row r="11911" spans="1:5" x14ac:dyDescent="0.25">
      <c r="A11911" s="36" t="b">
        <v>0</v>
      </c>
      <c r="B11911" s="56" t="b">
        <v>0</v>
      </c>
      <c r="C11911" s="56" t="b">
        <v>0</v>
      </c>
      <c r="D11911" s="56" t="b">
        <v>0</v>
      </c>
      <c r="E11911" s="56">
        <f ca="1">IF(PV[[#This Row],[Business Date]]=Control!$C$6, PV[[#This Row],[Notional Value Local Cur]], -PV[[#This Row],[Notional Value Local Cur]])</f>
        <v>0</v>
      </c>
    </row>
    <row r="11912" spans="1:5" x14ac:dyDescent="0.25">
      <c r="A11912" s="36" t="b">
        <v>0</v>
      </c>
      <c r="B11912" s="56" t="b">
        <v>0</v>
      </c>
      <c r="C11912" s="56" t="b">
        <v>0</v>
      </c>
      <c r="D11912" s="56" t="b">
        <v>0</v>
      </c>
      <c r="E11912" s="56">
        <f ca="1">IF(PV[[#This Row],[Business Date]]=Control!$C$6, PV[[#This Row],[Notional Value Local Cur]], -PV[[#This Row],[Notional Value Local Cur]])</f>
        <v>0</v>
      </c>
    </row>
    <row r="11913" spans="1:5" x14ac:dyDescent="0.25">
      <c r="A11913" s="36" t="b">
        <v>0</v>
      </c>
      <c r="B11913" s="56" t="b">
        <v>0</v>
      </c>
      <c r="C11913" s="56" t="b">
        <v>0</v>
      </c>
      <c r="D11913" s="56" t="b">
        <v>0</v>
      </c>
      <c r="E11913" s="56">
        <f ca="1">IF(PV[[#This Row],[Business Date]]=Control!$C$6, PV[[#This Row],[Notional Value Local Cur]], -PV[[#This Row],[Notional Value Local Cur]])</f>
        <v>0</v>
      </c>
    </row>
    <row r="11914" spans="1:5" x14ac:dyDescent="0.25">
      <c r="A11914" s="36" t="b">
        <v>0</v>
      </c>
      <c r="B11914" s="56" t="b">
        <v>0</v>
      </c>
      <c r="C11914" s="56" t="b">
        <v>0</v>
      </c>
      <c r="D11914" s="56" t="b">
        <v>0</v>
      </c>
      <c r="E11914" s="56">
        <f ca="1">IF(PV[[#This Row],[Business Date]]=Control!$C$6, PV[[#This Row],[Notional Value Local Cur]], -PV[[#This Row],[Notional Value Local Cur]])</f>
        <v>0</v>
      </c>
    </row>
    <row r="11915" spans="1:5" x14ac:dyDescent="0.25">
      <c r="A11915" s="36" t="b">
        <v>0</v>
      </c>
      <c r="B11915" s="56" t="b">
        <v>0</v>
      </c>
      <c r="C11915" s="56" t="b">
        <v>0</v>
      </c>
      <c r="D11915" s="56" t="b">
        <v>0</v>
      </c>
      <c r="E11915" s="56">
        <f ca="1">IF(PV[[#This Row],[Business Date]]=Control!$C$6, PV[[#This Row],[Notional Value Local Cur]], -PV[[#This Row],[Notional Value Local Cur]])</f>
        <v>0</v>
      </c>
    </row>
    <row r="11916" spans="1:5" x14ac:dyDescent="0.25">
      <c r="A11916" s="36" t="b">
        <v>0</v>
      </c>
      <c r="B11916" s="56" t="b">
        <v>0</v>
      </c>
      <c r="C11916" s="56" t="b">
        <v>0</v>
      </c>
      <c r="D11916" s="56" t="b">
        <v>0</v>
      </c>
      <c r="E11916" s="56">
        <f ca="1">IF(PV[[#This Row],[Business Date]]=Control!$C$6, PV[[#This Row],[Notional Value Local Cur]], -PV[[#This Row],[Notional Value Local Cur]])</f>
        <v>0</v>
      </c>
    </row>
    <row r="11917" spans="1:5" x14ac:dyDescent="0.25">
      <c r="A11917" s="36" t="b">
        <v>0</v>
      </c>
      <c r="B11917" s="56" t="b">
        <v>0</v>
      </c>
      <c r="C11917" s="56" t="b">
        <v>0</v>
      </c>
      <c r="D11917" s="56" t="b">
        <v>0</v>
      </c>
      <c r="E11917" s="56">
        <f ca="1">IF(PV[[#This Row],[Business Date]]=Control!$C$6, PV[[#This Row],[Notional Value Local Cur]], -PV[[#This Row],[Notional Value Local Cur]])</f>
        <v>0</v>
      </c>
    </row>
    <row r="11918" spans="1:5" x14ac:dyDescent="0.25">
      <c r="A11918" s="36" t="b">
        <v>0</v>
      </c>
      <c r="B11918" s="56" t="b">
        <v>0</v>
      </c>
      <c r="C11918" s="56" t="b">
        <v>0</v>
      </c>
      <c r="D11918" s="56" t="b">
        <v>0</v>
      </c>
      <c r="E11918" s="56">
        <f ca="1">IF(PV[[#This Row],[Business Date]]=Control!$C$6, PV[[#This Row],[Notional Value Local Cur]], -PV[[#This Row],[Notional Value Local Cur]])</f>
        <v>0</v>
      </c>
    </row>
    <row r="11919" spans="1:5" x14ac:dyDescent="0.25">
      <c r="A11919" s="36" t="b">
        <v>0</v>
      </c>
      <c r="B11919" s="56" t="b">
        <v>0</v>
      </c>
      <c r="C11919" s="56" t="b">
        <v>0</v>
      </c>
      <c r="D11919" s="56" t="b">
        <v>0</v>
      </c>
      <c r="E11919" s="56">
        <f ca="1">IF(PV[[#This Row],[Business Date]]=Control!$C$6, PV[[#This Row],[Notional Value Local Cur]], -PV[[#This Row],[Notional Value Local Cur]])</f>
        <v>0</v>
      </c>
    </row>
    <row r="11920" spans="1:5" x14ac:dyDescent="0.25">
      <c r="A11920" s="36" t="b">
        <v>0</v>
      </c>
      <c r="B11920" s="56" t="b">
        <v>0</v>
      </c>
      <c r="C11920" s="56" t="b">
        <v>0</v>
      </c>
      <c r="D11920" s="56" t="b">
        <v>0</v>
      </c>
      <c r="E11920" s="56">
        <f ca="1">IF(PV[[#This Row],[Business Date]]=Control!$C$6, PV[[#This Row],[Notional Value Local Cur]], -PV[[#This Row],[Notional Value Local Cur]])</f>
        <v>0</v>
      </c>
    </row>
    <row r="11921" spans="1:5" x14ac:dyDescent="0.25">
      <c r="A11921" s="36" t="b">
        <v>0</v>
      </c>
      <c r="B11921" s="56" t="b">
        <v>0</v>
      </c>
      <c r="C11921" s="56" t="b">
        <v>0</v>
      </c>
      <c r="D11921" s="56" t="b">
        <v>0</v>
      </c>
      <c r="E11921" s="56">
        <f ca="1">IF(PV[[#This Row],[Business Date]]=Control!$C$6, PV[[#This Row],[Notional Value Local Cur]], -PV[[#This Row],[Notional Value Local Cur]])</f>
        <v>0</v>
      </c>
    </row>
    <row r="11922" spans="1:5" x14ac:dyDescent="0.25">
      <c r="A11922" s="36" t="b">
        <v>0</v>
      </c>
      <c r="B11922" s="56" t="b">
        <v>0</v>
      </c>
      <c r="C11922" s="56" t="b">
        <v>0</v>
      </c>
      <c r="D11922" s="56" t="b">
        <v>0</v>
      </c>
      <c r="E11922" s="56">
        <f ca="1">IF(PV[[#This Row],[Business Date]]=Control!$C$6, PV[[#This Row],[Notional Value Local Cur]], -PV[[#This Row],[Notional Value Local Cur]])</f>
        <v>0</v>
      </c>
    </row>
    <row r="11923" spans="1:5" x14ac:dyDescent="0.25">
      <c r="A11923" s="36" t="b">
        <v>0</v>
      </c>
      <c r="B11923" s="56" t="b">
        <v>0</v>
      </c>
      <c r="C11923" s="56" t="b">
        <v>0</v>
      </c>
      <c r="D11923" s="56" t="b">
        <v>0</v>
      </c>
      <c r="E11923" s="56">
        <f ca="1">IF(PV[[#This Row],[Business Date]]=Control!$C$6, PV[[#This Row],[Notional Value Local Cur]], -PV[[#This Row],[Notional Value Local Cur]])</f>
        <v>0</v>
      </c>
    </row>
    <row r="11924" spans="1:5" x14ac:dyDescent="0.25">
      <c r="A11924" s="36" t="b">
        <v>0</v>
      </c>
      <c r="B11924" s="56" t="b">
        <v>0</v>
      </c>
      <c r="C11924" s="56" t="b">
        <v>0</v>
      </c>
      <c r="D11924" s="56" t="b">
        <v>0</v>
      </c>
      <c r="E11924" s="56">
        <f ca="1">IF(PV[[#This Row],[Business Date]]=Control!$C$6, PV[[#This Row],[Notional Value Local Cur]], -PV[[#This Row],[Notional Value Local Cur]])</f>
        <v>0</v>
      </c>
    </row>
    <row r="11925" spans="1:5" x14ac:dyDescent="0.25">
      <c r="A11925" s="36" t="b">
        <v>0</v>
      </c>
      <c r="B11925" s="56" t="b">
        <v>0</v>
      </c>
      <c r="C11925" s="56" t="b">
        <v>0</v>
      </c>
      <c r="D11925" s="56" t="b">
        <v>0</v>
      </c>
      <c r="E11925" s="56">
        <f ca="1">IF(PV[[#This Row],[Business Date]]=Control!$C$6, PV[[#This Row],[Notional Value Local Cur]], -PV[[#This Row],[Notional Value Local Cur]])</f>
        <v>0</v>
      </c>
    </row>
    <row r="11926" spans="1:5" x14ac:dyDescent="0.25">
      <c r="A11926" s="36" t="b">
        <v>0</v>
      </c>
      <c r="B11926" s="56" t="b">
        <v>0</v>
      </c>
      <c r="C11926" s="56" t="b">
        <v>0</v>
      </c>
      <c r="D11926" s="56" t="b">
        <v>0</v>
      </c>
      <c r="E11926" s="56">
        <f ca="1">IF(PV[[#This Row],[Business Date]]=Control!$C$6, PV[[#This Row],[Notional Value Local Cur]], -PV[[#This Row],[Notional Value Local Cur]])</f>
        <v>0</v>
      </c>
    </row>
    <row r="11927" spans="1:5" x14ac:dyDescent="0.25">
      <c r="A11927" s="36" t="b">
        <v>0</v>
      </c>
      <c r="B11927" s="56" t="b">
        <v>0</v>
      </c>
      <c r="C11927" s="56" t="b">
        <v>0</v>
      </c>
      <c r="D11927" s="56" t="b">
        <v>0</v>
      </c>
      <c r="E11927" s="56">
        <f ca="1">IF(PV[[#This Row],[Business Date]]=Control!$C$6, PV[[#This Row],[Notional Value Local Cur]], -PV[[#This Row],[Notional Value Local Cur]])</f>
        <v>0</v>
      </c>
    </row>
    <row r="11928" spans="1:5" x14ac:dyDescent="0.25">
      <c r="A11928" s="36" t="b">
        <v>0</v>
      </c>
      <c r="B11928" s="56" t="b">
        <v>0</v>
      </c>
      <c r="C11928" s="56" t="b">
        <v>0</v>
      </c>
      <c r="D11928" s="56" t="b">
        <v>0</v>
      </c>
      <c r="E11928" s="56">
        <f ca="1">IF(PV[[#This Row],[Business Date]]=Control!$C$6, PV[[#This Row],[Notional Value Local Cur]], -PV[[#This Row],[Notional Value Local Cur]])</f>
        <v>0</v>
      </c>
    </row>
    <row r="11929" spans="1:5" x14ac:dyDescent="0.25">
      <c r="A11929" s="36" t="b">
        <v>0</v>
      </c>
      <c r="B11929" s="56" t="b">
        <v>0</v>
      </c>
      <c r="C11929" s="56" t="b">
        <v>0</v>
      </c>
      <c r="D11929" s="56" t="b">
        <v>0</v>
      </c>
      <c r="E11929" s="56">
        <f ca="1">IF(PV[[#This Row],[Business Date]]=Control!$C$6, PV[[#This Row],[Notional Value Local Cur]], -PV[[#This Row],[Notional Value Local Cur]])</f>
        <v>0</v>
      </c>
    </row>
    <row r="11930" spans="1:5" x14ac:dyDescent="0.25">
      <c r="A11930" s="36" t="b">
        <v>0</v>
      </c>
      <c r="B11930" s="56" t="b">
        <v>0</v>
      </c>
      <c r="C11930" s="56" t="b">
        <v>0</v>
      </c>
      <c r="D11930" s="56" t="b">
        <v>0</v>
      </c>
      <c r="E11930" s="56">
        <f ca="1">IF(PV[[#This Row],[Business Date]]=Control!$C$6, PV[[#This Row],[Notional Value Local Cur]], -PV[[#This Row],[Notional Value Local Cur]])</f>
        <v>0</v>
      </c>
    </row>
    <row r="11931" spans="1:5" x14ac:dyDescent="0.25">
      <c r="A11931" s="36" t="b">
        <v>0</v>
      </c>
      <c r="B11931" s="56" t="b">
        <v>0</v>
      </c>
      <c r="C11931" s="56" t="b">
        <v>0</v>
      </c>
      <c r="D11931" s="56" t="b">
        <v>0</v>
      </c>
      <c r="E11931" s="56">
        <f ca="1">IF(PV[[#This Row],[Business Date]]=Control!$C$6, PV[[#This Row],[Notional Value Local Cur]], -PV[[#This Row],[Notional Value Local Cur]])</f>
        <v>0</v>
      </c>
    </row>
    <row r="11932" spans="1:5" x14ac:dyDescent="0.25">
      <c r="A11932" s="36" t="b">
        <v>0</v>
      </c>
      <c r="B11932" s="56" t="b">
        <v>0</v>
      </c>
      <c r="C11932" s="56" t="b">
        <v>0</v>
      </c>
      <c r="D11932" s="56" t="b">
        <v>0</v>
      </c>
      <c r="E11932" s="56">
        <f ca="1">IF(PV[[#This Row],[Business Date]]=Control!$C$6, PV[[#This Row],[Notional Value Local Cur]], -PV[[#This Row],[Notional Value Local Cur]])</f>
        <v>0</v>
      </c>
    </row>
    <row r="11933" spans="1:5" x14ac:dyDescent="0.25">
      <c r="A11933" s="36" t="b">
        <v>0</v>
      </c>
      <c r="B11933" s="56" t="b">
        <v>0</v>
      </c>
      <c r="C11933" s="56" t="b">
        <v>0</v>
      </c>
      <c r="D11933" s="56" t="b">
        <v>0</v>
      </c>
      <c r="E11933" s="56">
        <f ca="1">IF(PV[[#This Row],[Business Date]]=Control!$C$6, PV[[#This Row],[Notional Value Local Cur]], -PV[[#This Row],[Notional Value Local Cur]])</f>
        <v>0</v>
      </c>
    </row>
    <row r="11934" spans="1:5" x14ac:dyDescent="0.25">
      <c r="A11934" s="36" t="b">
        <v>0</v>
      </c>
      <c r="B11934" s="56" t="b">
        <v>0</v>
      </c>
      <c r="C11934" s="56" t="b">
        <v>0</v>
      </c>
      <c r="D11934" s="56" t="b">
        <v>0</v>
      </c>
      <c r="E11934" s="56">
        <f ca="1">IF(PV[[#This Row],[Business Date]]=Control!$C$6, PV[[#This Row],[Notional Value Local Cur]], -PV[[#This Row],[Notional Value Local Cur]])</f>
        <v>0</v>
      </c>
    </row>
    <row r="11935" spans="1:5" x14ac:dyDescent="0.25">
      <c r="A11935" s="36" t="b">
        <v>0</v>
      </c>
      <c r="B11935" s="56" t="b">
        <v>0</v>
      </c>
      <c r="C11935" s="56" t="b">
        <v>0</v>
      </c>
      <c r="D11935" s="56" t="b">
        <v>0</v>
      </c>
      <c r="E11935" s="56">
        <f ca="1">IF(PV[[#This Row],[Business Date]]=Control!$C$6, PV[[#This Row],[Notional Value Local Cur]], -PV[[#This Row],[Notional Value Local Cur]])</f>
        <v>0</v>
      </c>
    </row>
    <row r="11936" spans="1:5" x14ac:dyDescent="0.25">
      <c r="A11936" s="36" t="b">
        <v>0</v>
      </c>
      <c r="B11936" s="56" t="b">
        <v>0</v>
      </c>
      <c r="C11936" s="56" t="b">
        <v>0</v>
      </c>
      <c r="D11936" s="56" t="b">
        <v>0</v>
      </c>
      <c r="E11936" s="56">
        <f ca="1">IF(PV[[#This Row],[Business Date]]=Control!$C$6, PV[[#This Row],[Notional Value Local Cur]], -PV[[#This Row],[Notional Value Local Cur]])</f>
        <v>0</v>
      </c>
    </row>
    <row r="11937" spans="1:5" x14ac:dyDescent="0.25">
      <c r="A11937" s="36" t="b">
        <v>0</v>
      </c>
      <c r="B11937" s="56" t="b">
        <v>0</v>
      </c>
      <c r="C11937" s="56" t="b">
        <v>0</v>
      </c>
      <c r="D11937" s="56" t="b">
        <v>0</v>
      </c>
      <c r="E11937" s="56">
        <f ca="1">IF(PV[[#This Row],[Business Date]]=Control!$C$6, PV[[#This Row],[Notional Value Local Cur]], -PV[[#This Row],[Notional Value Local Cur]])</f>
        <v>0</v>
      </c>
    </row>
    <row r="11938" spans="1:5" x14ac:dyDescent="0.25">
      <c r="A11938" s="36" t="b">
        <v>0</v>
      </c>
      <c r="B11938" s="56" t="b">
        <v>0</v>
      </c>
      <c r="C11938" s="56" t="b">
        <v>0</v>
      </c>
      <c r="D11938" s="56" t="b">
        <v>0</v>
      </c>
      <c r="E11938" s="56">
        <f ca="1">IF(PV[[#This Row],[Business Date]]=Control!$C$6, PV[[#This Row],[Notional Value Local Cur]], -PV[[#This Row],[Notional Value Local Cur]])</f>
        <v>0</v>
      </c>
    </row>
    <row r="11939" spans="1:5" x14ac:dyDescent="0.25">
      <c r="A11939" s="36" t="b">
        <v>0</v>
      </c>
      <c r="B11939" s="56" t="b">
        <v>0</v>
      </c>
      <c r="C11939" s="56" t="b">
        <v>0</v>
      </c>
      <c r="D11939" s="56" t="b">
        <v>0</v>
      </c>
      <c r="E11939" s="56">
        <f ca="1">IF(PV[[#This Row],[Business Date]]=Control!$C$6, PV[[#This Row],[Notional Value Local Cur]], -PV[[#This Row],[Notional Value Local Cur]])</f>
        <v>0</v>
      </c>
    </row>
    <row r="11940" spans="1:5" x14ac:dyDescent="0.25">
      <c r="A11940" s="36" t="b">
        <v>0</v>
      </c>
      <c r="B11940" s="56" t="b">
        <v>0</v>
      </c>
      <c r="C11940" s="56" t="b">
        <v>0</v>
      </c>
      <c r="D11940" s="56" t="b">
        <v>0</v>
      </c>
      <c r="E11940" s="56">
        <f ca="1">IF(PV[[#This Row],[Business Date]]=Control!$C$6, PV[[#This Row],[Notional Value Local Cur]], -PV[[#This Row],[Notional Value Local Cur]])</f>
        <v>0</v>
      </c>
    </row>
    <row r="11941" spans="1:5" x14ac:dyDescent="0.25">
      <c r="A11941" s="36" t="b">
        <v>0</v>
      </c>
      <c r="B11941" s="56" t="b">
        <v>0</v>
      </c>
      <c r="C11941" s="56" t="b">
        <v>0</v>
      </c>
      <c r="D11941" s="56" t="b">
        <v>0</v>
      </c>
      <c r="E11941" s="56">
        <f ca="1">IF(PV[[#This Row],[Business Date]]=Control!$C$6, PV[[#This Row],[Notional Value Local Cur]], -PV[[#This Row],[Notional Value Local Cur]])</f>
        <v>0</v>
      </c>
    </row>
    <row r="11942" spans="1:5" x14ac:dyDescent="0.25">
      <c r="A11942" s="36" t="b">
        <v>0</v>
      </c>
      <c r="B11942" s="56" t="b">
        <v>0</v>
      </c>
      <c r="C11942" s="56" t="b">
        <v>0</v>
      </c>
      <c r="D11942" s="56" t="b">
        <v>0</v>
      </c>
      <c r="E11942" s="56">
        <f ca="1">IF(PV[[#This Row],[Business Date]]=Control!$C$6, PV[[#This Row],[Notional Value Local Cur]], -PV[[#This Row],[Notional Value Local Cur]])</f>
        <v>0</v>
      </c>
    </row>
    <row r="11943" spans="1:5" x14ac:dyDescent="0.25">
      <c r="A11943" s="36" t="b">
        <v>0</v>
      </c>
      <c r="B11943" s="56" t="b">
        <v>0</v>
      </c>
      <c r="C11943" s="56" t="b">
        <v>0</v>
      </c>
      <c r="D11943" s="56" t="b">
        <v>0</v>
      </c>
      <c r="E11943" s="56">
        <f ca="1">IF(PV[[#This Row],[Business Date]]=Control!$C$6, PV[[#This Row],[Notional Value Local Cur]], -PV[[#This Row],[Notional Value Local Cur]])</f>
        <v>0</v>
      </c>
    </row>
    <row r="11944" spans="1:5" x14ac:dyDescent="0.25">
      <c r="A11944" s="36" t="b">
        <v>0</v>
      </c>
      <c r="B11944" s="56" t="b">
        <v>0</v>
      </c>
      <c r="C11944" s="56" t="b">
        <v>0</v>
      </c>
      <c r="D11944" s="56" t="b">
        <v>0</v>
      </c>
      <c r="E11944" s="56">
        <f ca="1">IF(PV[[#This Row],[Business Date]]=Control!$C$6, PV[[#This Row],[Notional Value Local Cur]], -PV[[#This Row],[Notional Value Local Cur]])</f>
        <v>0</v>
      </c>
    </row>
    <row r="11945" spans="1:5" x14ac:dyDescent="0.25">
      <c r="A11945" s="36" t="b">
        <v>0</v>
      </c>
      <c r="B11945" s="56" t="b">
        <v>0</v>
      </c>
      <c r="C11945" s="56" t="b">
        <v>0</v>
      </c>
      <c r="D11945" s="56" t="b">
        <v>0</v>
      </c>
      <c r="E11945" s="56">
        <f ca="1">IF(PV[[#This Row],[Business Date]]=Control!$C$6, PV[[#This Row],[Notional Value Local Cur]], -PV[[#This Row],[Notional Value Local Cur]])</f>
        <v>0</v>
      </c>
    </row>
    <row r="11946" spans="1:5" x14ac:dyDescent="0.25">
      <c r="A11946" s="36" t="b">
        <v>0</v>
      </c>
      <c r="B11946" s="56" t="b">
        <v>0</v>
      </c>
      <c r="C11946" s="56" t="b">
        <v>0</v>
      </c>
      <c r="D11946" s="56" t="b">
        <v>0</v>
      </c>
      <c r="E11946" s="56">
        <f ca="1">IF(PV[[#This Row],[Business Date]]=Control!$C$6, PV[[#This Row],[Notional Value Local Cur]], -PV[[#This Row],[Notional Value Local Cur]])</f>
        <v>0</v>
      </c>
    </row>
    <row r="11947" spans="1:5" x14ac:dyDescent="0.25">
      <c r="A11947" s="36" t="b">
        <v>0</v>
      </c>
      <c r="B11947" s="56" t="b">
        <v>0</v>
      </c>
      <c r="C11947" s="56" t="b">
        <v>0</v>
      </c>
      <c r="D11947" s="56" t="b">
        <v>0</v>
      </c>
      <c r="E11947" s="56">
        <f ca="1">IF(PV[[#This Row],[Business Date]]=Control!$C$6, PV[[#This Row],[Notional Value Local Cur]], -PV[[#This Row],[Notional Value Local Cur]])</f>
        <v>0</v>
      </c>
    </row>
    <row r="11948" spans="1:5" x14ac:dyDescent="0.25">
      <c r="A11948" s="36" t="b">
        <v>0</v>
      </c>
      <c r="B11948" s="56" t="b">
        <v>0</v>
      </c>
      <c r="C11948" s="56" t="b">
        <v>0</v>
      </c>
      <c r="D11948" s="56" t="b">
        <v>0</v>
      </c>
      <c r="E11948" s="56">
        <f ca="1">IF(PV[[#This Row],[Business Date]]=Control!$C$6, PV[[#This Row],[Notional Value Local Cur]], -PV[[#This Row],[Notional Value Local Cur]])</f>
        <v>0</v>
      </c>
    </row>
    <row r="11949" spans="1:5" x14ac:dyDescent="0.25">
      <c r="A11949" s="36" t="b">
        <v>0</v>
      </c>
      <c r="B11949" s="56" t="b">
        <v>0</v>
      </c>
      <c r="C11949" s="56" t="b">
        <v>0</v>
      </c>
      <c r="D11949" s="56" t="b">
        <v>0</v>
      </c>
      <c r="E11949" s="56">
        <f ca="1">IF(PV[[#This Row],[Business Date]]=Control!$C$6, PV[[#This Row],[Notional Value Local Cur]], -PV[[#This Row],[Notional Value Local Cur]])</f>
        <v>0</v>
      </c>
    </row>
    <row r="11950" spans="1:5" x14ac:dyDescent="0.25">
      <c r="A11950" s="36" t="b">
        <v>0</v>
      </c>
      <c r="B11950" s="56" t="b">
        <v>0</v>
      </c>
      <c r="C11950" s="56" t="b">
        <v>0</v>
      </c>
      <c r="D11950" s="56" t="b">
        <v>0</v>
      </c>
      <c r="E11950" s="56">
        <f ca="1">IF(PV[[#This Row],[Business Date]]=Control!$C$6, PV[[#This Row],[Notional Value Local Cur]], -PV[[#This Row],[Notional Value Local Cur]])</f>
        <v>0</v>
      </c>
    </row>
    <row r="11951" spans="1:5" x14ac:dyDescent="0.25">
      <c r="A11951" s="36" t="b">
        <v>0</v>
      </c>
      <c r="B11951" s="56" t="b">
        <v>0</v>
      </c>
      <c r="C11951" s="56" t="b">
        <v>0</v>
      </c>
      <c r="D11951" s="56" t="b">
        <v>0</v>
      </c>
      <c r="E11951" s="56">
        <f ca="1">IF(PV[[#This Row],[Business Date]]=Control!$C$6, PV[[#This Row],[Notional Value Local Cur]], -PV[[#This Row],[Notional Value Local Cur]])</f>
        <v>0</v>
      </c>
    </row>
    <row r="11952" spans="1:5" x14ac:dyDescent="0.25">
      <c r="A11952" s="36" t="b">
        <v>0</v>
      </c>
      <c r="B11952" s="56" t="b">
        <v>0</v>
      </c>
      <c r="C11952" s="56" t="b">
        <v>0</v>
      </c>
      <c r="D11952" s="56" t="b">
        <v>0</v>
      </c>
      <c r="E11952" s="56">
        <f ca="1">IF(PV[[#This Row],[Business Date]]=Control!$C$6, PV[[#This Row],[Notional Value Local Cur]], -PV[[#This Row],[Notional Value Local Cur]])</f>
        <v>0</v>
      </c>
    </row>
    <row r="11953" spans="1:5" x14ac:dyDescent="0.25">
      <c r="A11953" s="36" t="b">
        <v>0</v>
      </c>
      <c r="B11953" s="56" t="b">
        <v>0</v>
      </c>
      <c r="C11953" s="56" t="b">
        <v>0</v>
      </c>
      <c r="D11953" s="56" t="b">
        <v>0</v>
      </c>
      <c r="E11953" s="56">
        <f ca="1">IF(PV[[#This Row],[Business Date]]=Control!$C$6, PV[[#This Row],[Notional Value Local Cur]], -PV[[#This Row],[Notional Value Local Cur]])</f>
        <v>0</v>
      </c>
    </row>
    <row r="11954" spans="1:5" x14ac:dyDescent="0.25">
      <c r="A11954" s="36" t="b">
        <v>0</v>
      </c>
      <c r="B11954" s="56" t="b">
        <v>0</v>
      </c>
      <c r="C11954" s="56" t="b">
        <v>0</v>
      </c>
      <c r="D11954" s="56" t="b">
        <v>0</v>
      </c>
      <c r="E11954" s="56">
        <f ca="1">IF(PV[[#This Row],[Business Date]]=Control!$C$6, PV[[#This Row],[Notional Value Local Cur]], -PV[[#This Row],[Notional Value Local Cur]])</f>
        <v>0</v>
      </c>
    </row>
    <row r="11955" spans="1:5" x14ac:dyDescent="0.25">
      <c r="A11955" s="36" t="b">
        <v>0</v>
      </c>
      <c r="B11955" s="56" t="b">
        <v>0</v>
      </c>
      <c r="C11955" s="56" t="b">
        <v>0</v>
      </c>
      <c r="D11955" s="56" t="b">
        <v>0</v>
      </c>
      <c r="E11955" s="56">
        <f ca="1">IF(PV[[#This Row],[Business Date]]=Control!$C$6, PV[[#This Row],[Notional Value Local Cur]], -PV[[#This Row],[Notional Value Local Cur]])</f>
        <v>0</v>
      </c>
    </row>
    <row r="11956" spans="1:5" x14ac:dyDescent="0.25">
      <c r="A11956" s="36" t="b">
        <v>0</v>
      </c>
      <c r="B11956" s="56" t="b">
        <v>0</v>
      </c>
      <c r="C11956" s="56" t="b">
        <v>0</v>
      </c>
      <c r="D11956" s="56" t="b">
        <v>0</v>
      </c>
      <c r="E11956" s="56">
        <f ca="1">IF(PV[[#This Row],[Business Date]]=Control!$C$6, PV[[#This Row],[Notional Value Local Cur]], -PV[[#This Row],[Notional Value Local Cur]])</f>
        <v>0</v>
      </c>
    </row>
    <row r="11957" spans="1:5" x14ac:dyDescent="0.25">
      <c r="A11957" s="36" t="b">
        <v>0</v>
      </c>
      <c r="B11957" s="56" t="b">
        <v>0</v>
      </c>
      <c r="C11957" s="56" t="b">
        <v>0</v>
      </c>
      <c r="D11957" s="56" t="b">
        <v>0</v>
      </c>
      <c r="E11957" s="56">
        <f ca="1">IF(PV[[#This Row],[Business Date]]=Control!$C$6, PV[[#This Row],[Notional Value Local Cur]], -PV[[#This Row],[Notional Value Local Cur]])</f>
        <v>0</v>
      </c>
    </row>
    <row r="11958" spans="1:5" x14ac:dyDescent="0.25">
      <c r="A11958" s="36" t="b">
        <v>0</v>
      </c>
      <c r="B11958" s="56" t="b">
        <v>0</v>
      </c>
      <c r="C11958" s="56" t="b">
        <v>0</v>
      </c>
      <c r="D11958" s="56" t="b">
        <v>0</v>
      </c>
      <c r="E11958" s="56">
        <f ca="1">IF(PV[[#This Row],[Business Date]]=Control!$C$6, PV[[#This Row],[Notional Value Local Cur]], -PV[[#This Row],[Notional Value Local Cur]])</f>
        <v>0</v>
      </c>
    </row>
    <row r="11959" spans="1:5" x14ac:dyDescent="0.25">
      <c r="A11959" s="36" t="b">
        <v>0</v>
      </c>
      <c r="B11959" s="56" t="b">
        <v>0</v>
      </c>
      <c r="C11959" s="56" t="b">
        <v>0</v>
      </c>
      <c r="D11959" s="56" t="b">
        <v>0</v>
      </c>
      <c r="E11959" s="56">
        <f ca="1">IF(PV[[#This Row],[Business Date]]=Control!$C$6, PV[[#This Row],[Notional Value Local Cur]], -PV[[#This Row],[Notional Value Local Cur]])</f>
        <v>0</v>
      </c>
    </row>
    <row r="11960" spans="1:5" x14ac:dyDescent="0.25">
      <c r="A11960" s="36" t="b">
        <v>0</v>
      </c>
      <c r="B11960" s="56" t="b">
        <v>0</v>
      </c>
      <c r="C11960" s="56" t="b">
        <v>0</v>
      </c>
      <c r="D11960" s="56" t="b">
        <v>0</v>
      </c>
      <c r="E11960" s="56">
        <f ca="1">IF(PV[[#This Row],[Business Date]]=Control!$C$6, PV[[#This Row],[Notional Value Local Cur]], -PV[[#This Row],[Notional Value Local Cur]])</f>
        <v>0</v>
      </c>
    </row>
    <row r="11961" spans="1:5" x14ac:dyDescent="0.25">
      <c r="A11961" s="36" t="b">
        <v>0</v>
      </c>
      <c r="B11961" s="56" t="b">
        <v>0</v>
      </c>
      <c r="C11961" s="56" t="b">
        <v>0</v>
      </c>
      <c r="D11961" s="56" t="b">
        <v>0</v>
      </c>
      <c r="E11961" s="56">
        <f ca="1">IF(PV[[#This Row],[Business Date]]=Control!$C$6, PV[[#This Row],[Notional Value Local Cur]], -PV[[#This Row],[Notional Value Local Cur]])</f>
        <v>0</v>
      </c>
    </row>
    <row r="11962" spans="1:5" x14ac:dyDescent="0.25">
      <c r="A11962" s="36" t="b">
        <v>0</v>
      </c>
      <c r="B11962" s="56" t="b">
        <v>0</v>
      </c>
      <c r="C11962" s="56" t="b">
        <v>0</v>
      </c>
      <c r="D11962" s="56" t="b">
        <v>0</v>
      </c>
      <c r="E11962" s="56">
        <f ca="1">IF(PV[[#This Row],[Business Date]]=Control!$C$6, PV[[#This Row],[Notional Value Local Cur]], -PV[[#This Row],[Notional Value Local Cur]])</f>
        <v>0</v>
      </c>
    </row>
    <row r="11963" spans="1:5" x14ac:dyDescent="0.25">
      <c r="A11963" s="36" t="b">
        <v>0</v>
      </c>
      <c r="B11963" s="56" t="b">
        <v>0</v>
      </c>
      <c r="C11963" s="56" t="b">
        <v>0</v>
      </c>
      <c r="D11963" s="56" t="b">
        <v>0</v>
      </c>
      <c r="E11963" s="56">
        <f ca="1">IF(PV[[#This Row],[Business Date]]=Control!$C$6, PV[[#This Row],[Notional Value Local Cur]], -PV[[#This Row],[Notional Value Local Cur]])</f>
        <v>0</v>
      </c>
    </row>
    <row r="11964" spans="1:5" x14ac:dyDescent="0.25">
      <c r="A11964" s="36" t="b">
        <v>0</v>
      </c>
      <c r="B11964" s="56" t="b">
        <v>0</v>
      </c>
      <c r="C11964" s="56" t="b">
        <v>0</v>
      </c>
      <c r="D11964" s="56" t="b">
        <v>0</v>
      </c>
      <c r="E11964" s="56">
        <f ca="1">IF(PV[[#This Row],[Business Date]]=Control!$C$6, PV[[#This Row],[Notional Value Local Cur]], -PV[[#This Row],[Notional Value Local Cur]])</f>
        <v>0</v>
      </c>
    </row>
    <row r="11965" spans="1:5" x14ac:dyDescent="0.25">
      <c r="A11965" s="36" t="b">
        <v>0</v>
      </c>
      <c r="B11965" s="56" t="b">
        <v>0</v>
      </c>
      <c r="C11965" s="56" t="b">
        <v>0</v>
      </c>
      <c r="D11965" s="56" t="b">
        <v>0</v>
      </c>
      <c r="E11965" s="56">
        <f ca="1">IF(PV[[#This Row],[Business Date]]=Control!$C$6, PV[[#This Row],[Notional Value Local Cur]], -PV[[#This Row],[Notional Value Local Cur]])</f>
        <v>0</v>
      </c>
    </row>
    <row r="11966" spans="1:5" x14ac:dyDescent="0.25">
      <c r="A11966" s="36" t="b">
        <v>0</v>
      </c>
      <c r="B11966" s="56" t="b">
        <v>0</v>
      </c>
      <c r="C11966" s="56" t="b">
        <v>0</v>
      </c>
      <c r="D11966" s="56" t="b">
        <v>0</v>
      </c>
      <c r="E11966" s="56">
        <f ca="1">IF(PV[[#This Row],[Business Date]]=Control!$C$6, PV[[#This Row],[Notional Value Local Cur]], -PV[[#This Row],[Notional Value Local Cur]])</f>
        <v>0</v>
      </c>
    </row>
    <row r="11967" spans="1:5" x14ac:dyDescent="0.25">
      <c r="A11967" s="36" t="b">
        <v>0</v>
      </c>
      <c r="B11967" s="56" t="b">
        <v>0</v>
      </c>
      <c r="C11967" s="56" t="b">
        <v>0</v>
      </c>
      <c r="D11967" s="56" t="b">
        <v>0</v>
      </c>
      <c r="E11967" s="56">
        <f ca="1">IF(PV[[#This Row],[Business Date]]=Control!$C$6, PV[[#This Row],[Notional Value Local Cur]], -PV[[#This Row],[Notional Value Local Cur]])</f>
        <v>0</v>
      </c>
    </row>
    <row r="11968" spans="1:5" x14ac:dyDescent="0.25">
      <c r="A11968" s="36" t="b">
        <v>0</v>
      </c>
      <c r="B11968" s="56" t="b">
        <v>0</v>
      </c>
      <c r="C11968" s="56" t="b">
        <v>0</v>
      </c>
      <c r="D11968" s="56" t="b">
        <v>0</v>
      </c>
      <c r="E11968" s="56">
        <f ca="1">IF(PV[[#This Row],[Business Date]]=Control!$C$6, PV[[#This Row],[Notional Value Local Cur]], -PV[[#This Row],[Notional Value Local Cur]])</f>
        <v>0</v>
      </c>
    </row>
    <row r="11969" spans="1:5" x14ac:dyDescent="0.25">
      <c r="A11969" s="36" t="b">
        <v>0</v>
      </c>
      <c r="B11969" s="56" t="b">
        <v>0</v>
      </c>
      <c r="C11969" s="56" t="b">
        <v>0</v>
      </c>
      <c r="D11969" s="56" t="b">
        <v>0</v>
      </c>
      <c r="E11969" s="56">
        <f ca="1">IF(PV[[#This Row],[Business Date]]=Control!$C$6, PV[[#This Row],[Notional Value Local Cur]], -PV[[#This Row],[Notional Value Local Cur]])</f>
        <v>0</v>
      </c>
    </row>
    <row r="11970" spans="1:5" x14ac:dyDescent="0.25">
      <c r="A11970" s="36" t="b">
        <v>0</v>
      </c>
      <c r="B11970" s="56" t="b">
        <v>0</v>
      </c>
      <c r="C11970" s="56" t="b">
        <v>0</v>
      </c>
      <c r="D11970" s="56" t="b">
        <v>0</v>
      </c>
      <c r="E11970" s="56">
        <f ca="1">IF(PV[[#This Row],[Business Date]]=Control!$C$6, PV[[#This Row],[Notional Value Local Cur]], -PV[[#This Row],[Notional Value Local Cur]])</f>
        <v>0</v>
      </c>
    </row>
    <row r="11971" spans="1:5" x14ac:dyDescent="0.25">
      <c r="A11971" s="36" t="b">
        <v>0</v>
      </c>
      <c r="B11971" s="56" t="b">
        <v>0</v>
      </c>
      <c r="C11971" s="56" t="b">
        <v>0</v>
      </c>
      <c r="D11971" s="56" t="b">
        <v>0</v>
      </c>
      <c r="E11971" s="56">
        <f ca="1">IF(PV[[#This Row],[Business Date]]=Control!$C$6, PV[[#This Row],[Notional Value Local Cur]], -PV[[#This Row],[Notional Value Local Cur]])</f>
        <v>0</v>
      </c>
    </row>
    <row r="11972" spans="1:5" x14ac:dyDescent="0.25">
      <c r="A11972" s="36" t="b">
        <v>0</v>
      </c>
      <c r="B11972" s="56" t="b">
        <v>0</v>
      </c>
      <c r="C11972" s="56" t="b">
        <v>0</v>
      </c>
      <c r="D11972" s="56" t="b">
        <v>0</v>
      </c>
      <c r="E11972" s="56">
        <f ca="1">IF(PV[[#This Row],[Business Date]]=Control!$C$6, PV[[#This Row],[Notional Value Local Cur]], -PV[[#This Row],[Notional Value Local Cur]])</f>
        <v>0</v>
      </c>
    </row>
    <row r="11973" spans="1:5" x14ac:dyDescent="0.25">
      <c r="A11973" s="36" t="b">
        <v>0</v>
      </c>
      <c r="B11973" s="56" t="b">
        <v>0</v>
      </c>
      <c r="C11973" s="56" t="b">
        <v>0</v>
      </c>
      <c r="D11973" s="56" t="b">
        <v>0</v>
      </c>
      <c r="E11973" s="56">
        <f ca="1">IF(PV[[#This Row],[Business Date]]=Control!$C$6, PV[[#This Row],[Notional Value Local Cur]], -PV[[#This Row],[Notional Value Local Cur]])</f>
        <v>0</v>
      </c>
    </row>
    <row r="11974" spans="1:5" x14ac:dyDescent="0.25">
      <c r="A11974" s="36" t="b">
        <v>0</v>
      </c>
      <c r="B11974" s="56" t="b">
        <v>0</v>
      </c>
      <c r="C11974" s="56" t="b">
        <v>0</v>
      </c>
      <c r="D11974" s="56" t="b">
        <v>0</v>
      </c>
      <c r="E11974" s="56">
        <f ca="1">IF(PV[[#This Row],[Business Date]]=Control!$C$6, PV[[#This Row],[Notional Value Local Cur]], -PV[[#This Row],[Notional Value Local Cur]])</f>
        <v>0</v>
      </c>
    </row>
    <row r="11975" spans="1:5" x14ac:dyDescent="0.25">
      <c r="A11975" s="36" t="b">
        <v>0</v>
      </c>
      <c r="B11975" s="56" t="b">
        <v>0</v>
      </c>
      <c r="C11975" s="56" t="b">
        <v>0</v>
      </c>
      <c r="D11975" s="56" t="b">
        <v>0</v>
      </c>
      <c r="E11975" s="56">
        <f ca="1">IF(PV[[#This Row],[Business Date]]=Control!$C$6, PV[[#This Row],[Notional Value Local Cur]], -PV[[#This Row],[Notional Value Local Cur]])</f>
        <v>0</v>
      </c>
    </row>
    <row r="11976" spans="1:5" x14ac:dyDescent="0.25">
      <c r="A11976" s="36" t="b">
        <v>0</v>
      </c>
      <c r="B11976" s="56" t="b">
        <v>0</v>
      </c>
      <c r="C11976" s="56" t="b">
        <v>0</v>
      </c>
      <c r="D11976" s="56" t="b">
        <v>0</v>
      </c>
      <c r="E11976" s="56">
        <f ca="1">IF(PV[[#This Row],[Business Date]]=Control!$C$6, PV[[#This Row],[Notional Value Local Cur]], -PV[[#This Row],[Notional Value Local Cur]])</f>
        <v>0</v>
      </c>
    </row>
    <row r="11977" spans="1:5" x14ac:dyDescent="0.25">
      <c r="A11977" s="36" t="b">
        <v>0</v>
      </c>
      <c r="B11977" s="56" t="b">
        <v>0</v>
      </c>
      <c r="C11977" s="56" t="b">
        <v>0</v>
      </c>
      <c r="D11977" s="56" t="b">
        <v>0</v>
      </c>
      <c r="E11977" s="56">
        <f ca="1">IF(PV[[#This Row],[Business Date]]=Control!$C$6, PV[[#This Row],[Notional Value Local Cur]], -PV[[#This Row],[Notional Value Local Cur]])</f>
        <v>0</v>
      </c>
    </row>
    <row r="11978" spans="1:5" x14ac:dyDescent="0.25">
      <c r="A11978" s="36" t="b">
        <v>0</v>
      </c>
      <c r="B11978" s="56" t="b">
        <v>0</v>
      </c>
      <c r="C11978" s="56" t="b">
        <v>0</v>
      </c>
      <c r="D11978" s="56" t="b">
        <v>0</v>
      </c>
      <c r="E11978" s="56">
        <f ca="1">IF(PV[[#This Row],[Business Date]]=Control!$C$6, PV[[#This Row],[Notional Value Local Cur]], -PV[[#This Row],[Notional Value Local Cur]])</f>
        <v>0</v>
      </c>
    </row>
    <row r="11979" spans="1:5" x14ac:dyDescent="0.25">
      <c r="A11979" s="36" t="b">
        <v>0</v>
      </c>
      <c r="B11979" s="56" t="b">
        <v>0</v>
      </c>
      <c r="C11979" s="56" t="b">
        <v>0</v>
      </c>
      <c r="D11979" s="56" t="b">
        <v>0</v>
      </c>
      <c r="E11979" s="56">
        <f ca="1">IF(PV[[#This Row],[Business Date]]=Control!$C$6, PV[[#This Row],[Notional Value Local Cur]], -PV[[#This Row],[Notional Value Local Cur]])</f>
        <v>0</v>
      </c>
    </row>
    <row r="11980" spans="1:5" x14ac:dyDescent="0.25">
      <c r="A11980" s="36" t="b">
        <v>0</v>
      </c>
      <c r="B11980" s="56" t="b">
        <v>0</v>
      </c>
      <c r="C11980" s="56" t="b">
        <v>0</v>
      </c>
      <c r="D11980" s="56" t="b">
        <v>0</v>
      </c>
      <c r="E11980" s="56">
        <f ca="1">IF(PV[[#This Row],[Business Date]]=Control!$C$6, PV[[#This Row],[Notional Value Local Cur]], -PV[[#This Row],[Notional Value Local Cur]])</f>
        <v>0</v>
      </c>
    </row>
    <row r="11981" spans="1:5" x14ac:dyDescent="0.25">
      <c r="A11981" s="36" t="b">
        <v>0</v>
      </c>
      <c r="B11981" s="56" t="b">
        <v>0</v>
      </c>
      <c r="C11981" s="56" t="b">
        <v>0</v>
      </c>
      <c r="D11981" s="56" t="b">
        <v>0</v>
      </c>
      <c r="E11981" s="56">
        <f ca="1">IF(PV[[#This Row],[Business Date]]=Control!$C$6, PV[[#This Row],[Notional Value Local Cur]], -PV[[#This Row],[Notional Value Local Cur]])</f>
        <v>0</v>
      </c>
    </row>
    <row r="11982" spans="1:5" x14ac:dyDescent="0.25">
      <c r="A11982" s="36" t="b">
        <v>0</v>
      </c>
      <c r="B11982" s="56" t="b">
        <v>0</v>
      </c>
      <c r="C11982" s="56" t="b">
        <v>0</v>
      </c>
      <c r="D11982" s="56" t="b">
        <v>0</v>
      </c>
      <c r="E11982" s="56">
        <f ca="1">IF(PV[[#This Row],[Business Date]]=Control!$C$6, PV[[#This Row],[Notional Value Local Cur]], -PV[[#This Row],[Notional Value Local Cur]])</f>
        <v>0</v>
      </c>
    </row>
    <row r="11983" spans="1:5" x14ac:dyDescent="0.25">
      <c r="A11983" s="36" t="b">
        <v>0</v>
      </c>
      <c r="B11983" s="56" t="b">
        <v>0</v>
      </c>
      <c r="C11983" s="56" t="b">
        <v>0</v>
      </c>
      <c r="D11983" s="56" t="b">
        <v>0</v>
      </c>
      <c r="E11983" s="56">
        <f ca="1">IF(PV[[#This Row],[Business Date]]=Control!$C$6, PV[[#This Row],[Notional Value Local Cur]], -PV[[#This Row],[Notional Value Local Cur]])</f>
        <v>0</v>
      </c>
    </row>
    <row r="11984" spans="1:5" x14ac:dyDescent="0.25">
      <c r="A11984" s="36" t="b">
        <v>0</v>
      </c>
      <c r="B11984" s="56" t="b">
        <v>0</v>
      </c>
      <c r="C11984" s="56" t="b">
        <v>0</v>
      </c>
      <c r="D11984" s="56" t="b">
        <v>0</v>
      </c>
      <c r="E11984" s="56">
        <f ca="1">IF(PV[[#This Row],[Business Date]]=Control!$C$6, PV[[#This Row],[Notional Value Local Cur]], -PV[[#This Row],[Notional Value Local Cur]])</f>
        <v>0</v>
      </c>
    </row>
    <row r="11985" spans="1:5" x14ac:dyDescent="0.25">
      <c r="A11985" s="36" t="b">
        <v>0</v>
      </c>
      <c r="B11985" s="56" t="b">
        <v>0</v>
      </c>
      <c r="C11985" s="56" t="b">
        <v>0</v>
      </c>
      <c r="D11985" s="56" t="b">
        <v>0</v>
      </c>
      <c r="E11985" s="56">
        <f ca="1">IF(PV[[#This Row],[Business Date]]=Control!$C$6, PV[[#This Row],[Notional Value Local Cur]], -PV[[#This Row],[Notional Value Local Cur]])</f>
        <v>0</v>
      </c>
    </row>
    <row r="11986" spans="1:5" x14ac:dyDescent="0.25">
      <c r="A11986" s="36" t="b">
        <v>0</v>
      </c>
      <c r="B11986" s="56" t="b">
        <v>0</v>
      </c>
      <c r="C11986" s="56" t="b">
        <v>0</v>
      </c>
      <c r="D11986" s="56" t="b">
        <v>0</v>
      </c>
      <c r="E11986" s="56">
        <f ca="1">IF(PV[[#This Row],[Business Date]]=Control!$C$6, PV[[#This Row],[Notional Value Local Cur]], -PV[[#This Row],[Notional Value Local Cur]])</f>
        <v>0</v>
      </c>
    </row>
    <row r="11987" spans="1:5" x14ac:dyDescent="0.25">
      <c r="A11987" s="36" t="b">
        <v>0</v>
      </c>
      <c r="B11987" s="56" t="b">
        <v>0</v>
      </c>
      <c r="C11987" s="56" t="b">
        <v>0</v>
      </c>
      <c r="D11987" s="56" t="b">
        <v>0</v>
      </c>
      <c r="E11987" s="56">
        <f ca="1">IF(PV[[#This Row],[Business Date]]=Control!$C$6, PV[[#This Row],[Notional Value Local Cur]], -PV[[#This Row],[Notional Value Local Cur]])</f>
        <v>0</v>
      </c>
    </row>
    <row r="11988" spans="1:5" x14ac:dyDescent="0.25">
      <c r="A11988" s="36" t="b">
        <v>0</v>
      </c>
      <c r="B11988" s="56" t="b">
        <v>0</v>
      </c>
      <c r="C11988" s="56" t="b">
        <v>0</v>
      </c>
      <c r="D11988" s="56" t="b">
        <v>0</v>
      </c>
      <c r="E11988" s="56">
        <f ca="1">IF(PV[[#This Row],[Business Date]]=Control!$C$6, PV[[#This Row],[Notional Value Local Cur]], -PV[[#This Row],[Notional Value Local Cur]])</f>
        <v>0</v>
      </c>
    </row>
    <row r="11989" spans="1:5" x14ac:dyDescent="0.25">
      <c r="A11989" s="36" t="b">
        <v>0</v>
      </c>
      <c r="B11989" s="56" t="b">
        <v>0</v>
      </c>
      <c r="C11989" s="56" t="b">
        <v>0</v>
      </c>
      <c r="D11989" s="56" t="b">
        <v>0</v>
      </c>
      <c r="E11989" s="56">
        <f ca="1">IF(PV[[#This Row],[Business Date]]=Control!$C$6, PV[[#This Row],[Notional Value Local Cur]], -PV[[#This Row],[Notional Value Local Cur]])</f>
        <v>0</v>
      </c>
    </row>
    <row r="11990" spans="1:5" x14ac:dyDescent="0.25">
      <c r="A11990" s="36" t="b">
        <v>0</v>
      </c>
      <c r="B11990" s="56" t="b">
        <v>0</v>
      </c>
      <c r="C11990" s="56" t="b">
        <v>0</v>
      </c>
      <c r="D11990" s="56" t="b">
        <v>0</v>
      </c>
      <c r="E11990" s="56">
        <f ca="1">IF(PV[[#This Row],[Business Date]]=Control!$C$6, PV[[#This Row],[Notional Value Local Cur]], -PV[[#This Row],[Notional Value Local Cur]])</f>
        <v>0</v>
      </c>
    </row>
    <row r="11991" spans="1:5" x14ac:dyDescent="0.25">
      <c r="A11991" s="36" t="b">
        <v>0</v>
      </c>
      <c r="B11991" s="56" t="b">
        <v>0</v>
      </c>
      <c r="C11991" s="56" t="b">
        <v>0</v>
      </c>
      <c r="D11991" s="56" t="b">
        <v>0</v>
      </c>
      <c r="E11991" s="56">
        <f ca="1">IF(PV[[#This Row],[Business Date]]=Control!$C$6, PV[[#This Row],[Notional Value Local Cur]], -PV[[#This Row],[Notional Value Local Cur]])</f>
        <v>0</v>
      </c>
    </row>
    <row r="11992" spans="1:5" x14ac:dyDescent="0.25">
      <c r="A11992" s="36" t="b">
        <v>0</v>
      </c>
      <c r="B11992" s="56" t="b">
        <v>0</v>
      </c>
      <c r="C11992" s="56" t="b">
        <v>0</v>
      </c>
      <c r="D11992" s="56" t="b">
        <v>0</v>
      </c>
      <c r="E11992" s="56">
        <f ca="1">IF(PV[[#This Row],[Business Date]]=Control!$C$6, PV[[#This Row],[Notional Value Local Cur]], -PV[[#This Row],[Notional Value Local Cur]])</f>
        <v>0</v>
      </c>
    </row>
    <row r="11993" spans="1:5" x14ac:dyDescent="0.25">
      <c r="A11993" s="36" t="b">
        <v>0</v>
      </c>
      <c r="B11993" s="56" t="b">
        <v>0</v>
      </c>
      <c r="C11993" s="56" t="b">
        <v>0</v>
      </c>
      <c r="D11993" s="56" t="b">
        <v>0</v>
      </c>
      <c r="E11993" s="56">
        <f ca="1">IF(PV[[#This Row],[Business Date]]=Control!$C$6, PV[[#This Row],[Notional Value Local Cur]], -PV[[#This Row],[Notional Value Local Cur]])</f>
        <v>0</v>
      </c>
    </row>
    <row r="11994" spans="1:5" x14ac:dyDescent="0.25">
      <c r="A11994" s="36" t="b">
        <v>0</v>
      </c>
      <c r="B11994" s="56" t="b">
        <v>0</v>
      </c>
      <c r="C11994" s="56" t="b">
        <v>0</v>
      </c>
      <c r="D11994" s="56" t="b">
        <v>0</v>
      </c>
      <c r="E11994" s="56">
        <f ca="1">IF(PV[[#This Row],[Business Date]]=Control!$C$6, PV[[#This Row],[Notional Value Local Cur]], -PV[[#This Row],[Notional Value Local Cur]])</f>
        <v>0</v>
      </c>
    </row>
    <row r="11995" spans="1:5" x14ac:dyDescent="0.25">
      <c r="A11995" s="36" t="b">
        <v>0</v>
      </c>
      <c r="B11995" s="56" t="b">
        <v>0</v>
      </c>
      <c r="C11995" s="56" t="b">
        <v>0</v>
      </c>
      <c r="D11995" s="56" t="b">
        <v>0</v>
      </c>
      <c r="E11995" s="56">
        <f ca="1">IF(PV[[#This Row],[Business Date]]=Control!$C$6, PV[[#This Row],[Notional Value Local Cur]], -PV[[#This Row],[Notional Value Local Cur]])</f>
        <v>0</v>
      </c>
    </row>
    <row r="11996" spans="1:5" x14ac:dyDescent="0.25">
      <c r="A11996" s="36" t="b">
        <v>0</v>
      </c>
      <c r="B11996" s="56" t="b">
        <v>0</v>
      </c>
      <c r="C11996" s="56" t="b">
        <v>0</v>
      </c>
      <c r="D11996" s="56" t="b">
        <v>0</v>
      </c>
      <c r="E11996" s="56">
        <f ca="1">IF(PV[[#This Row],[Business Date]]=Control!$C$6, PV[[#This Row],[Notional Value Local Cur]], -PV[[#This Row],[Notional Value Local Cur]])</f>
        <v>0</v>
      </c>
    </row>
    <row r="11997" spans="1:5" x14ac:dyDescent="0.25">
      <c r="A11997" s="36" t="b">
        <v>0</v>
      </c>
      <c r="B11997" s="56" t="b">
        <v>0</v>
      </c>
      <c r="C11997" s="56" t="b">
        <v>0</v>
      </c>
      <c r="D11997" s="56" t="b">
        <v>0</v>
      </c>
      <c r="E11997" s="56">
        <f ca="1">IF(PV[[#This Row],[Business Date]]=Control!$C$6, PV[[#This Row],[Notional Value Local Cur]], -PV[[#This Row],[Notional Value Local Cur]])</f>
        <v>0</v>
      </c>
    </row>
    <row r="11998" spans="1:5" x14ac:dyDescent="0.25">
      <c r="A11998" s="36" t="b">
        <v>0</v>
      </c>
      <c r="B11998" s="56" t="b">
        <v>0</v>
      </c>
      <c r="C11998" s="56" t="b">
        <v>0</v>
      </c>
      <c r="D11998" s="56" t="b">
        <v>0</v>
      </c>
      <c r="E11998" s="56">
        <f ca="1">IF(PV[[#This Row],[Business Date]]=Control!$C$6, PV[[#This Row],[Notional Value Local Cur]], -PV[[#This Row],[Notional Value Local Cur]])</f>
        <v>0</v>
      </c>
    </row>
    <row r="11999" spans="1:5" x14ac:dyDescent="0.25">
      <c r="A11999" s="36" t="b">
        <v>0</v>
      </c>
      <c r="B11999" s="56" t="b">
        <v>0</v>
      </c>
      <c r="C11999" s="56" t="b">
        <v>0</v>
      </c>
      <c r="D11999" s="56" t="b">
        <v>0</v>
      </c>
      <c r="E11999" s="56">
        <f ca="1">IF(PV[[#This Row],[Business Date]]=Control!$C$6, PV[[#This Row],[Notional Value Local Cur]], -PV[[#This Row],[Notional Value Local Cur]])</f>
        <v>0</v>
      </c>
    </row>
    <row r="12000" spans="1:5" x14ac:dyDescent="0.25">
      <c r="A12000" s="36" t="b">
        <v>0</v>
      </c>
      <c r="B12000" s="56" t="b">
        <v>0</v>
      </c>
      <c r="C12000" s="56" t="b">
        <v>0</v>
      </c>
      <c r="D12000" s="56" t="b">
        <v>0</v>
      </c>
      <c r="E12000" s="56">
        <f ca="1">IF(PV[[#This Row],[Business Date]]=Control!$C$6, PV[[#This Row],[Notional Value Local Cur]], -PV[[#This Row],[Notional Value Local Cur]])</f>
        <v>0</v>
      </c>
    </row>
    <row r="12001" spans="1:5" x14ac:dyDescent="0.25">
      <c r="A12001" s="36" t="b">
        <v>0</v>
      </c>
      <c r="B12001" s="56" t="b">
        <v>0</v>
      </c>
      <c r="C12001" s="56" t="b">
        <v>0</v>
      </c>
      <c r="D12001" s="56" t="b">
        <v>0</v>
      </c>
      <c r="E12001" s="56">
        <f ca="1">IF(PV[[#This Row],[Business Date]]=Control!$C$6, PV[[#This Row],[Notional Value Local Cur]], -PV[[#This Row],[Notional Value Local Cur]])</f>
        <v>0</v>
      </c>
    </row>
    <row r="12002" spans="1:5" x14ac:dyDescent="0.25">
      <c r="A12002" s="36" t="b">
        <v>0</v>
      </c>
      <c r="B12002" s="56" t="b">
        <v>0</v>
      </c>
      <c r="C12002" s="56" t="b">
        <v>0</v>
      </c>
      <c r="D12002" s="56" t="b">
        <v>0</v>
      </c>
      <c r="E12002" s="56">
        <f ca="1">IF(PV[[#This Row],[Business Date]]=Control!$C$6, PV[[#This Row],[Notional Value Local Cur]], -PV[[#This Row],[Notional Value Local Cur]])</f>
        <v>0</v>
      </c>
    </row>
    <row r="12003" spans="1:5" x14ac:dyDescent="0.25">
      <c r="A12003" s="36" t="b">
        <v>0</v>
      </c>
      <c r="B12003" s="56" t="b">
        <v>0</v>
      </c>
      <c r="C12003" s="56" t="b">
        <v>0</v>
      </c>
      <c r="D12003" s="56" t="b">
        <v>0</v>
      </c>
      <c r="E12003" s="56">
        <f ca="1">IF(PV[[#This Row],[Business Date]]=Control!$C$6, PV[[#This Row],[Notional Value Local Cur]], -PV[[#This Row],[Notional Value Local Cur]])</f>
        <v>0</v>
      </c>
    </row>
    <row r="12004" spans="1:5" x14ac:dyDescent="0.25">
      <c r="A12004" s="36" t="b">
        <v>0</v>
      </c>
      <c r="B12004" s="56" t="b">
        <v>0</v>
      </c>
      <c r="C12004" s="56" t="b">
        <v>0</v>
      </c>
      <c r="D12004" s="56" t="b">
        <v>0</v>
      </c>
      <c r="E12004" s="56">
        <f ca="1">IF(PV[[#This Row],[Business Date]]=Control!$C$6, PV[[#This Row],[Notional Value Local Cur]], -PV[[#This Row],[Notional Value Local Cur]])</f>
        <v>0</v>
      </c>
    </row>
    <row r="12005" spans="1:5" x14ac:dyDescent="0.25">
      <c r="A12005" s="36" t="b">
        <v>0</v>
      </c>
      <c r="B12005" s="56" t="b">
        <v>0</v>
      </c>
      <c r="C12005" s="56" t="b">
        <v>0</v>
      </c>
      <c r="D12005" s="56" t="b">
        <v>0</v>
      </c>
      <c r="E12005" s="56">
        <f ca="1">IF(PV[[#This Row],[Business Date]]=Control!$C$6, PV[[#This Row],[Notional Value Local Cur]], -PV[[#This Row],[Notional Value Local Cur]])</f>
        <v>0</v>
      </c>
    </row>
    <row r="12006" spans="1:5" x14ac:dyDescent="0.25">
      <c r="A12006" s="36" t="b">
        <v>0</v>
      </c>
      <c r="B12006" s="56" t="b">
        <v>0</v>
      </c>
      <c r="C12006" s="56" t="b">
        <v>0</v>
      </c>
      <c r="D12006" s="56" t="b">
        <v>0</v>
      </c>
      <c r="E12006" s="56">
        <f ca="1">IF(PV[[#This Row],[Business Date]]=Control!$C$6, PV[[#This Row],[Notional Value Local Cur]], -PV[[#This Row],[Notional Value Local Cur]])</f>
        <v>0</v>
      </c>
    </row>
    <row r="12007" spans="1:5" x14ac:dyDescent="0.25">
      <c r="A12007" s="36" t="b">
        <v>0</v>
      </c>
      <c r="B12007" s="56" t="b">
        <v>0</v>
      </c>
      <c r="C12007" s="56" t="b">
        <v>0</v>
      </c>
      <c r="D12007" s="56" t="b">
        <v>0</v>
      </c>
      <c r="E12007" s="56">
        <f ca="1">IF(PV[[#This Row],[Business Date]]=Control!$C$6, PV[[#This Row],[Notional Value Local Cur]], -PV[[#This Row],[Notional Value Local Cur]])</f>
        <v>0</v>
      </c>
    </row>
    <row r="12008" spans="1:5" x14ac:dyDescent="0.25">
      <c r="A12008" s="36" t="b">
        <v>0</v>
      </c>
      <c r="B12008" s="56" t="b">
        <v>0</v>
      </c>
      <c r="C12008" s="56" t="b">
        <v>0</v>
      </c>
      <c r="D12008" s="56" t="b">
        <v>0</v>
      </c>
      <c r="E12008" s="56">
        <f ca="1">IF(PV[[#This Row],[Business Date]]=Control!$C$6, PV[[#This Row],[Notional Value Local Cur]], -PV[[#This Row],[Notional Value Local Cur]])</f>
        <v>0</v>
      </c>
    </row>
    <row r="12009" spans="1:5" x14ac:dyDescent="0.25">
      <c r="A12009" s="36" t="b">
        <v>0</v>
      </c>
      <c r="B12009" s="56" t="b">
        <v>0</v>
      </c>
      <c r="C12009" s="56" t="b">
        <v>0</v>
      </c>
      <c r="D12009" s="56" t="b">
        <v>0</v>
      </c>
      <c r="E12009" s="56">
        <f ca="1">IF(PV[[#This Row],[Business Date]]=Control!$C$6, PV[[#This Row],[Notional Value Local Cur]], -PV[[#This Row],[Notional Value Local Cur]])</f>
        <v>0</v>
      </c>
    </row>
    <row r="12010" spans="1:5" x14ac:dyDescent="0.25">
      <c r="A12010" s="36" t="b">
        <v>0</v>
      </c>
      <c r="B12010" s="56" t="b">
        <v>0</v>
      </c>
      <c r="C12010" s="56" t="b">
        <v>0</v>
      </c>
      <c r="D12010" s="56" t="b">
        <v>0</v>
      </c>
      <c r="E12010" s="56">
        <f ca="1">IF(PV[[#This Row],[Business Date]]=Control!$C$6, PV[[#This Row],[Notional Value Local Cur]], -PV[[#This Row],[Notional Value Local Cur]])</f>
        <v>0</v>
      </c>
    </row>
    <row r="12011" spans="1:5" x14ac:dyDescent="0.25">
      <c r="A12011" s="36" t="b">
        <v>0</v>
      </c>
      <c r="B12011" s="56" t="b">
        <v>0</v>
      </c>
      <c r="C12011" s="56" t="b">
        <v>0</v>
      </c>
      <c r="D12011" s="56" t="b">
        <v>0</v>
      </c>
      <c r="E12011" s="56">
        <f ca="1">IF(PV[[#This Row],[Business Date]]=Control!$C$6, PV[[#This Row],[Notional Value Local Cur]], -PV[[#This Row],[Notional Value Local Cur]])</f>
        <v>0</v>
      </c>
    </row>
    <row r="12012" spans="1:5" x14ac:dyDescent="0.25">
      <c r="A12012" s="36" t="b">
        <v>0</v>
      </c>
      <c r="B12012" s="56" t="b">
        <v>0</v>
      </c>
      <c r="C12012" s="56" t="b">
        <v>0</v>
      </c>
      <c r="D12012" s="56" t="b">
        <v>0</v>
      </c>
      <c r="E12012" s="56">
        <f ca="1">IF(PV[[#This Row],[Business Date]]=Control!$C$6, PV[[#This Row],[Notional Value Local Cur]], -PV[[#This Row],[Notional Value Local Cur]])</f>
        <v>0</v>
      </c>
    </row>
    <row r="12013" spans="1:5" x14ac:dyDescent="0.25">
      <c r="A12013" s="36" t="b">
        <v>0</v>
      </c>
      <c r="B12013" s="56" t="b">
        <v>0</v>
      </c>
      <c r="C12013" s="56" t="b">
        <v>0</v>
      </c>
      <c r="D12013" s="56" t="b">
        <v>0</v>
      </c>
      <c r="E12013" s="56">
        <f ca="1">IF(PV[[#This Row],[Business Date]]=Control!$C$6, PV[[#This Row],[Notional Value Local Cur]], -PV[[#This Row],[Notional Value Local Cur]])</f>
        <v>0</v>
      </c>
    </row>
    <row r="12014" spans="1:5" x14ac:dyDescent="0.25">
      <c r="A12014" s="36" t="b">
        <v>0</v>
      </c>
      <c r="B12014" s="56" t="b">
        <v>0</v>
      </c>
      <c r="C12014" s="56" t="b">
        <v>0</v>
      </c>
      <c r="D12014" s="56" t="b">
        <v>0</v>
      </c>
      <c r="E12014" s="56">
        <f ca="1">IF(PV[[#This Row],[Business Date]]=Control!$C$6, PV[[#This Row],[Notional Value Local Cur]], -PV[[#This Row],[Notional Value Local Cur]])</f>
        <v>0</v>
      </c>
    </row>
    <row r="12015" spans="1:5" x14ac:dyDescent="0.25">
      <c r="A12015" s="36" t="b">
        <v>0</v>
      </c>
      <c r="B12015" s="56" t="b">
        <v>0</v>
      </c>
      <c r="C12015" s="56" t="b">
        <v>0</v>
      </c>
      <c r="D12015" s="56" t="b">
        <v>0</v>
      </c>
      <c r="E12015" s="56">
        <f ca="1">IF(PV[[#This Row],[Business Date]]=Control!$C$6, PV[[#This Row],[Notional Value Local Cur]], -PV[[#This Row],[Notional Value Local Cur]])</f>
        <v>0</v>
      </c>
    </row>
    <row r="12016" spans="1:5" x14ac:dyDescent="0.25">
      <c r="A12016" s="36" t="b">
        <v>0</v>
      </c>
      <c r="B12016" s="56" t="b">
        <v>0</v>
      </c>
      <c r="C12016" s="56" t="b">
        <v>0</v>
      </c>
      <c r="D12016" s="56" t="b">
        <v>0</v>
      </c>
      <c r="E12016" s="56">
        <f ca="1">IF(PV[[#This Row],[Business Date]]=Control!$C$6, PV[[#This Row],[Notional Value Local Cur]], -PV[[#This Row],[Notional Value Local Cur]])</f>
        <v>0</v>
      </c>
    </row>
    <row r="12017" spans="1:5" x14ac:dyDescent="0.25">
      <c r="A12017" s="36" t="b">
        <v>0</v>
      </c>
      <c r="B12017" s="56" t="b">
        <v>0</v>
      </c>
      <c r="C12017" s="56" t="b">
        <v>0</v>
      </c>
      <c r="D12017" s="56" t="b">
        <v>0</v>
      </c>
      <c r="E12017" s="56">
        <f ca="1">IF(PV[[#This Row],[Business Date]]=Control!$C$6, PV[[#This Row],[Notional Value Local Cur]], -PV[[#This Row],[Notional Value Local Cur]])</f>
        <v>0</v>
      </c>
    </row>
    <row r="12018" spans="1:5" x14ac:dyDescent="0.25">
      <c r="A12018" s="36" t="b">
        <v>0</v>
      </c>
      <c r="B12018" s="56" t="b">
        <v>0</v>
      </c>
      <c r="C12018" s="56" t="b">
        <v>0</v>
      </c>
      <c r="D12018" s="56" t="b">
        <v>0</v>
      </c>
      <c r="E12018" s="56">
        <f ca="1">IF(PV[[#This Row],[Business Date]]=Control!$C$6, PV[[#This Row],[Notional Value Local Cur]], -PV[[#This Row],[Notional Value Local Cur]])</f>
        <v>0</v>
      </c>
    </row>
    <row r="12019" spans="1:5" x14ac:dyDescent="0.25">
      <c r="A12019" s="36" t="b">
        <v>0</v>
      </c>
      <c r="B12019" s="56" t="b">
        <v>0</v>
      </c>
      <c r="C12019" s="56" t="b">
        <v>0</v>
      </c>
      <c r="D12019" s="56" t="b">
        <v>0</v>
      </c>
      <c r="E12019" s="56">
        <f ca="1">IF(PV[[#This Row],[Business Date]]=Control!$C$6, PV[[#This Row],[Notional Value Local Cur]], -PV[[#This Row],[Notional Value Local Cur]])</f>
        <v>0</v>
      </c>
    </row>
    <row r="12020" spans="1:5" x14ac:dyDescent="0.25">
      <c r="A12020" s="36" t="b">
        <v>0</v>
      </c>
      <c r="B12020" s="56" t="b">
        <v>0</v>
      </c>
      <c r="C12020" s="56" t="b">
        <v>0</v>
      </c>
      <c r="D12020" s="56" t="b">
        <v>0</v>
      </c>
      <c r="E12020" s="56">
        <f ca="1">IF(PV[[#This Row],[Business Date]]=Control!$C$6, PV[[#This Row],[Notional Value Local Cur]], -PV[[#This Row],[Notional Value Local Cur]])</f>
        <v>0</v>
      </c>
    </row>
    <row r="12021" spans="1:5" x14ac:dyDescent="0.25">
      <c r="A12021" s="36" t="b">
        <v>0</v>
      </c>
      <c r="B12021" s="56" t="b">
        <v>0</v>
      </c>
      <c r="C12021" s="56" t="b">
        <v>0</v>
      </c>
      <c r="D12021" s="56" t="b">
        <v>0</v>
      </c>
      <c r="E12021" s="56">
        <f ca="1">IF(PV[[#This Row],[Business Date]]=Control!$C$6, PV[[#This Row],[Notional Value Local Cur]], -PV[[#This Row],[Notional Value Local Cur]])</f>
        <v>0</v>
      </c>
    </row>
    <row r="12022" spans="1:5" x14ac:dyDescent="0.25">
      <c r="A12022" s="36" t="b">
        <v>0</v>
      </c>
      <c r="B12022" s="56" t="b">
        <v>0</v>
      </c>
      <c r="C12022" s="56" t="b">
        <v>0</v>
      </c>
      <c r="D12022" s="56" t="b">
        <v>0</v>
      </c>
      <c r="E12022" s="56">
        <f ca="1">IF(PV[[#This Row],[Business Date]]=Control!$C$6, PV[[#This Row],[Notional Value Local Cur]], -PV[[#This Row],[Notional Value Local Cur]])</f>
        <v>0</v>
      </c>
    </row>
    <row r="12023" spans="1:5" x14ac:dyDescent="0.25">
      <c r="A12023" s="36" t="b">
        <v>0</v>
      </c>
      <c r="B12023" s="56" t="b">
        <v>0</v>
      </c>
      <c r="C12023" s="56" t="b">
        <v>0</v>
      </c>
      <c r="D12023" s="56" t="b">
        <v>0</v>
      </c>
      <c r="E12023" s="56">
        <f ca="1">IF(PV[[#This Row],[Business Date]]=Control!$C$6, PV[[#This Row],[Notional Value Local Cur]], -PV[[#This Row],[Notional Value Local Cur]])</f>
        <v>0</v>
      </c>
    </row>
    <row r="12024" spans="1:5" x14ac:dyDescent="0.25">
      <c r="A12024" s="36" t="b">
        <v>0</v>
      </c>
      <c r="B12024" s="56" t="b">
        <v>0</v>
      </c>
      <c r="C12024" s="56" t="b">
        <v>0</v>
      </c>
      <c r="D12024" s="56" t="b">
        <v>0</v>
      </c>
      <c r="E12024" s="56">
        <f ca="1">IF(PV[[#This Row],[Business Date]]=Control!$C$6, PV[[#This Row],[Notional Value Local Cur]], -PV[[#This Row],[Notional Value Local Cur]])</f>
        <v>0</v>
      </c>
    </row>
    <row r="12025" spans="1:5" x14ac:dyDescent="0.25">
      <c r="A12025" s="36" t="b">
        <v>0</v>
      </c>
      <c r="B12025" s="56" t="b">
        <v>0</v>
      </c>
      <c r="C12025" s="56" t="b">
        <v>0</v>
      </c>
      <c r="D12025" s="56" t="b">
        <v>0</v>
      </c>
      <c r="E12025" s="56">
        <f ca="1">IF(PV[[#This Row],[Business Date]]=Control!$C$6, PV[[#This Row],[Notional Value Local Cur]], -PV[[#This Row],[Notional Value Local Cur]])</f>
        <v>0</v>
      </c>
    </row>
    <row r="12026" spans="1:5" x14ac:dyDescent="0.25">
      <c r="A12026" s="36" t="b">
        <v>0</v>
      </c>
      <c r="B12026" s="56" t="b">
        <v>0</v>
      </c>
      <c r="C12026" s="56" t="b">
        <v>0</v>
      </c>
      <c r="D12026" s="56" t="b">
        <v>0</v>
      </c>
      <c r="E12026" s="56">
        <f ca="1">IF(PV[[#This Row],[Business Date]]=Control!$C$6, PV[[#This Row],[Notional Value Local Cur]], -PV[[#This Row],[Notional Value Local Cur]])</f>
        <v>0</v>
      </c>
    </row>
    <row r="12027" spans="1:5" x14ac:dyDescent="0.25">
      <c r="A12027" s="36" t="b">
        <v>0</v>
      </c>
      <c r="B12027" s="56" t="b">
        <v>0</v>
      </c>
      <c r="C12027" s="56" t="b">
        <v>0</v>
      </c>
      <c r="D12027" s="56" t="b">
        <v>0</v>
      </c>
      <c r="E12027" s="56">
        <f ca="1">IF(PV[[#This Row],[Business Date]]=Control!$C$6, PV[[#This Row],[Notional Value Local Cur]], -PV[[#This Row],[Notional Value Local Cur]])</f>
        <v>0</v>
      </c>
    </row>
    <row r="12028" spans="1:5" x14ac:dyDescent="0.25">
      <c r="A12028" s="36" t="b">
        <v>0</v>
      </c>
      <c r="B12028" s="56" t="b">
        <v>0</v>
      </c>
      <c r="C12028" s="56" t="b">
        <v>0</v>
      </c>
      <c r="D12028" s="56" t="b">
        <v>0</v>
      </c>
      <c r="E12028" s="56">
        <f ca="1">IF(PV[[#This Row],[Business Date]]=Control!$C$6, PV[[#This Row],[Notional Value Local Cur]], -PV[[#This Row],[Notional Value Local Cur]])</f>
        <v>0</v>
      </c>
    </row>
    <row r="12029" spans="1:5" x14ac:dyDescent="0.25">
      <c r="A12029" s="36" t="b">
        <v>0</v>
      </c>
      <c r="B12029" s="56" t="b">
        <v>0</v>
      </c>
      <c r="C12029" s="56" t="b">
        <v>0</v>
      </c>
      <c r="D12029" s="56" t="b">
        <v>0</v>
      </c>
      <c r="E12029" s="56">
        <f ca="1">IF(PV[[#This Row],[Business Date]]=Control!$C$6, PV[[#This Row],[Notional Value Local Cur]], -PV[[#This Row],[Notional Value Local Cur]])</f>
        <v>0</v>
      </c>
    </row>
    <row r="12030" spans="1:5" x14ac:dyDescent="0.25">
      <c r="A12030" s="36" t="b">
        <v>0</v>
      </c>
      <c r="B12030" s="56" t="b">
        <v>0</v>
      </c>
      <c r="C12030" s="56" t="b">
        <v>0</v>
      </c>
      <c r="D12030" s="56" t="b">
        <v>0</v>
      </c>
      <c r="E12030" s="56">
        <f ca="1">IF(PV[[#This Row],[Business Date]]=Control!$C$6, PV[[#This Row],[Notional Value Local Cur]], -PV[[#This Row],[Notional Value Local Cur]])</f>
        <v>0</v>
      </c>
    </row>
    <row r="12031" spans="1:5" x14ac:dyDescent="0.25">
      <c r="A12031" s="36" t="b">
        <v>0</v>
      </c>
      <c r="B12031" s="56" t="b">
        <v>0</v>
      </c>
      <c r="C12031" s="56" t="b">
        <v>0</v>
      </c>
      <c r="D12031" s="56" t="b">
        <v>0</v>
      </c>
      <c r="E12031" s="56">
        <f ca="1">IF(PV[[#This Row],[Business Date]]=Control!$C$6, PV[[#This Row],[Notional Value Local Cur]], -PV[[#This Row],[Notional Value Local Cur]])</f>
        <v>0</v>
      </c>
    </row>
    <row r="12032" spans="1:5" x14ac:dyDescent="0.25">
      <c r="A12032" s="36" t="b">
        <v>0</v>
      </c>
      <c r="B12032" s="56" t="b">
        <v>0</v>
      </c>
      <c r="C12032" s="56" t="b">
        <v>0</v>
      </c>
      <c r="D12032" s="56" t="b">
        <v>0</v>
      </c>
      <c r="E12032" s="56">
        <f ca="1">IF(PV[[#This Row],[Business Date]]=Control!$C$6, PV[[#This Row],[Notional Value Local Cur]], -PV[[#This Row],[Notional Value Local Cur]])</f>
        <v>0</v>
      </c>
    </row>
    <row r="12033" spans="1:5" x14ac:dyDescent="0.25">
      <c r="A12033" s="36" t="b">
        <v>0</v>
      </c>
      <c r="B12033" s="56" t="b">
        <v>0</v>
      </c>
      <c r="C12033" s="56" t="b">
        <v>0</v>
      </c>
      <c r="D12033" s="56" t="b">
        <v>0</v>
      </c>
      <c r="E12033" s="56">
        <f ca="1">IF(PV[[#This Row],[Business Date]]=Control!$C$6, PV[[#This Row],[Notional Value Local Cur]], -PV[[#This Row],[Notional Value Local Cur]])</f>
        <v>0</v>
      </c>
    </row>
    <row r="12034" spans="1:5" x14ac:dyDescent="0.25">
      <c r="A12034" s="36" t="b">
        <v>0</v>
      </c>
      <c r="B12034" s="56" t="b">
        <v>0</v>
      </c>
      <c r="C12034" s="56" t="b">
        <v>0</v>
      </c>
      <c r="D12034" s="56" t="b">
        <v>0</v>
      </c>
      <c r="E12034" s="56">
        <f ca="1">IF(PV[[#This Row],[Business Date]]=Control!$C$6, PV[[#This Row],[Notional Value Local Cur]], -PV[[#This Row],[Notional Value Local Cur]])</f>
        <v>0</v>
      </c>
    </row>
    <row r="12035" spans="1:5" x14ac:dyDescent="0.25">
      <c r="A12035" s="36" t="b">
        <v>0</v>
      </c>
      <c r="B12035" s="56" t="b">
        <v>0</v>
      </c>
      <c r="C12035" s="56" t="b">
        <v>0</v>
      </c>
      <c r="D12035" s="56" t="b">
        <v>0</v>
      </c>
      <c r="E12035" s="56">
        <f ca="1">IF(PV[[#This Row],[Business Date]]=Control!$C$6, PV[[#This Row],[Notional Value Local Cur]], -PV[[#This Row],[Notional Value Local Cur]])</f>
        <v>0</v>
      </c>
    </row>
    <row r="12036" spans="1:5" x14ac:dyDescent="0.25">
      <c r="A12036" s="36" t="b">
        <v>0</v>
      </c>
      <c r="B12036" s="56" t="b">
        <v>0</v>
      </c>
      <c r="C12036" s="56" t="b">
        <v>0</v>
      </c>
      <c r="D12036" s="56" t="b">
        <v>0</v>
      </c>
      <c r="E12036" s="56">
        <f ca="1">IF(PV[[#This Row],[Business Date]]=Control!$C$6, PV[[#This Row],[Notional Value Local Cur]], -PV[[#This Row],[Notional Value Local Cur]])</f>
        <v>0</v>
      </c>
    </row>
    <row r="12037" spans="1:5" x14ac:dyDescent="0.25">
      <c r="A12037" s="36" t="b">
        <v>0</v>
      </c>
      <c r="B12037" s="56" t="b">
        <v>0</v>
      </c>
      <c r="C12037" s="56" t="b">
        <v>0</v>
      </c>
      <c r="D12037" s="56" t="b">
        <v>0</v>
      </c>
      <c r="E12037" s="56">
        <f ca="1">IF(PV[[#This Row],[Business Date]]=Control!$C$6, PV[[#This Row],[Notional Value Local Cur]], -PV[[#This Row],[Notional Value Local Cur]])</f>
        <v>0</v>
      </c>
    </row>
    <row r="12038" spans="1:5" x14ac:dyDescent="0.25">
      <c r="A12038" s="36" t="b">
        <v>0</v>
      </c>
      <c r="B12038" s="56" t="b">
        <v>0</v>
      </c>
      <c r="C12038" s="56" t="b">
        <v>0</v>
      </c>
      <c r="D12038" s="56" t="b">
        <v>0</v>
      </c>
      <c r="E12038" s="56">
        <f ca="1">IF(PV[[#This Row],[Business Date]]=Control!$C$6, PV[[#This Row],[Notional Value Local Cur]], -PV[[#This Row],[Notional Value Local Cur]])</f>
        <v>0</v>
      </c>
    </row>
    <row r="12039" spans="1:5" x14ac:dyDescent="0.25">
      <c r="A12039" s="36" t="b">
        <v>0</v>
      </c>
      <c r="B12039" s="56" t="b">
        <v>0</v>
      </c>
      <c r="C12039" s="56" t="b">
        <v>0</v>
      </c>
      <c r="D12039" s="56" t="b">
        <v>0</v>
      </c>
      <c r="E12039" s="56">
        <f ca="1">IF(PV[[#This Row],[Business Date]]=Control!$C$6, PV[[#This Row],[Notional Value Local Cur]], -PV[[#This Row],[Notional Value Local Cur]])</f>
        <v>0</v>
      </c>
    </row>
    <row r="12040" spans="1:5" x14ac:dyDescent="0.25">
      <c r="A12040" s="36" t="b">
        <v>0</v>
      </c>
      <c r="B12040" s="56" t="b">
        <v>0</v>
      </c>
      <c r="C12040" s="56" t="b">
        <v>0</v>
      </c>
      <c r="D12040" s="56" t="b">
        <v>0</v>
      </c>
      <c r="E12040" s="56">
        <f ca="1">IF(PV[[#This Row],[Business Date]]=Control!$C$6, PV[[#This Row],[Notional Value Local Cur]], -PV[[#This Row],[Notional Value Local Cur]])</f>
        <v>0</v>
      </c>
    </row>
    <row r="12041" spans="1:5" x14ac:dyDescent="0.25">
      <c r="A12041" s="36" t="b">
        <v>0</v>
      </c>
      <c r="B12041" s="56" t="b">
        <v>0</v>
      </c>
      <c r="C12041" s="56" t="b">
        <v>0</v>
      </c>
      <c r="D12041" s="56" t="b">
        <v>0</v>
      </c>
      <c r="E12041" s="56">
        <f ca="1">IF(PV[[#This Row],[Business Date]]=Control!$C$6, PV[[#This Row],[Notional Value Local Cur]], -PV[[#This Row],[Notional Value Local Cur]])</f>
        <v>0</v>
      </c>
    </row>
    <row r="12042" spans="1:5" x14ac:dyDescent="0.25">
      <c r="A12042" s="36" t="b">
        <v>0</v>
      </c>
      <c r="B12042" s="56" t="b">
        <v>0</v>
      </c>
      <c r="C12042" s="56" t="b">
        <v>0</v>
      </c>
      <c r="D12042" s="56" t="b">
        <v>0</v>
      </c>
      <c r="E12042" s="56">
        <f ca="1">IF(PV[[#This Row],[Business Date]]=Control!$C$6, PV[[#This Row],[Notional Value Local Cur]], -PV[[#This Row],[Notional Value Local Cur]])</f>
        <v>0</v>
      </c>
    </row>
    <row r="12043" spans="1:5" x14ac:dyDescent="0.25">
      <c r="A12043" s="36" t="b">
        <v>0</v>
      </c>
      <c r="B12043" s="56" t="b">
        <v>0</v>
      </c>
      <c r="C12043" s="56" t="b">
        <v>0</v>
      </c>
      <c r="D12043" s="56" t="b">
        <v>0</v>
      </c>
      <c r="E12043" s="56">
        <f ca="1">IF(PV[[#This Row],[Business Date]]=Control!$C$6, PV[[#This Row],[Notional Value Local Cur]], -PV[[#This Row],[Notional Value Local Cur]])</f>
        <v>0</v>
      </c>
    </row>
    <row r="12044" spans="1:5" x14ac:dyDescent="0.25">
      <c r="A12044" s="36" t="b">
        <v>0</v>
      </c>
      <c r="B12044" s="56" t="b">
        <v>0</v>
      </c>
      <c r="C12044" s="56" t="b">
        <v>0</v>
      </c>
      <c r="D12044" s="56" t="b">
        <v>0</v>
      </c>
      <c r="E12044" s="56">
        <f ca="1">IF(PV[[#This Row],[Business Date]]=Control!$C$6, PV[[#This Row],[Notional Value Local Cur]], -PV[[#This Row],[Notional Value Local Cur]])</f>
        <v>0</v>
      </c>
    </row>
    <row r="12045" spans="1:5" x14ac:dyDescent="0.25">
      <c r="A12045" s="36" t="b">
        <v>0</v>
      </c>
      <c r="B12045" s="56" t="b">
        <v>0</v>
      </c>
      <c r="C12045" s="56" t="b">
        <v>0</v>
      </c>
      <c r="D12045" s="56" t="b">
        <v>0</v>
      </c>
      <c r="E12045" s="56">
        <f ca="1">IF(PV[[#This Row],[Business Date]]=Control!$C$6, PV[[#This Row],[Notional Value Local Cur]], -PV[[#This Row],[Notional Value Local Cur]])</f>
        <v>0</v>
      </c>
    </row>
    <row r="12046" spans="1:5" x14ac:dyDescent="0.25">
      <c r="A12046" s="36" t="b">
        <v>0</v>
      </c>
      <c r="B12046" s="56" t="b">
        <v>0</v>
      </c>
      <c r="C12046" s="56" t="b">
        <v>0</v>
      </c>
      <c r="D12046" s="56" t="b">
        <v>0</v>
      </c>
      <c r="E12046" s="56">
        <f ca="1">IF(PV[[#This Row],[Business Date]]=Control!$C$6, PV[[#This Row],[Notional Value Local Cur]], -PV[[#This Row],[Notional Value Local Cur]])</f>
        <v>0</v>
      </c>
    </row>
    <row r="12047" spans="1:5" x14ac:dyDescent="0.25">
      <c r="A12047" s="36" t="b">
        <v>0</v>
      </c>
      <c r="B12047" s="56" t="b">
        <v>0</v>
      </c>
      <c r="C12047" s="56" t="b">
        <v>0</v>
      </c>
      <c r="D12047" s="56" t="b">
        <v>0</v>
      </c>
      <c r="E12047" s="56">
        <f ca="1">IF(PV[[#This Row],[Business Date]]=Control!$C$6, PV[[#This Row],[Notional Value Local Cur]], -PV[[#This Row],[Notional Value Local Cur]])</f>
        <v>0</v>
      </c>
    </row>
    <row r="12048" spans="1:5" x14ac:dyDescent="0.25">
      <c r="A12048" s="36" t="b">
        <v>0</v>
      </c>
      <c r="B12048" s="56" t="b">
        <v>0</v>
      </c>
      <c r="C12048" s="56" t="b">
        <v>0</v>
      </c>
      <c r="D12048" s="56" t="b">
        <v>0</v>
      </c>
      <c r="E12048" s="56">
        <f ca="1">IF(PV[[#This Row],[Business Date]]=Control!$C$6, PV[[#This Row],[Notional Value Local Cur]], -PV[[#This Row],[Notional Value Local Cur]])</f>
        <v>0</v>
      </c>
    </row>
    <row r="12049" spans="1:5" x14ac:dyDescent="0.25">
      <c r="A12049" s="36" t="b">
        <v>0</v>
      </c>
      <c r="B12049" s="56" t="b">
        <v>0</v>
      </c>
      <c r="C12049" s="56" t="b">
        <v>0</v>
      </c>
      <c r="D12049" s="56" t="b">
        <v>0</v>
      </c>
      <c r="E12049" s="56">
        <f ca="1">IF(PV[[#This Row],[Business Date]]=Control!$C$6, PV[[#This Row],[Notional Value Local Cur]], -PV[[#This Row],[Notional Value Local Cur]])</f>
        <v>0</v>
      </c>
    </row>
    <row r="12050" spans="1:5" x14ac:dyDescent="0.25">
      <c r="A12050" s="36" t="b">
        <v>0</v>
      </c>
      <c r="B12050" s="56" t="b">
        <v>0</v>
      </c>
      <c r="C12050" s="56" t="b">
        <v>0</v>
      </c>
      <c r="D12050" s="56" t="b">
        <v>0</v>
      </c>
      <c r="E12050" s="56">
        <f ca="1">IF(PV[[#This Row],[Business Date]]=Control!$C$6, PV[[#This Row],[Notional Value Local Cur]], -PV[[#This Row],[Notional Value Local Cur]])</f>
        <v>0</v>
      </c>
    </row>
    <row r="12051" spans="1:5" x14ac:dyDescent="0.25">
      <c r="A12051" s="36" t="b">
        <v>0</v>
      </c>
      <c r="B12051" s="56" t="b">
        <v>0</v>
      </c>
      <c r="C12051" s="56" t="b">
        <v>0</v>
      </c>
      <c r="D12051" s="56" t="b">
        <v>0</v>
      </c>
      <c r="E12051" s="56">
        <f ca="1">IF(PV[[#This Row],[Business Date]]=Control!$C$6, PV[[#This Row],[Notional Value Local Cur]], -PV[[#This Row],[Notional Value Local Cur]])</f>
        <v>0</v>
      </c>
    </row>
    <row r="12052" spans="1:5" x14ac:dyDescent="0.25">
      <c r="A12052" s="36" t="b">
        <v>0</v>
      </c>
      <c r="B12052" s="56" t="b">
        <v>0</v>
      </c>
      <c r="C12052" s="56" t="b">
        <v>0</v>
      </c>
      <c r="D12052" s="56" t="b">
        <v>0</v>
      </c>
      <c r="E12052" s="56">
        <f ca="1">IF(PV[[#This Row],[Business Date]]=Control!$C$6, PV[[#This Row],[Notional Value Local Cur]], -PV[[#This Row],[Notional Value Local Cur]])</f>
        <v>0</v>
      </c>
    </row>
    <row r="12053" spans="1:5" x14ac:dyDescent="0.25">
      <c r="A12053" s="36" t="b">
        <v>0</v>
      </c>
      <c r="B12053" s="56" t="b">
        <v>0</v>
      </c>
      <c r="C12053" s="56" t="b">
        <v>0</v>
      </c>
      <c r="D12053" s="56" t="b">
        <v>0</v>
      </c>
      <c r="E12053" s="56">
        <f ca="1">IF(PV[[#This Row],[Business Date]]=Control!$C$6, PV[[#This Row],[Notional Value Local Cur]], -PV[[#This Row],[Notional Value Local Cur]])</f>
        <v>0</v>
      </c>
    </row>
    <row r="12054" spans="1:5" x14ac:dyDescent="0.25">
      <c r="A12054" s="36" t="b">
        <v>0</v>
      </c>
      <c r="B12054" s="56" t="b">
        <v>0</v>
      </c>
      <c r="C12054" s="56" t="b">
        <v>0</v>
      </c>
      <c r="D12054" s="56" t="b">
        <v>0</v>
      </c>
      <c r="E12054" s="56">
        <f ca="1">IF(PV[[#This Row],[Business Date]]=Control!$C$6, PV[[#This Row],[Notional Value Local Cur]], -PV[[#This Row],[Notional Value Local Cur]])</f>
        <v>0</v>
      </c>
    </row>
    <row r="12055" spans="1:5" x14ac:dyDescent="0.25">
      <c r="A12055" s="36" t="b">
        <v>0</v>
      </c>
      <c r="B12055" s="56" t="b">
        <v>0</v>
      </c>
      <c r="C12055" s="56" t="b">
        <v>0</v>
      </c>
      <c r="D12055" s="56" t="b">
        <v>0</v>
      </c>
      <c r="E12055" s="56">
        <f ca="1">IF(PV[[#This Row],[Business Date]]=Control!$C$6, PV[[#This Row],[Notional Value Local Cur]], -PV[[#This Row],[Notional Value Local Cur]])</f>
        <v>0</v>
      </c>
    </row>
    <row r="12056" spans="1:5" x14ac:dyDescent="0.25">
      <c r="A12056" s="36" t="b">
        <v>0</v>
      </c>
      <c r="B12056" s="56" t="b">
        <v>0</v>
      </c>
      <c r="C12056" s="56" t="b">
        <v>0</v>
      </c>
      <c r="D12056" s="56" t="b">
        <v>0</v>
      </c>
      <c r="E12056" s="56">
        <f ca="1">IF(PV[[#This Row],[Business Date]]=Control!$C$6, PV[[#This Row],[Notional Value Local Cur]], -PV[[#This Row],[Notional Value Local Cur]])</f>
        <v>0</v>
      </c>
    </row>
    <row r="12057" spans="1:5" x14ac:dyDescent="0.25">
      <c r="A12057" s="36" t="b">
        <v>0</v>
      </c>
      <c r="B12057" s="56" t="b">
        <v>0</v>
      </c>
      <c r="C12057" s="56" t="b">
        <v>0</v>
      </c>
      <c r="D12057" s="56" t="b">
        <v>0</v>
      </c>
      <c r="E12057" s="56">
        <f ca="1">IF(PV[[#This Row],[Business Date]]=Control!$C$6, PV[[#This Row],[Notional Value Local Cur]], -PV[[#This Row],[Notional Value Local Cur]])</f>
        <v>0</v>
      </c>
    </row>
    <row r="12058" spans="1:5" x14ac:dyDescent="0.25">
      <c r="A12058" s="36" t="b">
        <v>0</v>
      </c>
      <c r="B12058" s="56" t="b">
        <v>0</v>
      </c>
      <c r="C12058" s="56" t="b">
        <v>0</v>
      </c>
      <c r="D12058" s="56" t="b">
        <v>0</v>
      </c>
      <c r="E12058" s="56">
        <f ca="1">IF(PV[[#This Row],[Business Date]]=Control!$C$6, PV[[#This Row],[Notional Value Local Cur]], -PV[[#This Row],[Notional Value Local Cur]])</f>
        <v>0</v>
      </c>
    </row>
    <row r="12059" spans="1:5" x14ac:dyDescent="0.25">
      <c r="A12059" s="36" t="b">
        <v>0</v>
      </c>
      <c r="B12059" s="56" t="b">
        <v>0</v>
      </c>
      <c r="C12059" s="56" t="b">
        <v>0</v>
      </c>
      <c r="D12059" s="56" t="b">
        <v>0</v>
      </c>
      <c r="E12059" s="56">
        <f ca="1">IF(PV[[#This Row],[Business Date]]=Control!$C$6, PV[[#This Row],[Notional Value Local Cur]], -PV[[#This Row],[Notional Value Local Cur]])</f>
        <v>0</v>
      </c>
    </row>
    <row r="12060" spans="1:5" x14ac:dyDescent="0.25">
      <c r="A12060" s="36" t="b">
        <v>0</v>
      </c>
      <c r="B12060" s="56" t="b">
        <v>0</v>
      </c>
      <c r="C12060" s="56" t="b">
        <v>0</v>
      </c>
      <c r="D12060" s="56" t="b">
        <v>0</v>
      </c>
      <c r="E12060" s="56">
        <f ca="1">IF(PV[[#This Row],[Business Date]]=Control!$C$6, PV[[#This Row],[Notional Value Local Cur]], -PV[[#This Row],[Notional Value Local Cur]])</f>
        <v>0</v>
      </c>
    </row>
    <row r="12061" spans="1:5" x14ac:dyDescent="0.25">
      <c r="A12061" s="36" t="b">
        <v>0</v>
      </c>
      <c r="B12061" s="56" t="b">
        <v>0</v>
      </c>
      <c r="C12061" s="56" t="b">
        <v>0</v>
      </c>
      <c r="D12061" s="56" t="b">
        <v>0</v>
      </c>
      <c r="E12061" s="56">
        <f ca="1">IF(PV[[#This Row],[Business Date]]=Control!$C$6, PV[[#This Row],[Notional Value Local Cur]], -PV[[#This Row],[Notional Value Local Cur]])</f>
        <v>0</v>
      </c>
    </row>
    <row r="12062" spans="1:5" x14ac:dyDescent="0.25">
      <c r="A12062" s="36" t="b">
        <v>0</v>
      </c>
      <c r="B12062" s="56" t="b">
        <v>0</v>
      </c>
      <c r="C12062" s="56" t="b">
        <v>0</v>
      </c>
      <c r="D12062" s="56" t="b">
        <v>0</v>
      </c>
      <c r="E12062" s="56">
        <f ca="1">IF(PV[[#This Row],[Business Date]]=Control!$C$6, PV[[#This Row],[Notional Value Local Cur]], -PV[[#This Row],[Notional Value Local Cur]])</f>
        <v>0</v>
      </c>
    </row>
    <row r="12063" spans="1:5" x14ac:dyDescent="0.25">
      <c r="A12063" s="36" t="b">
        <v>0</v>
      </c>
      <c r="B12063" s="56" t="b">
        <v>0</v>
      </c>
      <c r="C12063" s="56" t="b">
        <v>0</v>
      </c>
      <c r="D12063" s="56" t="b">
        <v>0</v>
      </c>
      <c r="E12063" s="56">
        <f ca="1">IF(PV[[#This Row],[Business Date]]=Control!$C$6, PV[[#This Row],[Notional Value Local Cur]], -PV[[#This Row],[Notional Value Local Cur]])</f>
        <v>0</v>
      </c>
    </row>
    <row r="12064" spans="1:5" x14ac:dyDescent="0.25">
      <c r="A12064" s="36" t="b">
        <v>0</v>
      </c>
      <c r="B12064" s="56" t="b">
        <v>0</v>
      </c>
      <c r="C12064" s="56" t="b">
        <v>0</v>
      </c>
      <c r="D12064" s="56" t="b">
        <v>0</v>
      </c>
      <c r="E12064" s="56">
        <f ca="1">IF(PV[[#This Row],[Business Date]]=Control!$C$6, PV[[#This Row],[Notional Value Local Cur]], -PV[[#This Row],[Notional Value Local Cur]])</f>
        <v>0</v>
      </c>
    </row>
    <row r="12065" spans="1:5" x14ac:dyDescent="0.25">
      <c r="A12065" s="36" t="b">
        <v>0</v>
      </c>
      <c r="B12065" s="56" t="b">
        <v>0</v>
      </c>
      <c r="C12065" s="56" t="b">
        <v>0</v>
      </c>
      <c r="D12065" s="56" t="b">
        <v>0</v>
      </c>
      <c r="E12065" s="56">
        <f ca="1">IF(PV[[#This Row],[Business Date]]=Control!$C$6, PV[[#This Row],[Notional Value Local Cur]], -PV[[#This Row],[Notional Value Local Cur]])</f>
        <v>0</v>
      </c>
    </row>
    <row r="12066" spans="1:5" x14ac:dyDescent="0.25">
      <c r="A12066" s="36" t="b">
        <v>0</v>
      </c>
      <c r="B12066" s="56" t="b">
        <v>0</v>
      </c>
      <c r="C12066" s="56" t="b">
        <v>0</v>
      </c>
      <c r="D12066" s="56" t="b">
        <v>0</v>
      </c>
      <c r="E12066" s="56">
        <f ca="1">IF(PV[[#This Row],[Business Date]]=Control!$C$6, PV[[#This Row],[Notional Value Local Cur]], -PV[[#This Row],[Notional Value Local Cur]])</f>
        <v>0</v>
      </c>
    </row>
    <row r="12067" spans="1:5" x14ac:dyDescent="0.25">
      <c r="A12067" s="36" t="b">
        <v>0</v>
      </c>
      <c r="B12067" s="56" t="b">
        <v>0</v>
      </c>
      <c r="C12067" s="56" t="b">
        <v>0</v>
      </c>
      <c r="D12067" s="56" t="b">
        <v>0</v>
      </c>
      <c r="E12067" s="56">
        <f ca="1">IF(PV[[#This Row],[Business Date]]=Control!$C$6, PV[[#This Row],[Notional Value Local Cur]], -PV[[#This Row],[Notional Value Local Cur]])</f>
        <v>0</v>
      </c>
    </row>
    <row r="12068" spans="1:5" x14ac:dyDescent="0.25">
      <c r="A12068" s="36" t="b">
        <v>0</v>
      </c>
      <c r="B12068" s="56" t="b">
        <v>0</v>
      </c>
      <c r="C12068" s="56" t="b">
        <v>0</v>
      </c>
      <c r="D12068" s="56" t="b">
        <v>0</v>
      </c>
      <c r="E12068" s="56">
        <f ca="1">IF(PV[[#This Row],[Business Date]]=Control!$C$6, PV[[#This Row],[Notional Value Local Cur]], -PV[[#This Row],[Notional Value Local Cur]])</f>
        <v>0</v>
      </c>
    </row>
    <row r="12069" spans="1:5" x14ac:dyDescent="0.25">
      <c r="A12069" s="36" t="b">
        <v>0</v>
      </c>
      <c r="B12069" s="56" t="b">
        <v>0</v>
      </c>
      <c r="C12069" s="56" t="b">
        <v>0</v>
      </c>
      <c r="D12069" s="56" t="b">
        <v>0</v>
      </c>
      <c r="E12069" s="56">
        <f ca="1">IF(PV[[#This Row],[Business Date]]=Control!$C$6, PV[[#This Row],[Notional Value Local Cur]], -PV[[#This Row],[Notional Value Local Cur]])</f>
        <v>0</v>
      </c>
    </row>
    <row r="12070" spans="1:5" x14ac:dyDescent="0.25">
      <c r="A12070" s="36" t="b">
        <v>0</v>
      </c>
      <c r="B12070" s="56" t="b">
        <v>0</v>
      </c>
      <c r="C12070" s="56" t="b">
        <v>0</v>
      </c>
      <c r="D12070" s="56" t="b">
        <v>0</v>
      </c>
      <c r="E12070" s="56">
        <f ca="1">IF(PV[[#This Row],[Business Date]]=Control!$C$6, PV[[#This Row],[Notional Value Local Cur]], -PV[[#This Row],[Notional Value Local Cur]])</f>
        <v>0</v>
      </c>
    </row>
    <row r="12071" spans="1:5" x14ac:dyDescent="0.25">
      <c r="A12071" s="36" t="b">
        <v>0</v>
      </c>
      <c r="B12071" s="56" t="b">
        <v>0</v>
      </c>
      <c r="C12071" s="56" t="b">
        <v>0</v>
      </c>
      <c r="D12071" s="56" t="b">
        <v>0</v>
      </c>
      <c r="E12071" s="56">
        <f ca="1">IF(PV[[#This Row],[Business Date]]=Control!$C$6, PV[[#This Row],[Notional Value Local Cur]], -PV[[#This Row],[Notional Value Local Cur]])</f>
        <v>0</v>
      </c>
    </row>
    <row r="12072" spans="1:5" x14ac:dyDescent="0.25">
      <c r="A12072" s="36" t="b">
        <v>0</v>
      </c>
      <c r="B12072" s="56" t="b">
        <v>0</v>
      </c>
      <c r="C12072" s="56" t="b">
        <v>0</v>
      </c>
      <c r="D12072" s="56" t="b">
        <v>0</v>
      </c>
      <c r="E12072" s="56">
        <f ca="1">IF(PV[[#This Row],[Business Date]]=Control!$C$6, PV[[#This Row],[Notional Value Local Cur]], -PV[[#This Row],[Notional Value Local Cur]])</f>
        <v>0</v>
      </c>
    </row>
    <row r="12073" spans="1:5" x14ac:dyDescent="0.25">
      <c r="A12073" s="36" t="b">
        <v>0</v>
      </c>
      <c r="B12073" s="56" t="b">
        <v>0</v>
      </c>
      <c r="C12073" s="56" t="b">
        <v>0</v>
      </c>
      <c r="D12073" s="56" t="b">
        <v>0</v>
      </c>
      <c r="E12073" s="56">
        <f ca="1">IF(PV[[#This Row],[Business Date]]=Control!$C$6, PV[[#This Row],[Notional Value Local Cur]], -PV[[#This Row],[Notional Value Local Cur]])</f>
        <v>0</v>
      </c>
    </row>
    <row r="12074" spans="1:5" x14ac:dyDescent="0.25">
      <c r="A12074" s="36" t="b">
        <v>0</v>
      </c>
      <c r="B12074" s="56" t="b">
        <v>0</v>
      </c>
      <c r="C12074" s="56" t="b">
        <v>0</v>
      </c>
      <c r="D12074" s="56" t="b">
        <v>0</v>
      </c>
      <c r="E12074" s="56">
        <f ca="1">IF(PV[[#This Row],[Business Date]]=Control!$C$6, PV[[#This Row],[Notional Value Local Cur]], -PV[[#This Row],[Notional Value Local Cur]])</f>
        <v>0</v>
      </c>
    </row>
    <row r="12075" spans="1:5" x14ac:dyDescent="0.25">
      <c r="A12075" s="36" t="b">
        <v>0</v>
      </c>
      <c r="B12075" s="56" t="b">
        <v>0</v>
      </c>
      <c r="C12075" s="56" t="b">
        <v>0</v>
      </c>
      <c r="D12075" s="56" t="b">
        <v>0</v>
      </c>
      <c r="E12075" s="56">
        <f ca="1">IF(PV[[#This Row],[Business Date]]=Control!$C$6, PV[[#This Row],[Notional Value Local Cur]], -PV[[#This Row],[Notional Value Local Cur]])</f>
        <v>0</v>
      </c>
    </row>
    <row r="12076" spans="1:5" x14ac:dyDescent="0.25">
      <c r="A12076" s="36" t="b">
        <v>0</v>
      </c>
      <c r="B12076" s="56" t="b">
        <v>0</v>
      </c>
      <c r="C12076" s="56" t="b">
        <v>0</v>
      </c>
      <c r="D12076" s="56" t="b">
        <v>0</v>
      </c>
      <c r="E12076" s="56">
        <f ca="1">IF(PV[[#This Row],[Business Date]]=Control!$C$6, PV[[#This Row],[Notional Value Local Cur]], -PV[[#This Row],[Notional Value Local Cur]])</f>
        <v>0</v>
      </c>
    </row>
    <row r="12077" spans="1:5" x14ac:dyDescent="0.25">
      <c r="A12077" s="36" t="b">
        <v>0</v>
      </c>
      <c r="B12077" s="56" t="b">
        <v>0</v>
      </c>
      <c r="C12077" s="56" t="b">
        <v>0</v>
      </c>
      <c r="D12077" s="56" t="b">
        <v>0</v>
      </c>
      <c r="E12077" s="56">
        <f ca="1">IF(PV[[#This Row],[Business Date]]=Control!$C$6, PV[[#This Row],[Notional Value Local Cur]], -PV[[#This Row],[Notional Value Local Cur]])</f>
        <v>0</v>
      </c>
    </row>
    <row r="12078" spans="1:5" x14ac:dyDescent="0.25">
      <c r="A12078" s="36" t="b">
        <v>0</v>
      </c>
      <c r="B12078" s="56" t="b">
        <v>0</v>
      </c>
      <c r="C12078" s="56" t="b">
        <v>0</v>
      </c>
      <c r="D12078" s="56" t="b">
        <v>0</v>
      </c>
      <c r="E12078" s="56">
        <f ca="1">IF(PV[[#This Row],[Business Date]]=Control!$C$6, PV[[#This Row],[Notional Value Local Cur]], -PV[[#This Row],[Notional Value Local Cur]])</f>
        <v>0</v>
      </c>
    </row>
    <row r="12079" spans="1:5" x14ac:dyDescent="0.25">
      <c r="A12079" s="36" t="b">
        <v>0</v>
      </c>
      <c r="B12079" s="56" t="b">
        <v>0</v>
      </c>
      <c r="C12079" s="56" t="b">
        <v>0</v>
      </c>
      <c r="D12079" s="56" t="b">
        <v>0</v>
      </c>
      <c r="E12079" s="56">
        <f ca="1">IF(PV[[#This Row],[Business Date]]=Control!$C$6, PV[[#This Row],[Notional Value Local Cur]], -PV[[#This Row],[Notional Value Local Cur]])</f>
        <v>0</v>
      </c>
    </row>
    <row r="12080" spans="1:5" x14ac:dyDescent="0.25">
      <c r="A12080" s="36" t="b">
        <v>0</v>
      </c>
      <c r="B12080" s="56" t="b">
        <v>0</v>
      </c>
      <c r="C12080" s="56" t="b">
        <v>0</v>
      </c>
      <c r="D12080" s="56" t="b">
        <v>0</v>
      </c>
      <c r="E12080" s="56">
        <f ca="1">IF(PV[[#This Row],[Business Date]]=Control!$C$6, PV[[#This Row],[Notional Value Local Cur]], -PV[[#This Row],[Notional Value Local Cur]])</f>
        <v>0</v>
      </c>
    </row>
    <row r="12081" spans="1:5" x14ac:dyDescent="0.25">
      <c r="A12081" s="36" t="b">
        <v>0</v>
      </c>
      <c r="B12081" s="56" t="b">
        <v>0</v>
      </c>
      <c r="C12081" s="56" t="b">
        <v>0</v>
      </c>
      <c r="D12081" s="56" t="b">
        <v>0</v>
      </c>
      <c r="E12081" s="56">
        <f ca="1">IF(PV[[#This Row],[Business Date]]=Control!$C$6, PV[[#This Row],[Notional Value Local Cur]], -PV[[#This Row],[Notional Value Local Cur]])</f>
        <v>0</v>
      </c>
    </row>
    <row r="12082" spans="1:5" x14ac:dyDescent="0.25">
      <c r="A12082" s="36" t="b">
        <v>0</v>
      </c>
      <c r="B12082" s="56" t="b">
        <v>0</v>
      </c>
      <c r="C12082" s="56" t="b">
        <v>0</v>
      </c>
      <c r="D12082" s="56" t="b">
        <v>0</v>
      </c>
      <c r="E12082" s="56">
        <f ca="1">IF(PV[[#This Row],[Business Date]]=Control!$C$6, PV[[#This Row],[Notional Value Local Cur]], -PV[[#This Row],[Notional Value Local Cur]])</f>
        <v>0</v>
      </c>
    </row>
    <row r="12083" spans="1:5" x14ac:dyDescent="0.25">
      <c r="A12083" s="36" t="b">
        <v>0</v>
      </c>
      <c r="B12083" s="56" t="b">
        <v>0</v>
      </c>
      <c r="C12083" s="56" t="b">
        <v>0</v>
      </c>
      <c r="D12083" s="56" t="b">
        <v>0</v>
      </c>
      <c r="E12083" s="56">
        <f ca="1">IF(PV[[#This Row],[Business Date]]=Control!$C$6, PV[[#This Row],[Notional Value Local Cur]], -PV[[#This Row],[Notional Value Local Cur]])</f>
        <v>0</v>
      </c>
    </row>
    <row r="12084" spans="1:5" x14ac:dyDescent="0.25">
      <c r="A12084" s="36" t="b">
        <v>0</v>
      </c>
      <c r="B12084" s="56" t="b">
        <v>0</v>
      </c>
      <c r="C12084" s="56" t="b">
        <v>0</v>
      </c>
      <c r="D12084" s="56" t="b">
        <v>0</v>
      </c>
      <c r="E12084" s="56">
        <f ca="1">IF(PV[[#This Row],[Business Date]]=Control!$C$6, PV[[#This Row],[Notional Value Local Cur]], -PV[[#This Row],[Notional Value Local Cur]])</f>
        <v>0</v>
      </c>
    </row>
    <row r="12085" spans="1:5" x14ac:dyDescent="0.25">
      <c r="A12085" s="36" t="b">
        <v>0</v>
      </c>
      <c r="B12085" s="56" t="b">
        <v>0</v>
      </c>
      <c r="C12085" s="56" t="b">
        <v>0</v>
      </c>
      <c r="D12085" s="56" t="b">
        <v>0</v>
      </c>
      <c r="E12085" s="56">
        <f ca="1">IF(PV[[#This Row],[Business Date]]=Control!$C$6, PV[[#This Row],[Notional Value Local Cur]], -PV[[#This Row],[Notional Value Local Cur]])</f>
        <v>0</v>
      </c>
    </row>
    <row r="12086" spans="1:5" x14ac:dyDescent="0.25">
      <c r="A12086" s="36" t="b">
        <v>0</v>
      </c>
      <c r="B12086" s="56" t="b">
        <v>0</v>
      </c>
      <c r="C12086" s="56" t="b">
        <v>0</v>
      </c>
      <c r="D12086" s="56" t="b">
        <v>0</v>
      </c>
      <c r="E12086" s="56">
        <f ca="1">IF(PV[[#This Row],[Business Date]]=Control!$C$6, PV[[#This Row],[Notional Value Local Cur]], -PV[[#This Row],[Notional Value Local Cur]])</f>
        <v>0</v>
      </c>
    </row>
    <row r="12087" spans="1:5" x14ac:dyDescent="0.25">
      <c r="A12087" s="36" t="b">
        <v>0</v>
      </c>
      <c r="B12087" s="56" t="b">
        <v>0</v>
      </c>
      <c r="C12087" s="56" t="b">
        <v>0</v>
      </c>
      <c r="D12087" s="56" t="b">
        <v>0</v>
      </c>
      <c r="E12087" s="56">
        <f ca="1">IF(PV[[#This Row],[Business Date]]=Control!$C$6, PV[[#This Row],[Notional Value Local Cur]], -PV[[#This Row],[Notional Value Local Cur]])</f>
        <v>0</v>
      </c>
    </row>
    <row r="12088" spans="1:5" x14ac:dyDescent="0.25">
      <c r="A12088" s="36" t="b">
        <v>0</v>
      </c>
      <c r="B12088" s="56" t="b">
        <v>0</v>
      </c>
      <c r="C12088" s="56" t="b">
        <v>0</v>
      </c>
      <c r="D12088" s="56" t="b">
        <v>0</v>
      </c>
      <c r="E12088" s="56">
        <f ca="1">IF(PV[[#This Row],[Business Date]]=Control!$C$6, PV[[#This Row],[Notional Value Local Cur]], -PV[[#This Row],[Notional Value Local Cur]])</f>
        <v>0</v>
      </c>
    </row>
    <row r="12089" spans="1:5" x14ac:dyDescent="0.25">
      <c r="A12089" s="36" t="b">
        <v>0</v>
      </c>
      <c r="B12089" s="56" t="b">
        <v>0</v>
      </c>
      <c r="C12089" s="56" t="b">
        <v>0</v>
      </c>
      <c r="D12089" s="56" t="b">
        <v>0</v>
      </c>
      <c r="E12089" s="56">
        <f ca="1">IF(PV[[#This Row],[Business Date]]=Control!$C$6, PV[[#This Row],[Notional Value Local Cur]], -PV[[#This Row],[Notional Value Local Cur]])</f>
        <v>0</v>
      </c>
    </row>
    <row r="12090" spans="1:5" x14ac:dyDescent="0.25">
      <c r="A12090" s="36" t="b">
        <v>0</v>
      </c>
      <c r="B12090" s="56" t="b">
        <v>0</v>
      </c>
      <c r="C12090" s="56" t="b">
        <v>0</v>
      </c>
      <c r="D12090" s="56" t="b">
        <v>0</v>
      </c>
      <c r="E12090" s="56">
        <f ca="1">IF(PV[[#This Row],[Business Date]]=Control!$C$6, PV[[#This Row],[Notional Value Local Cur]], -PV[[#This Row],[Notional Value Local Cur]])</f>
        <v>0</v>
      </c>
    </row>
    <row r="12091" spans="1:5" x14ac:dyDescent="0.25">
      <c r="A12091" s="36" t="b">
        <v>0</v>
      </c>
      <c r="B12091" s="56" t="b">
        <v>0</v>
      </c>
      <c r="C12091" s="56" t="b">
        <v>0</v>
      </c>
      <c r="D12091" s="56" t="b">
        <v>0</v>
      </c>
      <c r="E12091" s="56">
        <f ca="1">IF(PV[[#This Row],[Business Date]]=Control!$C$6, PV[[#This Row],[Notional Value Local Cur]], -PV[[#This Row],[Notional Value Local Cur]])</f>
        <v>0</v>
      </c>
    </row>
    <row r="12092" spans="1:5" x14ac:dyDescent="0.25">
      <c r="A12092" s="36" t="b">
        <v>0</v>
      </c>
      <c r="B12092" s="56" t="b">
        <v>0</v>
      </c>
      <c r="C12092" s="56" t="b">
        <v>0</v>
      </c>
      <c r="D12092" s="56" t="b">
        <v>0</v>
      </c>
      <c r="E12092" s="56">
        <f ca="1">IF(PV[[#This Row],[Business Date]]=Control!$C$6, PV[[#This Row],[Notional Value Local Cur]], -PV[[#This Row],[Notional Value Local Cur]])</f>
        <v>0</v>
      </c>
    </row>
    <row r="12093" spans="1:5" x14ac:dyDescent="0.25">
      <c r="A12093" s="36" t="b">
        <v>0</v>
      </c>
      <c r="B12093" s="56" t="b">
        <v>0</v>
      </c>
      <c r="C12093" s="56" t="b">
        <v>0</v>
      </c>
      <c r="D12093" s="56" t="b">
        <v>0</v>
      </c>
      <c r="E12093" s="56">
        <f ca="1">IF(PV[[#This Row],[Business Date]]=Control!$C$6, PV[[#This Row],[Notional Value Local Cur]], -PV[[#This Row],[Notional Value Local Cur]])</f>
        <v>0</v>
      </c>
    </row>
    <row r="12094" spans="1:5" x14ac:dyDescent="0.25">
      <c r="A12094" s="36" t="b">
        <v>0</v>
      </c>
      <c r="B12094" s="56" t="b">
        <v>0</v>
      </c>
      <c r="C12094" s="56" t="b">
        <v>0</v>
      </c>
      <c r="D12094" s="56" t="b">
        <v>0</v>
      </c>
      <c r="E12094" s="56">
        <f ca="1">IF(PV[[#This Row],[Business Date]]=Control!$C$6, PV[[#This Row],[Notional Value Local Cur]], -PV[[#This Row],[Notional Value Local Cur]])</f>
        <v>0</v>
      </c>
    </row>
    <row r="12095" spans="1:5" x14ac:dyDescent="0.25">
      <c r="A12095" s="36" t="b">
        <v>0</v>
      </c>
      <c r="B12095" s="56" t="b">
        <v>0</v>
      </c>
      <c r="C12095" s="56" t="b">
        <v>0</v>
      </c>
      <c r="D12095" s="56" t="b">
        <v>0</v>
      </c>
      <c r="E12095" s="56">
        <f ca="1">IF(PV[[#This Row],[Business Date]]=Control!$C$6, PV[[#This Row],[Notional Value Local Cur]], -PV[[#This Row],[Notional Value Local Cur]])</f>
        <v>0</v>
      </c>
    </row>
    <row r="12096" spans="1:5" x14ac:dyDescent="0.25">
      <c r="A12096" s="36" t="b">
        <v>0</v>
      </c>
      <c r="B12096" s="56" t="b">
        <v>0</v>
      </c>
      <c r="C12096" s="56" t="b">
        <v>0</v>
      </c>
      <c r="D12096" s="56" t="b">
        <v>0</v>
      </c>
      <c r="E12096" s="56">
        <f ca="1">IF(PV[[#This Row],[Business Date]]=Control!$C$6, PV[[#This Row],[Notional Value Local Cur]], -PV[[#This Row],[Notional Value Local Cur]])</f>
        <v>0</v>
      </c>
    </row>
    <row r="12097" spans="1:5" x14ac:dyDescent="0.25">
      <c r="A12097" s="36" t="b">
        <v>0</v>
      </c>
      <c r="B12097" s="56" t="b">
        <v>0</v>
      </c>
      <c r="C12097" s="56" t="b">
        <v>0</v>
      </c>
      <c r="D12097" s="56" t="b">
        <v>0</v>
      </c>
      <c r="E12097" s="56">
        <f ca="1">IF(PV[[#This Row],[Business Date]]=Control!$C$6, PV[[#This Row],[Notional Value Local Cur]], -PV[[#This Row],[Notional Value Local Cur]])</f>
        <v>0</v>
      </c>
    </row>
    <row r="12098" spans="1:5" x14ac:dyDescent="0.25">
      <c r="A12098" s="36" t="b">
        <v>0</v>
      </c>
      <c r="B12098" s="56" t="b">
        <v>0</v>
      </c>
      <c r="C12098" s="56" t="b">
        <v>0</v>
      </c>
      <c r="D12098" s="56" t="b">
        <v>0</v>
      </c>
      <c r="E12098" s="56">
        <f ca="1">IF(PV[[#This Row],[Business Date]]=Control!$C$6, PV[[#This Row],[Notional Value Local Cur]], -PV[[#This Row],[Notional Value Local Cur]])</f>
        <v>0</v>
      </c>
    </row>
    <row r="12099" spans="1:5" x14ac:dyDescent="0.25">
      <c r="A12099" s="36" t="b">
        <v>0</v>
      </c>
      <c r="B12099" s="56" t="b">
        <v>0</v>
      </c>
      <c r="C12099" s="56" t="b">
        <v>0</v>
      </c>
      <c r="D12099" s="56" t="b">
        <v>0</v>
      </c>
      <c r="E12099" s="56">
        <f ca="1">IF(PV[[#This Row],[Business Date]]=Control!$C$6, PV[[#This Row],[Notional Value Local Cur]], -PV[[#This Row],[Notional Value Local Cur]])</f>
        <v>0</v>
      </c>
    </row>
    <row r="12100" spans="1:5" x14ac:dyDescent="0.25">
      <c r="A12100" s="36" t="b">
        <v>0</v>
      </c>
      <c r="B12100" s="56" t="b">
        <v>0</v>
      </c>
      <c r="C12100" s="56" t="b">
        <v>0</v>
      </c>
      <c r="D12100" s="56" t="b">
        <v>0</v>
      </c>
      <c r="E12100" s="56">
        <f ca="1">IF(PV[[#This Row],[Business Date]]=Control!$C$6, PV[[#This Row],[Notional Value Local Cur]], -PV[[#This Row],[Notional Value Local Cur]])</f>
        <v>0</v>
      </c>
    </row>
    <row r="12101" spans="1:5" x14ac:dyDescent="0.25">
      <c r="A12101" s="36" t="b">
        <v>0</v>
      </c>
      <c r="B12101" s="56" t="b">
        <v>0</v>
      </c>
      <c r="C12101" s="56" t="b">
        <v>0</v>
      </c>
      <c r="D12101" s="56" t="b">
        <v>0</v>
      </c>
      <c r="E12101" s="56">
        <f ca="1">IF(PV[[#This Row],[Business Date]]=Control!$C$6, PV[[#This Row],[Notional Value Local Cur]], -PV[[#This Row],[Notional Value Local Cur]])</f>
        <v>0</v>
      </c>
    </row>
    <row r="12102" spans="1:5" x14ac:dyDescent="0.25">
      <c r="A12102" s="36" t="b">
        <v>0</v>
      </c>
      <c r="B12102" s="56" t="b">
        <v>0</v>
      </c>
      <c r="C12102" s="56" t="b">
        <v>0</v>
      </c>
      <c r="D12102" s="56" t="b">
        <v>0</v>
      </c>
      <c r="E12102" s="56">
        <f ca="1">IF(PV[[#This Row],[Business Date]]=Control!$C$6, PV[[#This Row],[Notional Value Local Cur]], -PV[[#This Row],[Notional Value Local Cur]])</f>
        <v>0</v>
      </c>
    </row>
    <row r="12103" spans="1:5" x14ac:dyDescent="0.25">
      <c r="A12103" s="36" t="b">
        <v>0</v>
      </c>
      <c r="B12103" s="56" t="b">
        <v>0</v>
      </c>
      <c r="C12103" s="56" t="b">
        <v>0</v>
      </c>
      <c r="D12103" s="56" t="b">
        <v>0</v>
      </c>
      <c r="E12103" s="56">
        <f ca="1">IF(PV[[#This Row],[Business Date]]=Control!$C$6, PV[[#This Row],[Notional Value Local Cur]], -PV[[#This Row],[Notional Value Local Cur]])</f>
        <v>0</v>
      </c>
    </row>
    <row r="12104" spans="1:5" x14ac:dyDescent="0.25">
      <c r="A12104" s="36" t="b">
        <v>0</v>
      </c>
      <c r="B12104" s="56" t="b">
        <v>0</v>
      </c>
      <c r="C12104" s="56" t="b">
        <v>0</v>
      </c>
      <c r="D12104" s="56" t="b">
        <v>0</v>
      </c>
      <c r="E12104" s="56">
        <f ca="1">IF(PV[[#This Row],[Business Date]]=Control!$C$6, PV[[#This Row],[Notional Value Local Cur]], -PV[[#This Row],[Notional Value Local Cur]])</f>
        <v>0</v>
      </c>
    </row>
    <row r="12105" spans="1:5" x14ac:dyDescent="0.25">
      <c r="A12105" s="36" t="b">
        <v>0</v>
      </c>
      <c r="B12105" s="56" t="b">
        <v>0</v>
      </c>
      <c r="C12105" s="56" t="b">
        <v>0</v>
      </c>
      <c r="D12105" s="56" t="b">
        <v>0</v>
      </c>
      <c r="E12105" s="56">
        <f ca="1">IF(PV[[#This Row],[Business Date]]=Control!$C$6, PV[[#This Row],[Notional Value Local Cur]], -PV[[#This Row],[Notional Value Local Cur]])</f>
        <v>0</v>
      </c>
    </row>
    <row r="12106" spans="1:5" x14ac:dyDescent="0.25">
      <c r="A12106" s="36" t="b">
        <v>0</v>
      </c>
      <c r="B12106" s="56" t="b">
        <v>0</v>
      </c>
      <c r="C12106" s="56" t="b">
        <v>0</v>
      </c>
      <c r="D12106" s="56" t="b">
        <v>0</v>
      </c>
      <c r="E12106" s="56">
        <f ca="1">IF(PV[[#This Row],[Business Date]]=Control!$C$6, PV[[#This Row],[Notional Value Local Cur]], -PV[[#This Row],[Notional Value Local Cur]])</f>
        <v>0</v>
      </c>
    </row>
    <row r="12107" spans="1:5" x14ac:dyDescent="0.25">
      <c r="A12107" s="36" t="b">
        <v>0</v>
      </c>
      <c r="B12107" s="56" t="b">
        <v>0</v>
      </c>
      <c r="C12107" s="56" t="b">
        <v>0</v>
      </c>
      <c r="D12107" s="56" t="b">
        <v>0</v>
      </c>
      <c r="E12107" s="56">
        <f ca="1">IF(PV[[#This Row],[Business Date]]=Control!$C$6, PV[[#This Row],[Notional Value Local Cur]], -PV[[#This Row],[Notional Value Local Cur]])</f>
        <v>0</v>
      </c>
    </row>
    <row r="12108" spans="1:5" x14ac:dyDescent="0.25">
      <c r="A12108" s="36" t="b">
        <v>0</v>
      </c>
      <c r="B12108" s="56" t="b">
        <v>0</v>
      </c>
      <c r="C12108" s="56" t="b">
        <v>0</v>
      </c>
      <c r="D12108" s="56" t="b">
        <v>0</v>
      </c>
      <c r="E12108" s="56">
        <f ca="1">IF(PV[[#This Row],[Business Date]]=Control!$C$6, PV[[#This Row],[Notional Value Local Cur]], -PV[[#This Row],[Notional Value Local Cur]])</f>
        <v>0</v>
      </c>
    </row>
    <row r="12109" spans="1:5" x14ac:dyDescent="0.25">
      <c r="A12109" s="36" t="b">
        <v>0</v>
      </c>
      <c r="B12109" s="56" t="b">
        <v>0</v>
      </c>
      <c r="C12109" s="56" t="b">
        <v>0</v>
      </c>
      <c r="D12109" s="56" t="b">
        <v>0</v>
      </c>
      <c r="E12109" s="56">
        <f ca="1">IF(PV[[#This Row],[Business Date]]=Control!$C$6, PV[[#This Row],[Notional Value Local Cur]], -PV[[#This Row],[Notional Value Local Cur]])</f>
        <v>0</v>
      </c>
    </row>
    <row r="12110" spans="1:5" x14ac:dyDescent="0.25">
      <c r="A12110" s="36" t="b">
        <v>0</v>
      </c>
      <c r="B12110" s="56" t="b">
        <v>0</v>
      </c>
      <c r="C12110" s="56" t="b">
        <v>0</v>
      </c>
      <c r="D12110" s="56" t="b">
        <v>0</v>
      </c>
      <c r="E12110" s="56">
        <f ca="1">IF(PV[[#This Row],[Business Date]]=Control!$C$6, PV[[#This Row],[Notional Value Local Cur]], -PV[[#This Row],[Notional Value Local Cur]])</f>
        <v>0</v>
      </c>
    </row>
    <row r="12111" spans="1:5" x14ac:dyDescent="0.25">
      <c r="A12111" s="36" t="b">
        <v>0</v>
      </c>
      <c r="B12111" s="56" t="b">
        <v>0</v>
      </c>
      <c r="C12111" s="56" t="b">
        <v>0</v>
      </c>
      <c r="D12111" s="56" t="b">
        <v>0</v>
      </c>
      <c r="E12111" s="56">
        <f ca="1">IF(PV[[#This Row],[Business Date]]=Control!$C$6, PV[[#This Row],[Notional Value Local Cur]], -PV[[#This Row],[Notional Value Local Cur]])</f>
        <v>0</v>
      </c>
    </row>
    <row r="12112" spans="1:5" x14ac:dyDescent="0.25">
      <c r="A12112" s="36" t="b">
        <v>0</v>
      </c>
      <c r="B12112" s="56" t="b">
        <v>0</v>
      </c>
      <c r="C12112" s="56" t="b">
        <v>0</v>
      </c>
      <c r="D12112" s="56" t="b">
        <v>0</v>
      </c>
      <c r="E12112" s="56">
        <f ca="1">IF(PV[[#This Row],[Business Date]]=Control!$C$6, PV[[#This Row],[Notional Value Local Cur]], -PV[[#This Row],[Notional Value Local Cur]])</f>
        <v>0</v>
      </c>
    </row>
    <row r="12113" spans="1:5" x14ac:dyDescent="0.25">
      <c r="A12113" s="36" t="b">
        <v>0</v>
      </c>
      <c r="B12113" s="56" t="b">
        <v>0</v>
      </c>
      <c r="C12113" s="56" t="b">
        <v>0</v>
      </c>
      <c r="D12113" s="56" t="b">
        <v>0</v>
      </c>
      <c r="E12113" s="56">
        <f ca="1">IF(PV[[#This Row],[Business Date]]=Control!$C$6, PV[[#This Row],[Notional Value Local Cur]], -PV[[#This Row],[Notional Value Local Cur]])</f>
        <v>0</v>
      </c>
    </row>
    <row r="12114" spans="1:5" x14ac:dyDescent="0.25">
      <c r="A12114" s="36" t="b">
        <v>0</v>
      </c>
      <c r="B12114" s="56" t="b">
        <v>0</v>
      </c>
      <c r="C12114" s="56" t="b">
        <v>0</v>
      </c>
      <c r="D12114" s="56" t="b">
        <v>0</v>
      </c>
      <c r="E12114" s="56">
        <f ca="1">IF(PV[[#This Row],[Business Date]]=Control!$C$6, PV[[#This Row],[Notional Value Local Cur]], -PV[[#This Row],[Notional Value Local Cur]])</f>
        <v>0</v>
      </c>
    </row>
    <row r="12115" spans="1:5" x14ac:dyDescent="0.25">
      <c r="A12115" s="36" t="b">
        <v>0</v>
      </c>
      <c r="B12115" s="56" t="b">
        <v>0</v>
      </c>
      <c r="C12115" s="56" t="b">
        <v>0</v>
      </c>
      <c r="D12115" s="56" t="b">
        <v>0</v>
      </c>
      <c r="E12115" s="56">
        <f ca="1">IF(PV[[#This Row],[Business Date]]=Control!$C$6, PV[[#This Row],[Notional Value Local Cur]], -PV[[#This Row],[Notional Value Local Cur]])</f>
        <v>0</v>
      </c>
    </row>
    <row r="12116" spans="1:5" x14ac:dyDescent="0.25">
      <c r="A12116" s="36" t="b">
        <v>0</v>
      </c>
      <c r="B12116" s="56" t="b">
        <v>0</v>
      </c>
      <c r="C12116" s="56" t="b">
        <v>0</v>
      </c>
      <c r="D12116" s="56" t="b">
        <v>0</v>
      </c>
      <c r="E12116" s="56">
        <f ca="1">IF(PV[[#This Row],[Business Date]]=Control!$C$6, PV[[#This Row],[Notional Value Local Cur]], -PV[[#This Row],[Notional Value Local Cur]])</f>
        <v>0</v>
      </c>
    </row>
    <row r="12117" spans="1:5" x14ac:dyDescent="0.25">
      <c r="A12117" s="36" t="b">
        <v>0</v>
      </c>
      <c r="B12117" s="56" t="b">
        <v>0</v>
      </c>
      <c r="C12117" s="56" t="b">
        <v>0</v>
      </c>
      <c r="D12117" s="56" t="b">
        <v>0</v>
      </c>
      <c r="E12117" s="56">
        <f ca="1">IF(PV[[#This Row],[Business Date]]=Control!$C$6, PV[[#This Row],[Notional Value Local Cur]], -PV[[#This Row],[Notional Value Local Cur]])</f>
        <v>0</v>
      </c>
    </row>
    <row r="12118" spans="1:5" x14ac:dyDescent="0.25">
      <c r="A12118" s="36" t="b">
        <v>0</v>
      </c>
      <c r="B12118" s="56" t="b">
        <v>0</v>
      </c>
      <c r="C12118" s="56" t="b">
        <v>0</v>
      </c>
      <c r="D12118" s="56" t="b">
        <v>0</v>
      </c>
      <c r="E12118" s="56">
        <f ca="1">IF(PV[[#This Row],[Business Date]]=Control!$C$6, PV[[#This Row],[Notional Value Local Cur]], -PV[[#This Row],[Notional Value Local Cur]])</f>
        <v>0</v>
      </c>
    </row>
    <row r="12119" spans="1:5" x14ac:dyDescent="0.25">
      <c r="A12119" s="36" t="b">
        <v>0</v>
      </c>
      <c r="B12119" s="56" t="b">
        <v>0</v>
      </c>
      <c r="C12119" s="56" t="b">
        <v>0</v>
      </c>
      <c r="D12119" s="56" t="b">
        <v>0</v>
      </c>
      <c r="E12119" s="56">
        <f ca="1">IF(PV[[#This Row],[Business Date]]=Control!$C$6, PV[[#This Row],[Notional Value Local Cur]], -PV[[#This Row],[Notional Value Local Cur]])</f>
        <v>0</v>
      </c>
    </row>
    <row r="12120" spans="1:5" x14ac:dyDescent="0.25">
      <c r="A12120" s="36" t="b">
        <v>0</v>
      </c>
      <c r="B12120" s="56" t="b">
        <v>0</v>
      </c>
      <c r="C12120" s="56" t="b">
        <v>0</v>
      </c>
      <c r="D12120" s="56" t="b">
        <v>0</v>
      </c>
      <c r="E12120" s="56">
        <f ca="1">IF(PV[[#This Row],[Business Date]]=Control!$C$6, PV[[#This Row],[Notional Value Local Cur]], -PV[[#This Row],[Notional Value Local Cur]])</f>
        <v>0</v>
      </c>
    </row>
    <row r="12121" spans="1:5" x14ac:dyDescent="0.25">
      <c r="A12121" s="36" t="b">
        <v>0</v>
      </c>
      <c r="B12121" s="56" t="b">
        <v>0</v>
      </c>
      <c r="C12121" s="56" t="b">
        <v>0</v>
      </c>
      <c r="D12121" s="56" t="b">
        <v>0</v>
      </c>
      <c r="E12121" s="56">
        <f ca="1">IF(PV[[#This Row],[Business Date]]=Control!$C$6, PV[[#This Row],[Notional Value Local Cur]], -PV[[#This Row],[Notional Value Local Cur]])</f>
        <v>0</v>
      </c>
    </row>
    <row r="12122" spans="1:5" x14ac:dyDescent="0.25">
      <c r="A12122" s="36" t="b">
        <v>0</v>
      </c>
      <c r="B12122" s="56" t="b">
        <v>0</v>
      </c>
      <c r="C12122" s="56" t="b">
        <v>0</v>
      </c>
      <c r="D12122" s="56" t="b">
        <v>0</v>
      </c>
      <c r="E12122" s="56">
        <f ca="1">IF(PV[[#This Row],[Business Date]]=Control!$C$6, PV[[#This Row],[Notional Value Local Cur]], -PV[[#This Row],[Notional Value Local Cur]])</f>
        <v>0</v>
      </c>
    </row>
    <row r="12123" spans="1:5" x14ac:dyDescent="0.25">
      <c r="A12123" s="36" t="b">
        <v>0</v>
      </c>
      <c r="B12123" s="56" t="b">
        <v>0</v>
      </c>
      <c r="C12123" s="56" t="b">
        <v>0</v>
      </c>
      <c r="D12123" s="56" t="b">
        <v>0</v>
      </c>
      <c r="E12123" s="56">
        <f ca="1">IF(PV[[#This Row],[Business Date]]=Control!$C$6, PV[[#This Row],[Notional Value Local Cur]], -PV[[#This Row],[Notional Value Local Cur]])</f>
        <v>0</v>
      </c>
    </row>
    <row r="12124" spans="1:5" x14ac:dyDescent="0.25">
      <c r="A12124" s="36" t="b">
        <v>0</v>
      </c>
      <c r="B12124" s="56" t="b">
        <v>0</v>
      </c>
      <c r="C12124" s="56" t="b">
        <v>0</v>
      </c>
      <c r="D12124" s="56" t="b">
        <v>0</v>
      </c>
      <c r="E12124" s="56">
        <f ca="1">IF(PV[[#This Row],[Business Date]]=Control!$C$6, PV[[#This Row],[Notional Value Local Cur]], -PV[[#This Row],[Notional Value Local Cur]])</f>
        <v>0</v>
      </c>
    </row>
    <row r="12125" spans="1:5" x14ac:dyDescent="0.25">
      <c r="A12125" s="36" t="b">
        <v>0</v>
      </c>
      <c r="B12125" s="56" t="b">
        <v>0</v>
      </c>
      <c r="C12125" s="56" t="b">
        <v>0</v>
      </c>
      <c r="D12125" s="56" t="b">
        <v>0</v>
      </c>
      <c r="E12125" s="56">
        <f ca="1">IF(PV[[#This Row],[Business Date]]=Control!$C$6, PV[[#This Row],[Notional Value Local Cur]], -PV[[#This Row],[Notional Value Local Cur]])</f>
        <v>0</v>
      </c>
    </row>
    <row r="12126" spans="1:5" x14ac:dyDescent="0.25">
      <c r="A12126" s="36" t="b">
        <v>0</v>
      </c>
      <c r="B12126" s="56" t="b">
        <v>0</v>
      </c>
      <c r="C12126" s="56" t="b">
        <v>0</v>
      </c>
      <c r="D12126" s="56" t="b">
        <v>0</v>
      </c>
      <c r="E12126" s="56">
        <f ca="1">IF(PV[[#This Row],[Business Date]]=Control!$C$6, PV[[#This Row],[Notional Value Local Cur]], -PV[[#This Row],[Notional Value Local Cur]])</f>
        <v>0</v>
      </c>
    </row>
    <row r="12127" spans="1:5" x14ac:dyDescent="0.25">
      <c r="A12127" s="36" t="b">
        <v>0</v>
      </c>
      <c r="B12127" s="56" t="b">
        <v>0</v>
      </c>
      <c r="C12127" s="56" t="b">
        <v>0</v>
      </c>
      <c r="D12127" s="56" t="b">
        <v>0</v>
      </c>
      <c r="E12127" s="56">
        <f ca="1">IF(PV[[#This Row],[Business Date]]=Control!$C$6, PV[[#This Row],[Notional Value Local Cur]], -PV[[#This Row],[Notional Value Local Cur]])</f>
        <v>0</v>
      </c>
    </row>
    <row r="12128" spans="1:5" x14ac:dyDescent="0.25">
      <c r="A12128" s="36" t="b">
        <v>0</v>
      </c>
      <c r="B12128" s="56" t="b">
        <v>0</v>
      </c>
      <c r="C12128" s="56" t="b">
        <v>0</v>
      </c>
      <c r="D12128" s="56" t="b">
        <v>0</v>
      </c>
      <c r="E12128" s="56">
        <f ca="1">IF(PV[[#This Row],[Business Date]]=Control!$C$6, PV[[#This Row],[Notional Value Local Cur]], -PV[[#This Row],[Notional Value Local Cur]])</f>
        <v>0</v>
      </c>
    </row>
    <row r="12129" spans="1:5" x14ac:dyDescent="0.25">
      <c r="A12129" s="36" t="b">
        <v>0</v>
      </c>
      <c r="B12129" s="56" t="b">
        <v>0</v>
      </c>
      <c r="C12129" s="56" t="b">
        <v>0</v>
      </c>
      <c r="D12129" s="56" t="b">
        <v>0</v>
      </c>
      <c r="E12129" s="56">
        <f ca="1">IF(PV[[#This Row],[Business Date]]=Control!$C$6, PV[[#This Row],[Notional Value Local Cur]], -PV[[#This Row],[Notional Value Local Cur]])</f>
        <v>0</v>
      </c>
    </row>
    <row r="12130" spans="1:5" x14ac:dyDescent="0.25">
      <c r="A12130" s="36" t="b">
        <v>0</v>
      </c>
      <c r="B12130" s="56" t="b">
        <v>0</v>
      </c>
      <c r="C12130" s="56" t="b">
        <v>0</v>
      </c>
      <c r="D12130" s="56" t="b">
        <v>0</v>
      </c>
      <c r="E12130" s="56">
        <f ca="1">IF(PV[[#This Row],[Business Date]]=Control!$C$6, PV[[#This Row],[Notional Value Local Cur]], -PV[[#This Row],[Notional Value Local Cur]])</f>
        <v>0</v>
      </c>
    </row>
    <row r="12131" spans="1:5" x14ac:dyDescent="0.25">
      <c r="A12131" s="36" t="b">
        <v>0</v>
      </c>
      <c r="B12131" s="56" t="b">
        <v>0</v>
      </c>
      <c r="C12131" s="56" t="b">
        <v>0</v>
      </c>
      <c r="D12131" s="56" t="b">
        <v>0</v>
      </c>
      <c r="E12131" s="56">
        <f ca="1">IF(PV[[#This Row],[Business Date]]=Control!$C$6, PV[[#This Row],[Notional Value Local Cur]], -PV[[#This Row],[Notional Value Local Cur]])</f>
        <v>0</v>
      </c>
    </row>
    <row r="12132" spans="1:5" x14ac:dyDescent="0.25">
      <c r="A12132" s="36" t="b">
        <v>0</v>
      </c>
      <c r="B12132" s="56" t="b">
        <v>0</v>
      </c>
      <c r="C12132" s="56" t="b">
        <v>0</v>
      </c>
      <c r="D12132" s="56" t="b">
        <v>0</v>
      </c>
      <c r="E12132" s="56">
        <f ca="1">IF(PV[[#This Row],[Business Date]]=Control!$C$6, PV[[#This Row],[Notional Value Local Cur]], -PV[[#This Row],[Notional Value Local Cur]])</f>
        <v>0</v>
      </c>
    </row>
    <row r="12133" spans="1:5" x14ac:dyDescent="0.25">
      <c r="A12133" s="36" t="b">
        <v>0</v>
      </c>
      <c r="B12133" s="56" t="b">
        <v>0</v>
      </c>
      <c r="C12133" s="56" t="b">
        <v>0</v>
      </c>
      <c r="D12133" s="56" t="b">
        <v>0</v>
      </c>
      <c r="E12133" s="56">
        <f ca="1">IF(PV[[#This Row],[Business Date]]=Control!$C$6, PV[[#This Row],[Notional Value Local Cur]], -PV[[#This Row],[Notional Value Local Cur]])</f>
        <v>0</v>
      </c>
    </row>
    <row r="12134" spans="1:5" x14ac:dyDescent="0.25">
      <c r="A12134" s="36" t="b">
        <v>0</v>
      </c>
      <c r="B12134" s="56" t="b">
        <v>0</v>
      </c>
      <c r="C12134" s="56" t="b">
        <v>0</v>
      </c>
      <c r="D12134" s="56" t="b">
        <v>0</v>
      </c>
      <c r="E12134" s="56">
        <f ca="1">IF(PV[[#This Row],[Business Date]]=Control!$C$6, PV[[#This Row],[Notional Value Local Cur]], -PV[[#This Row],[Notional Value Local Cur]])</f>
        <v>0</v>
      </c>
    </row>
    <row r="12135" spans="1:5" x14ac:dyDescent="0.25">
      <c r="A12135" s="36" t="b">
        <v>0</v>
      </c>
      <c r="B12135" s="56" t="b">
        <v>0</v>
      </c>
      <c r="C12135" s="56" t="b">
        <v>0</v>
      </c>
      <c r="D12135" s="56" t="b">
        <v>0</v>
      </c>
      <c r="E12135" s="56">
        <f ca="1">IF(PV[[#This Row],[Business Date]]=Control!$C$6, PV[[#This Row],[Notional Value Local Cur]], -PV[[#This Row],[Notional Value Local Cur]])</f>
        <v>0</v>
      </c>
    </row>
    <row r="12136" spans="1:5" x14ac:dyDescent="0.25">
      <c r="A12136" s="36" t="b">
        <v>0</v>
      </c>
      <c r="B12136" s="56" t="b">
        <v>0</v>
      </c>
      <c r="C12136" s="56" t="b">
        <v>0</v>
      </c>
      <c r="D12136" s="56" t="b">
        <v>0</v>
      </c>
      <c r="E12136" s="56">
        <f ca="1">IF(PV[[#This Row],[Business Date]]=Control!$C$6, PV[[#This Row],[Notional Value Local Cur]], -PV[[#This Row],[Notional Value Local Cur]])</f>
        <v>0</v>
      </c>
    </row>
    <row r="12137" spans="1:5" x14ac:dyDescent="0.25">
      <c r="A12137" s="36" t="b">
        <v>0</v>
      </c>
      <c r="B12137" s="56" t="b">
        <v>0</v>
      </c>
      <c r="C12137" s="56" t="b">
        <v>0</v>
      </c>
      <c r="D12137" s="56" t="b">
        <v>0</v>
      </c>
      <c r="E12137" s="56">
        <f ca="1">IF(PV[[#This Row],[Business Date]]=Control!$C$6, PV[[#This Row],[Notional Value Local Cur]], -PV[[#This Row],[Notional Value Local Cur]])</f>
        <v>0</v>
      </c>
    </row>
    <row r="12138" spans="1:5" x14ac:dyDescent="0.25">
      <c r="A12138" s="36" t="b">
        <v>0</v>
      </c>
      <c r="B12138" s="56" t="b">
        <v>0</v>
      </c>
      <c r="C12138" s="56" t="b">
        <v>0</v>
      </c>
      <c r="D12138" s="56" t="b">
        <v>0</v>
      </c>
      <c r="E12138" s="56">
        <f ca="1">IF(PV[[#This Row],[Business Date]]=Control!$C$6, PV[[#This Row],[Notional Value Local Cur]], -PV[[#This Row],[Notional Value Local Cur]])</f>
        <v>0</v>
      </c>
    </row>
    <row r="12139" spans="1:5" x14ac:dyDescent="0.25">
      <c r="A12139" s="36" t="b">
        <v>0</v>
      </c>
      <c r="B12139" s="56" t="b">
        <v>0</v>
      </c>
      <c r="C12139" s="56" t="b">
        <v>0</v>
      </c>
      <c r="D12139" s="56" t="b">
        <v>0</v>
      </c>
      <c r="E12139" s="56">
        <f ca="1">IF(PV[[#This Row],[Business Date]]=Control!$C$6, PV[[#This Row],[Notional Value Local Cur]], -PV[[#This Row],[Notional Value Local Cur]])</f>
        <v>0</v>
      </c>
    </row>
    <row r="12140" spans="1:5" x14ac:dyDescent="0.25">
      <c r="A12140" s="36" t="b">
        <v>0</v>
      </c>
      <c r="B12140" s="56" t="b">
        <v>0</v>
      </c>
      <c r="C12140" s="56" t="b">
        <v>0</v>
      </c>
      <c r="D12140" s="56" t="b">
        <v>0</v>
      </c>
      <c r="E12140" s="56">
        <f ca="1">IF(PV[[#This Row],[Business Date]]=Control!$C$6, PV[[#This Row],[Notional Value Local Cur]], -PV[[#This Row],[Notional Value Local Cur]])</f>
        <v>0</v>
      </c>
    </row>
    <row r="12141" spans="1:5" x14ac:dyDescent="0.25">
      <c r="A12141" s="36" t="b">
        <v>0</v>
      </c>
      <c r="B12141" s="56" t="b">
        <v>0</v>
      </c>
      <c r="C12141" s="56" t="b">
        <v>0</v>
      </c>
      <c r="D12141" s="56" t="b">
        <v>0</v>
      </c>
      <c r="E12141" s="56">
        <f ca="1">IF(PV[[#This Row],[Business Date]]=Control!$C$6, PV[[#This Row],[Notional Value Local Cur]], -PV[[#This Row],[Notional Value Local Cur]])</f>
        <v>0</v>
      </c>
    </row>
    <row r="12142" spans="1:5" x14ac:dyDescent="0.25">
      <c r="A12142" s="36" t="b">
        <v>0</v>
      </c>
      <c r="B12142" s="56" t="b">
        <v>0</v>
      </c>
      <c r="C12142" s="56" t="b">
        <v>0</v>
      </c>
      <c r="D12142" s="56" t="b">
        <v>0</v>
      </c>
      <c r="E12142" s="56">
        <f ca="1">IF(PV[[#This Row],[Business Date]]=Control!$C$6, PV[[#This Row],[Notional Value Local Cur]], -PV[[#This Row],[Notional Value Local Cur]])</f>
        <v>0</v>
      </c>
    </row>
    <row r="12143" spans="1:5" x14ac:dyDescent="0.25">
      <c r="A12143" s="36" t="b">
        <v>0</v>
      </c>
      <c r="B12143" s="56" t="b">
        <v>0</v>
      </c>
      <c r="C12143" s="56" t="b">
        <v>0</v>
      </c>
      <c r="D12143" s="56" t="b">
        <v>0</v>
      </c>
      <c r="E12143" s="56">
        <f ca="1">IF(PV[[#This Row],[Business Date]]=Control!$C$6, PV[[#This Row],[Notional Value Local Cur]], -PV[[#This Row],[Notional Value Local Cur]])</f>
        <v>0</v>
      </c>
    </row>
    <row r="12144" spans="1:5" x14ac:dyDescent="0.25">
      <c r="A12144" s="36" t="b">
        <v>0</v>
      </c>
      <c r="B12144" s="56" t="b">
        <v>0</v>
      </c>
      <c r="C12144" s="56" t="b">
        <v>0</v>
      </c>
      <c r="D12144" s="56" t="b">
        <v>0</v>
      </c>
      <c r="E12144" s="56">
        <f ca="1">IF(PV[[#This Row],[Business Date]]=Control!$C$6, PV[[#This Row],[Notional Value Local Cur]], -PV[[#This Row],[Notional Value Local Cur]])</f>
        <v>0</v>
      </c>
    </row>
    <row r="12145" spans="1:5" x14ac:dyDescent="0.25">
      <c r="A12145" s="36" t="b">
        <v>0</v>
      </c>
      <c r="B12145" s="56" t="b">
        <v>0</v>
      </c>
      <c r="C12145" s="56" t="b">
        <v>0</v>
      </c>
      <c r="D12145" s="56" t="b">
        <v>0</v>
      </c>
      <c r="E12145" s="56">
        <f ca="1">IF(PV[[#This Row],[Business Date]]=Control!$C$6, PV[[#This Row],[Notional Value Local Cur]], -PV[[#This Row],[Notional Value Local Cur]])</f>
        <v>0</v>
      </c>
    </row>
    <row r="12146" spans="1:5" x14ac:dyDescent="0.25">
      <c r="A12146" s="36" t="b">
        <v>0</v>
      </c>
      <c r="B12146" s="56" t="b">
        <v>0</v>
      </c>
      <c r="C12146" s="56" t="b">
        <v>0</v>
      </c>
      <c r="D12146" s="56" t="b">
        <v>0</v>
      </c>
      <c r="E12146" s="56">
        <f ca="1">IF(PV[[#This Row],[Business Date]]=Control!$C$6, PV[[#This Row],[Notional Value Local Cur]], -PV[[#This Row],[Notional Value Local Cur]])</f>
        <v>0</v>
      </c>
    </row>
    <row r="12147" spans="1:5" x14ac:dyDescent="0.25">
      <c r="A12147" s="36" t="b">
        <v>0</v>
      </c>
      <c r="B12147" s="56" t="b">
        <v>0</v>
      </c>
      <c r="C12147" s="56" t="b">
        <v>0</v>
      </c>
      <c r="D12147" s="56" t="b">
        <v>0</v>
      </c>
      <c r="E12147" s="56">
        <f ca="1">IF(PV[[#This Row],[Business Date]]=Control!$C$6, PV[[#This Row],[Notional Value Local Cur]], -PV[[#This Row],[Notional Value Local Cur]])</f>
        <v>0</v>
      </c>
    </row>
    <row r="12148" spans="1:5" x14ac:dyDescent="0.25">
      <c r="A12148" s="36" t="b">
        <v>0</v>
      </c>
      <c r="B12148" s="56" t="b">
        <v>0</v>
      </c>
      <c r="C12148" s="56" t="b">
        <v>0</v>
      </c>
      <c r="D12148" s="56" t="b">
        <v>0</v>
      </c>
      <c r="E12148" s="56">
        <f ca="1">IF(PV[[#This Row],[Business Date]]=Control!$C$6, PV[[#This Row],[Notional Value Local Cur]], -PV[[#This Row],[Notional Value Local Cur]])</f>
        <v>0</v>
      </c>
    </row>
    <row r="12149" spans="1:5" x14ac:dyDescent="0.25">
      <c r="A12149" s="36" t="b">
        <v>0</v>
      </c>
      <c r="B12149" s="56" t="b">
        <v>0</v>
      </c>
      <c r="C12149" s="56" t="b">
        <v>0</v>
      </c>
      <c r="D12149" s="56" t="b">
        <v>0</v>
      </c>
      <c r="E12149" s="56">
        <f ca="1">IF(PV[[#This Row],[Business Date]]=Control!$C$6, PV[[#This Row],[Notional Value Local Cur]], -PV[[#This Row],[Notional Value Local Cur]])</f>
        <v>0</v>
      </c>
    </row>
    <row r="12150" spans="1:5" x14ac:dyDescent="0.25">
      <c r="A12150" s="36" t="b">
        <v>0</v>
      </c>
      <c r="B12150" s="56" t="b">
        <v>0</v>
      </c>
      <c r="C12150" s="56" t="b">
        <v>0</v>
      </c>
      <c r="D12150" s="56" t="b">
        <v>0</v>
      </c>
      <c r="E12150" s="56">
        <f ca="1">IF(PV[[#This Row],[Business Date]]=Control!$C$6, PV[[#This Row],[Notional Value Local Cur]], -PV[[#This Row],[Notional Value Local Cur]])</f>
        <v>0</v>
      </c>
    </row>
    <row r="12151" spans="1:5" x14ac:dyDescent="0.25">
      <c r="A12151" s="36" t="b">
        <v>0</v>
      </c>
      <c r="B12151" s="56" t="b">
        <v>0</v>
      </c>
      <c r="C12151" s="56" t="b">
        <v>0</v>
      </c>
      <c r="D12151" s="56" t="b">
        <v>0</v>
      </c>
      <c r="E12151" s="56">
        <f ca="1">IF(PV[[#This Row],[Business Date]]=Control!$C$6, PV[[#This Row],[Notional Value Local Cur]], -PV[[#This Row],[Notional Value Local Cur]])</f>
        <v>0</v>
      </c>
    </row>
    <row r="12152" spans="1:5" x14ac:dyDescent="0.25">
      <c r="A12152" s="36" t="b">
        <v>0</v>
      </c>
      <c r="B12152" s="56" t="b">
        <v>0</v>
      </c>
      <c r="C12152" s="56" t="b">
        <v>0</v>
      </c>
      <c r="D12152" s="56" t="b">
        <v>0</v>
      </c>
      <c r="E12152" s="56">
        <f ca="1">IF(PV[[#This Row],[Business Date]]=Control!$C$6, PV[[#This Row],[Notional Value Local Cur]], -PV[[#This Row],[Notional Value Local Cur]])</f>
        <v>0</v>
      </c>
    </row>
    <row r="12153" spans="1:5" x14ac:dyDescent="0.25">
      <c r="A12153" s="36" t="b">
        <v>0</v>
      </c>
      <c r="B12153" s="56" t="b">
        <v>0</v>
      </c>
      <c r="C12153" s="56" t="b">
        <v>0</v>
      </c>
      <c r="D12153" s="56" t="b">
        <v>0</v>
      </c>
      <c r="E12153" s="56">
        <f ca="1">IF(PV[[#This Row],[Business Date]]=Control!$C$6, PV[[#This Row],[Notional Value Local Cur]], -PV[[#This Row],[Notional Value Local Cur]])</f>
        <v>0</v>
      </c>
    </row>
    <row r="12154" spans="1:5" x14ac:dyDescent="0.25">
      <c r="A12154" s="36" t="b">
        <v>0</v>
      </c>
      <c r="B12154" s="56" t="b">
        <v>0</v>
      </c>
      <c r="C12154" s="56" t="b">
        <v>0</v>
      </c>
      <c r="D12154" s="56" t="b">
        <v>0</v>
      </c>
      <c r="E12154" s="56">
        <f ca="1">IF(PV[[#This Row],[Business Date]]=Control!$C$6, PV[[#This Row],[Notional Value Local Cur]], -PV[[#This Row],[Notional Value Local Cur]])</f>
        <v>0</v>
      </c>
    </row>
    <row r="12155" spans="1:5" x14ac:dyDescent="0.25">
      <c r="A12155" s="36" t="b">
        <v>0</v>
      </c>
      <c r="B12155" s="56" t="b">
        <v>0</v>
      </c>
      <c r="C12155" s="56" t="b">
        <v>0</v>
      </c>
      <c r="D12155" s="56" t="b">
        <v>0</v>
      </c>
      <c r="E12155" s="56">
        <f ca="1">IF(PV[[#This Row],[Business Date]]=Control!$C$6, PV[[#This Row],[Notional Value Local Cur]], -PV[[#This Row],[Notional Value Local Cur]])</f>
        <v>0</v>
      </c>
    </row>
    <row r="12156" spans="1:5" x14ac:dyDescent="0.25">
      <c r="A12156" s="36" t="b">
        <v>0</v>
      </c>
      <c r="B12156" s="56" t="b">
        <v>0</v>
      </c>
      <c r="C12156" s="56" t="b">
        <v>0</v>
      </c>
      <c r="D12156" s="56" t="b">
        <v>0</v>
      </c>
      <c r="E12156" s="56">
        <f ca="1">IF(PV[[#This Row],[Business Date]]=Control!$C$6, PV[[#This Row],[Notional Value Local Cur]], -PV[[#This Row],[Notional Value Local Cur]])</f>
        <v>0</v>
      </c>
    </row>
    <row r="12157" spans="1:5" x14ac:dyDescent="0.25">
      <c r="A12157" s="36" t="b">
        <v>0</v>
      </c>
      <c r="B12157" s="56" t="b">
        <v>0</v>
      </c>
      <c r="C12157" s="56" t="b">
        <v>0</v>
      </c>
      <c r="D12157" s="56" t="b">
        <v>0</v>
      </c>
      <c r="E12157" s="56">
        <f ca="1">IF(PV[[#This Row],[Business Date]]=Control!$C$6, PV[[#This Row],[Notional Value Local Cur]], -PV[[#This Row],[Notional Value Local Cur]])</f>
        <v>0</v>
      </c>
    </row>
    <row r="12158" spans="1:5" x14ac:dyDescent="0.25">
      <c r="A12158" s="36" t="b">
        <v>0</v>
      </c>
      <c r="B12158" s="56" t="b">
        <v>0</v>
      </c>
      <c r="C12158" s="56" t="b">
        <v>0</v>
      </c>
      <c r="D12158" s="56" t="b">
        <v>0</v>
      </c>
      <c r="E12158" s="56">
        <f ca="1">IF(PV[[#This Row],[Business Date]]=Control!$C$6, PV[[#This Row],[Notional Value Local Cur]], -PV[[#This Row],[Notional Value Local Cur]])</f>
        <v>0</v>
      </c>
    </row>
    <row r="12159" spans="1:5" x14ac:dyDescent="0.25">
      <c r="A12159" s="36" t="b">
        <v>0</v>
      </c>
      <c r="B12159" s="56" t="b">
        <v>0</v>
      </c>
      <c r="C12159" s="56" t="b">
        <v>0</v>
      </c>
      <c r="D12159" s="56" t="b">
        <v>0</v>
      </c>
      <c r="E12159" s="56">
        <f ca="1">IF(PV[[#This Row],[Business Date]]=Control!$C$6, PV[[#This Row],[Notional Value Local Cur]], -PV[[#This Row],[Notional Value Local Cur]])</f>
        <v>0</v>
      </c>
    </row>
    <row r="12160" spans="1:5" x14ac:dyDescent="0.25">
      <c r="A12160" s="36" t="b">
        <v>0</v>
      </c>
      <c r="B12160" s="56" t="b">
        <v>0</v>
      </c>
      <c r="C12160" s="56" t="b">
        <v>0</v>
      </c>
      <c r="D12160" s="56" t="b">
        <v>0</v>
      </c>
      <c r="E12160" s="56">
        <f ca="1">IF(PV[[#This Row],[Business Date]]=Control!$C$6, PV[[#This Row],[Notional Value Local Cur]], -PV[[#This Row],[Notional Value Local Cur]])</f>
        <v>0</v>
      </c>
    </row>
    <row r="12161" spans="1:5" x14ac:dyDescent="0.25">
      <c r="A12161" s="36" t="b">
        <v>0</v>
      </c>
      <c r="B12161" s="56" t="b">
        <v>0</v>
      </c>
      <c r="C12161" s="56" t="b">
        <v>0</v>
      </c>
      <c r="D12161" s="56" t="b">
        <v>0</v>
      </c>
      <c r="E12161" s="56">
        <f ca="1">IF(PV[[#This Row],[Business Date]]=Control!$C$6, PV[[#This Row],[Notional Value Local Cur]], -PV[[#This Row],[Notional Value Local Cur]])</f>
        <v>0</v>
      </c>
    </row>
    <row r="12162" spans="1:5" x14ac:dyDescent="0.25">
      <c r="A12162" s="36" t="b">
        <v>0</v>
      </c>
      <c r="B12162" s="56" t="b">
        <v>0</v>
      </c>
      <c r="C12162" s="56" t="b">
        <v>0</v>
      </c>
      <c r="D12162" s="56" t="b">
        <v>0</v>
      </c>
      <c r="E12162" s="56">
        <f ca="1">IF(PV[[#This Row],[Business Date]]=Control!$C$6, PV[[#This Row],[Notional Value Local Cur]], -PV[[#This Row],[Notional Value Local Cur]])</f>
        <v>0</v>
      </c>
    </row>
    <row r="12163" spans="1:5" x14ac:dyDescent="0.25">
      <c r="A12163" s="36" t="b">
        <v>0</v>
      </c>
      <c r="B12163" s="56" t="b">
        <v>0</v>
      </c>
      <c r="C12163" s="56" t="b">
        <v>0</v>
      </c>
      <c r="D12163" s="56" t="b">
        <v>0</v>
      </c>
      <c r="E12163" s="56">
        <f ca="1">IF(PV[[#This Row],[Business Date]]=Control!$C$6, PV[[#This Row],[Notional Value Local Cur]], -PV[[#This Row],[Notional Value Local Cur]])</f>
        <v>0</v>
      </c>
    </row>
    <row r="12164" spans="1:5" x14ac:dyDescent="0.25">
      <c r="A12164" s="36" t="b">
        <v>0</v>
      </c>
      <c r="B12164" s="56" t="b">
        <v>0</v>
      </c>
      <c r="C12164" s="56" t="b">
        <v>0</v>
      </c>
      <c r="D12164" s="56" t="b">
        <v>0</v>
      </c>
      <c r="E12164" s="56">
        <f ca="1">IF(PV[[#This Row],[Business Date]]=Control!$C$6, PV[[#This Row],[Notional Value Local Cur]], -PV[[#This Row],[Notional Value Local Cur]])</f>
        <v>0</v>
      </c>
    </row>
    <row r="12165" spans="1:5" x14ac:dyDescent="0.25">
      <c r="A12165" s="36" t="b">
        <v>0</v>
      </c>
      <c r="B12165" s="56" t="b">
        <v>0</v>
      </c>
      <c r="C12165" s="56" t="b">
        <v>0</v>
      </c>
      <c r="D12165" s="56" t="b">
        <v>0</v>
      </c>
      <c r="E12165" s="56">
        <f ca="1">IF(PV[[#This Row],[Business Date]]=Control!$C$6, PV[[#This Row],[Notional Value Local Cur]], -PV[[#This Row],[Notional Value Local Cur]])</f>
        <v>0</v>
      </c>
    </row>
    <row r="12166" spans="1:5" x14ac:dyDescent="0.25">
      <c r="A12166" s="36" t="b">
        <v>0</v>
      </c>
      <c r="B12166" s="56" t="b">
        <v>0</v>
      </c>
      <c r="C12166" s="56" t="b">
        <v>0</v>
      </c>
      <c r="D12166" s="56" t="b">
        <v>0</v>
      </c>
      <c r="E12166" s="56">
        <f ca="1">IF(PV[[#This Row],[Business Date]]=Control!$C$6, PV[[#This Row],[Notional Value Local Cur]], -PV[[#This Row],[Notional Value Local Cur]])</f>
        <v>0</v>
      </c>
    </row>
    <row r="12167" spans="1:5" x14ac:dyDescent="0.25">
      <c r="A12167" s="36" t="b">
        <v>0</v>
      </c>
      <c r="B12167" s="56" t="b">
        <v>0</v>
      </c>
      <c r="C12167" s="56" t="b">
        <v>0</v>
      </c>
      <c r="D12167" s="56" t="b">
        <v>0</v>
      </c>
      <c r="E12167" s="56">
        <f ca="1">IF(PV[[#This Row],[Business Date]]=Control!$C$6, PV[[#This Row],[Notional Value Local Cur]], -PV[[#This Row],[Notional Value Local Cur]])</f>
        <v>0</v>
      </c>
    </row>
    <row r="12168" spans="1:5" x14ac:dyDescent="0.25">
      <c r="A12168" s="36" t="b">
        <v>0</v>
      </c>
      <c r="B12168" s="56" t="b">
        <v>0</v>
      </c>
      <c r="C12168" s="56" t="b">
        <v>0</v>
      </c>
      <c r="D12168" s="56" t="b">
        <v>0</v>
      </c>
      <c r="E12168" s="56">
        <f ca="1">IF(PV[[#This Row],[Business Date]]=Control!$C$6, PV[[#This Row],[Notional Value Local Cur]], -PV[[#This Row],[Notional Value Local Cur]])</f>
        <v>0</v>
      </c>
    </row>
    <row r="12169" spans="1:5" x14ac:dyDescent="0.25">
      <c r="A12169" s="36" t="b">
        <v>0</v>
      </c>
      <c r="B12169" s="56" t="b">
        <v>0</v>
      </c>
      <c r="C12169" s="56" t="b">
        <v>0</v>
      </c>
      <c r="D12169" s="56" t="b">
        <v>0</v>
      </c>
      <c r="E12169" s="56">
        <f ca="1">IF(PV[[#This Row],[Business Date]]=Control!$C$6, PV[[#This Row],[Notional Value Local Cur]], -PV[[#This Row],[Notional Value Local Cur]])</f>
        <v>0</v>
      </c>
    </row>
    <row r="12170" spans="1:5" x14ac:dyDescent="0.25">
      <c r="A12170" s="36" t="b">
        <v>0</v>
      </c>
      <c r="B12170" s="56" t="b">
        <v>0</v>
      </c>
      <c r="C12170" s="56" t="b">
        <v>0</v>
      </c>
      <c r="D12170" s="56" t="b">
        <v>0</v>
      </c>
      <c r="E12170" s="56">
        <f ca="1">IF(PV[[#This Row],[Business Date]]=Control!$C$6, PV[[#This Row],[Notional Value Local Cur]], -PV[[#This Row],[Notional Value Local Cur]])</f>
        <v>0</v>
      </c>
    </row>
    <row r="12171" spans="1:5" x14ac:dyDescent="0.25">
      <c r="A12171" s="36" t="b">
        <v>0</v>
      </c>
      <c r="B12171" s="56" t="b">
        <v>0</v>
      </c>
      <c r="C12171" s="56" t="b">
        <v>0</v>
      </c>
      <c r="D12171" s="56" t="b">
        <v>0</v>
      </c>
      <c r="E12171" s="56">
        <f ca="1">IF(PV[[#This Row],[Business Date]]=Control!$C$6, PV[[#This Row],[Notional Value Local Cur]], -PV[[#This Row],[Notional Value Local Cur]])</f>
        <v>0</v>
      </c>
    </row>
    <row r="12172" spans="1:5" x14ac:dyDescent="0.25">
      <c r="A12172" s="36" t="b">
        <v>0</v>
      </c>
      <c r="B12172" s="56" t="b">
        <v>0</v>
      </c>
      <c r="C12172" s="56" t="b">
        <v>0</v>
      </c>
      <c r="D12172" s="56" t="b">
        <v>0</v>
      </c>
      <c r="E12172" s="56">
        <f ca="1">IF(PV[[#This Row],[Business Date]]=Control!$C$6, PV[[#This Row],[Notional Value Local Cur]], -PV[[#This Row],[Notional Value Local Cur]])</f>
        <v>0</v>
      </c>
    </row>
    <row r="12173" spans="1:5" x14ac:dyDescent="0.25">
      <c r="A12173" s="36" t="b">
        <v>0</v>
      </c>
      <c r="B12173" s="56" t="b">
        <v>0</v>
      </c>
      <c r="C12173" s="56" t="b">
        <v>0</v>
      </c>
      <c r="D12173" s="56" t="b">
        <v>0</v>
      </c>
      <c r="E12173" s="56">
        <f ca="1">IF(PV[[#This Row],[Business Date]]=Control!$C$6, PV[[#This Row],[Notional Value Local Cur]], -PV[[#This Row],[Notional Value Local Cur]])</f>
        <v>0</v>
      </c>
    </row>
    <row r="12174" spans="1:5" x14ac:dyDescent="0.25">
      <c r="A12174" s="36" t="b">
        <v>0</v>
      </c>
      <c r="B12174" s="56" t="b">
        <v>0</v>
      </c>
      <c r="C12174" s="56" t="b">
        <v>0</v>
      </c>
      <c r="D12174" s="56" t="b">
        <v>0</v>
      </c>
      <c r="E12174" s="56">
        <f ca="1">IF(PV[[#This Row],[Business Date]]=Control!$C$6, PV[[#This Row],[Notional Value Local Cur]], -PV[[#This Row],[Notional Value Local Cur]])</f>
        <v>0</v>
      </c>
    </row>
    <row r="12175" spans="1:5" x14ac:dyDescent="0.25">
      <c r="A12175" s="36" t="b">
        <v>0</v>
      </c>
      <c r="B12175" s="56" t="b">
        <v>0</v>
      </c>
      <c r="C12175" s="56" t="b">
        <v>0</v>
      </c>
      <c r="D12175" s="56" t="b">
        <v>0</v>
      </c>
      <c r="E12175" s="56">
        <f ca="1">IF(PV[[#This Row],[Business Date]]=Control!$C$6, PV[[#This Row],[Notional Value Local Cur]], -PV[[#This Row],[Notional Value Local Cur]])</f>
        <v>0</v>
      </c>
    </row>
    <row r="12176" spans="1:5" x14ac:dyDescent="0.25">
      <c r="A12176" s="36" t="b">
        <v>0</v>
      </c>
      <c r="B12176" s="56" t="b">
        <v>0</v>
      </c>
      <c r="C12176" s="56" t="b">
        <v>0</v>
      </c>
      <c r="D12176" s="56" t="b">
        <v>0</v>
      </c>
      <c r="E12176" s="56">
        <f ca="1">IF(PV[[#This Row],[Business Date]]=Control!$C$6, PV[[#This Row],[Notional Value Local Cur]], -PV[[#This Row],[Notional Value Local Cur]])</f>
        <v>0</v>
      </c>
    </row>
    <row r="12177" spans="1:5" x14ac:dyDescent="0.25">
      <c r="A12177" s="36" t="b">
        <v>0</v>
      </c>
      <c r="B12177" s="56" t="b">
        <v>0</v>
      </c>
      <c r="C12177" s="56" t="b">
        <v>0</v>
      </c>
      <c r="D12177" s="56" t="b">
        <v>0</v>
      </c>
      <c r="E12177" s="56">
        <f ca="1">IF(PV[[#This Row],[Business Date]]=Control!$C$6, PV[[#This Row],[Notional Value Local Cur]], -PV[[#This Row],[Notional Value Local Cur]])</f>
        <v>0</v>
      </c>
    </row>
    <row r="12178" spans="1:5" x14ac:dyDescent="0.25">
      <c r="A12178" s="36" t="b">
        <v>0</v>
      </c>
      <c r="B12178" s="56" t="b">
        <v>0</v>
      </c>
      <c r="C12178" s="56" t="b">
        <v>0</v>
      </c>
      <c r="D12178" s="56" t="b">
        <v>0</v>
      </c>
      <c r="E12178" s="56">
        <f ca="1">IF(PV[[#This Row],[Business Date]]=Control!$C$6, PV[[#This Row],[Notional Value Local Cur]], -PV[[#This Row],[Notional Value Local Cur]])</f>
        <v>0</v>
      </c>
    </row>
    <row r="12179" spans="1:5" x14ac:dyDescent="0.25">
      <c r="A12179" s="36" t="b">
        <v>0</v>
      </c>
      <c r="B12179" s="56" t="b">
        <v>0</v>
      </c>
      <c r="C12179" s="56" t="b">
        <v>0</v>
      </c>
      <c r="D12179" s="56" t="b">
        <v>0</v>
      </c>
      <c r="E12179" s="56">
        <f ca="1">IF(PV[[#This Row],[Business Date]]=Control!$C$6, PV[[#This Row],[Notional Value Local Cur]], -PV[[#This Row],[Notional Value Local Cur]])</f>
        <v>0</v>
      </c>
    </row>
    <row r="12180" spans="1:5" x14ac:dyDescent="0.25">
      <c r="A12180" s="36" t="b">
        <v>0</v>
      </c>
      <c r="B12180" s="56" t="b">
        <v>0</v>
      </c>
      <c r="C12180" s="56" t="b">
        <v>0</v>
      </c>
      <c r="D12180" s="56" t="b">
        <v>0</v>
      </c>
      <c r="E12180" s="56">
        <f ca="1">IF(PV[[#This Row],[Business Date]]=Control!$C$6, PV[[#This Row],[Notional Value Local Cur]], -PV[[#This Row],[Notional Value Local Cur]])</f>
        <v>0</v>
      </c>
    </row>
    <row r="12181" spans="1:5" x14ac:dyDescent="0.25">
      <c r="A12181" s="36" t="b">
        <v>0</v>
      </c>
      <c r="B12181" s="56" t="b">
        <v>0</v>
      </c>
      <c r="C12181" s="56" t="b">
        <v>0</v>
      </c>
      <c r="D12181" s="56" t="b">
        <v>0</v>
      </c>
      <c r="E12181" s="56">
        <f ca="1">IF(PV[[#This Row],[Business Date]]=Control!$C$6, PV[[#This Row],[Notional Value Local Cur]], -PV[[#This Row],[Notional Value Local Cur]])</f>
        <v>0</v>
      </c>
    </row>
    <row r="12182" spans="1:5" x14ac:dyDescent="0.25">
      <c r="A12182" s="36" t="b">
        <v>0</v>
      </c>
      <c r="B12182" s="56" t="b">
        <v>0</v>
      </c>
      <c r="C12182" s="56" t="b">
        <v>0</v>
      </c>
      <c r="D12182" s="56" t="b">
        <v>0</v>
      </c>
      <c r="E12182" s="56">
        <f ca="1">IF(PV[[#This Row],[Business Date]]=Control!$C$6, PV[[#This Row],[Notional Value Local Cur]], -PV[[#This Row],[Notional Value Local Cur]])</f>
        <v>0</v>
      </c>
    </row>
    <row r="12183" spans="1:5" x14ac:dyDescent="0.25">
      <c r="A12183" s="36" t="b">
        <v>0</v>
      </c>
      <c r="B12183" s="56" t="b">
        <v>0</v>
      </c>
      <c r="C12183" s="56" t="b">
        <v>0</v>
      </c>
      <c r="D12183" s="56" t="b">
        <v>0</v>
      </c>
      <c r="E12183" s="56">
        <f ca="1">IF(PV[[#This Row],[Business Date]]=Control!$C$6, PV[[#This Row],[Notional Value Local Cur]], -PV[[#This Row],[Notional Value Local Cur]])</f>
        <v>0</v>
      </c>
    </row>
    <row r="12184" spans="1:5" x14ac:dyDescent="0.25">
      <c r="A12184" s="36" t="b">
        <v>0</v>
      </c>
      <c r="B12184" s="56" t="b">
        <v>0</v>
      </c>
      <c r="C12184" s="56" t="b">
        <v>0</v>
      </c>
      <c r="D12184" s="56" t="b">
        <v>0</v>
      </c>
      <c r="E12184" s="56">
        <f ca="1">IF(PV[[#This Row],[Business Date]]=Control!$C$6, PV[[#This Row],[Notional Value Local Cur]], -PV[[#This Row],[Notional Value Local Cur]])</f>
        <v>0</v>
      </c>
    </row>
    <row r="12185" spans="1:5" x14ac:dyDescent="0.25">
      <c r="A12185" s="36" t="b">
        <v>0</v>
      </c>
      <c r="B12185" s="56" t="b">
        <v>0</v>
      </c>
      <c r="C12185" s="56" t="b">
        <v>0</v>
      </c>
      <c r="D12185" s="56" t="b">
        <v>0</v>
      </c>
      <c r="E12185" s="56">
        <f ca="1">IF(PV[[#This Row],[Business Date]]=Control!$C$6, PV[[#This Row],[Notional Value Local Cur]], -PV[[#This Row],[Notional Value Local Cur]])</f>
        <v>0</v>
      </c>
    </row>
    <row r="12186" spans="1:5" x14ac:dyDescent="0.25">
      <c r="A12186" s="36" t="b">
        <v>0</v>
      </c>
      <c r="B12186" s="56" t="b">
        <v>0</v>
      </c>
      <c r="C12186" s="56" t="b">
        <v>0</v>
      </c>
      <c r="D12186" s="56" t="b">
        <v>0</v>
      </c>
      <c r="E12186" s="56">
        <f ca="1">IF(PV[[#This Row],[Business Date]]=Control!$C$6, PV[[#This Row],[Notional Value Local Cur]], -PV[[#This Row],[Notional Value Local Cur]])</f>
        <v>0</v>
      </c>
    </row>
    <row r="12187" spans="1:5" x14ac:dyDescent="0.25">
      <c r="A12187" s="36" t="b">
        <v>0</v>
      </c>
      <c r="B12187" s="56" t="b">
        <v>0</v>
      </c>
      <c r="C12187" s="56" t="b">
        <v>0</v>
      </c>
      <c r="D12187" s="56" t="b">
        <v>0</v>
      </c>
      <c r="E12187" s="56">
        <f ca="1">IF(PV[[#This Row],[Business Date]]=Control!$C$6, PV[[#This Row],[Notional Value Local Cur]], -PV[[#This Row],[Notional Value Local Cur]])</f>
        <v>0</v>
      </c>
    </row>
    <row r="12188" spans="1:5" x14ac:dyDescent="0.25">
      <c r="A12188" s="36" t="b">
        <v>0</v>
      </c>
      <c r="B12188" s="56" t="b">
        <v>0</v>
      </c>
      <c r="C12188" s="56" t="b">
        <v>0</v>
      </c>
      <c r="D12188" s="56" t="b">
        <v>0</v>
      </c>
      <c r="E12188" s="56">
        <f ca="1">IF(PV[[#This Row],[Business Date]]=Control!$C$6, PV[[#This Row],[Notional Value Local Cur]], -PV[[#This Row],[Notional Value Local Cur]])</f>
        <v>0</v>
      </c>
    </row>
    <row r="12189" spans="1:5" x14ac:dyDescent="0.25">
      <c r="A12189" s="36" t="b">
        <v>0</v>
      </c>
      <c r="B12189" s="56" t="b">
        <v>0</v>
      </c>
      <c r="C12189" s="56" t="b">
        <v>0</v>
      </c>
      <c r="D12189" s="56" t="b">
        <v>0</v>
      </c>
      <c r="E12189" s="56">
        <f ca="1">IF(PV[[#This Row],[Business Date]]=Control!$C$6, PV[[#This Row],[Notional Value Local Cur]], -PV[[#This Row],[Notional Value Local Cur]])</f>
        <v>0</v>
      </c>
    </row>
    <row r="12190" spans="1:5" x14ac:dyDescent="0.25">
      <c r="A12190" s="36" t="b">
        <v>0</v>
      </c>
      <c r="B12190" s="56" t="b">
        <v>0</v>
      </c>
      <c r="C12190" s="56" t="b">
        <v>0</v>
      </c>
      <c r="D12190" s="56" t="b">
        <v>0</v>
      </c>
      <c r="E12190" s="56">
        <f ca="1">IF(PV[[#This Row],[Business Date]]=Control!$C$6, PV[[#This Row],[Notional Value Local Cur]], -PV[[#This Row],[Notional Value Local Cur]])</f>
        <v>0</v>
      </c>
    </row>
    <row r="12191" spans="1:5" x14ac:dyDescent="0.25">
      <c r="A12191" s="36" t="b">
        <v>0</v>
      </c>
      <c r="B12191" s="56" t="b">
        <v>0</v>
      </c>
      <c r="C12191" s="56" t="b">
        <v>0</v>
      </c>
      <c r="D12191" s="56" t="b">
        <v>0</v>
      </c>
      <c r="E12191" s="56">
        <f ca="1">IF(PV[[#This Row],[Business Date]]=Control!$C$6, PV[[#This Row],[Notional Value Local Cur]], -PV[[#This Row],[Notional Value Local Cur]])</f>
        <v>0</v>
      </c>
    </row>
    <row r="12192" spans="1:5" x14ac:dyDescent="0.25">
      <c r="A12192" s="36" t="b">
        <v>0</v>
      </c>
      <c r="B12192" s="56" t="b">
        <v>0</v>
      </c>
      <c r="C12192" s="56" t="b">
        <v>0</v>
      </c>
      <c r="D12192" s="56" t="b">
        <v>0</v>
      </c>
      <c r="E12192" s="56">
        <f ca="1">IF(PV[[#This Row],[Business Date]]=Control!$C$6, PV[[#This Row],[Notional Value Local Cur]], -PV[[#This Row],[Notional Value Local Cur]])</f>
        <v>0</v>
      </c>
    </row>
    <row r="12193" spans="1:5" x14ac:dyDescent="0.25">
      <c r="A12193" s="36" t="b">
        <v>0</v>
      </c>
      <c r="B12193" s="56" t="b">
        <v>0</v>
      </c>
      <c r="C12193" s="56" t="b">
        <v>0</v>
      </c>
      <c r="D12193" s="56" t="b">
        <v>0</v>
      </c>
      <c r="E12193" s="56">
        <f ca="1">IF(PV[[#This Row],[Business Date]]=Control!$C$6, PV[[#This Row],[Notional Value Local Cur]], -PV[[#This Row],[Notional Value Local Cur]])</f>
        <v>0</v>
      </c>
    </row>
    <row r="12194" spans="1:5" x14ac:dyDescent="0.25">
      <c r="A12194" s="36" t="b">
        <v>0</v>
      </c>
      <c r="B12194" s="56" t="b">
        <v>0</v>
      </c>
      <c r="C12194" s="56" t="b">
        <v>0</v>
      </c>
      <c r="D12194" s="56" t="b">
        <v>0</v>
      </c>
      <c r="E12194" s="56">
        <f ca="1">IF(PV[[#This Row],[Business Date]]=Control!$C$6, PV[[#This Row],[Notional Value Local Cur]], -PV[[#This Row],[Notional Value Local Cur]])</f>
        <v>0</v>
      </c>
    </row>
    <row r="12195" spans="1:5" x14ac:dyDescent="0.25">
      <c r="A12195" s="36" t="b">
        <v>0</v>
      </c>
      <c r="B12195" s="56" t="b">
        <v>0</v>
      </c>
      <c r="C12195" s="56" t="b">
        <v>0</v>
      </c>
      <c r="D12195" s="56" t="b">
        <v>0</v>
      </c>
      <c r="E12195" s="56">
        <f ca="1">IF(PV[[#This Row],[Business Date]]=Control!$C$6, PV[[#This Row],[Notional Value Local Cur]], -PV[[#This Row],[Notional Value Local Cur]])</f>
        <v>0</v>
      </c>
    </row>
    <row r="12196" spans="1:5" x14ac:dyDescent="0.25">
      <c r="A12196" s="36" t="b">
        <v>0</v>
      </c>
      <c r="B12196" s="56" t="b">
        <v>0</v>
      </c>
      <c r="C12196" s="56" t="b">
        <v>0</v>
      </c>
      <c r="D12196" s="56" t="b">
        <v>0</v>
      </c>
      <c r="E12196" s="56">
        <f ca="1">IF(PV[[#This Row],[Business Date]]=Control!$C$6, PV[[#This Row],[Notional Value Local Cur]], -PV[[#This Row],[Notional Value Local Cur]])</f>
        <v>0</v>
      </c>
    </row>
    <row r="12197" spans="1:5" x14ac:dyDescent="0.25">
      <c r="A12197" s="36" t="b">
        <v>0</v>
      </c>
      <c r="B12197" s="56" t="b">
        <v>0</v>
      </c>
      <c r="C12197" s="56" t="b">
        <v>0</v>
      </c>
      <c r="D12197" s="56" t="b">
        <v>0</v>
      </c>
      <c r="E12197" s="56">
        <f ca="1">IF(PV[[#This Row],[Business Date]]=Control!$C$6, PV[[#This Row],[Notional Value Local Cur]], -PV[[#This Row],[Notional Value Local Cur]])</f>
        <v>0</v>
      </c>
    </row>
    <row r="12198" spans="1:5" x14ac:dyDescent="0.25">
      <c r="A12198" s="36" t="b">
        <v>0</v>
      </c>
      <c r="B12198" s="56" t="b">
        <v>0</v>
      </c>
      <c r="C12198" s="56" t="b">
        <v>0</v>
      </c>
      <c r="D12198" s="56" t="b">
        <v>0</v>
      </c>
      <c r="E12198" s="56">
        <f ca="1">IF(PV[[#This Row],[Business Date]]=Control!$C$6, PV[[#This Row],[Notional Value Local Cur]], -PV[[#This Row],[Notional Value Local Cur]])</f>
        <v>0</v>
      </c>
    </row>
    <row r="12199" spans="1:5" x14ac:dyDescent="0.25">
      <c r="A12199" s="36" t="b">
        <v>0</v>
      </c>
      <c r="B12199" s="56" t="b">
        <v>0</v>
      </c>
      <c r="C12199" s="56" t="b">
        <v>0</v>
      </c>
      <c r="D12199" s="56" t="b">
        <v>0</v>
      </c>
      <c r="E12199" s="56">
        <f ca="1">IF(PV[[#This Row],[Business Date]]=Control!$C$6, PV[[#This Row],[Notional Value Local Cur]], -PV[[#This Row],[Notional Value Local Cur]])</f>
        <v>0</v>
      </c>
    </row>
    <row r="12200" spans="1:5" x14ac:dyDescent="0.25">
      <c r="A12200" s="36" t="b">
        <v>0</v>
      </c>
      <c r="B12200" s="56" t="b">
        <v>0</v>
      </c>
      <c r="C12200" s="56" t="b">
        <v>0</v>
      </c>
      <c r="D12200" s="56" t="b">
        <v>0</v>
      </c>
      <c r="E12200" s="56">
        <f ca="1">IF(PV[[#This Row],[Business Date]]=Control!$C$6, PV[[#This Row],[Notional Value Local Cur]], -PV[[#This Row],[Notional Value Local Cur]])</f>
        <v>0</v>
      </c>
    </row>
    <row r="12201" spans="1:5" x14ac:dyDescent="0.25">
      <c r="A12201" s="36" t="b">
        <v>0</v>
      </c>
      <c r="B12201" s="56" t="b">
        <v>0</v>
      </c>
      <c r="C12201" s="56" t="b">
        <v>0</v>
      </c>
      <c r="D12201" s="56" t="b">
        <v>0</v>
      </c>
      <c r="E12201" s="56">
        <f ca="1">IF(PV[[#This Row],[Business Date]]=Control!$C$6, PV[[#This Row],[Notional Value Local Cur]], -PV[[#This Row],[Notional Value Local Cur]])</f>
        <v>0</v>
      </c>
    </row>
    <row r="12202" spans="1:5" x14ac:dyDescent="0.25">
      <c r="A12202" s="36" t="b">
        <v>0</v>
      </c>
      <c r="B12202" s="56" t="b">
        <v>0</v>
      </c>
      <c r="C12202" s="56" t="b">
        <v>0</v>
      </c>
      <c r="D12202" s="56" t="b">
        <v>0</v>
      </c>
      <c r="E12202" s="56">
        <f ca="1">IF(PV[[#This Row],[Business Date]]=Control!$C$6, PV[[#This Row],[Notional Value Local Cur]], -PV[[#This Row],[Notional Value Local Cur]])</f>
        <v>0</v>
      </c>
    </row>
    <row r="12203" spans="1:5" x14ac:dyDescent="0.25">
      <c r="A12203" s="36" t="b">
        <v>0</v>
      </c>
      <c r="B12203" s="56" t="b">
        <v>0</v>
      </c>
      <c r="C12203" s="56" t="b">
        <v>0</v>
      </c>
      <c r="D12203" s="56" t="b">
        <v>0</v>
      </c>
      <c r="E12203" s="56">
        <f ca="1">IF(PV[[#This Row],[Business Date]]=Control!$C$6, PV[[#This Row],[Notional Value Local Cur]], -PV[[#This Row],[Notional Value Local Cur]])</f>
        <v>0</v>
      </c>
    </row>
    <row r="12204" spans="1:5" x14ac:dyDescent="0.25">
      <c r="A12204" s="36" t="b">
        <v>0</v>
      </c>
      <c r="B12204" s="56" t="b">
        <v>0</v>
      </c>
      <c r="C12204" s="56" t="b">
        <v>0</v>
      </c>
      <c r="D12204" s="56" t="b">
        <v>0</v>
      </c>
      <c r="E12204" s="56">
        <f ca="1">IF(PV[[#This Row],[Business Date]]=Control!$C$6, PV[[#This Row],[Notional Value Local Cur]], -PV[[#This Row],[Notional Value Local Cur]])</f>
        <v>0</v>
      </c>
    </row>
    <row r="12205" spans="1:5" x14ac:dyDescent="0.25">
      <c r="A12205" s="36" t="b">
        <v>0</v>
      </c>
      <c r="B12205" s="56" t="b">
        <v>0</v>
      </c>
      <c r="C12205" s="56" t="b">
        <v>0</v>
      </c>
      <c r="D12205" s="56" t="b">
        <v>0</v>
      </c>
      <c r="E12205" s="56">
        <f ca="1">IF(PV[[#This Row],[Business Date]]=Control!$C$6, PV[[#This Row],[Notional Value Local Cur]], -PV[[#This Row],[Notional Value Local Cur]])</f>
        <v>0</v>
      </c>
    </row>
    <row r="12206" spans="1:5" x14ac:dyDescent="0.25">
      <c r="A12206" s="36" t="b">
        <v>0</v>
      </c>
      <c r="B12206" s="56" t="b">
        <v>0</v>
      </c>
      <c r="C12206" s="56" t="b">
        <v>0</v>
      </c>
      <c r="D12206" s="56" t="b">
        <v>0</v>
      </c>
      <c r="E12206" s="56">
        <f ca="1">IF(PV[[#This Row],[Business Date]]=Control!$C$6, PV[[#This Row],[Notional Value Local Cur]], -PV[[#This Row],[Notional Value Local Cur]])</f>
        <v>0</v>
      </c>
    </row>
    <row r="12207" spans="1:5" x14ac:dyDescent="0.25">
      <c r="A12207" s="36" t="b">
        <v>0</v>
      </c>
      <c r="B12207" s="56" t="b">
        <v>0</v>
      </c>
      <c r="C12207" s="56" t="b">
        <v>0</v>
      </c>
      <c r="D12207" s="56" t="b">
        <v>0</v>
      </c>
      <c r="E12207" s="56">
        <f ca="1">IF(PV[[#This Row],[Business Date]]=Control!$C$6, PV[[#This Row],[Notional Value Local Cur]], -PV[[#This Row],[Notional Value Local Cur]])</f>
        <v>0</v>
      </c>
    </row>
    <row r="12208" spans="1:5" x14ac:dyDescent="0.25">
      <c r="A12208" s="36" t="b">
        <v>0</v>
      </c>
      <c r="B12208" s="56" t="b">
        <v>0</v>
      </c>
      <c r="C12208" s="56" t="b">
        <v>0</v>
      </c>
      <c r="D12208" s="56" t="b">
        <v>0</v>
      </c>
      <c r="E12208" s="56">
        <f ca="1">IF(PV[[#This Row],[Business Date]]=Control!$C$6, PV[[#This Row],[Notional Value Local Cur]], -PV[[#This Row],[Notional Value Local Cur]])</f>
        <v>0</v>
      </c>
    </row>
    <row r="12209" spans="1:5" x14ac:dyDescent="0.25">
      <c r="A12209" s="36" t="b">
        <v>0</v>
      </c>
      <c r="B12209" s="56" t="b">
        <v>0</v>
      </c>
      <c r="C12209" s="56" t="b">
        <v>0</v>
      </c>
      <c r="D12209" s="56" t="b">
        <v>0</v>
      </c>
      <c r="E12209" s="56">
        <f ca="1">IF(PV[[#This Row],[Business Date]]=Control!$C$6, PV[[#This Row],[Notional Value Local Cur]], -PV[[#This Row],[Notional Value Local Cur]])</f>
        <v>0</v>
      </c>
    </row>
    <row r="12210" spans="1:5" x14ac:dyDescent="0.25">
      <c r="A12210" s="36" t="b">
        <v>0</v>
      </c>
      <c r="B12210" s="56" t="b">
        <v>0</v>
      </c>
      <c r="C12210" s="56" t="b">
        <v>0</v>
      </c>
      <c r="D12210" s="56" t="b">
        <v>0</v>
      </c>
      <c r="E12210" s="56">
        <f ca="1">IF(PV[[#This Row],[Business Date]]=Control!$C$6, PV[[#This Row],[Notional Value Local Cur]], -PV[[#This Row],[Notional Value Local Cur]])</f>
        <v>0</v>
      </c>
    </row>
    <row r="12211" spans="1:5" x14ac:dyDescent="0.25">
      <c r="A12211" s="36" t="b">
        <v>0</v>
      </c>
      <c r="B12211" s="56" t="b">
        <v>0</v>
      </c>
      <c r="C12211" s="56" t="b">
        <v>0</v>
      </c>
      <c r="D12211" s="56" t="b">
        <v>0</v>
      </c>
      <c r="E12211" s="56">
        <f ca="1">IF(PV[[#This Row],[Business Date]]=Control!$C$6, PV[[#This Row],[Notional Value Local Cur]], -PV[[#This Row],[Notional Value Local Cur]])</f>
        <v>0</v>
      </c>
    </row>
    <row r="12212" spans="1:5" x14ac:dyDescent="0.25">
      <c r="A12212" s="36" t="b">
        <v>0</v>
      </c>
      <c r="B12212" s="56" t="b">
        <v>0</v>
      </c>
      <c r="C12212" s="56" t="b">
        <v>0</v>
      </c>
      <c r="D12212" s="56" t="b">
        <v>0</v>
      </c>
      <c r="E12212" s="56">
        <f ca="1">IF(PV[[#This Row],[Business Date]]=Control!$C$6, PV[[#This Row],[Notional Value Local Cur]], -PV[[#This Row],[Notional Value Local Cur]])</f>
        <v>0</v>
      </c>
    </row>
    <row r="12213" spans="1:5" x14ac:dyDescent="0.25">
      <c r="A12213" s="36" t="b">
        <v>0</v>
      </c>
      <c r="B12213" s="56" t="b">
        <v>0</v>
      </c>
      <c r="C12213" s="56" t="b">
        <v>0</v>
      </c>
      <c r="D12213" s="56" t="b">
        <v>0</v>
      </c>
      <c r="E12213" s="56">
        <f ca="1">IF(PV[[#This Row],[Business Date]]=Control!$C$6, PV[[#This Row],[Notional Value Local Cur]], -PV[[#This Row],[Notional Value Local Cur]])</f>
        <v>0</v>
      </c>
    </row>
    <row r="12214" spans="1:5" x14ac:dyDescent="0.25">
      <c r="A12214" s="36" t="b">
        <v>0</v>
      </c>
      <c r="B12214" s="56" t="b">
        <v>0</v>
      </c>
      <c r="C12214" s="56" t="b">
        <v>0</v>
      </c>
      <c r="D12214" s="56" t="b">
        <v>0</v>
      </c>
      <c r="E12214" s="56">
        <f ca="1">IF(PV[[#This Row],[Business Date]]=Control!$C$6, PV[[#This Row],[Notional Value Local Cur]], -PV[[#This Row],[Notional Value Local Cur]])</f>
        <v>0</v>
      </c>
    </row>
    <row r="12215" spans="1:5" x14ac:dyDescent="0.25">
      <c r="A12215" s="36" t="b">
        <v>0</v>
      </c>
      <c r="B12215" s="56" t="b">
        <v>0</v>
      </c>
      <c r="C12215" s="56" t="b">
        <v>0</v>
      </c>
      <c r="D12215" s="56" t="b">
        <v>0</v>
      </c>
      <c r="E12215" s="56">
        <f ca="1">IF(PV[[#This Row],[Business Date]]=Control!$C$6, PV[[#This Row],[Notional Value Local Cur]], -PV[[#This Row],[Notional Value Local Cur]])</f>
        <v>0</v>
      </c>
    </row>
    <row r="12216" spans="1:5" x14ac:dyDescent="0.25">
      <c r="A12216" s="36" t="b">
        <v>0</v>
      </c>
      <c r="B12216" s="56" t="b">
        <v>0</v>
      </c>
      <c r="C12216" s="56" t="b">
        <v>0</v>
      </c>
      <c r="D12216" s="56" t="b">
        <v>0</v>
      </c>
      <c r="E12216" s="56">
        <f ca="1">IF(PV[[#This Row],[Business Date]]=Control!$C$6, PV[[#This Row],[Notional Value Local Cur]], -PV[[#This Row],[Notional Value Local Cur]])</f>
        <v>0</v>
      </c>
    </row>
    <row r="12217" spans="1:5" x14ac:dyDescent="0.25">
      <c r="A12217" s="36" t="b">
        <v>0</v>
      </c>
      <c r="B12217" s="56" t="b">
        <v>0</v>
      </c>
      <c r="C12217" s="56" t="b">
        <v>0</v>
      </c>
      <c r="D12217" s="56" t="b">
        <v>0</v>
      </c>
      <c r="E12217" s="56">
        <f ca="1">IF(PV[[#This Row],[Business Date]]=Control!$C$6, PV[[#This Row],[Notional Value Local Cur]], -PV[[#This Row],[Notional Value Local Cur]])</f>
        <v>0</v>
      </c>
    </row>
    <row r="12218" spans="1:5" x14ac:dyDescent="0.25">
      <c r="A12218" s="36" t="b">
        <v>0</v>
      </c>
      <c r="B12218" s="56" t="b">
        <v>0</v>
      </c>
      <c r="C12218" s="56" t="b">
        <v>0</v>
      </c>
      <c r="D12218" s="56" t="b">
        <v>0</v>
      </c>
      <c r="E12218" s="56">
        <f ca="1">IF(PV[[#This Row],[Business Date]]=Control!$C$6, PV[[#This Row],[Notional Value Local Cur]], -PV[[#This Row],[Notional Value Local Cur]])</f>
        <v>0</v>
      </c>
    </row>
    <row r="12219" spans="1:5" x14ac:dyDescent="0.25">
      <c r="A12219" s="36" t="b">
        <v>0</v>
      </c>
      <c r="B12219" s="56" t="b">
        <v>0</v>
      </c>
      <c r="C12219" s="56" t="b">
        <v>0</v>
      </c>
      <c r="D12219" s="56" t="b">
        <v>0</v>
      </c>
      <c r="E12219" s="56">
        <f ca="1">IF(PV[[#This Row],[Business Date]]=Control!$C$6, PV[[#This Row],[Notional Value Local Cur]], -PV[[#This Row],[Notional Value Local Cur]])</f>
        <v>0</v>
      </c>
    </row>
    <row r="12220" spans="1:5" x14ac:dyDescent="0.25">
      <c r="A12220" s="36" t="b">
        <v>0</v>
      </c>
      <c r="B12220" s="56" t="b">
        <v>0</v>
      </c>
      <c r="C12220" s="56" t="b">
        <v>0</v>
      </c>
      <c r="D12220" s="56" t="b">
        <v>0</v>
      </c>
      <c r="E12220" s="56">
        <f ca="1">IF(PV[[#This Row],[Business Date]]=Control!$C$6, PV[[#This Row],[Notional Value Local Cur]], -PV[[#This Row],[Notional Value Local Cur]])</f>
        <v>0</v>
      </c>
    </row>
    <row r="12221" spans="1:5" x14ac:dyDescent="0.25">
      <c r="A12221" s="36" t="b">
        <v>0</v>
      </c>
      <c r="B12221" s="56" t="b">
        <v>0</v>
      </c>
      <c r="C12221" s="56" t="b">
        <v>0</v>
      </c>
      <c r="D12221" s="56" t="b">
        <v>0</v>
      </c>
      <c r="E12221" s="56">
        <f ca="1">IF(PV[[#This Row],[Business Date]]=Control!$C$6, PV[[#This Row],[Notional Value Local Cur]], -PV[[#This Row],[Notional Value Local Cur]])</f>
        <v>0</v>
      </c>
    </row>
    <row r="12222" spans="1:5" x14ac:dyDescent="0.25">
      <c r="A12222" s="36" t="b">
        <v>0</v>
      </c>
      <c r="B12222" s="56" t="b">
        <v>0</v>
      </c>
      <c r="C12222" s="56" t="b">
        <v>0</v>
      </c>
      <c r="D12222" s="56" t="b">
        <v>0</v>
      </c>
      <c r="E12222" s="56">
        <f ca="1">IF(PV[[#This Row],[Business Date]]=Control!$C$6, PV[[#This Row],[Notional Value Local Cur]], -PV[[#This Row],[Notional Value Local Cur]])</f>
        <v>0</v>
      </c>
    </row>
    <row r="12223" spans="1:5" x14ac:dyDescent="0.25">
      <c r="A12223" s="36" t="b">
        <v>0</v>
      </c>
      <c r="B12223" s="56" t="b">
        <v>0</v>
      </c>
      <c r="C12223" s="56" t="b">
        <v>0</v>
      </c>
      <c r="D12223" s="56" t="b">
        <v>0</v>
      </c>
      <c r="E12223" s="56">
        <f ca="1">IF(PV[[#This Row],[Business Date]]=Control!$C$6, PV[[#This Row],[Notional Value Local Cur]], -PV[[#This Row],[Notional Value Local Cur]])</f>
        <v>0</v>
      </c>
    </row>
    <row r="12224" spans="1:5" x14ac:dyDescent="0.25">
      <c r="A12224" s="36" t="b">
        <v>0</v>
      </c>
      <c r="B12224" s="56" t="b">
        <v>0</v>
      </c>
      <c r="C12224" s="56" t="b">
        <v>0</v>
      </c>
      <c r="D12224" s="56" t="b">
        <v>0</v>
      </c>
      <c r="E12224" s="56">
        <f ca="1">IF(PV[[#This Row],[Business Date]]=Control!$C$6, PV[[#This Row],[Notional Value Local Cur]], -PV[[#This Row],[Notional Value Local Cur]])</f>
        <v>0</v>
      </c>
    </row>
    <row r="12225" spans="1:5" x14ac:dyDescent="0.25">
      <c r="A12225" s="36" t="b">
        <v>0</v>
      </c>
      <c r="B12225" s="56" t="b">
        <v>0</v>
      </c>
      <c r="C12225" s="56" t="b">
        <v>0</v>
      </c>
      <c r="D12225" s="56" t="b">
        <v>0</v>
      </c>
      <c r="E12225" s="56">
        <f ca="1">IF(PV[[#This Row],[Business Date]]=Control!$C$6, PV[[#This Row],[Notional Value Local Cur]], -PV[[#This Row],[Notional Value Local Cur]])</f>
        <v>0</v>
      </c>
    </row>
    <row r="12226" spans="1:5" x14ac:dyDescent="0.25">
      <c r="A12226" s="36" t="b">
        <v>0</v>
      </c>
      <c r="B12226" s="56" t="b">
        <v>0</v>
      </c>
      <c r="C12226" s="56" t="b">
        <v>0</v>
      </c>
      <c r="D12226" s="56" t="b">
        <v>0</v>
      </c>
      <c r="E12226" s="56">
        <f ca="1">IF(PV[[#This Row],[Business Date]]=Control!$C$6, PV[[#This Row],[Notional Value Local Cur]], -PV[[#This Row],[Notional Value Local Cur]])</f>
        <v>0</v>
      </c>
    </row>
    <row r="12227" spans="1:5" x14ac:dyDescent="0.25">
      <c r="A12227" s="36" t="b">
        <v>0</v>
      </c>
      <c r="B12227" s="56" t="b">
        <v>0</v>
      </c>
      <c r="C12227" s="56" t="b">
        <v>0</v>
      </c>
      <c r="D12227" s="56" t="b">
        <v>0</v>
      </c>
      <c r="E12227" s="56">
        <f ca="1">IF(PV[[#This Row],[Business Date]]=Control!$C$6, PV[[#This Row],[Notional Value Local Cur]], -PV[[#This Row],[Notional Value Local Cur]])</f>
        <v>0</v>
      </c>
    </row>
    <row r="12228" spans="1:5" x14ac:dyDescent="0.25">
      <c r="A12228" s="36" t="b">
        <v>0</v>
      </c>
      <c r="B12228" s="56" t="b">
        <v>0</v>
      </c>
      <c r="C12228" s="56" t="b">
        <v>0</v>
      </c>
      <c r="D12228" s="56" t="b">
        <v>0</v>
      </c>
      <c r="E12228" s="56">
        <f ca="1">IF(PV[[#This Row],[Business Date]]=Control!$C$6, PV[[#This Row],[Notional Value Local Cur]], -PV[[#This Row],[Notional Value Local Cur]])</f>
        <v>0</v>
      </c>
    </row>
    <row r="12229" spans="1:5" x14ac:dyDescent="0.25">
      <c r="A12229" s="36" t="b">
        <v>0</v>
      </c>
      <c r="B12229" s="56" t="b">
        <v>0</v>
      </c>
      <c r="C12229" s="56" t="b">
        <v>0</v>
      </c>
      <c r="D12229" s="56" t="b">
        <v>0</v>
      </c>
      <c r="E12229" s="56">
        <f ca="1">IF(PV[[#This Row],[Business Date]]=Control!$C$6, PV[[#This Row],[Notional Value Local Cur]], -PV[[#This Row],[Notional Value Local Cur]])</f>
        <v>0</v>
      </c>
    </row>
    <row r="12230" spans="1:5" x14ac:dyDescent="0.25">
      <c r="A12230" s="36" t="b">
        <v>0</v>
      </c>
      <c r="B12230" s="56" t="b">
        <v>0</v>
      </c>
      <c r="C12230" s="56" t="b">
        <v>0</v>
      </c>
      <c r="D12230" s="56" t="b">
        <v>0</v>
      </c>
      <c r="E12230" s="56">
        <f ca="1">IF(PV[[#This Row],[Business Date]]=Control!$C$6, PV[[#This Row],[Notional Value Local Cur]], -PV[[#This Row],[Notional Value Local Cur]])</f>
        <v>0</v>
      </c>
    </row>
    <row r="12231" spans="1:5" x14ac:dyDescent="0.25">
      <c r="A12231" s="36" t="b">
        <v>0</v>
      </c>
      <c r="B12231" s="56" t="b">
        <v>0</v>
      </c>
      <c r="C12231" s="56" t="b">
        <v>0</v>
      </c>
      <c r="D12231" s="56" t="b">
        <v>0</v>
      </c>
      <c r="E12231" s="56">
        <f ca="1">IF(PV[[#This Row],[Business Date]]=Control!$C$6, PV[[#This Row],[Notional Value Local Cur]], -PV[[#This Row],[Notional Value Local Cur]])</f>
        <v>0</v>
      </c>
    </row>
    <row r="12232" spans="1:5" x14ac:dyDescent="0.25">
      <c r="A12232" s="36" t="b">
        <v>0</v>
      </c>
      <c r="B12232" s="56" t="b">
        <v>0</v>
      </c>
      <c r="C12232" s="56" t="b">
        <v>0</v>
      </c>
      <c r="D12232" s="56" t="b">
        <v>0</v>
      </c>
      <c r="E12232" s="56">
        <f ca="1">IF(PV[[#This Row],[Business Date]]=Control!$C$6, PV[[#This Row],[Notional Value Local Cur]], -PV[[#This Row],[Notional Value Local Cur]])</f>
        <v>0</v>
      </c>
    </row>
    <row r="12233" spans="1:5" x14ac:dyDescent="0.25">
      <c r="A12233" s="36" t="b">
        <v>0</v>
      </c>
      <c r="B12233" s="56" t="b">
        <v>0</v>
      </c>
      <c r="C12233" s="56" t="b">
        <v>0</v>
      </c>
      <c r="D12233" s="56" t="b">
        <v>0</v>
      </c>
      <c r="E12233" s="56">
        <f ca="1">IF(PV[[#This Row],[Business Date]]=Control!$C$6, PV[[#This Row],[Notional Value Local Cur]], -PV[[#This Row],[Notional Value Local Cur]])</f>
        <v>0</v>
      </c>
    </row>
    <row r="12234" spans="1:5" x14ac:dyDescent="0.25">
      <c r="A12234" s="36" t="b">
        <v>0</v>
      </c>
      <c r="B12234" s="56" t="b">
        <v>0</v>
      </c>
      <c r="C12234" s="56" t="b">
        <v>0</v>
      </c>
      <c r="D12234" s="56" t="b">
        <v>0</v>
      </c>
      <c r="E12234" s="56">
        <f ca="1">IF(PV[[#This Row],[Business Date]]=Control!$C$6, PV[[#This Row],[Notional Value Local Cur]], -PV[[#This Row],[Notional Value Local Cur]])</f>
        <v>0</v>
      </c>
    </row>
    <row r="12235" spans="1:5" x14ac:dyDescent="0.25">
      <c r="A12235" s="36" t="b">
        <v>0</v>
      </c>
      <c r="B12235" s="56" t="b">
        <v>0</v>
      </c>
      <c r="C12235" s="56" t="b">
        <v>0</v>
      </c>
      <c r="D12235" s="56" t="b">
        <v>0</v>
      </c>
      <c r="E12235" s="56">
        <f ca="1">IF(PV[[#This Row],[Business Date]]=Control!$C$6, PV[[#This Row],[Notional Value Local Cur]], -PV[[#This Row],[Notional Value Local Cur]])</f>
        <v>0</v>
      </c>
    </row>
    <row r="12236" spans="1:5" x14ac:dyDescent="0.25">
      <c r="A12236" s="36" t="b">
        <v>0</v>
      </c>
      <c r="B12236" s="56" t="b">
        <v>0</v>
      </c>
      <c r="C12236" s="56" t="b">
        <v>0</v>
      </c>
      <c r="D12236" s="56" t="b">
        <v>0</v>
      </c>
      <c r="E12236" s="56">
        <f ca="1">IF(PV[[#This Row],[Business Date]]=Control!$C$6, PV[[#This Row],[Notional Value Local Cur]], -PV[[#This Row],[Notional Value Local Cur]])</f>
        <v>0</v>
      </c>
    </row>
    <row r="12237" spans="1:5" x14ac:dyDescent="0.25">
      <c r="A12237" s="36" t="b">
        <v>0</v>
      </c>
      <c r="B12237" s="56" t="b">
        <v>0</v>
      </c>
      <c r="C12237" s="56" t="b">
        <v>0</v>
      </c>
      <c r="D12237" s="56" t="b">
        <v>0</v>
      </c>
      <c r="E12237" s="56">
        <f ca="1">IF(PV[[#This Row],[Business Date]]=Control!$C$6, PV[[#This Row],[Notional Value Local Cur]], -PV[[#This Row],[Notional Value Local Cur]])</f>
        <v>0</v>
      </c>
    </row>
    <row r="12238" spans="1:5" x14ac:dyDescent="0.25">
      <c r="A12238" s="36" t="b">
        <v>0</v>
      </c>
      <c r="B12238" s="56" t="b">
        <v>0</v>
      </c>
      <c r="C12238" s="56" t="b">
        <v>0</v>
      </c>
      <c r="D12238" s="56" t="b">
        <v>0</v>
      </c>
      <c r="E12238" s="56">
        <f ca="1">IF(PV[[#This Row],[Business Date]]=Control!$C$6, PV[[#This Row],[Notional Value Local Cur]], -PV[[#This Row],[Notional Value Local Cur]])</f>
        <v>0</v>
      </c>
    </row>
    <row r="12239" spans="1:5" x14ac:dyDescent="0.25">
      <c r="A12239" s="36" t="b">
        <v>0</v>
      </c>
      <c r="B12239" s="56" t="b">
        <v>0</v>
      </c>
      <c r="C12239" s="56" t="b">
        <v>0</v>
      </c>
      <c r="D12239" s="56" t="b">
        <v>0</v>
      </c>
      <c r="E12239" s="56">
        <f ca="1">IF(PV[[#This Row],[Business Date]]=Control!$C$6, PV[[#This Row],[Notional Value Local Cur]], -PV[[#This Row],[Notional Value Local Cur]])</f>
        <v>0</v>
      </c>
    </row>
    <row r="12240" spans="1:5" x14ac:dyDescent="0.25">
      <c r="A12240" s="36" t="b">
        <v>0</v>
      </c>
      <c r="B12240" s="56" t="b">
        <v>0</v>
      </c>
      <c r="C12240" s="56" t="b">
        <v>0</v>
      </c>
      <c r="D12240" s="56" t="b">
        <v>0</v>
      </c>
      <c r="E12240" s="56">
        <f ca="1">IF(PV[[#This Row],[Business Date]]=Control!$C$6, PV[[#This Row],[Notional Value Local Cur]], -PV[[#This Row],[Notional Value Local Cur]])</f>
        <v>0</v>
      </c>
    </row>
    <row r="12241" spans="1:5" x14ac:dyDescent="0.25">
      <c r="A12241" s="36" t="b">
        <v>0</v>
      </c>
      <c r="B12241" s="56" t="b">
        <v>0</v>
      </c>
      <c r="C12241" s="56" t="b">
        <v>0</v>
      </c>
      <c r="D12241" s="56" t="b">
        <v>0</v>
      </c>
      <c r="E12241" s="56">
        <f ca="1">IF(PV[[#This Row],[Business Date]]=Control!$C$6, PV[[#This Row],[Notional Value Local Cur]], -PV[[#This Row],[Notional Value Local Cur]])</f>
        <v>0</v>
      </c>
    </row>
    <row r="12242" spans="1:5" x14ac:dyDescent="0.25">
      <c r="A12242" s="36" t="b">
        <v>0</v>
      </c>
      <c r="B12242" s="56" t="b">
        <v>0</v>
      </c>
      <c r="C12242" s="56" t="b">
        <v>0</v>
      </c>
      <c r="D12242" s="56" t="b">
        <v>0</v>
      </c>
      <c r="E12242" s="56">
        <f ca="1">IF(PV[[#This Row],[Business Date]]=Control!$C$6, PV[[#This Row],[Notional Value Local Cur]], -PV[[#This Row],[Notional Value Local Cur]])</f>
        <v>0</v>
      </c>
    </row>
    <row r="12243" spans="1:5" x14ac:dyDescent="0.25">
      <c r="A12243" s="36" t="b">
        <v>0</v>
      </c>
      <c r="B12243" s="56" t="b">
        <v>0</v>
      </c>
      <c r="C12243" s="56" t="b">
        <v>0</v>
      </c>
      <c r="D12243" s="56" t="b">
        <v>0</v>
      </c>
      <c r="E12243" s="56">
        <f ca="1">IF(PV[[#This Row],[Business Date]]=Control!$C$6, PV[[#This Row],[Notional Value Local Cur]], -PV[[#This Row],[Notional Value Local Cur]])</f>
        <v>0</v>
      </c>
    </row>
    <row r="12244" spans="1:5" x14ac:dyDescent="0.25">
      <c r="A12244" s="36" t="b">
        <v>0</v>
      </c>
      <c r="B12244" s="56" t="b">
        <v>0</v>
      </c>
      <c r="C12244" s="56" t="b">
        <v>0</v>
      </c>
      <c r="D12244" s="56" t="b">
        <v>0</v>
      </c>
      <c r="E12244" s="56">
        <f ca="1">IF(PV[[#This Row],[Business Date]]=Control!$C$6, PV[[#This Row],[Notional Value Local Cur]], -PV[[#This Row],[Notional Value Local Cur]])</f>
        <v>0</v>
      </c>
    </row>
    <row r="12245" spans="1:5" x14ac:dyDescent="0.25">
      <c r="A12245" s="36" t="b">
        <v>0</v>
      </c>
      <c r="B12245" s="56" t="b">
        <v>0</v>
      </c>
      <c r="C12245" s="56" t="b">
        <v>0</v>
      </c>
      <c r="D12245" s="56" t="b">
        <v>0</v>
      </c>
      <c r="E12245" s="56">
        <f ca="1">IF(PV[[#This Row],[Business Date]]=Control!$C$6, PV[[#This Row],[Notional Value Local Cur]], -PV[[#This Row],[Notional Value Local Cur]])</f>
        <v>0</v>
      </c>
    </row>
    <row r="12246" spans="1:5" x14ac:dyDescent="0.25">
      <c r="A12246" s="36" t="b">
        <v>0</v>
      </c>
      <c r="B12246" s="56" t="b">
        <v>0</v>
      </c>
      <c r="C12246" s="56" t="b">
        <v>0</v>
      </c>
      <c r="D12246" s="56" t="b">
        <v>0</v>
      </c>
      <c r="E12246" s="56">
        <f ca="1">IF(PV[[#This Row],[Business Date]]=Control!$C$6, PV[[#This Row],[Notional Value Local Cur]], -PV[[#This Row],[Notional Value Local Cur]])</f>
        <v>0</v>
      </c>
    </row>
    <row r="12247" spans="1:5" x14ac:dyDescent="0.25">
      <c r="A12247" s="36" t="b">
        <v>0</v>
      </c>
      <c r="B12247" s="56" t="b">
        <v>0</v>
      </c>
      <c r="C12247" s="56" t="b">
        <v>0</v>
      </c>
      <c r="D12247" s="56" t="b">
        <v>0</v>
      </c>
      <c r="E12247" s="56">
        <f ca="1">IF(PV[[#This Row],[Business Date]]=Control!$C$6, PV[[#This Row],[Notional Value Local Cur]], -PV[[#This Row],[Notional Value Local Cur]])</f>
        <v>0</v>
      </c>
    </row>
    <row r="12248" spans="1:5" x14ac:dyDescent="0.25">
      <c r="A12248" s="36" t="b">
        <v>0</v>
      </c>
      <c r="B12248" s="56" t="b">
        <v>0</v>
      </c>
      <c r="C12248" s="56" t="b">
        <v>0</v>
      </c>
      <c r="D12248" s="56" t="b">
        <v>0</v>
      </c>
      <c r="E12248" s="56">
        <f ca="1">IF(PV[[#This Row],[Business Date]]=Control!$C$6, PV[[#This Row],[Notional Value Local Cur]], -PV[[#This Row],[Notional Value Local Cur]])</f>
        <v>0</v>
      </c>
    </row>
    <row r="12249" spans="1:5" x14ac:dyDescent="0.25">
      <c r="A12249" s="36" t="b">
        <v>0</v>
      </c>
      <c r="B12249" s="56" t="b">
        <v>0</v>
      </c>
      <c r="C12249" s="56" t="b">
        <v>0</v>
      </c>
      <c r="D12249" s="56" t="b">
        <v>0</v>
      </c>
      <c r="E12249" s="56">
        <f ca="1">IF(PV[[#This Row],[Business Date]]=Control!$C$6, PV[[#This Row],[Notional Value Local Cur]], -PV[[#This Row],[Notional Value Local Cur]])</f>
        <v>0</v>
      </c>
    </row>
    <row r="12250" spans="1:5" x14ac:dyDescent="0.25">
      <c r="A12250" s="36" t="b">
        <v>0</v>
      </c>
      <c r="B12250" s="56" t="b">
        <v>0</v>
      </c>
      <c r="C12250" s="56" t="b">
        <v>0</v>
      </c>
      <c r="D12250" s="56" t="b">
        <v>0</v>
      </c>
      <c r="E12250" s="56">
        <f ca="1">IF(PV[[#This Row],[Business Date]]=Control!$C$6, PV[[#This Row],[Notional Value Local Cur]], -PV[[#This Row],[Notional Value Local Cur]])</f>
        <v>0</v>
      </c>
    </row>
    <row r="12251" spans="1:5" x14ac:dyDescent="0.25">
      <c r="A12251" s="36" t="b">
        <v>0</v>
      </c>
      <c r="B12251" s="56" t="b">
        <v>0</v>
      </c>
      <c r="C12251" s="56" t="b">
        <v>0</v>
      </c>
      <c r="D12251" s="56" t="b">
        <v>0</v>
      </c>
      <c r="E12251" s="56">
        <f ca="1">IF(PV[[#This Row],[Business Date]]=Control!$C$6, PV[[#This Row],[Notional Value Local Cur]], -PV[[#This Row],[Notional Value Local Cur]])</f>
        <v>0</v>
      </c>
    </row>
    <row r="12252" spans="1:5" x14ac:dyDescent="0.25">
      <c r="A12252" s="36" t="b">
        <v>0</v>
      </c>
      <c r="B12252" s="56" t="b">
        <v>0</v>
      </c>
      <c r="C12252" s="56" t="b">
        <v>0</v>
      </c>
      <c r="D12252" s="56" t="b">
        <v>0</v>
      </c>
      <c r="E12252" s="56">
        <f ca="1">IF(PV[[#This Row],[Business Date]]=Control!$C$6, PV[[#This Row],[Notional Value Local Cur]], -PV[[#This Row],[Notional Value Local Cur]])</f>
        <v>0</v>
      </c>
    </row>
    <row r="12253" spans="1:5" x14ac:dyDescent="0.25">
      <c r="A12253" s="36" t="b">
        <v>0</v>
      </c>
      <c r="B12253" s="56" t="b">
        <v>0</v>
      </c>
      <c r="C12253" s="56" t="b">
        <v>0</v>
      </c>
      <c r="D12253" s="56" t="b">
        <v>0</v>
      </c>
      <c r="E12253" s="56">
        <f ca="1">IF(PV[[#This Row],[Business Date]]=Control!$C$6, PV[[#This Row],[Notional Value Local Cur]], -PV[[#This Row],[Notional Value Local Cur]])</f>
        <v>0</v>
      </c>
    </row>
    <row r="12254" spans="1:5" x14ac:dyDescent="0.25">
      <c r="A12254" s="36" t="b">
        <v>0</v>
      </c>
      <c r="B12254" s="56" t="b">
        <v>0</v>
      </c>
      <c r="C12254" s="56" t="b">
        <v>0</v>
      </c>
      <c r="D12254" s="56" t="b">
        <v>0</v>
      </c>
      <c r="E12254" s="56">
        <f ca="1">IF(PV[[#This Row],[Business Date]]=Control!$C$6, PV[[#This Row],[Notional Value Local Cur]], -PV[[#This Row],[Notional Value Local Cur]])</f>
        <v>0</v>
      </c>
    </row>
    <row r="12255" spans="1:5" x14ac:dyDescent="0.25">
      <c r="A12255" s="36" t="b">
        <v>0</v>
      </c>
      <c r="B12255" s="56" t="b">
        <v>0</v>
      </c>
      <c r="C12255" s="56" t="b">
        <v>0</v>
      </c>
      <c r="D12255" s="56" t="b">
        <v>0</v>
      </c>
      <c r="E12255" s="56">
        <f ca="1">IF(PV[[#This Row],[Business Date]]=Control!$C$6, PV[[#This Row],[Notional Value Local Cur]], -PV[[#This Row],[Notional Value Local Cur]])</f>
        <v>0</v>
      </c>
    </row>
    <row r="12256" spans="1:5" x14ac:dyDescent="0.25">
      <c r="A12256" s="36" t="b">
        <v>0</v>
      </c>
      <c r="B12256" s="56" t="b">
        <v>0</v>
      </c>
      <c r="C12256" s="56" t="b">
        <v>0</v>
      </c>
      <c r="D12256" s="56" t="b">
        <v>0</v>
      </c>
      <c r="E12256" s="56">
        <f ca="1">IF(PV[[#This Row],[Business Date]]=Control!$C$6, PV[[#This Row],[Notional Value Local Cur]], -PV[[#This Row],[Notional Value Local Cur]])</f>
        <v>0</v>
      </c>
    </row>
    <row r="12257" spans="1:5" x14ac:dyDescent="0.25">
      <c r="A12257" s="36" t="b">
        <v>0</v>
      </c>
      <c r="B12257" s="56" t="b">
        <v>0</v>
      </c>
      <c r="C12257" s="56" t="b">
        <v>0</v>
      </c>
      <c r="D12257" s="56" t="b">
        <v>0</v>
      </c>
      <c r="E12257" s="56">
        <f ca="1">IF(PV[[#This Row],[Business Date]]=Control!$C$6, PV[[#This Row],[Notional Value Local Cur]], -PV[[#This Row],[Notional Value Local Cur]])</f>
        <v>0</v>
      </c>
    </row>
    <row r="12258" spans="1:5" x14ac:dyDescent="0.25">
      <c r="A12258" s="36" t="b">
        <v>0</v>
      </c>
      <c r="B12258" s="56" t="b">
        <v>0</v>
      </c>
      <c r="C12258" s="56" t="b">
        <v>0</v>
      </c>
      <c r="D12258" s="56" t="b">
        <v>0</v>
      </c>
      <c r="E12258" s="56">
        <f ca="1">IF(PV[[#This Row],[Business Date]]=Control!$C$6, PV[[#This Row],[Notional Value Local Cur]], -PV[[#This Row],[Notional Value Local Cur]])</f>
        <v>0</v>
      </c>
    </row>
    <row r="12259" spans="1:5" x14ac:dyDescent="0.25">
      <c r="A12259" s="36" t="b">
        <v>0</v>
      </c>
      <c r="B12259" s="56" t="b">
        <v>0</v>
      </c>
      <c r="C12259" s="56" t="b">
        <v>0</v>
      </c>
      <c r="D12259" s="56" t="b">
        <v>0</v>
      </c>
      <c r="E12259" s="56">
        <f ca="1">IF(PV[[#This Row],[Business Date]]=Control!$C$6, PV[[#This Row],[Notional Value Local Cur]], -PV[[#This Row],[Notional Value Local Cur]])</f>
        <v>0</v>
      </c>
    </row>
    <row r="12260" spans="1:5" x14ac:dyDescent="0.25">
      <c r="A12260" s="36" t="b">
        <v>0</v>
      </c>
      <c r="B12260" s="56" t="b">
        <v>0</v>
      </c>
      <c r="C12260" s="56" t="b">
        <v>0</v>
      </c>
      <c r="D12260" s="56" t="b">
        <v>0</v>
      </c>
      <c r="E12260" s="56">
        <f ca="1">IF(PV[[#This Row],[Business Date]]=Control!$C$6, PV[[#This Row],[Notional Value Local Cur]], -PV[[#This Row],[Notional Value Local Cur]])</f>
        <v>0</v>
      </c>
    </row>
    <row r="12261" spans="1:5" x14ac:dyDescent="0.25">
      <c r="A12261" s="36" t="b">
        <v>0</v>
      </c>
      <c r="B12261" s="56" t="b">
        <v>0</v>
      </c>
      <c r="C12261" s="56" t="b">
        <v>0</v>
      </c>
      <c r="D12261" s="56" t="b">
        <v>0</v>
      </c>
      <c r="E12261" s="56">
        <f ca="1">IF(PV[[#This Row],[Business Date]]=Control!$C$6, PV[[#This Row],[Notional Value Local Cur]], -PV[[#This Row],[Notional Value Local Cur]])</f>
        <v>0</v>
      </c>
    </row>
    <row r="12262" spans="1:5" x14ac:dyDescent="0.25">
      <c r="A12262" s="36" t="b">
        <v>0</v>
      </c>
      <c r="B12262" s="56" t="b">
        <v>0</v>
      </c>
      <c r="C12262" s="56" t="b">
        <v>0</v>
      </c>
      <c r="D12262" s="56" t="b">
        <v>0</v>
      </c>
      <c r="E12262" s="56">
        <f ca="1">IF(PV[[#This Row],[Business Date]]=Control!$C$6, PV[[#This Row],[Notional Value Local Cur]], -PV[[#This Row],[Notional Value Local Cur]])</f>
        <v>0</v>
      </c>
    </row>
    <row r="12263" spans="1:5" x14ac:dyDescent="0.25">
      <c r="A12263" s="36" t="b">
        <v>0</v>
      </c>
      <c r="B12263" s="56" t="b">
        <v>0</v>
      </c>
      <c r="C12263" s="56" t="b">
        <v>0</v>
      </c>
      <c r="D12263" s="56" t="b">
        <v>0</v>
      </c>
      <c r="E12263" s="56">
        <f ca="1">IF(PV[[#This Row],[Business Date]]=Control!$C$6, PV[[#This Row],[Notional Value Local Cur]], -PV[[#This Row],[Notional Value Local Cur]])</f>
        <v>0</v>
      </c>
    </row>
    <row r="12264" spans="1:5" x14ac:dyDescent="0.25">
      <c r="A12264" s="36" t="b">
        <v>0</v>
      </c>
      <c r="B12264" s="56" t="b">
        <v>0</v>
      </c>
      <c r="C12264" s="56" t="b">
        <v>0</v>
      </c>
      <c r="D12264" s="56" t="b">
        <v>0</v>
      </c>
      <c r="E12264" s="56">
        <f ca="1">IF(PV[[#This Row],[Business Date]]=Control!$C$6, PV[[#This Row],[Notional Value Local Cur]], -PV[[#This Row],[Notional Value Local Cur]])</f>
        <v>0</v>
      </c>
    </row>
    <row r="12265" spans="1:5" x14ac:dyDescent="0.25">
      <c r="A12265" s="36" t="b">
        <v>0</v>
      </c>
      <c r="B12265" s="56" t="b">
        <v>0</v>
      </c>
      <c r="C12265" s="56" t="b">
        <v>0</v>
      </c>
      <c r="D12265" s="56" t="b">
        <v>0</v>
      </c>
      <c r="E12265" s="56">
        <f ca="1">IF(PV[[#This Row],[Business Date]]=Control!$C$6, PV[[#This Row],[Notional Value Local Cur]], -PV[[#This Row],[Notional Value Local Cur]])</f>
        <v>0</v>
      </c>
    </row>
    <row r="12266" spans="1:5" x14ac:dyDescent="0.25">
      <c r="A12266" s="36" t="b">
        <v>0</v>
      </c>
      <c r="B12266" s="56" t="b">
        <v>0</v>
      </c>
      <c r="C12266" s="56" t="b">
        <v>0</v>
      </c>
      <c r="D12266" s="56" t="b">
        <v>0</v>
      </c>
      <c r="E12266" s="56">
        <f ca="1">IF(PV[[#This Row],[Business Date]]=Control!$C$6, PV[[#This Row],[Notional Value Local Cur]], -PV[[#This Row],[Notional Value Local Cur]])</f>
        <v>0</v>
      </c>
    </row>
    <row r="12267" spans="1:5" x14ac:dyDescent="0.25">
      <c r="A12267" s="36" t="b">
        <v>0</v>
      </c>
      <c r="B12267" s="56" t="b">
        <v>0</v>
      </c>
      <c r="C12267" s="56" t="b">
        <v>0</v>
      </c>
      <c r="D12267" s="56" t="b">
        <v>0</v>
      </c>
      <c r="E12267" s="56">
        <f ca="1">IF(PV[[#This Row],[Business Date]]=Control!$C$6, PV[[#This Row],[Notional Value Local Cur]], -PV[[#This Row],[Notional Value Local Cur]])</f>
        <v>0</v>
      </c>
    </row>
    <row r="12268" spans="1:5" x14ac:dyDescent="0.25">
      <c r="A12268" s="36" t="b">
        <v>0</v>
      </c>
      <c r="B12268" s="56" t="b">
        <v>0</v>
      </c>
      <c r="C12268" s="56" t="b">
        <v>0</v>
      </c>
      <c r="D12268" s="56" t="b">
        <v>0</v>
      </c>
      <c r="E12268" s="56">
        <f ca="1">IF(PV[[#This Row],[Business Date]]=Control!$C$6, PV[[#This Row],[Notional Value Local Cur]], -PV[[#This Row],[Notional Value Local Cur]])</f>
        <v>0</v>
      </c>
    </row>
    <row r="12269" spans="1:5" x14ac:dyDescent="0.25">
      <c r="A12269" s="36" t="b">
        <v>0</v>
      </c>
      <c r="B12269" s="56" t="b">
        <v>0</v>
      </c>
      <c r="C12269" s="56" t="b">
        <v>0</v>
      </c>
      <c r="D12269" s="56" t="b">
        <v>0</v>
      </c>
      <c r="E12269" s="56">
        <f ca="1">IF(PV[[#This Row],[Business Date]]=Control!$C$6, PV[[#This Row],[Notional Value Local Cur]], -PV[[#This Row],[Notional Value Local Cur]])</f>
        <v>0</v>
      </c>
    </row>
    <row r="12270" spans="1:5" x14ac:dyDescent="0.25">
      <c r="A12270" s="36" t="b">
        <v>0</v>
      </c>
      <c r="B12270" s="56" t="b">
        <v>0</v>
      </c>
      <c r="C12270" s="56" t="b">
        <v>0</v>
      </c>
      <c r="D12270" s="56" t="b">
        <v>0</v>
      </c>
      <c r="E12270" s="56">
        <f ca="1">IF(PV[[#This Row],[Business Date]]=Control!$C$6, PV[[#This Row],[Notional Value Local Cur]], -PV[[#This Row],[Notional Value Local Cur]])</f>
        <v>0</v>
      </c>
    </row>
    <row r="12271" spans="1:5" x14ac:dyDescent="0.25">
      <c r="A12271" s="36" t="b">
        <v>0</v>
      </c>
      <c r="B12271" s="56" t="b">
        <v>0</v>
      </c>
      <c r="C12271" s="56" t="b">
        <v>0</v>
      </c>
      <c r="D12271" s="56" t="b">
        <v>0</v>
      </c>
      <c r="E12271" s="56">
        <f ca="1">IF(PV[[#This Row],[Business Date]]=Control!$C$6, PV[[#This Row],[Notional Value Local Cur]], -PV[[#This Row],[Notional Value Local Cur]])</f>
        <v>0</v>
      </c>
    </row>
    <row r="12272" spans="1:5" x14ac:dyDescent="0.25">
      <c r="A12272" s="36" t="b">
        <v>0</v>
      </c>
      <c r="B12272" s="56" t="b">
        <v>0</v>
      </c>
      <c r="C12272" s="56" t="b">
        <v>0</v>
      </c>
      <c r="D12272" s="56" t="b">
        <v>0</v>
      </c>
      <c r="E12272" s="56">
        <f ca="1">IF(PV[[#This Row],[Business Date]]=Control!$C$6, PV[[#This Row],[Notional Value Local Cur]], -PV[[#This Row],[Notional Value Local Cur]])</f>
        <v>0</v>
      </c>
    </row>
    <row r="12273" spans="1:5" x14ac:dyDescent="0.25">
      <c r="A12273" s="36" t="b">
        <v>0</v>
      </c>
      <c r="B12273" s="56" t="b">
        <v>0</v>
      </c>
      <c r="C12273" s="56" t="b">
        <v>0</v>
      </c>
      <c r="D12273" s="56" t="b">
        <v>0</v>
      </c>
      <c r="E12273" s="56">
        <f ca="1">IF(PV[[#This Row],[Business Date]]=Control!$C$6, PV[[#This Row],[Notional Value Local Cur]], -PV[[#This Row],[Notional Value Local Cur]])</f>
        <v>0</v>
      </c>
    </row>
    <row r="12274" spans="1:5" x14ac:dyDescent="0.25">
      <c r="A12274" s="36" t="b">
        <v>0</v>
      </c>
      <c r="B12274" s="56" t="b">
        <v>0</v>
      </c>
      <c r="C12274" s="56" t="b">
        <v>0</v>
      </c>
      <c r="D12274" s="56" t="b">
        <v>0</v>
      </c>
      <c r="E12274" s="56">
        <f ca="1">IF(PV[[#This Row],[Business Date]]=Control!$C$6, PV[[#This Row],[Notional Value Local Cur]], -PV[[#This Row],[Notional Value Local Cur]])</f>
        <v>0</v>
      </c>
    </row>
    <row r="12275" spans="1:5" x14ac:dyDescent="0.25">
      <c r="A12275" s="36" t="b">
        <v>0</v>
      </c>
      <c r="B12275" s="56" t="b">
        <v>0</v>
      </c>
      <c r="C12275" s="56" t="b">
        <v>0</v>
      </c>
      <c r="D12275" s="56" t="b">
        <v>0</v>
      </c>
      <c r="E12275" s="56">
        <f ca="1">IF(PV[[#This Row],[Business Date]]=Control!$C$6, PV[[#This Row],[Notional Value Local Cur]], -PV[[#This Row],[Notional Value Local Cur]])</f>
        <v>0</v>
      </c>
    </row>
    <row r="12276" spans="1:5" x14ac:dyDescent="0.25">
      <c r="A12276" s="36" t="b">
        <v>0</v>
      </c>
      <c r="B12276" s="56" t="b">
        <v>0</v>
      </c>
      <c r="C12276" s="56" t="b">
        <v>0</v>
      </c>
      <c r="D12276" s="56" t="b">
        <v>0</v>
      </c>
      <c r="E12276" s="56">
        <f ca="1">IF(PV[[#This Row],[Business Date]]=Control!$C$6, PV[[#This Row],[Notional Value Local Cur]], -PV[[#This Row],[Notional Value Local Cur]])</f>
        <v>0</v>
      </c>
    </row>
    <row r="12277" spans="1:5" x14ac:dyDescent="0.25">
      <c r="A12277" s="36" t="b">
        <v>0</v>
      </c>
      <c r="B12277" s="56" t="b">
        <v>0</v>
      </c>
      <c r="C12277" s="56" t="b">
        <v>0</v>
      </c>
      <c r="D12277" s="56" t="b">
        <v>0</v>
      </c>
      <c r="E12277" s="56">
        <f ca="1">IF(PV[[#This Row],[Business Date]]=Control!$C$6, PV[[#This Row],[Notional Value Local Cur]], -PV[[#This Row],[Notional Value Local Cur]])</f>
        <v>0</v>
      </c>
    </row>
    <row r="12278" spans="1:5" x14ac:dyDescent="0.25">
      <c r="A12278" s="36" t="b">
        <v>0</v>
      </c>
      <c r="B12278" s="56" t="b">
        <v>0</v>
      </c>
      <c r="C12278" s="56" t="b">
        <v>0</v>
      </c>
      <c r="D12278" s="56" t="b">
        <v>0</v>
      </c>
      <c r="E12278" s="56">
        <f ca="1">IF(PV[[#This Row],[Business Date]]=Control!$C$6, PV[[#This Row],[Notional Value Local Cur]], -PV[[#This Row],[Notional Value Local Cur]])</f>
        <v>0</v>
      </c>
    </row>
    <row r="12279" spans="1:5" x14ac:dyDescent="0.25">
      <c r="A12279" s="36" t="b">
        <v>0</v>
      </c>
      <c r="B12279" s="56" t="b">
        <v>0</v>
      </c>
      <c r="C12279" s="56" t="b">
        <v>0</v>
      </c>
      <c r="D12279" s="56" t="b">
        <v>0</v>
      </c>
      <c r="E12279" s="56">
        <f ca="1">IF(PV[[#This Row],[Business Date]]=Control!$C$6, PV[[#This Row],[Notional Value Local Cur]], -PV[[#This Row],[Notional Value Local Cur]])</f>
        <v>0</v>
      </c>
    </row>
    <row r="12280" spans="1:5" x14ac:dyDescent="0.25">
      <c r="A12280" s="36" t="b">
        <v>0</v>
      </c>
      <c r="B12280" s="56" t="b">
        <v>0</v>
      </c>
      <c r="C12280" s="56" t="b">
        <v>0</v>
      </c>
      <c r="D12280" s="56" t="b">
        <v>0</v>
      </c>
      <c r="E12280" s="56">
        <f ca="1">IF(PV[[#This Row],[Business Date]]=Control!$C$6, PV[[#This Row],[Notional Value Local Cur]], -PV[[#This Row],[Notional Value Local Cur]])</f>
        <v>0</v>
      </c>
    </row>
    <row r="12281" spans="1:5" x14ac:dyDescent="0.25">
      <c r="A12281" s="36" t="b">
        <v>0</v>
      </c>
      <c r="B12281" s="56" t="b">
        <v>0</v>
      </c>
      <c r="C12281" s="56" t="b">
        <v>0</v>
      </c>
      <c r="D12281" s="56" t="b">
        <v>0</v>
      </c>
      <c r="E12281" s="56">
        <f ca="1">IF(PV[[#This Row],[Business Date]]=Control!$C$6, PV[[#This Row],[Notional Value Local Cur]], -PV[[#This Row],[Notional Value Local Cur]])</f>
        <v>0</v>
      </c>
    </row>
    <row r="12282" spans="1:5" x14ac:dyDescent="0.25">
      <c r="A12282" s="36" t="b">
        <v>0</v>
      </c>
      <c r="B12282" s="56" t="b">
        <v>0</v>
      </c>
      <c r="C12282" s="56" t="b">
        <v>0</v>
      </c>
      <c r="D12282" s="56" t="b">
        <v>0</v>
      </c>
      <c r="E12282" s="56">
        <f ca="1">IF(PV[[#This Row],[Business Date]]=Control!$C$6, PV[[#This Row],[Notional Value Local Cur]], -PV[[#This Row],[Notional Value Local Cur]])</f>
        <v>0</v>
      </c>
    </row>
    <row r="12283" spans="1:5" x14ac:dyDescent="0.25">
      <c r="A12283" s="36" t="b">
        <v>0</v>
      </c>
      <c r="B12283" s="56" t="b">
        <v>0</v>
      </c>
      <c r="C12283" s="56" t="b">
        <v>0</v>
      </c>
      <c r="D12283" s="56" t="b">
        <v>0</v>
      </c>
      <c r="E12283" s="56">
        <f ca="1">IF(PV[[#This Row],[Business Date]]=Control!$C$6, PV[[#This Row],[Notional Value Local Cur]], -PV[[#This Row],[Notional Value Local Cur]])</f>
        <v>0</v>
      </c>
    </row>
    <row r="12284" spans="1:5" x14ac:dyDescent="0.25">
      <c r="A12284" s="36" t="b">
        <v>0</v>
      </c>
      <c r="B12284" s="56" t="b">
        <v>0</v>
      </c>
      <c r="C12284" s="56" t="b">
        <v>0</v>
      </c>
      <c r="D12284" s="56" t="b">
        <v>0</v>
      </c>
      <c r="E12284" s="56">
        <f ca="1">IF(PV[[#This Row],[Business Date]]=Control!$C$6, PV[[#This Row],[Notional Value Local Cur]], -PV[[#This Row],[Notional Value Local Cur]])</f>
        <v>0</v>
      </c>
    </row>
    <row r="12285" spans="1:5" x14ac:dyDescent="0.25">
      <c r="A12285" s="36" t="b">
        <v>0</v>
      </c>
      <c r="B12285" s="56" t="b">
        <v>0</v>
      </c>
      <c r="C12285" s="56" t="b">
        <v>0</v>
      </c>
      <c r="D12285" s="56" t="b">
        <v>0</v>
      </c>
      <c r="E12285" s="56">
        <f ca="1">IF(PV[[#This Row],[Business Date]]=Control!$C$6, PV[[#This Row],[Notional Value Local Cur]], -PV[[#This Row],[Notional Value Local Cur]])</f>
        <v>0</v>
      </c>
    </row>
    <row r="12286" spans="1:5" x14ac:dyDescent="0.25">
      <c r="A12286" s="36" t="b">
        <v>0</v>
      </c>
      <c r="B12286" s="56" t="b">
        <v>0</v>
      </c>
      <c r="C12286" s="56" t="b">
        <v>0</v>
      </c>
      <c r="D12286" s="56" t="b">
        <v>0</v>
      </c>
      <c r="E12286" s="56">
        <f ca="1">IF(PV[[#This Row],[Business Date]]=Control!$C$6, PV[[#This Row],[Notional Value Local Cur]], -PV[[#This Row],[Notional Value Local Cur]])</f>
        <v>0</v>
      </c>
    </row>
    <row r="12287" spans="1:5" x14ac:dyDescent="0.25">
      <c r="A12287" s="36" t="b">
        <v>0</v>
      </c>
      <c r="B12287" s="56" t="b">
        <v>0</v>
      </c>
      <c r="C12287" s="56" t="b">
        <v>0</v>
      </c>
      <c r="D12287" s="56" t="b">
        <v>0</v>
      </c>
      <c r="E12287" s="56">
        <f ca="1">IF(PV[[#This Row],[Business Date]]=Control!$C$6, PV[[#This Row],[Notional Value Local Cur]], -PV[[#This Row],[Notional Value Local Cur]])</f>
        <v>0</v>
      </c>
    </row>
    <row r="12288" spans="1:5" x14ac:dyDescent="0.25">
      <c r="A12288" s="36" t="b">
        <v>0</v>
      </c>
      <c r="B12288" s="56" t="b">
        <v>0</v>
      </c>
      <c r="C12288" s="56" t="b">
        <v>0</v>
      </c>
      <c r="D12288" s="56" t="b">
        <v>0</v>
      </c>
      <c r="E12288" s="56">
        <f ca="1">IF(PV[[#This Row],[Business Date]]=Control!$C$6, PV[[#This Row],[Notional Value Local Cur]], -PV[[#This Row],[Notional Value Local Cur]])</f>
        <v>0</v>
      </c>
    </row>
    <row r="12289" spans="1:5" x14ac:dyDescent="0.25">
      <c r="A12289" s="36" t="b">
        <v>0</v>
      </c>
      <c r="B12289" s="56" t="b">
        <v>0</v>
      </c>
      <c r="C12289" s="56" t="b">
        <v>0</v>
      </c>
      <c r="D12289" s="56" t="b">
        <v>0</v>
      </c>
      <c r="E12289" s="56">
        <f ca="1">IF(PV[[#This Row],[Business Date]]=Control!$C$6, PV[[#This Row],[Notional Value Local Cur]], -PV[[#This Row],[Notional Value Local Cur]])</f>
        <v>0</v>
      </c>
    </row>
    <row r="12290" spans="1:5" x14ac:dyDescent="0.25">
      <c r="A12290" s="36" t="b">
        <v>0</v>
      </c>
      <c r="B12290" s="56" t="b">
        <v>0</v>
      </c>
      <c r="C12290" s="56" t="b">
        <v>0</v>
      </c>
      <c r="D12290" s="56" t="b">
        <v>0</v>
      </c>
      <c r="E12290" s="56">
        <f ca="1">IF(PV[[#This Row],[Business Date]]=Control!$C$6, PV[[#This Row],[Notional Value Local Cur]], -PV[[#This Row],[Notional Value Local Cur]])</f>
        <v>0</v>
      </c>
    </row>
    <row r="12291" spans="1:5" x14ac:dyDescent="0.25">
      <c r="A12291" s="36" t="b">
        <v>0</v>
      </c>
      <c r="B12291" s="56" t="b">
        <v>0</v>
      </c>
      <c r="C12291" s="56" t="b">
        <v>0</v>
      </c>
      <c r="D12291" s="56" t="b">
        <v>0</v>
      </c>
      <c r="E12291" s="56">
        <f ca="1">IF(PV[[#This Row],[Business Date]]=Control!$C$6, PV[[#This Row],[Notional Value Local Cur]], -PV[[#This Row],[Notional Value Local Cur]])</f>
        <v>0</v>
      </c>
    </row>
    <row r="12292" spans="1:5" x14ac:dyDescent="0.25">
      <c r="A12292" s="36" t="b">
        <v>0</v>
      </c>
      <c r="B12292" s="56" t="b">
        <v>0</v>
      </c>
      <c r="C12292" s="56" t="b">
        <v>0</v>
      </c>
      <c r="D12292" s="56" t="b">
        <v>0</v>
      </c>
      <c r="E12292" s="56">
        <f ca="1">IF(PV[[#This Row],[Business Date]]=Control!$C$6, PV[[#This Row],[Notional Value Local Cur]], -PV[[#This Row],[Notional Value Local Cur]])</f>
        <v>0</v>
      </c>
    </row>
    <row r="12293" spans="1:5" x14ac:dyDescent="0.25">
      <c r="A12293" s="36" t="b">
        <v>0</v>
      </c>
      <c r="B12293" s="56" t="b">
        <v>0</v>
      </c>
      <c r="C12293" s="56" t="b">
        <v>0</v>
      </c>
      <c r="D12293" s="56" t="b">
        <v>0</v>
      </c>
      <c r="E12293" s="56">
        <f ca="1">IF(PV[[#This Row],[Business Date]]=Control!$C$6, PV[[#This Row],[Notional Value Local Cur]], -PV[[#This Row],[Notional Value Local Cur]])</f>
        <v>0</v>
      </c>
    </row>
    <row r="12294" spans="1:5" x14ac:dyDescent="0.25">
      <c r="A12294" s="36" t="b">
        <v>0</v>
      </c>
      <c r="B12294" s="56" t="b">
        <v>0</v>
      </c>
      <c r="C12294" s="56" t="b">
        <v>0</v>
      </c>
      <c r="D12294" s="56" t="b">
        <v>0</v>
      </c>
      <c r="E12294" s="56">
        <f ca="1">IF(PV[[#This Row],[Business Date]]=Control!$C$6, PV[[#This Row],[Notional Value Local Cur]], -PV[[#This Row],[Notional Value Local Cur]])</f>
        <v>0</v>
      </c>
    </row>
    <row r="12295" spans="1:5" x14ac:dyDescent="0.25">
      <c r="A12295" s="36" t="b">
        <v>0</v>
      </c>
      <c r="B12295" s="56" t="b">
        <v>0</v>
      </c>
      <c r="C12295" s="56" t="b">
        <v>0</v>
      </c>
      <c r="D12295" s="56" t="b">
        <v>0</v>
      </c>
      <c r="E12295" s="56">
        <f ca="1">IF(PV[[#This Row],[Business Date]]=Control!$C$6, PV[[#This Row],[Notional Value Local Cur]], -PV[[#This Row],[Notional Value Local Cur]])</f>
        <v>0</v>
      </c>
    </row>
    <row r="12296" spans="1:5" x14ac:dyDescent="0.25">
      <c r="A12296" s="36" t="b">
        <v>0</v>
      </c>
      <c r="B12296" s="56" t="b">
        <v>0</v>
      </c>
      <c r="C12296" s="56" t="b">
        <v>0</v>
      </c>
      <c r="D12296" s="56" t="b">
        <v>0</v>
      </c>
      <c r="E12296" s="56">
        <f ca="1">IF(PV[[#This Row],[Business Date]]=Control!$C$6, PV[[#This Row],[Notional Value Local Cur]], -PV[[#This Row],[Notional Value Local Cur]])</f>
        <v>0</v>
      </c>
    </row>
    <row r="12297" spans="1:5" x14ac:dyDescent="0.25">
      <c r="A12297" s="36" t="b">
        <v>0</v>
      </c>
      <c r="B12297" s="56" t="b">
        <v>0</v>
      </c>
      <c r="C12297" s="56" t="b">
        <v>0</v>
      </c>
      <c r="D12297" s="56" t="b">
        <v>0</v>
      </c>
      <c r="E12297" s="56">
        <f ca="1">IF(PV[[#This Row],[Business Date]]=Control!$C$6, PV[[#This Row],[Notional Value Local Cur]], -PV[[#This Row],[Notional Value Local Cur]])</f>
        <v>0</v>
      </c>
    </row>
    <row r="12298" spans="1:5" x14ac:dyDescent="0.25">
      <c r="A12298" s="36" t="b">
        <v>0</v>
      </c>
      <c r="B12298" s="56" t="b">
        <v>0</v>
      </c>
      <c r="C12298" s="56" t="b">
        <v>0</v>
      </c>
      <c r="D12298" s="56" t="b">
        <v>0</v>
      </c>
      <c r="E12298" s="56">
        <f ca="1">IF(PV[[#This Row],[Business Date]]=Control!$C$6, PV[[#This Row],[Notional Value Local Cur]], -PV[[#This Row],[Notional Value Local Cur]])</f>
        <v>0</v>
      </c>
    </row>
    <row r="12299" spans="1:5" x14ac:dyDescent="0.25">
      <c r="A12299" s="36" t="b">
        <v>0</v>
      </c>
      <c r="B12299" s="56" t="b">
        <v>0</v>
      </c>
      <c r="C12299" s="56" t="b">
        <v>0</v>
      </c>
      <c r="D12299" s="56" t="b">
        <v>0</v>
      </c>
      <c r="E12299" s="56">
        <f ca="1">IF(PV[[#This Row],[Business Date]]=Control!$C$6, PV[[#This Row],[Notional Value Local Cur]], -PV[[#This Row],[Notional Value Local Cur]])</f>
        <v>0</v>
      </c>
    </row>
    <row r="12300" spans="1:5" x14ac:dyDescent="0.25">
      <c r="A12300" s="36" t="b">
        <v>0</v>
      </c>
      <c r="B12300" s="56" t="b">
        <v>0</v>
      </c>
      <c r="C12300" s="56" t="b">
        <v>0</v>
      </c>
      <c r="D12300" s="56" t="b">
        <v>0</v>
      </c>
      <c r="E12300" s="56">
        <f ca="1">IF(PV[[#This Row],[Business Date]]=Control!$C$6, PV[[#This Row],[Notional Value Local Cur]], -PV[[#This Row],[Notional Value Local Cur]])</f>
        <v>0</v>
      </c>
    </row>
    <row r="12301" spans="1:5" x14ac:dyDescent="0.25">
      <c r="A12301" s="36" t="b">
        <v>0</v>
      </c>
      <c r="B12301" s="56" t="b">
        <v>0</v>
      </c>
      <c r="C12301" s="56" t="b">
        <v>0</v>
      </c>
      <c r="D12301" s="56" t="b">
        <v>0</v>
      </c>
      <c r="E12301" s="56">
        <f ca="1">IF(PV[[#This Row],[Business Date]]=Control!$C$6, PV[[#This Row],[Notional Value Local Cur]], -PV[[#This Row],[Notional Value Local Cur]])</f>
        <v>0</v>
      </c>
    </row>
    <row r="12302" spans="1:5" x14ac:dyDescent="0.25">
      <c r="A12302" s="36" t="b">
        <v>0</v>
      </c>
      <c r="B12302" s="56" t="b">
        <v>0</v>
      </c>
      <c r="C12302" s="56" t="b">
        <v>0</v>
      </c>
      <c r="D12302" s="56" t="b">
        <v>0</v>
      </c>
      <c r="E12302" s="56">
        <f ca="1">IF(PV[[#This Row],[Business Date]]=Control!$C$6, PV[[#This Row],[Notional Value Local Cur]], -PV[[#This Row],[Notional Value Local Cur]])</f>
        <v>0</v>
      </c>
    </row>
    <row r="12303" spans="1:5" x14ac:dyDescent="0.25">
      <c r="A12303" s="36" t="b">
        <v>0</v>
      </c>
      <c r="B12303" s="56" t="b">
        <v>0</v>
      </c>
      <c r="C12303" s="56" t="b">
        <v>0</v>
      </c>
      <c r="D12303" s="56" t="b">
        <v>0</v>
      </c>
      <c r="E12303" s="56">
        <f ca="1">IF(PV[[#This Row],[Business Date]]=Control!$C$6, PV[[#This Row],[Notional Value Local Cur]], -PV[[#This Row],[Notional Value Local Cur]])</f>
        <v>0</v>
      </c>
    </row>
    <row r="12304" spans="1:5" x14ac:dyDescent="0.25">
      <c r="A12304" s="36" t="b">
        <v>0</v>
      </c>
      <c r="B12304" s="56" t="b">
        <v>0</v>
      </c>
      <c r="C12304" s="56" t="b">
        <v>0</v>
      </c>
      <c r="D12304" s="56" t="b">
        <v>0</v>
      </c>
      <c r="E12304" s="56">
        <f ca="1">IF(PV[[#This Row],[Business Date]]=Control!$C$6, PV[[#This Row],[Notional Value Local Cur]], -PV[[#This Row],[Notional Value Local Cur]])</f>
        <v>0</v>
      </c>
    </row>
    <row r="12305" spans="1:5" x14ac:dyDescent="0.25">
      <c r="A12305" s="36" t="b">
        <v>0</v>
      </c>
      <c r="B12305" s="56" t="b">
        <v>0</v>
      </c>
      <c r="C12305" s="56" t="b">
        <v>0</v>
      </c>
      <c r="D12305" s="56" t="b">
        <v>0</v>
      </c>
      <c r="E12305" s="56">
        <f ca="1">IF(PV[[#This Row],[Business Date]]=Control!$C$6, PV[[#This Row],[Notional Value Local Cur]], -PV[[#This Row],[Notional Value Local Cur]])</f>
        <v>0</v>
      </c>
    </row>
    <row r="12306" spans="1:5" x14ac:dyDescent="0.25">
      <c r="A12306" s="36" t="b">
        <v>0</v>
      </c>
      <c r="B12306" s="56" t="b">
        <v>0</v>
      </c>
      <c r="C12306" s="56" t="b">
        <v>0</v>
      </c>
      <c r="D12306" s="56" t="b">
        <v>0</v>
      </c>
      <c r="E12306" s="56">
        <f ca="1">IF(PV[[#This Row],[Business Date]]=Control!$C$6, PV[[#This Row],[Notional Value Local Cur]], -PV[[#This Row],[Notional Value Local Cur]])</f>
        <v>0</v>
      </c>
    </row>
    <row r="12307" spans="1:5" x14ac:dyDescent="0.25">
      <c r="A12307" s="36" t="b">
        <v>0</v>
      </c>
      <c r="B12307" s="56" t="b">
        <v>0</v>
      </c>
      <c r="C12307" s="56" t="b">
        <v>0</v>
      </c>
      <c r="D12307" s="56" t="b">
        <v>0</v>
      </c>
      <c r="E12307" s="56">
        <f ca="1">IF(PV[[#This Row],[Business Date]]=Control!$C$6, PV[[#This Row],[Notional Value Local Cur]], -PV[[#This Row],[Notional Value Local Cur]])</f>
        <v>0</v>
      </c>
    </row>
    <row r="12308" spans="1:5" x14ac:dyDescent="0.25">
      <c r="A12308" s="36" t="b">
        <v>0</v>
      </c>
      <c r="B12308" s="56" t="b">
        <v>0</v>
      </c>
      <c r="C12308" s="56" t="b">
        <v>0</v>
      </c>
      <c r="D12308" s="56" t="b">
        <v>0</v>
      </c>
      <c r="E12308" s="56">
        <f ca="1">IF(PV[[#This Row],[Business Date]]=Control!$C$6, PV[[#This Row],[Notional Value Local Cur]], -PV[[#This Row],[Notional Value Local Cur]])</f>
        <v>0</v>
      </c>
    </row>
    <row r="12309" spans="1:5" x14ac:dyDescent="0.25">
      <c r="A12309" s="36" t="b">
        <v>0</v>
      </c>
      <c r="B12309" s="56" t="b">
        <v>0</v>
      </c>
      <c r="C12309" s="56" t="b">
        <v>0</v>
      </c>
      <c r="D12309" s="56" t="b">
        <v>0</v>
      </c>
      <c r="E12309" s="56">
        <f ca="1">IF(PV[[#This Row],[Business Date]]=Control!$C$6, PV[[#This Row],[Notional Value Local Cur]], -PV[[#This Row],[Notional Value Local Cur]])</f>
        <v>0</v>
      </c>
    </row>
    <row r="12310" spans="1:5" x14ac:dyDescent="0.25">
      <c r="A12310" s="36" t="b">
        <v>0</v>
      </c>
      <c r="B12310" s="56" t="b">
        <v>0</v>
      </c>
      <c r="C12310" s="56" t="b">
        <v>0</v>
      </c>
      <c r="D12310" s="56" t="b">
        <v>0</v>
      </c>
      <c r="E12310" s="56">
        <f ca="1">IF(PV[[#This Row],[Business Date]]=Control!$C$6, PV[[#This Row],[Notional Value Local Cur]], -PV[[#This Row],[Notional Value Local Cur]])</f>
        <v>0</v>
      </c>
    </row>
    <row r="12311" spans="1:5" x14ac:dyDescent="0.25">
      <c r="A12311" s="36" t="b">
        <v>0</v>
      </c>
      <c r="B12311" s="56" t="b">
        <v>0</v>
      </c>
      <c r="C12311" s="56" t="b">
        <v>0</v>
      </c>
      <c r="D12311" s="56" t="b">
        <v>0</v>
      </c>
      <c r="E12311" s="56">
        <f ca="1">IF(PV[[#This Row],[Business Date]]=Control!$C$6, PV[[#This Row],[Notional Value Local Cur]], -PV[[#This Row],[Notional Value Local Cur]])</f>
        <v>0</v>
      </c>
    </row>
    <row r="12312" spans="1:5" x14ac:dyDescent="0.25">
      <c r="A12312" s="36" t="b">
        <v>0</v>
      </c>
      <c r="B12312" s="56" t="b">
        <v>0</v>
      </c>
      <c r="C12312" s="56" t="b">
        <v>0</v>
      </c>
      <c r="D12312" s="56" t="b">
        <v>0</v>
      </c>
      <c r="E12312" s="56">
        <f ca="1">IF(PV[[#This Row],[Business Date]]=Control!$C$6, PV[[#This Row],[Notional Value Local Cur]], -PV[[#This Row],[Notional Value Local Cur]])</f>
        <v>0</v>
      </c>
    </row>
    <row r="12313" spans="1:5" x14ac:dyDescent="0.25">
      <c r="A12313" s="36" t="b">
        <v>0</v>
      </c>
      <c r="B12313" s="56" t="b">
        <v>0</v>
      </c>
      <c r="C12313" s="56" t="b">
        <v>0</v>
      </c>
      <c r="D12313" s="56" t="b">
        <v>0</v>
      </c>
      <c r="E12313" s="56">
        <f ca="1">IF(PV[[#This Row],[Business Date]]=Control!$C$6, PV[[#This Row],[Notional Value Local Cur]], -PV[[#This Row],[Notional Value Local Cur]])</f>
        <v>0</v>
      </c>
    </row>
    <row r="12314" spans="1:5" x14ac:dyDescent="0.25">
      <c r="A12314" s="36" t="b">
        <v>0</v>
      </c>
      <c r="B12314" s="56" t="b">
        <v>0</v>
      </c>
      <c r="C12314" s="56" t="b">
        <v>0</v>
      </c>
      <c r="D12314" s="56" t="b">
        <v>0</v>
      </c>
      <c r="E12314" s="56">
        <f ca="1">IF(PV[[#This Row],[Business Date]]=Control!$C$6, PV[[#This Row],[Notional Value Local Cur]], -PV[[#This Row],[Notional Value Local Cur]])</f>
        <v>0</v>
      </c>
    </row>
    <row r="12315" spans="1:5" x14ac:dyDescent="0.25">
      <c r="A12315" s="36" t="b">
        <v>0</v>
      </c>
      <c r="B12315" s="56" t="b">
        <v>0</v>
      </c>
      <c r="C12315" s="56" t="b">
        <v>0</v>
      </c>
      <c r="D12315" s="56" t="b">
        <v>0</v>
      </c>
      <c r="E12315" s="56">
        <f ca="1">IF(PV[[#This Row],[Business Date]]=Control!$C$6, PV[[#This Row],[Notional Value Local Cur]], -PV[[#This Row],[Notional Value Local Cur]])</f>
        <v>0</v>
      </c>
    </row>
    <row r="12316" spans="1:5" x14ac:dyDescent="0.25">
      <c r="A12316" s="36" t="b">
        <v>0</v>
      </c>
      <c r="B12316" s="56" t="b">
        <v>0</v>
      </c>
      <c r="C12316" s="56" t="b">
        <v>0</v>
      </c>
      <c r="D12316" s="56" t="b">
        <v>0</v>
      </c>
      <c r="E12316" s="56">
        <f ca="1">IF(PV[[#This Row],[Business Date]]=Control!$C$6, PV[[#This Row],[Notional Value Local Cur]], -PV[[#This Row],[Notional Value Local Cur]])</f>
        <v>0</v>
      </c>
    </row>
    <row r="12317" spans="1:5" x14ac:dyDescent="0.25">
      <c r="A12317" s="36" t="b">
        <v>0</v>
      </c>
      <c r="B12317" s="56" t="b">
        <v>0</v>
      </c>
      <c r="C12317" s="56" t="b">
        <v>0</v>
      </c>
      <c r="D12317" s="56" t="b">
        <v>0</v>
      </c>
      <c r="E12317" s="56">
        <f ca="1">IF(PV[[#This Row],[Business Date]]=Control!$C$6, PV[[#This Row],[Notional Value Local Cur]], -PV[[#This Row],[Notional Value Local Cur]])</f>
        <v>0</v>
      </c>
    </row>
    <row r="12318" spans="1:5" x14ac:dyDescent="0.25">
      <c r="A12318" s="36" t="b">
        <v>0</v>
      </c>
      <c r="B12318" s="56" t="b">
        <v>0</v>
      </c>
      <c r="C12318" s="56" t="b">
        <v>0</v>
      </c>
      <c r="D12318" s="56" t="b">
        <v>0</v>
      </c>
      <c r="E12318" s="56">
        <f ca="1">IF(PV[[#This Row],[Business Date]]=Control!$C$6, PV[[#This Row],[Notional Value Local Cur]], -PV[[#This Row],[Notional Value Local Cur]])</f>
        <v>0</v>
      </c>
    </row>
    <row r="12319" spans="1:5" x14ac:dyDescent="0.25">
      <c r="A12319" s="36" t="b">
        <v>0</v>
      </c>
      <c r="B12319" s="56" t="b">
        <v>0</v>
      </c>
      <c r="C12319" s="56" t="b">
        <v>0</v>
      </c>
      <c r="D12319" s="56" t="b">
        <v>0</v>
      </c>
      <c r="E12319" s="56">
        <f ca="1">IF(PV[[#This Row],[Business Date]]=Control!$C$6, PV[[#This Row],[Notional Value Local Cur]], -PV[[#This Row],[Notional Value Local Cur]])</f>
        <v>0</v>
      </c>
    </row>
    <row r="12320" spans="1:5" x14ac:dyDescent="0.25">
      <c r="A12320" s="36" t="b">
        <v>0</v>
      </c>
      <c r="B12320" s="56" t="b">
        <v>0</v>
      </c>
      <c r="C12320" s="56" t="b">
        <v>0</v>
      </c>
      <c r="D12320" s="56" t="b">
        <v>0</v>
      </c>
      <c r="E12320" s="56">
        <f ca="1">IF(PV[[#This Row],[Business Date]]=Control!$C$6, PV[[#This Row],[Notional Value Local Cur]], -PV[[#This Row],[Notional Value Local Cur]])</f>
        <v>0</v>
      </c>
    </row>
    <row r="12321" spans="1:5" x14ac:dyDescent="0.25">
      <c r="A12321" s="36" t="b">
        <v>0</v>
      </c>
      <c r="B12321" s="56" t="b">
        <v>0</v>
      </c>
      <c r="C12321" s="56" t="b">
        <v>0</v>
      </c>
      <c r="D12321" s="56" t="b">
        <v>0</v>
      </c>
      <c r="E12321" s="56">
        <f ca="1">IF(PV[[#This Row],[Business Date]]=Control!$C$6, PV[[#This Row],[Notional Value Local Cur]], -PV[[#This Row],[Notional Value Local Cur]])</f>
        <v>0</v>
      </c>
    </row>
    <row r="12322" spans="1:5" x14ac:dyDescent="0.25">
      <c r="A12322" s="36" t="b">
        <v>0</v>
      </c>
      <c r="B12322" s="56" t="b">
        <v>0</v>
      </c>
      <c r="C12322" s="56" t="b">
        <v>0</v>
      </c>
      <c r="D12322" s="56" t="b">
        <v>0</v>
      </c>
      <c r="E12322" s="56">
        <f ca="1">IF(PV[[#This Row],[Business Date]]=Control!$C$6, PV[[#This Row],[Notional Value Local Cur]], -PV[[#This Row],[Notional Value Local Cur]])</f>
        <v>0</v>
      </c>
    </row>
    <row r="12323" spans="1:5" x14ac:dyDescent="0.25">
      <c r="A12323" s="36" t="b">
        <v>0</v>
      </c>
      <c r="B12323" s="56" t="b">
        <v>0</v>
      </c>
      <c r="C12323" s="56" t="b">
        <v>0</v>
      </c>
      <c r="D12323" s="56" t="b">
        <v>0</v>
      </c>
      <c r="E12323" s="56">
        <f ca="1">IF(PV[[#This Row],[Business Date]]=Control!$C$6, PV[[#This Row],[Notional Value Local Cur]], -PV[[#This Row],[Notional Value Local Cur]])</f>
        <v>0</v>
      </c>
    </row>
    <row r="12324" spans="1:5" x14ac:dyDescent="0.25">
      <c r="A12324" s="36" t="b">
        <v>0</v>
      </c>
      <c r="B12324" s="56" t="b">
        <v>0</v>
      </c>
      <c r="C12324" s="56" t="b">
        <v>0</v>
      </c>
      <c r="D12324" s="56" t="b">
        <v>0</v>
      </c>
      <c r="E12324" s="56">
        <f ca="1">IF(PV[[#This Row],[Business Date]]=Control!$C$6, PV[[#This Row],[Notional Value Local Cur]], -PV[[#This Row],[Notional Value Local Cur]])</f>
        <v>0</v>
      </c>
    </row>
    <row r="12325" spans="1:5" x14ac:dyDescent="0.25">
      <c r="A12325" s="36" t="b">
        <v>0</v>
      </c>
      <c r="B12325" s="56" t="b">
        <v>0</v>
      </c>
      <c r="C12325" s="56" t="b">
        <v>0</v>
      </c>
      <c r="D12325" s="56" t="b">
        <v>0</v>
      </c>
      <c r="E12325" s="56">
        <f ca="1">IF(PV[[#This Row],[Business Date]]=Control!$C$6, PV[[#This Row],[Notional Value Local Cur]], -PV[[#This Row],[Notional Value Local Cur]])</f>
        <v>0</v>
      </c>
    </row>
    <row r="12326" spans="1:5" x14ac:dyDescent="0.25">
      <c r="A12326" s="36" t="b">
        <v>0</v>
      </c>
      <c r="B12326" s="56" t="b">
        <v>0</v>
      </c>
      <c r="C12326" s="56" t="b">
        <v>0</v>
      </c>
      <c r="D12326" s="56" t="b">
        <v>0</v>
      </c>
      <c r="E12326" s="56">
        <f ca="1">IF(PV[[#This Row],[Business Date]]=Control!$C$6, PV[[#This Row],[Notional Value Local Cur]], -PV[[#This Row],[Notional Value Local Cur]])</f>
        <v>0</v>
      </c>
    </row>
    <row r="12327" spans="1:5" x14ac:dyDescent="0.25">
      <c r="A12327" s="36" t="b">
        <v>0</v>
      </c>
      <c r="B12327" s="56" t="b">
        <v>0</v>
      </c>
      <c r="C12327" s="56" t="b">
        <v>0</v>
      </c>
      <c r="D12327" s="56" t="b">
        <v>0</v>
      </c>
      <c r="E12327" s="56">
        <f ca="1">IF(PV[[#This Row],[Business Date]]=Control!$C$6, PV[[#This Row],[Notional Value Local Cur]], -PV[[#This Row],[Notional Value Local Cur]])</f>
        <v>0</v>
      </c>
    </row>
    <row r="12328" spans="1:5" x14ac:dyDescent="0.25">
      <c r="A12328" s="36" t="b">
        <v>0</v>
      </c>
      <c r="B12328" s="56" t="b">
        <v>0</v>
      </c>
      <c r="C12328" s="56" t="b">
        <v>0</v>
      </c>
      <c r="D12328" s="56" t="b">
        <v>0</v>
      </c>
      <c r="E12328" s="56">
        <f ca="1">IF(PV[[#This Row],[Business Date]]=Control!$C$6, PV[[#This Row],[Notional Value Local Cur]], -PV[[#This Row],[Notional Value Local Cur]])</f>
        <v>0</v>
      </c>
    </row>
    <row r="12329" spans="1:5" x14ac:dyDescent="0.25">
      <c r="A12329" s="36" t="b">
        <v>0</v>
      </c>
      <c r="B12329" s="56" t="b">
        <v>0</v>
      </c>
      <c r="C12329" s="56" t="b">
        <v>0</v>
      </c>
      <c r="D12329" s="56" t="b">
        <v>0</v>
      </c>
      <c r="E12329" s="56">
        <f ca="1">IF(PV[[#This Row],[Business Date]]=Control!$C$6, PV[[#This Row],[Notional Value Local Cur]], -PV[[#This Row],[Notional Value Local Cur]])</f>
        <v>0</v>
      </c>
    </row>
    <row r="12330" spans="1:5" x14ac:dyDescent="0.25">
      <c r="A12330" s="36" t="b">
        <v>0</v>
      </c>
      <c r="B12330" s="56" t="b">
        <v>0</v>
      </c>
      <c r="C12330" s="56" t="b">
        <v>0</v>
      </c>
      <c r="D12330" s="56" t="b">
        <v>0</v>
      </c>
      <c r="E12330" s="56">
        <f ca="1">IF(PV[[#This Row],[Business Date]]=Control!$C$6, PV[[#This Row],[Notional Value Local Cur]], -PV[[#This Row],[Notional Value Local Cur]])</f>
        <v>0</v>
      </c>
    </row>
    <row r="12331" spans="1:5" x14ac:dyDescent="0.25">
      <c r="A12331" s="36" t="b">
        <v>0</v>
      </c>
      <c r="B12331" s="56" t="b">
        <v>0</v>
      </c>
      <c r="C12331" s="56" t="b">
        <v>0</v>
      </c>
      <c r="D12331" s="56" t="b">
        <v>0</v>
      </c>
      <c r="E12331" s="56">
        <f ca="1">IF(PV[[#This Row],[Business Date]]=Control!$C$6, PV[[#This Row],[Notional Value Local Cur]], -PV[[#This Row],[Notional Value Local Cur]])</f>
        <v>0</v>
      </c>
    </row>
    <row r="12332" spans="1:5" x14ac:dyDescent="0.25">
      <c r="A12332" s="36" t="b">
        <v>0</v>
      </c>
      <c r="B12332" s="56" t="b">
        <v>0</v>
      </c>
      <c r="C12332" s="56" t="b">
        <v>0</v>
      </c>
      <c r="D12332" s="56" t="b">
        <v>0</v>
      </c>
      <c r="E12332" s="56">
        <f ca="1">IF(PV[[#This Row],[Business Date]]=Control!$C$6, PV[[#This Row],[Notional Value Local Cur]], -PV[[#This Row],[Notional Value Local Cur]])</f>
        <v>0</v>
      </c>
    </row>
    <row r="12333" spans="1:5" x14ac:dyDescent="0.25">
      <c r="A12333" s="36" t="b">
        <v>0</v>
      </c>
      <c r="B12333" s="56" t="b">
        <v>0</v>
      </c>
      <c r="C12333" s="56" t="b">
        <v>0</v>
      </c>
      <c r="D12333" s="56" t="b">
        <v>0</v>
      </c>
      <c r="E12333" s="56">
        <f ca="1">IF(PV[[#This Row],[Business Date]]=Control!$C$6, PV[[#This Row],[Notional Value Local Cur]], -PV[[#This Row],[Notional Value Local Cur]])</f>
        <v>0</v>
      </c>
    </row>
    <row r="12334" spans="1:5" x14ac:dyDescent="0.25">
      <c r="A12334" s="36" t="b">
        <v>0</v>
      </c>
      <c r="B12334" s="56" t="b">
        <v>0</v>
      </c>
      <c r="C12334" s="56" t="b">
        <v>0</v>
      </c>
      <c r="D12334" s="56" t="b">
        <v>0</v>
      </c>
      <c r="E12334" s="56">
        <f ca="1">IF(PV[[#This Row],[Business Date]]=Control!$C$6, PV[[#This Row],[Notional Value Local Cur]], -PV[[#This Row],[Notional Value Local Cur]])</f>
        <v>0</v>
      </c>
    </row>
    <row r="12335" spans="1:5" x14ac:dyDescent="0.25">
      <c r="A12335" s="36" t="b">
        <v>0</v>
      </c>
      <c r="B12335" s="56" t="b">
        <v>0</v>
      </c>
      <c r="C12335" s="56" t="b">
        <v>0</v>
      </c>
      <c r="D12335" s="56" t="b">
        <v>0</v>
      </c>
      <c r="E12335" s="56">
        <f ca="1">IF(PV[[#This Row],[Business Date]]=Control!$C$6, PV[[#This Row],[Notional Value Local Cur]], -PV[[#This Row],[Notional Value Local Cur]])</f>
        <v>0</v>
      </c>
    </row>
    <row r="12336" spans="1:5" x14ac:dyDescent="0.25">
      <c r="A12336" s="36" t="b">
        <v>0</v>
      </c>
      <c r="B12336" s="56" t="b">
        <v>0</v>
      </c>
      <c r="C12336" s="56" t="b">
        <v>0</v>
      </c>
      <c r="D12336" s="56" t="b">
        <v>0</v>
      </c>
      <c r="E12336" s="56">
        <f ca="1">IF(PV[[#This Row],[Business Date]]=Control!$C$6, PV[[#This Row],[Notional Value Local Cur]], -PV[[#This Row],[Notional Value Local Cur]])</f>
        <v>0</v>
      </c>
    </row>
    <row r="12337" spans="1:5" x14ac:dyDescent="0.25">
      <c r="A12337" s="36" t="b">
        <v>0</v>
      </c>
      <c r="B12337" s="56" t="b">
        <v>0</v>
      </c>
      <c r="C12337" s="56" t="b">
        <v>0</v>
      </c>
      <c r="D12337" s="56" t="b">
        <v>0</v>
      </c>
      <c r="E12337" s="56">
        <f ca="1">IF(PV[[#This Row],[Business Date]]=Control!$C$6, PV[[#This Row],[Notional Value Local Cur]], -PV[[#This Row],[Notional Value Local Cur]])</f>
        <v>0</v>
      </c>
    </row>
    <row r="12338" spans="1:5" x14ac:dyDescent="0.25">
      <c r="A12338" s="36" t="b">
        <v>0</v>
      </c>
      <c r="B12338" s="56" t="b">
        <v>0</v>
      </c>
      <c r="C12338" s="56" t="b">
        <v>0</v>
      </c>
      <c r="D12338" s="56" t="b">
        <v>0</v>
      </c>
      <c r="E12338" s="56">
        <f ca="1">IF(PV[[#This Row],[Business Date]]=Control!$C$6, PV[[#This Row],[Notional Value Local Cur]], -PV[[#This Row],[Notional Value Local Cur]])</f>
        <v>0</v>
      </c>
    </row>
    <row r="12339" spans="1:5" x14ac:dyDescent="0.25">
      <c r="A12339" s="36" t="b">
        <v>0</v>
      </c>
      <c r="B12339" s="56" t="b">
        <v>0</v>
      </c>
      <c r="C12339" s="56" t="b">
        <v>0</v>
      </c>
      <c r="D12339" s="56" t="b">
        <v>0</v>
      </c>
      <c r="E12339" s="56">
        <f ca="1">IF(PV[[#This Row],[Business Date]]=Control!$C$6, PV[[#This Row],[Notional Value Local Cur]], -PV[[#This Row],[Notional Value Local Cur]])</f>
        <v>0</v>
      </c>
    </row>
    <row r="12340" spans="1:5" x14ac:dyDescent="0.25">
      <c r="A12340" s="36" t="b">
        <v>0</v>
      </c>
      <c r="B12340" s="56" t="b">
        <v>0</v>
      </c>
      <c r="C12340" s="56" t="b">
        <v>0</v>
      </c>
      <c r="D12340" s="56" t="b">
        <v>0</v>
      </c>
      <c r="E12340" s="56">
        <f ca="1">IF(PV[[#This Row],[Business Date]]=Control!$C$6, PV[[#This Row],[Notional Value Local Cur]], -PV[[#This Row],[Notional Value Local Cur]])</f>
        <v>0</v>
      </c>
    </row>
    <row r="12341" spans="1:5" x14ac:dyDescent="0.25">
      <c r="A12341" s="36" t="b">
        <v>0</v>
      </c>
      <c r="B12341" s="56" t="b">
        <v>0</v>
      </c>
      <c r="C12341" s="56" t="b">
        <v>0</v>
      </c>
      <c r="D12341" s="56" t="b">
        <v>0</v>
      </c>
      <c r="E12341" s="56">
        <f ca="1">IF(PV[[#This Row],[Business Date]]=Control!$C$6, PV[[#This Row],[Notional Value Local Cur]], -PV[[#This Row],[Notional Value Local Cur]])</f>
        <v>0</v>
      </c>
    </row>
    <row r="12342" spans="1:5" x14ac:dyDescent="0.25">
      <c r="A12342" s="36" t="b">
        <v>0</v>
      </c>
      <c r="B12342" s="56" t="b">
        <v>0</v>
      </c>
      <c r="C12342" s="56" t="b">
        <v>0</v>
      </c>
      <c r="D12342" s="56" t="b">
        <v>0</v>
      </c>
      <c r="E12342" s="56">
        <f ca="1">IF(PV[[#This Row],[Business Date]]=Control!$C$6, PV[[#This Row],[Notional Value Local Cur]], -PV[[#This Row],[Notional Value Local Cur]])</f>
        <v>0</v>
      </c>
    </row>
    <row r="12343" spans="1:5" x14ac:dyDescent="0.25">
      <c r="A12343" s="36" t="b">
        <v>0</v>
      </c>
      <c r="B12343" s="56" t="b">
        <v>0</v>
      </c>
      <c r="C12343" s="56" t="b">
        <v>0</v>
      </c>
      <c r="D12343" s="56" t="b">
        <v>0</v>
      </c>
      <c r="E12343" s="56">
        <f ca="1">IF(PV[[#This Row],[Business Date]]=Control!$C$6, PV[[#This Row],[Notional Value Local Cur]], -PV[[#This Row],[Notional Value Local Cur]])</f>
        <v>0</v>
      </c>
    </row>
    <row r="12344" spans="1:5" x14ac:dyDescent="0.25">
      <c r="A12344" s="36" t="b">
        <v>0</v>
      </c>
      <c r="B12344" s="56" t="b">
        <v>0</v>
      </c>
      <c r="C12344" s="56" t="b">
        <v>0</v>
      </c>
      <c r="D12344" s="56" t="b">
        <v>0</v>
      </c>
      <c r="E12344" s="56">
        <f ca="1">IF(PV[[#This Row],[Business Date]]=Control!$C$6, PV[[#This Row],[Notional Value Local Cur]], -PV[[#This Row],[Notional Value Local Cur]])</f>
        <v>0</v>
      </c>
    </row>
    <row r="12345" spans="1:5" x14ac:dyDescent="0.25">
      <c r="A12345" s="36" t="b">
        <v>0</v>
      </c>
      <c r="B12345" s="56" t="b">
        <v>0</v>
      </c>
      <c r="C12345" s="56" t="b">
        <v>0</v>
      </c>
      <c r="D12345" s="56" t="b">
        <v>0</v>
      </c>
      <c r="E12345" s="56">
        <f ca="1">IF(PV[[#This Row],[Business Date]]=Control!$C$6, PV[[#This Row],[Notional Value Local Cur]], -PV[[#This Row],[Notional Value Local Cur]])</f>
        <v>0</v>
      </c>
    </row>
    <row r="12346" spans="1:5" x14ac:dyDescent="0.25">
      <c r="A12346" s="36" t="b">
        <v>0</v>
      </c>
      <c r="B12346" s="56" t="b">
        <v>0</v>
      </c>
      <c r="C12346" s="56" t="b">
        <v>0</v>
      </c>
      <c r="D12346" s="56" t="b">
        <v>0</v>
      </c>
      <c r="E12346" s="56">
        <f ca="1">IF(PV[[#This Row],[Business Date]]=Control!$C$6, PV[[#This Row],[Notional Value Local Cur]], -PV[[#This Row],[Notional Value Local Cur]])</f>
        <v>0</v>
      </c>
    </row>
    <row r="12347" spans="1:5" x14ac:dyDescent="0.25">
      <c r="A12347" s="36" t="b">
        <v>0</v>
      </c>
      <c r="B12347" s="56" t="b">
        <v>0</v>
      </c>
      <c r="C12347" s="56" t="b">
        <v>0</v>
      </c>
      <c r="D12347" s="56" t="b">
        <v>0</v>
      </c>
      <c r="E12347" s="56">
        <f ca="1">IF(PV[[#This Row],[Business Date]]=Control!$C$6, PV[[#This Row],[Notional Value Local Cur]], -PV[[#This Row],[Notional Value Local Cur]])</f>
        <v>0</v>
      </c>
    </row>
    <row r="12348" spans="1:5" x14ac:dyDescent="0.25">
      <c r="A12348" s="36" t="b">
        <v>0</v>
      </c>
      <c r="B12348" s="56" t="b">
        <v>0</v>
      </c>
      <c r="C12348" s="56" t="b">
        <v>0</v>
      </c>
      <c r="D12348" s="56" t="b">
        <v>0</v>
      </c>
      <c r="E12348" s="56">
        <f ca="1">IF(PV[[#This Row],[Business Date]]=Control!$C$6, PV[[#This Row],[Notional Value Local Cur]], -PV[[#This Row],[Notional Value Local Cur]])</f>
        <v>0</v>
      </c>
    </row>
    <row r="12349" spans="1:5" x14ac:dyDescent="0.25">
      <c r="A12349" s="36" t="b">
        <v>0</v>
      </c>
      <c r="B12349" s="56" t="b">
        <v>0</v>
      </c>
      <c r="C12349" s="56" t="b">
        <v>0</v>
      </c>
      <c r="D12349" s="56" t="b">
        <v>0</v>
      </c>
      <c r="E12349" s="56">
        <f ca="1">IF(PV[[#This Row],[Business Date]]=Control!$C$6, PV[[#This Row],[Notional Value Local Cur]], -PV[[#This Row],[Notional Value Local Cur]])</f>
        <v>0</v>
      </c>
    </row>
    <row r="12350" spans="1:5" x14ac:dyDescent="0.25">
      <c r="A12350" s="36" t="b">
        <v>0</v>
      </c>
      <c r="B12350" s="56" t="b">
        <v>0</v>
      </c>
      <c r="C12350" s="56" t="b">
        <v>0</v>
      </c>
      <c r="D12350" s="56" t="b">
        <v>0</v>
      </c>
      <c r="E12350" s="56">
        <f ca="1">IF(PV[[#This Row],[Business Date]]=Control!$C$6, PV[[#This Row],[Notional Value Local Cur]], -PV[[#This Row],[Notional Value Local Cur]])</f>
        <v>0</v>
      </c>
    </row>
    <row r="12351" spans="1:5" x14ac:dyDescent="0.25">
      <c r="A12351" s="36" t="b">
        <v>0</v>
      </c>
      <c r="B12351" s="56" t="b">
        <v>0</v>
      </c>
      <c r="C12351" s="56" t="b">
        <v>0</v>
      </c>
      <c r="D12351" s="56" t="b">
        <v>0</v>
      </c>
      <c r="E12351" s="56">
        <f ca="1">IF(PV[[#This Row],[Business Date]]=Control!$C$6, PV[[#This Row],[Notional Value Local Cur]], -PV[[#This Row],[Notional Value Local Cur]])</f>
        <v>0</v>
      </c>
    </row>
    <row r="12352" spans="1:5" x14ac:dyDescent="0.25">
      <c r="A12352" s="36" t="b">
        <v>0</v>
      </c>
      <c r="B12352" s="56" t="b">
        <v>0</v>
      </c>
      <c r="C12352" s="56" t="b">
        <v>0</v>
      </c>
      <c r="D12352" s="56" t="b">
        <v>0</v>
      </c>
      <c r="E12352" s="56">
        <f ca="1">IF(PV[[#This Row],[Business Date]]=Control!$C$6, PV[[#This Row],[Notional Value Local Cur]], -PV[[#This Row],[Notional Value Local Cur]])</f>
        <v>0</v>
      </c>
    </row>
    <row r="12353" spans="1:5" x14ac:dyDescent="0.25">
      <c r="A12353" s="36" t="b">
        <v>0</v>
      </c>
      <c r="B12353" s="56" t="b">
        <v>0</v>
      </c>
      <c r="C12353" s="56" t="b">
        <v>0</v>
      </c>
      <c r="D12353" s="56" t="b">
        <v>0</v>
      </c>
      <c r="E12353" s="56">
        <f ca="1">IF(PV[[#This Row],[Business Date]]=Control!$C$6, PV[[#This Row],[Notional Value Local Cur]], -PV[[#This Row],[Notional Value Local Cur]])</f>
        <v>0</v>
      </c>
    </row>
    <row r="12354" spans="1:5" x14ac:dyDescent="0.25">
      <c r="A12354" s="36" t="b">
        <v>0</v>
      </c>
      <c r="B12354" s="56" t="b">
        <v>0</v>
      </c>
      <c r="C12354" s="56" t="b">
        <v>0</v>
      </c>
      <c r="D12354" s="56" t="b">
        <v>0</v>
      </c>
      <c r="E12354" s="56">
        <f ca="1">IF(PV[[#This Row],[Business Date]]=Control!$C$6, PV[[#This Row],[Notional Value Local Cur]], -PV[[#This Row],[Notional Value Local Cur]])</f>
        <v>0</v>
      </c>
    </row>
    <row r="12355" spans="1:5" x14ac:dyDescent="0.25">
      <c r="A12355" s="36" t="b">
        <v>0</v>
      </c>
      <c r="B12355" s="56" t="b">
        <v>0</v>
      </c>
      <c r="C12355" s="56" t="b">
        <v>0</v>
      </c>
      <c r="D12355" s="56" t="b">
        <v>0</v>
      </c>
      <c r="E12355" s="56">
        <f ca="1">IF(PV[[#This Row],[Business Date]]=Control!$C$6, PV[[#This Row],[Notional Value Local Cur]], -PV[[#This Row],[Notional Value Local Cur]])</f>
        <v>0</v>
      </c>
    </row>
    <row r="12356" spans="1:5" x14ac:dyDescent="0.25">
      <c r="A12356" s="36" t="b">
        <v>0</v>
      </c>
      <c r="B12356" s="56" t="b">
        <v>0</v>
      </c>
      <c r="C12356" s="56" t="b">
        <v>0</v>
      </c>
      <c r="D12356" s="56" t="b">
        <v>0</v>
      </c>
      <c r="E12356" s="56">
        <f ca="1">IF(PV[[#This Row],[Business Date]]=Control!$C$6, PV[[#This Row],[Notional Value Local Cur]], -PV[[#This Row],[Notional Value Local Cur]])</f>
        <v>0</v>
      </c>
    </row>
    <row r="12357" spans="1:5" x14ac:dyDescent="0.25">
      <c r="A12357" s="36" t="b">
        <v>0</v>
      </c>
      <c r="B12357" s="56" t="b">
        <v>0</v>
      </c>
      <c r="C12357" s="56" t="b">
        <v>0</v>
      </c>
      <c r="D12357" s="56" t="b">
        <v>0</v>
      </c>
      <c r="E12357" s="56">
        <f ca="1">IF(PV[[#This Row],[Business Date]]=Control!$C$6, PV[[#This Row],[Notional Value Local Cur]], -PV[[#This Row],[Notional Value Local Cur]])</f>
        <v>0</v>
      </c>
    </row>
    <row r="12358" spans="1:5" x14ac:dyDescent="0.25">
      <c r="A12358" s="36" t="b">
        <v>0</v>
      </c>
      <c r="B12358" s="56" t="b">
        <v>0</v>
      </c>
      <c r="C12358" s="56" t="b">
        <v>0</v>
      </c>
      <c r="D12358" s="56" t="b">
        <v>0</v>
      </c>
      <c r="E12358" s="56">
        <f ca="1">IF(PV[[#This Row],[Business Date]]=Control!$C$6, PV[[#This Row],[Notional Value Local Cur]], -PV[[#This Row],[Notional Value Local Cur]])</f>
        <v>0</v>
      </c>
    </row>
    <row r="12359" spans="1:5" x14ac:dyDescent="0.25">
      <c r="A12359" s="36" t="b">
        <v>0</v>
      </c>
      <c r="B12359" s="56" t="b">
        <v>0</v>
      </c>
      <c r="C12359" s="56" t="b">
        <v>0</v>
      </c>
      <c r="D12359" s="56" t="b">
        <v>0</v>
      </c>
      <c r="E12359" s="56">
        <f ca="1">IF(PV[[#This Row],[Business Date]]=Control!$C$6, PV[[#This Row],[Notional Value Local Cur]], -PV[[#This Row],[Notional Value Local Cur]])</f>
        <v>0</v>
      </c>
    </row>
    <row r="12360" spans="1:5" x14ac:dyDescent="0.25">
      <c r="A12360" s="36" t="b">
        <v>0</v>
      </c>
      <c r="B12360" s="56" t="b">
        <v>0</v>
      </c>
      <c r="C12360" s="56" t="b">
        <v>0</v>
      </c>
      <c r="D12360" s="56" t="b">
        <v>0</v>
      </c>
      <c r="E12360" s="56">
        <f ca="1">IF(PV[[#This Row],[Business Date]]=Control!$C$6, PV[[#This Row],[Notional Value Local Cur]], -PV[[#This Row],[Notional Value Local Cur]])</f>
        <v>0</v>
      </c>
    </row>
    <row r="12361" spans="1:5" x14ac:dyDescent="0.25">
      <c r="A12361" s="36" t="b">
        <v>0</v>
      </c>
      <c r="B12361" s="56" t="b">
        <v>0</v>
      </c>
      <c r="C12361" s="56" t="b">
        <v>0</v>
      </c>
      <c r="D12361" s="56" t="b">
        <v>0</v>
      </c>
      <c r="E12361" s="56">
        <f ca="1">IF(PV[[#This Row],[Business Date]]=Control!$C$6, PV[[#This Row],[Notional Value Local Cur]], -PV[[#This Row],[Notional Value Local Cur]])</f>
        <v>0</v>
      </c>
    </row>
    <row r="12362" spans="1:5" x14ac:dyDescent="0.25">
      <c r="A12362" s="36" t="b">
        <v>0</v>
      </c>
      <c r="B12362" s="56" t="b">
        <v>0</v>
      </c>
      <c r="C12362" s="56" t="b">
        <v>0</v>
      </c>
      <c r="D12362" s="56" t="b">
        <v>0</v>
      </c>
      <c r="E12362" s="56">
        <f ca="1">IF(PV[[#This Row],[Business Date]]=Control!$C$6, PV[[#This Row],[Notional Value Local Cur]], -PV[[#This Row],[Notional Value Local Cur]])</f>
        <v>0</v>
      </c>
    </row>
    <row r="12363" spans="1:5" x14ac:dyDescent="0.25">
      <c r="A12363" s="36" t="b">
        <v>0</v>
      </c>
      <c r="B12363" s="56" t="b">
        <v>0</v>
      </c>
      <c r="C12363" s="56" t="b">
        <v>0</v>
      </c>
      <c r="D12363" s="56" t="b">
        <v>0</v>
      </c>
      <c r="E12363" s="56">
        <f ca="1">IF(PV[[#This Row],[Business Date]]=Control!$C$6, PV[[#This Row],[Notional Value Local Cur]], -PV[[#This Row],[Notional Value Local Cur]])</f>
        <v>0</v>
      </c>
    </row>
    <row r="12364" spans="1:5" x14ac:dyDescent="0.25">
      <c r="A12364" s="36" t="b">
        <v>0</v>
      </c>
      <c r="B12364" s="56" t="b">
        <v>0</v>
      </c>
      <c r="C12364" s="56" t="b">
        <v>0</v>
      </c>
      <c r="D12364" s="56" t="b">
        <v>0</v>
      </c>
      <c r="E12364" s="56">
        <f ca="1">IF(PV[[#This Row],[Business Date]]=Control!$C$6, PV[[#This Row],[Notional Value Local Cur]], -PV[[#This Row],[Notional Value Local Cur]])</f>
        <v>0</v>
      </c>
    </row>
    <row r="12365" spans="1:5" x14ac:dyDescent="0.25">
      <c r="A12365" s="36" t="b">
        <v>0</v>
      </c>
      <c r="B12365" s="56" t="b">
        <v>0</v>
      </c>
      <c r="C12365" s="56" t="b">
        <v>0</v>
      </c>
      <c r="D12365" s="56" t="b">
        <v>0</v>
      </c>
      <c r="E12365" s="56">
        <f ca="1">IF(PV[[#This Row],[Business Date]]=Control!$C$6, PV[[#This Row],[Notional Value Local Cur]], -PV[[#This Row],[Notional Value Local Cur]])</f>
        <v>0</v>
      </c>
    </row>
    <row r="12366" spans="1:5" x14ac:dyDescent="0.25">
      <c r="A12366" s="36" t="b">
        <v>0</v>
      </c>
      <c r="B12366" s="56" t="b">
        <v>0</v>
      </c>
      <c r="C12366" s="56" t="b">
        <v>0</v>
      </c>
      <c r="D12366" s="56" t="b">
        <v>0</v>
      </c>
      <c r="E12366" s="56">
        <f ca="1">IF(PV[[#This Row],[Business Date]]=Control!$C$6, PV[[#This Row],[Notional Value Local Cur]], -PV[[#This Row],[Notional Value Local Cur]])</f>
        <v>0</v>
      </c>
    </row>
    <row r="12367" spans="1:5" x14ac:dyDescent="0.25">
      <c r="A12367" s="36" t="b">
        <v>0</v>
      </c>
      <c r="B12367" s="56" t="b">
        <v>0</v>
      </c>
      <c r="C12367" s="56" t="b">
        <v>0</v>
      </c>
      <c r="D12367" s="56" t="b">
        <v>0</v>
      </c>
      <c r="E12367" s="56">
        <f ca="1">IF(PV[[#This Row],[Business Date]]=Control!$C$6, PV[[#This Row],[Notional Value Local Cur]], -PV[[#This Row],[Notional Value Local Cur]])</f>
        <v>0</v>
      </c>
    </row>
    <row r="12368" spans="1:5" x14ac:dyDescent="0.25">
      <c r="A12368" s="36" t="b">
        <v>0</v>
      </c>
      <c r="B12368" s="56" t="b">
        <v>0</v>
      </c>
      <c r="C12368" s="56" t="b">
        <v>0</v>
      </c>
      <c r="D12368" s="56" t="b">
        <v>0</v>
      </c>
      <c r="E12368" s="56">
        <f ca="1">IF(PV[[#This Row],[Business Date]]=Control!$C$6, PV[[#This Row],[Notional Value Local Cur]], -PV[[#This Row],[Notional Value Local Cur]])</f>
        <v>0</v>
      </c>
    </row>
    <row r="12369" spans="1:5" x14ac:dyDescent="0.25">
      <c r="A12369" s="36" t="b">
        <v>0</v>
      </c>
      <c r="B12369" s="56" t="b">
        <v>0</v>
      </c>
      <c r="C12369" s="56" t="b">
        <v>0</v>
      </c>
      <c r="D12369" s="56" t="b">
        <v>0</v>
      </c>
      <c r="E12369" s="56">
        <f ca="1">IF(PV[[#This Row],[Business Date]]=Control!$C$6, PV[[#This Row],[Notional Value Local Cur]], -PV[[#This Row],[Notional Value Local Cur]])</f>
        <v>0</v>
      </c>
    </row>
    <row r="12370" spans="1:5" x14ac:dyDescent="0.25">
      <c r="A12370" s="36" t="b">
        <v>0</v>
      </c>
      <c r="B12370" s="56" t="b">
        <v>0</v>
      </c>
      <c r="C12370" s="56" t="b">
        <v>0</v>
      </c>
      <c r="D12370" s="56" t="b">
        <v>0</v>
      </c>
      <c r="E12370" s="56">
        <f ca="1">IF(PV[[#This Row],[Business Date]]=Control!$C$6, PV[[#This Row],[Notional Value Local Cur]], -PV[[#This Row],[Notional Value Local Cur]])</f>
        <v>0</v>
      </c>
    </row>
    <row r="12371" spans="1:5" x14ac:dyDescent="0.25">
      <c r="A12371" s="36" t="b">
        <v>0</v>
      </c>
      <c r="B12371" s="56" t="b">
        <v>0</v>
      </c>
      <c r="C12371" s="56" t="b">
        <v>0</v>
      </c>
      <c r="D12371" s="56" t="b">
        <v>0</v>
      </c>
      <c r="E12371" s="56">
        <f ca="1">IF(PV[[#This Row],[Business Date]]=Control!$C$6, PV[[#This Row],[Notional Value Local Cur]], -PV[[#This Row],[Notional Value Local Cur]])</f>
        <v>0</v>
      </c>
    </row>
    <row r="12372" spans="1:5" x14ac:dyDescent="0.25">
      <c r="A12372" s="36" t="b">
        <v>0</v>
      </c>
      <c r="B12372" s="56" t="b">
        <v>0</v>
      </c>
      <c r="C12372" s="56" t="b">
        <v>0</v>
      </c>
      <c r="D12372" s="56" t="b">
        <v>0</v>
      </c>
      <c r="E12372" s="56">
        <f ca="1">IF(PV[[#This Row],[Business Date]]=Control!$C$6, PV[[#This Row],[Notional Value Local Cur]], -PV[[#This Row],[Notional Value Local Cur]])</f>
        <v>0</v>
      </c>
    </row>
    <row r="12373" spans="1:5" x14ac:dyDescent="0.25">
      <c r="A12373" s="36" t="b">
        <v>0</v>
      </c>
      <c r="B12373" s="56" t="b">
        <v>0</v>
      </c>
      <c r="C12373" s="56" t="b">
        <v>0</v>
      </c>
      <c r="D12373" s="56" t="b">
        <v>0</v>
      </c>
      <c r="E12373" s="56">
        <f ca="1">IF(PV[[#This Row],[Business Date]]=Control!$C$6, PV[[#This Row],[Notional Value Local Cur]], -PV[[#This Row],[Notional Value Local Cur]])</f>
        <v>0</v>
      </c>
    </row>
    <row r="12374" spans="1:5" x14ac:dyDescent="0.25">
      <c r="A12374" s="36" t="b">
        <v>0</v>
      </c>
      <c r="B12374" s="56" t="b">
        <v>0</v>
      </c>
      <c r="C12374" s="56" t="b">
        <v>0</v>
      </c>
      <c r="D12374" s="56" t="b">
        <v>0</v>
      </c>
      <c r="E12374" s="56">
        <f ca="1">IF(PV[[#This Row],[Business Date]]=Control!$C$6, PV[[#This Row],[Notional Value Local Cur]], -PV[[#This Row],[Notional Value Local Cur]])</f>
        <v>0</v>
      </c>
    </row>
    <row r="12375" spans="1:5" x14ac:dyDescent="0.25">
      <c r="A12375" s="36" t="b">
        <v>0</v>
      </c>
      <c r="B12375" s="56" t="b">
        <v>0</v>
      </c>
      <c r="C12375" s="56" t="b">
        <v>0</v>
      </c>
      <c r="D12375" s="56" t="b">
        <v>0</v>
      </c>
      <c r="E12375" s="56">
        <f ca="1">IF(PV[[#This Row],[Business Date]]=Control!$C$6, PV[[#This Row],[Notional Value Local Cur]], -PV[[#This Row],[Notional Value Local Cur]])</f>
        <v>0</v>
      </c>
    </row>
    <row r="12376" spans="1:5" x14ac:dyDescent="0.25">
      <c r="A12376" s="36" t="b">
        <v>0</v>
      </c>
      <c r="B12376" s="56" t="b">
        <v>0</v>
      </c>
      <c r="C12376" s="56" t="b">
        <v>0</v>
      </c>
      <c r="D12376" s="56" t="b">
        <v>0</v>
      </c>
      <c r="E12376" s="56">
        <f ca="1">IF(PV[[#This Row],[Business Date]]=Control!$C$6, PV[[#This Row],[Notional Value Local Cur]], -PV[[#This Row],[Notional Value Local Cur]])</f>
        <v>0</v>
      </c>
    </row>
    <row r="12377" spans="1:5" x14ac:dyDescent="0.25">
      <c r="A12377" s="36" t="b">
        <v>0</v>
      </c>
      <c r="B12377" s="56" t="b">
        <v>0</v>
      </c>
      <c r="C12377" s="56" t="b">
        <v>0</v>
      </c>
      <c r="D12377" s="56" t="b">
        <v>0</v>
      </c>
      <c r="E12377" s="56">
        <f ca="1">IF(PV[[#This Row],[Business Date]]=Control!$C$6, PV[[#This Row],[Notional Value Local Cur]], -PV[[#This Row],[Notional Value Local Cur]])</f>
        <v>0</v>
      </c>
    </row>
    <row r="12378" spans="1:5" x14ac:dyDescent="0.25">
      <c r="A12378" s="36" t="b">
        <v>0</v>
      </c>
      <c r="B12378" s="56" t="b">
        <v>0</v>
      </c>
      <c r="C12378" s="56" t="b">
        <v>0</v>
      </c>
      <c r="D12378" s="56" t="b">
        <v>0</v>
      </c>
      <c r="E12378" s="56">
        <f ca="1">IF(PV[[#This Row],[Business Date]]=Control!$C$6, PV[[#This Row],[Notional Value Local Cur]], -PV[[#This Row],[Notional Value Local Cur]])</f>
        <v>0</v>
      </c>
    </row>
    <row r="12379" spans="1:5" x14ac:dyDescent="0.25">
      <c r="A12379" s="36" t="b">
        <v>0</v>
      </c>
      <c r="B12379" s="56" t="b">
        <v>0</v>
      </c>
      <c r="C12379" s="56" t="b">
        <v>0</v>
      </c>
      <c r="D12379" s="56" t="b">
        <v>0</v>
      </c>
      <c r="E12379" s="56">
        <f ca="1">IF(PV[[#This Row],[Business Date]]=Control!$C$6, PV[[#This Row],[Notional Value Local Cur]], -PV[[#This Row],[Notional Value Local Cur]])</f>
        <v>0</v>
      </c>
    </row>
    <row r="12380" spans="1:5" x14ac:dyDescent="0.25">
      <c r="A12380" s="36" t="b">
        <v>0</v>
      </c>
      <c r="B12380" s="56" t="b">
        <v>0</v>
      </c>
      <c r="C12380" s="56" t="b">
        <v>0</v>
      </c>
      <c r="D12380" s="56" t="b">
        <v>0</v>
      </c>
      <c r="E12380" s="56">
        <f ca="1">IF(PV[[#This Row],[Business Date]]=Control!$C$6, PV[[#This Row],[Notional Value Local Cur]], -PV[[#This Row],[Notional Value Local Cur]])</f>
        <v>0</v>
      </c>
    </row>
    <row r="12381" spans="1:5" x14ac:dyDescent="0.25">
      <c r="A12381" s="36" t="b">
        <v>0</v>
      </c>
      <c r="B12381" s="56" t="b">
        <v>0</v>
      </c>
      <c r="C12381" s="56" t="b">
        <v>0</v>
      </c>
      <c r="D12381" s="56" t="b">
        <v>0</v>
      </c>
      <c r="E12381" s="56">
        <f ca="1">IF(PV[[#This Row],[Business Date]]=Control!$C$6, PV[[#This Row],[Notional Value Local Cur]], -PV[[#This Row],[Notional Value Local Cur]])</f>
        <v>0</v>
      </c>
    </row>
    <row r="12382" spans="1:5" x14ac:dyDescent="0.25">
      <c r="A12382" s="36" t="b">
        <v>0</v>
      </c>
      <c r="B12382" s="56" t="b">
        <v>0</v>
      </c>
      <c r="C12382" s="56" t="b">
        <v>0</v>
      </c>
      <c r="D12382" s="56" t="b">
        <v>0</v>
      </c>
      <c r="E12382" s="56">
        <f ca="1">IF(PV[[#This Row],[Business Date]]=Control!$C$6, PV[[#This Row],[Notional Value Local Cur]], -PV[[#This Row],[Notional Value Local Cur]])</f>
        <v>0</v>
      </c>
    </row>
    <row r="12383" spans="1:5" x14ac:dyDescent="0.25">
      <c r="A12383" s="36" t="b">
        <v>0</v>
      </c>
      <c r="B12383" s="56" t="b">
        <v>0</v>
      </c>
      <c r="C12383" s="56" t="b">
        <v>0</v>
      </c>
      <c r="D12383" s="56" t="b">
        <v>0</v>
      </c>
      <c r="E12383" s="56">
        <f ca="1">IF(PV[[#This Row],[Business Date]]=Control!$C$6, PV[[#This Row],[Notional Value Local Cur]], -PV[[#This Row],[Notional Value Local Cur]])</f>
        <v>0</v>
      </c>
    </row>
    <row r="12384" spans="1:5" x14ac:dyDescent="0.25">
      <c r="A12384" s="36" t="b">
        <v>0</v>
      </c>
      <c r="B12384" s="56" t="b">
        <v>0</v>
      </c>
      <c r="C12384" s="56" t="b">
        <v>0</v>
      </c>
      <c r="D12384" s="56" t="b">
        <v>0</v>
      </c>
      <c r="E12384" s="56">
        <f ca="1">IF(PV[[#This Row],[Business Date]]=Control!$C$6, PV[[#This Row],[Notional Value Local Cur]], -PV[[#This Row],[Notional Value Local Cur]])</f>
        <v>0</v>
      </c>
    </row>
    <row r="12385" spans="1:5" x14ac:dyDescent="0.25">
      <c r="A12385" s="36" t="b">
        <v>0</v>
      </c>
      <c r="B12385" s="56" t="b">
        <v>0</v>
      </c>
      <c r="C12385" s="56" t="b">
        <v>0</v>
      </c>
      <c r="D12385" s="56" t="b">
        <v>0</v>
      </c>
      <c r="E12385" s="56">
        <f ca="1">IF(PV[[#This Row],[Business Date]]=Control!$C$6, PV[[#This Row],[Notional Value Local Cur]], -PV[[#This Row],[Notional Value Local Cur]])</f>
        <v>0</v>
      </c>
    </row>
    <row r="12386" spans="1:5" x14ac:dyDescent="0.25">
      <c r="A12386" s="36" t="b">
        <v>0</v>
      </c>
      <c r="B12386" s="56" t="b">
        <v>0</v>
      </c>
      <c r="C12386" s="56" t="b">
        <v>0</v>
      </c>
      <c r="D12386" s="56" t="b">
        <v>0</v>
      </c>
      <c r="E12386" s="56">
        <f ca="1">IF(PV[[#This Row],[Business Date]]=Control!$C$6, PV[[#This Row],[Notional Value Local Cur]], -PV[[#This Row],[Notional Value Local Cur]])</f>
        <v>0</v>
      </c>
    </row>
    <row r="12387" spans="1:5" x14ac:dyDescent="0.25">
      <c r="A12387" s="36" t="b">
        <v>0</v>
      </c>
      <c r="B12387" s="56" t="b">
        <v>0</v>
      </c>
      <c r="C12387" s="56" t="b">
        <v>0</v>
      </c>
      <c r="D12387" s="56" t="b">
        <v>0</v>
      </c>
      <c r="E12387" s="56">
        <f ca="1">IF(PV[[#This Row],[Business Date]]=Control!$C$6, PV[[#This Row],[Notional Value Local Cur]], -PV[[#This Row],[Notional Value Local Cur]])</f>
        <v>0</v>
      </c>
    </row>
    <row r="12388" spans="1:5" x14ac:dyDescent="0.25">
      <c r="A12388" s="36" t="b">
        <v>0</v>
      </c>
      <c r="B12388" s="56" t="b">
        <v>0</v>
      </c>
      <c r="C12388" s="56" t="b">
        <v>0</v>
      </c>
      <c r="D12388" s="56" t="b">
        <v>0</v>
      </c>
      <c r="E12388" s="56">
        <f ca="1">IF(PV[[#This Row],[Business Date]]=Control!$C$6, PV[[#This Row],[Notional Value Local Cur]], -PV[[#This Row],[Notional Value Local Cur]])</f>
        <v>0</v>
      </c>
    </row>
    <row r="12389" spans="1:5" x14ac:dyDescent="0.25">
      <c r="A12389" s="36" t="b">
        <v>0</v>
      </c>
      <c r="B12389" s="56" t="b">
        <v>0</v>
      </c>
      <c r="C12389" s="56" t="b">
        <v>0</v>
      </c>
      <c r="D12389" s="56" t="b">
        <v>0</v>
      </c>
      <c r="E12389" s="56">
        <f ca="1">IF(PV[[#This Row],[Business Date]]=Control!$C$6, PV[[#This Row],[Notional Value Local Cur]], -PV[[#This Row],[Notional Value Local Cur]])</f>
        <v>0</v>
      </c>
    </row>
    <row r="12390" spans="1:5" x14ac:dyDescent="0.25">
      <c r="A12390" s="36" t="b">
        <v>0</v>
      </c>
      <c r="B12390" s="56" t="b">
        <v>0</v>
      </c>
      <c r="C12390" s="56" t="b">
        <v>0</v>
      </c>
      <c r="D12390" s="56" t="b">
        <v>0</v>
      </c>
      <c r="E12390" s="56">
        <f ca="1">IF(PV[[#This Row],[Business Date]]=Control!$C$6, PV[[#This Row],[Notional Value Local Cur]], -PV[[#This Row],[Notional Value Local Cur]])</f>
        <v>0</v>
      </c>
    </row>
    <row r="12391" spans="1:5" x14ac:dyDescent="0.25">
      <c r="A12391" s="36" t="b">
        <v>0</v>
      </c>
      <c r="B12391" s="56" t="b">
        <v>0</v>
      </c>
      <c r="C12391" s="56" t="b">
        <v>0</v>
      </c>
      <c r="D12391" s="56" t="b">
        <v>0</v>
      </c>
      <c r="E12391" s="56">
        <f ca="1">IF(PV[[#This Row],[Business Date]]=Control!$C$6, PV[[#This Row],[Notional Value Local Cur]], -PV[[#This Row],[Notional Value Local Cur]])</f>
        <v>0</v>
      </c>
    </row>
    <row r="12392" spans="1:5" x14ac:dyDescent="0.25">
      <c r="A12392" s="36" t="b">
        <v>0</v>
      </c>
      <c r="B12392" s="56" t="b">
        <v>0</v>
      </c>
      <c r="C12392" s="56" t="b">
        <v>0</v>
      </c>
      <c r="D12392" s="56" t="b">
        <v>0</v>
      </c>
      <c r="E12392" s="56">
        <f ca="1">IF(PV[[#This Row],[Business Date]]=Control!$C$6, PV[[#This Row],[Notional Value Local Cur]], -PV[[#This Row],[Notional Value Local Cur]])</f>
        <v>0</v>
      </c>
    </row>
    <row r="12393" spans="1:5" x14ac:dyDescent="0.25">
      <c r="A12393" s="36" t="b">
        <v>0</v>
      </c>
      <c r="B12393" s="56" t="b">
        <v>0</v>
      </c>
      <c r="C12393" s="56" t="b">
        <v>0</v>
      </c>
      <c r="D12393" s="56" t="b">
        <v>0</v>
      </c>
      <c r="E12393" s="56">
        <f ca="1">IF(PV[[#This Row],[Business Date]]=Control!$C$6, PV[[#This Row],[Notional Value Local Cur]], -PV[[#This Row],[Notional Value Local Cur]])</f>
        <v>0</v>
      </c>
    </row>
    <row r="12394" spans="1:5" x14ac:dyDescent="0.25">
      <c r="A12394" s="36" t="b">
        <v>0</v>
      </c>
      <c r="B12394" s="56" t="b">
        <v>0</v>
      </c>
      <c r="C12394" s="56" t="b">
        <v>0</v>
      </c>
      <c r="D12394" s="56" t="b">
        <v>0</v>
      </c>
      <c r="E12394" s="56">
        <f ca="1">IF(PV[[#This Row],[Business Date]]=Control!$C$6, PV[[#This Row],[Notional Value Local Cur]], -PV[[#This Row],[Notional Value Local Cur]])</f>
        <v>0</v>
      </c>
    </row>
    <row r="12395" spans="1:5" x14ac:dyDescent="0.25">
      <c r="A12395" s="36" t="b">
        <v>0</v>
      </c>
      <c r="B12395" s="56" t="b">
        <v>0</v>
      </c>
      <c r="C12395" s="56" t="b">
        <v>0</v>
      </c>
      <c r="D12395" s="56" t="b">
        <v>0</v>
      </c>
      <c r="E12395" s="56">
        <f ca="1">IF(PV[[#This Row],[Business Date]]=Control!$C$6, PV[[#This Row],[Notional Value Local Cur]], -PV[[#This Row],[Notional Value Local Cur]])</f>
        <v>0</v>
      </c>
    </row>
    <row r="12396" spans="1:5" x14ac:dyDescent="0.25">
      <c r="A12396" s="36" t="b">
        <v>0</v>
      </c>
      <c r="B12396" s="56" t="b">
        <v>0</v>
      </c>
      <c r="C12396" s="56" t="b">
        <v>0</v>
      </c>
      <c r="D12396" s="56" t="b">
        <v>0</v>
      </c>
      <c r="E12396" s="56">
        <f ca="1">IF(PV[[#This Row],[Business Date]]=Control!$C$6, PV[[#This Row],[Notional Value Local Cur]], -PV[[#This Row],[Notional Value Local Cur]])</f>
        <v>0</v>
      </c>
    </row>
    <row r="12397" spans="1:5" x14ac:dyDescent="0.25">
      <c r="A12397" s="36" t="b">
        <v>0</v>
      </c>
      <c r="B12397" s="56" t="b">
        <v>0</v>
      </c>
      <c r="C12397" s="56" t="b">
        <v>0</v>
      </c>
      <c r="D12397" s="56" t="b">
        <v>0</v>
      </c>
      <c r="E12397" s="56">
        <f ca="1">IF(PV[[#This Row],[Business Date]]=Control!$C$6, PV[[#This Row],[Notional Value Local Cur]], -PV[[#This Row],[Notional Value Local Cur]])</f>
        <v>0</v>
      </c>
    </row>
    <row r="12398" spans="1:5" x14ac:dyDescent="0.25">
      <c r="A12398" s="36" t="b">
        <v>0</v>
      </c>
      <c r="B12398" s="56" t="b">
        <v>0</v>
      </c>
      <c r="C12398" s="56" t="b">
        <v>0</v>
      </c>
      <c r="D12398" s="56" t="b">
        <v>0</v>
      </c>
      <c r="E12398" s="56">
        <f ca="1">IF(PV[[#This Row],[Business Date]]=Control!$C$6, PV[[#This Row],[Notional Value Local Cur]], -PV[[#This Row],[Notional Value Local Cur]])</f>
        <v>0</v>
      </c>
    </row>
    <row r="12399" spans="1:5" x14ac:dyDescent="0.25">
      <c r="A12399" s="36" t="b">
        <v>0</v>
      </c>
      <c r="B12399" s="56" t="b">
        <v>0</v>
      </c>
      <c r="C12399" s="56" t="b">
        <v>0</v>
      </c>
      <c r="D12399" s="56" t="b">
        <v>0</v>
      </c>
      <c r="E12399" s="56">
        <f ca="1">IF(PV[[#This Row],[Business Date]]=Control!$C$6, PV[[#This Row],[Notional Value Local Cur]], -PV[[#This Row],[Notional Value Local Cur]])</f>
        <v>0</v>
      </c>
    </row>
    <row r="12400" spans="1:5" x14ac:dyDescent="0.25">
      <c r="A12400" s="36" t="b">
        <v>0</v>
      </c>
      <c r="B12400" s="56" t="b">
        <v>0</v>
      </c>
      <c r="C12400" s="56" t="b">
        <v>0</v>
      </c>
      <c r="D12400" s="56" t="b">
        <v>0</v>
      </c>
      <c r="E12400" s="56">
        <f ca="1">IF(PV[[#This Row],[Business Date]]=Control!$C$6, PV[[#This Row],[Notional Value Local Cur]], -PV[[#This Row],[Notional Value Local Cur]])</f>
        <v>0</v>
      </c>
    </row>
    <row r="12401" spans="1:5" x14ac:dyDescent="0.25">
      <c r="A12401" s="36" t="b">
        <v>0</v>
      </c>
      <c r="B12401" s="56" t="b">
        <v>0</v>
      </c>
      <c r="C12401" s="56" t="b">
        <v>0</v>
      </c>
      <c r="D12401" s="56" t="b">
        <v>0</v>
      </c>
      <c r="E12401" s="56">
        <f ca="1">IF(PV[[#This Row],[Business Date]]=Control!$C$6, PV[[#This Row],[Notional Value Local Cur]], -PV[[#This Row],[Notional Value Local Cur]])</f>
        <v>0</v>
      </c>
    </row>
    <row r="12402" spans="1:5" x14ac:dyDescent="0.25">
      <c r="A12402" s="36" t="b">
        <v>0</v>
      </c>
      <c r="B12402" s="56" t="b">
        <v>0</v>
      </c>
      <c r="C12402" s="56" t="b">
        <v>0</v>
      </c>
      <c r="D12402" s="56" t="b">
        <v>0</v>
      </c>
      <c r="E12402" s="56">
        <f ca="1">IF(PV[[#This Row],[Business Date]]=Control!$C$6, PV[[#This Row],[Notional Value Local Cur]], -PV[[#This Row],[Notional Value Local Cur]])</f>
        <v>0</v>
      </c>
    </row>
    <row r="12403" spans="1:5" x14ac:dyDescent="0.25">
      <c r="A12403" s="36" t="b">
        <v>0</v>
      </c>
      <c r="B12403" s="56" t="b">
        <v>0</v>
      </c>
      <c r="C12403" s="56" t="b">
        <v>0</v>
      </c>
      <c r="D12403" s="56" t="b">
        <v>0</v>
      </c>
      <c r="E12403" s="56">
        <f ca="1">IF(PV[[#This Row],[Business Date]]=Control!$C$6, PV[[#This Row],[Notional Value Local Cur]], -PV[[#This Row],[Notional Value Local Cur]])</f>
        <v>0</v>
      </c>
    </row>
    <row r="12404" spans="1:5" x14ac:dyDescent="0.25">
      <c r="A12404" s="36" t="b">
        <v>0</v>
      </c>
      <c r="B12404" s="56" t="b">
        <v>0</v>
      </c>
      <c r="C12404" s="56" t="b">
        <v>0</v>
      </c>
      <c r="D12404" s="56" t="b">
        <v>0</v>
      </c>
      <c r="E12404" s="56">
        <f ca="1">IF(PV[[#This Row],[Business Date]]=Control!$C$6, PV[[#This Row],[Notional Value Local Cur]], -PV[[#This Row],[Notional Value Local Cur]])</f>
        <v>0</v>
      </c>
    </row>
    <row r="12405" spans="1:5" x14ac:dyDescent="0.25">
      <c r="A12405" s="36" t="b">
        <v>0</v>
      </c>
      <c r="B12405" s="56" t="b">
        <v>0</v>
      </c>
      <c r="C12405" s="56" t="b">
        <v>0</v>
      </c>
      <c r="D12405" s="56" t="b">
        <v>0</v>
      </c>
      <c r="E12405" s="56">
        <f ca="1">IF(PV[[#This Row],[Business Date]]=Control!$C$6, PV[[#This Row],[Notional Value Local Cur]], -PV[[#This Row],[Notional Value Local Cur]])</f>
        <v>0</v>
      </c>
    </row>
    <row r="12406" spans="1:5" x14ac:dyDescent="0.25">
      <c r="A12406" s="36" t="b">
        <v>0</v>
      </c>
      <c r="B12406" s="56" t="b">
        <v>0</v>
      </c>
      <c r="C12406" s="56" t="b">
        <v>0</v>
      </c>
      <c r="D12406" s="56" t="b">
        <v>0</v>
      </c>
      <c r="E12406" s="56">
        <f ca="1">IF(PV[[#This Row],[Business Date]]=Control!$C$6, PV[[#This Row],[Notional Value Local Cur]], -PV[[#This Row],[Notional Value Local Cur]])</f>
        <v>0</v>
      </c>
    </row>
    <row r="12407" spans="1:5" x14ac:dyDescent="0.25">
      <c r="A12407" s="36" t="b">
        <v>0</v>
      </c>
      <c r="B12407" s="56" t="b">
        <v>0</v>
      </c>
      <c r="C12407" s="56" t="b">
        <v>0</v>
      </c>
      <c r="D12407" s="56" t="b">
        <v>0</v>
      </c>
      <c r="E12407" s="56">
        <f ca="1">IF(PV[[#This Row],[Business Date]]=Control!$C$6, PV[[#This Row],[Notional Value Local Cur]], -PV[[#This Row],[Notional Value Local Cur]])</f>
        <v>0</v>
      </c>
    </row>
    <row r="12408" spans="1:5" x14ac:dyDescent="0.25">
      <c r="A12408" s="36" t="b">
        <v>0</v>
      </c>
      <c r="B12408" s="56" t="b">
        <v>0</v>
      </c>
      <c r="C12408" s="56" t="b">
        <v>0</v>
      </c>
      <c r="D12408" s="56" t="b">
        <v>0</v>
      </c>
      <c r="E12408" s="56">
        <f ca="1">IF(PV[[#This Row],[Business Date]]=Control!$C$6, PV[[#This Row],[Notional Value Local Cur]], -PV[[#This Row],[Notional Value Local Cur]])</f>
        <v>0</v>
      </c>
    </row>
    <row r="12409" spans="1:5" x14ac:dyDescent="0.25">
      <c r="A12409" s="36" t="b">
        <v>0</v>
      </c>
      <c r="B12409" s="56" t="b">
        <v>0</v>
      </c>
      <c r="C12409" s="56" t="b">
        <v>0</v>
      </c>
      <c r="D12409" s="56" t="b">
        <v>0</v>
      </c>
      <c r="E12409" s="56">
        <f ca="1">IF(PV[[#This Row],[Business Date]]=Control!$C$6, PV[[#This Row],[Notional Value Local Cur]], -PV[[#This Row],[Notional Value Local Cur]])</f>
        <v>0</v>
      </c>
    </row>
    <row r="12410" spans="1:5" x14ac:dyDescent="0.25">
      <c r="A12410" s="36" t="b">
        <v>0</v>
      </c>
      <c r="B12410" s="56" t="b">
        <v>0</v>
      </c>
      <c r="C12410" s="56" t="b">
        <v>0</v>
      </c>
      <c r="D12410" s="56" t="b">
        <v>0</v>
      </c>
      <c r="E12410" s="56">
        <f ca="1">IF(PV[[#This Row],[Business Date]]=Control!$C$6, PV[[#This Row],[Notional Value Local Cur]], -PV[[#This Row],[Notional Value Local Cur]])</f>
        <v>0</v>
      </c>
    </row>
    <row r="12411" spans="1:5" x14ac:dyDescent="0.25">
      <c r="A12411" s="36" t="b">
        <v>0</v>
      </c>
      <c r="B12411" s="56" t="b">
        <v>0</v>
      </c>
      <c r="C12411" s="56" t="b">
        <v>0</v>
      </c>
      <c r="D12411" s="56" t="b">
        <v>0</v>
      </c>
      <c r="E12411" s="56">
        <f ca="1">IF(PV[[#This Row],[Business Date]]=Control!$C$6, PV[[#This Row],[Notional Value Local Cur]], -PV[[#This Row],[Notional Value Local Cur]])</f>
        <v>0</v>
      </c>
    </row>
    <row r="12412" spans="1:5" x14ac:dyDescent="0.25">
      <c r="A12412" s="36" t="b">
        <v>0</v>
      </c>
      <c r="B12412" s="56" t="b">
        <v>0</v>
      </c>
      <c r="C12412" s="56" t="b">
        <v>0</v>
      </c>
      <c r="D12412" s="56" t="b">
        <v>0</v>
      </c>
      <c r="E12412" s="56">
        <f ca="1">IF(PV[[#This Row],[Business Date]]=Control!$C$6, PV[[#This Row],[Notional Value Local Cur]], -PV[[#This Row],[Notional Value Local Cur]])</f>
        <v>0</v>
      </c>
    </row>
    <row r="12413" spans="1:5" x14ac:dyDescent="0.25">
      <c r="A12413" s="36" t="b">
        <v>0</v>
      </c>
      <c r="B12413" s="56" t="b">
        <v>0</v>
      </c>
      <c r="C12413" s="56" t="b">
        <v>0</v>
      </c>
      <c r="D12413" s="56" t="b">
        <v>0</v>
      </c>
      <c r="E12413" s="56">
        <f ca="1">IF(PV[[#This Row],[Business Date]]=Control!$C$6, PV[[#This Row],[Notional Value Local Cur]], -PV[[#This Row],[Notional Value Local Cur]])</f>
        <v>0</v>
      </c>
    </row>
    <row r="12414" spans="1:5" x14ac:dyDescent="0.25">
      <c r="A12414" s="36" t="b">
        <v>0</v>
      </c>
      <c r="B12414" s="56" t="b">
        <v>0</v>
      </c>
      <c r="C12414" s="56" t="b">
        <v>0</v>
      </c>
      <c r="D12414" s="56" t="b">
        <v>0</v>
      </c>
      <c r="E12414" s="56">
        <f ca="1">IF(PV[[#This Row],[Business Date]]=Control!$C$6, PV[[#This Row],[Notional Value Local Cur]], -PV[[#This Row],[Notional Value Local Cur]])</f>
        <v>0</v>
      </c>
    </row>
    <row r="12415" spans="1:5" x14ac:dyDescent="0.25">
      <c r="A12415" s="36" t="b">
        <v>0</v>
      </c>
      <c r="B12415" s="56" t="b">
        <v>0</v>
      </c>
      <c r="C12415" s="56" t="b">
        <v>0</v>
      </c>
      <c r="D12415" s="56" t="b">
        <v>0</v>
      </c>
      <c r="E12415" s="56">
        <f ca="1">IF(PV[[#This Row],[Business Date]]=Control!$C$6, PV[[#This Row],[Notional Value Local Cur]], -PV[[#This Row],[Notional Value Local Cur]])</f>
        <v>0</v>
      </c>
    </row>
    <row r="12416" spans="1:5" x14ac:dyDescent="0.25">
      <c r="A12416" s="36" t="b">
        <v>0</v>
      </c>
      <c r="B12416" s="56" t="b">
        <v>0</v>
      </c>
      <c r="C12416" s="56" t="b">
        <v>0</v>
      </c>
      <c r="D12416" s="56" t="b">
        <v>0</v>
      </c>
      <c r="E12416" s="56">
        <f ca="1">IF(PV[[#This Row],[Business Date]]=Control!$C$6, PV[[#This Row],[Notional Value Local Cur]], -PV[[#This Row],[Notional Value Local Cur]])</f>
        <v>0</v>
      </c>
    </row>
    <row r="12417" spans="1:5" x14ac:dyDescent="0.25">
      <c r="A12417" s="36" t="b">
        <v>0</v>
      </c>
      <c r="B12417" s="56" t="b">
        <v>0</v>
      </c>
      <c r="C12417" s="56" t="b">
        <v>0</v>
      </c>
      <c r="D12417" s="56" t="b">
        <v>0</v>
      </c>
      <c r="E12417" s="56">
        <f ca="1">IF(PV[[#This Row],[Business Date]]=Control!$C$6, PV[[#This Row],[Notional Value Local Cur]], -PV[[#This Row],[Notional Value Local Cur]])</f>
        <v>0</v>
      </c>
    </row>
    <row r="12418" spans="1:5" x14ac:dyDescent="0.25">
      <c r="A12418" s="36" t="b">
        <v>0</v>
      </c>
      <c r="B12418" s="56" t="b">
        <v>0</v>
      </c>
      <c r="C12418" s="56" t="b">
        <v>0</v>
      </c>
      <c r="D12418" s="56" t="b">
        <v>0</v>
      </c>
      <c r="E12418" s="56">
        <f ca="1">IF(PV[[#This Row],[Business Date]]=Control!$C$6, PV[[#This Row],[Notional Value Local Cur]], -PV[[#This Row],[Notional Value Local Cur]])</f>
        <v>0</v>
      </c>
    </row>
    <row r="12419" spans="1:5" x14ac:dyDescent="0.25">
      <c r="A12419" s="36" t="b">
        <v>0</v>
      </c>
      <c r="B12419" s="56" t="b">
        <v>0</v>
      </c>
      <c r="C12419" s="56" t="b">
        <v>0</v>
      </c>
      <c r="D12419" s="56" t="b">
        <v>0</v>
      </c>
      <c r="E12419" s="56">
        <f ca="1">IF(PV[[#This Row],[Business Date]]=Control!$C$6, PV[[#This Row],[Notional Value Local Cur]], -PV[[#This Row],[Notional Value Local Cur]])</f>
        <v>0</v>
      </c>
    </row>
    <row r="12420" spans="1:5" x14ac:dyDescent="0.25">
      <c r="A12420" s="36" t="b">
        <v>0</v>
      </c>
      <c r="B12420" s="56" t="b">
        <v>0</v>
      </c>
      <c r="C12420" s="56" t="b">
        <v>0</v>
      </c>
      <c r="D12420" s="56" t="b">
        <v>0</v>
      </c>
      <c r="E12420" s="56">
        <f ca="1">IF(PV[[#This Row],[Business Date]]=Control!$C$6, PV[[#This Row],[Notional Value Local Cur]], -PV[[#This Row],[Notional Value Local Cur]])</f>
        <v>0</v>
      </c>
    </row>
    <row r="12421" spans="1:5" x14ac:dyDescent="0.25">
      <c r="A12421" s="36" t="b">
        <v>0</v>
      </c>
      <c r="B12421" s="56" t="b">
        <v>0</v>
      </c>
      <c r="C12421" s="56" t="b">
        <v>0</v>
      </c>
      <c r="D12421" s="56" t="b">
        <v>0</v>
      </c>
      <c r="E12421" s="56">
        <f ca="1">IF(PV[[#This Row],[Business Date]]=Control!$C$6, PV[[#This Row],[Notional Value Local Cur]], -PV[[#This Row],[Notional Value Local Cur]])</f>
        <v>0</v>
      </c>
    </row>
    <row r="12422" spans="1:5" x14ac:dyDescent="0.25">
      <c r="A12422" s="36" t="b">
        <v>0</v>
      </c>
      <c r="B12422" s="56" t="b">
        <v>0</v>
      </c>
      <c r="C12422" s="56" t="b">
        <v>0</v>
      </c>
      <c r="D12422" s="56" t="b">
        <v>0</v>
      </c>
      <c r="E12422" s="56">
        <f ca="1">IF(PV[[#This Row],[Business Date]]=Control!$C$6, PV[[#This Row],[Notional Value Local Cur]], -PV[[#This Row],[Notional Value Local Cur]])</f>
        <v>0</v>
      </c>
    </row>
    <row r="12423" spans="1:5" x14ac:dyDescent="0.25">
      <c r="A12423" s="36" t="b">
        <v>0</v>
      </c>
      <c r="B12423" s="56" t="b">
        <v>0</v>
      </c>
      <c r="C12423" s="56" t="b">
        <v>0</v>
      </c>
      <c r="D12423" s="56" t="b">
        <v>0</v>
      </c>
      <c r="E12423" s="56">
        <f ca="1">IF(PV[[#This Row],[Business Date]]=Control!$C$6, PV[[#This Row],[Notional Value Local Cur]], -PV[[#This Row],[Notional Value Local Cur]])</f>
        <v>0</v>
      </c>
    </row>
    <row r="12424" spans="1:5" x14ac:dyDescent="0.25">
      <c r="A12424" s="36" t="b">
        <v>0</v>
      </c>
      <c r="B12424" s="56" t="b">
        <v>0</v>
      </c>
      <c r="C12424" s="56" t="b">
        <v>0</v>
      </c>
      <c r="D12424" s="56" t="b">
        <v>0</v>
      </c>
      <c r="E12424" s="56">
        <f ca="1">IF(PV[[#This Row],[Business Date]]=Control!$C$6, PV[[#This Row],[Notional Value Local Cur]], -PV[[#This Row],[Notional Value Local Cur]])</f>
        <v>0</v>
      </c>
    </row>
    <row r="12425" spans="1:5" x14ac:dyDescent="0.25">
      <c r="A12425" s="36" t="b">
        <v>0</v>
      </c>
      <c r="B12425" s="56" t="b">
        <v>0</v>
      </c>
      <c r="C12425" s="56" t="b">
        <v>0</v>
      </c>
      <c r="D12425" s="56" t="b">
        <v>0</v>
      </c>
      <c r="E12425" s="56">
        <f ca="1">IF(PV[[#This Row],[Business Date]]=Control!$C$6, PV[[#This Row],[Notional Value Local Cur]], -PV[[#This Row],[Notional Value Local Cur]])</f>
        <v>0</v>
      </c>
    </row>
    <row r="12426" spans="1:5" x14ac:dyDescent="0.25">
      <c r="A12426" s="36" t="b">
        <v>0</v>
      </c>
      <c r="B12426" s="56" t="b">
        <v>0</v>
      </c>
      <c r="C12426" s="56" t="b">
        <v>0</v>
      </c>
      <c r="D12426" s="56" t="b">
        <v>0</v>
      </c>
      <c r="E12426" s="56">
        <f ca="1">IF(PV[[#This Row],[Business Date]]=Control!$C$6, PV[[#This Row],[Notional Value Local Cur]], -PV[[#This Row],[Notional Value Local Cur]])</f>
        <v>0</v>
      </c>
    </row>
    <row r="12427" spans="1:5" x14ac:dyDescent="0.25">
      <c r="A12427" s="36" t="b">
        <v>0</v>
      </c>
      <c r="B12427" s="56" t="b">
        <v>0</v>
      </c>
      <c r="C12427" s="56" t="b">
        <v>0</v>
      </c>
      <c r="D12427" s="56" t="b">
        <v>0</v>
      </c>
      <c r="E12427" s="56">
        <f ca="1">IF(PV[[#This Row],[Business Date]]=Control!$C$6, PV[[#This Row],[Notional Value Local Cur]], -PV[[#This Row],[Notional Value Local Cur]])</f>
        <v>0</v>
      </c>
    </row>
    <row r="12428" spans="1:5" x14ac:dyDescent="0.25">
      <c r="A12428" s="36" t="b">
        <v>0</v>
      </c>
      <c r="B12428" s="56" t="b">
        <v>0</v>
      </c>
      <c r="C12428" s="56" t="b">
        <v>0</v>
      </c>
      <c r="D12428" s="56" t="b">
        <v>0</v>
      </c>
      <c r="E12428" s="56">
        <f ca="1">IF(PV[[#This Row],[Business Date]]=Control!$C$6, PV[[#This Row],[Notional Value Local Cur]], -PV[[#This Row],[Notional Value Local Cur]])</f>
        <v>0</v>
      </c>
    </row>
    <row r="12429" spans="1:5" x14ac:dyDescent="0.25">
      <c r="A12429" s="36" t="b">
        <v>0</v>
      </c>
      <c r="B12429" s="56" t="b">
        <v>0</v>
      </c>
      <c r="C12429" s="56" t="b">
        <v>0</v>
      </c>
      <c r="D12429" s="56" t="b">
        <v>0</v>
      </c>
      <c r="E12429" s="56">
        <f ca="1">IF(PV[[#This Row],[Business Date]]=Control!$C$6, PV[[#This Row],[Notional Value Local Cur]], -PV[[#This Row],[Notional Value Local Cur]])</f>
        <v>0</v>
      </c>
    </row>
    <row r="12430" spans="1:5" x14ac:dyDescent="0.25">
      <c r="A12430" s="36" t="b">
        <v>0</v>
      </c>
      <c r="B12430" s="56" t="b">
        <v>0</v>
      </c>
      <c r="C12430" s="56" t="b">
        <v>0</v>
      </c>
      <c r="D12430" s="56" t="b">
        <v>0</v>
      </c>
      <c r="E12430" s="56">
        <f ca="1">IF(PV[[#This Row],[Business Date]]=Control!$C$6, PV[[#This Row],[Notional Value Local Cur]], -PV[[#This Row],[Notional Value Local Cur]])</f>
        <v>0</v>
      </c>
    </row>
    <row r="12431" spans="1:5" x14ac:dyDescent="0.25">
      <c r="A12431" s="36" t="b">
        <v>0</v>
      </c>
      <c r="B12431" s="56" t="b">
        <v>0</v>
      </c>
      <c r="C12431" s="56" t="b">
        <v>0</v>
      </c>
      <c r="D12431" s="56" t="b">
        <v>0</v>
      </c>
      <c r="E12431" s="56">
        <f ca="1">IF(PV[[#This Row],[Business Date]]=Control!$C$6, PV[[#This Row],[Notional Value Local Cur]], -PV[[#This Row],[Notional Value Local Cur]])</f>
        <v>0</v>
      </c>
    </row>
    <row r="12432" spans="1:5" x14ac:dyDescent="0.25">
      <c r="A12432" s="36" t="b">
        <v>0</v>
      </c>
      <c r="B12432" s="56" t="b">
        <v>0</v>
      </c>
      <c r="C12432" s="56" t="b">
        <v>0</v>
      </c>
      <c r="D12432" s="56" t="b">
        <v>0</v>
      </c>
      <c r="E12432" s="56">
        <f ca="1">IF(PV[[#This Row],[Business Date]]=Control!$C$6, PV[[#This Row],[Notional Value Local Cur]], -PV[[#This Row],[Notional Value Local Cur]])</f>
        <v>0</v>
      </c>
    </row>
    <row r="12433" spans="1:5" x14ac:dyDescent="0.25">
      <c r="A12433" s="36" t="b">
        <v>0</v>
      </c>
      <c r="B12433" s="56" t="b">
        <v>0</v>
      </c>
      <c r="C12433" s="56" t="b">
        <v>0</v>
      </c>
      <c r="D12433" s="56" t="b">
        <v>0</v>
      </c>
      <c r="E12433" s="56">
        <f ca="1">IF(PV[[#This Row],[Business Date]]=Control!$C$6, PV[[#This Row],[Notional Value Local Cur]], -PV[[#This Row],[Notional Value Local Cur]])</f>
        <v>0</v>
      </c>
    </row>
    <row r="12434" spans="1:5" x14ac:dyDescent="0.25">
      <c r="A12434" s="36" t="b">
        <v>0</v>
      </c>
      <c r="B12434" s="56" t="b">
        <v>0</v>
      </c>
      <c r="C12434" s="56" t="b">
        <v>0</v>
      </c>
      <c r="D12434" s="56" t="b">
        <v>0</v>
      </c>
      <c r="E12434" s="56">
        <f ca="1">IF(PV[[#This Row],[Business Date]]=Control!$C$6, PV[[#This Row],[Notional Value Local Cur]], -PV[[#This Row],[Notional Value Local Cur]])</f>
        <v>0</v>
      </c>
    </row>
    <row r="12435" spans="1:5" x14ac:dyDescent="0.25">
      <c r="A12435" s="36" t="b">
        <v>0</v>
      </c>
      <c r="B12435" s="56" t="b">
        <v>0</v>
      </c>
      <c r="C12435" s="56" t="b">
        <v>0</v>
      </c>
      <c r="D12435" s="56" t="b">
        <v>0</v>
      </c>
      <c r="E12435" s="56">
        <f ca="1">IF(PV[[#This Row],[Business Date]]=Control!$C$6, PV[[#This Row],[Notional Value Local Cur]], -PV[[#This Row],[Notional Value Local Cur]])</f>
        <v>0</v>
      </c>
    </row>
    <row r="12436" spans="1:5" x14ac:dyDescent="0.25">
      <c r="A12436" s="36" t="b">
        <v>0</v>
      </c>
      <c r="B12436" s="56" t="b">
        <v>0</v>
      </c>
      <c r="C12436" s="56" t="b">
        <v>0</v>
      </c>
      <c r="D12436" s="56" t="b">
        <v>0</v>
      </c>
      <c r="E12436" s="56">
        <f ca="1">IF(PV[[#This Row],[Business Date]]=Control!$C$6, PV[[#This Row],[Notional Value Local Cur]], -PV[[#This Row],[Notional Value Local Cur]])</f>
        <v>0</v>
      </c>
    </row>
    <row r="12437" spans="1:5" x14ac:dyDescent="0.25">
      <c r="A12437" s="36" t="b">
        <v>0</v>
      </c>
      <c r="B12437" s="56" t="b">
        <v>0</v>
      </c>
      <c r="C12437" s="56" t="b">
        <v>0</v>
      </c>
      <c r="D12437" s="56" t="b">
        <v>0</v>
      </c>
      <c r="E12437" s="56">
        <f ca="1">IF(PV[[#This Row],[Business Date]]=Control!$C$6, PV[[#This Row],[Notional Value Local Cur]], -PV[[#This Row],[Notional Value Local Cur]])</f>
        <v>0</v>
      </c>
    </row>
    <row r="12438" spans="1:5" x14ac:dyDescent="0.25">
      <c r="A12438" s="36" t="b">
        <v>0</v>
      </c>
      <c r="B12438" s="56" t="b">
        <v>0</v>
      </c>
      <c r="C12438" s="56" t="b">
        <v>0</v>
      </c>
      <c r="D12438" s="56" t="b">
        <v>0</v>
      </c>
      <c r="E12438" s="56">
        <f ca="1">IF(PV[[#This Row],[Business Date]]=Control!$C$6, PV[[#This Row],[Notional Value Local Cur]], -PV[[#This Row],[Notional Value Local Cur]])</f>
        <v>0</v>
      </c>
    </row>
    <row r="12439" spans="1:5" x14ac:dyDescent="0.25">
      <c r="A12439" s="36" t="b">
        <v>0</v>
      </c>
      <c r="B12439" s="56" t="b">
        <v>0</v>
      </c>
      <c r="C12439" s="56" t="b">
        <v>0</v>
      </c>
      <c r="D12439" s="56" t="b">
        <v>0</v>
      </c>
      <c r="E12439" s="56">
        <f ca="1">IF(PV[[#This Row],[Business Date]]=Control!$C$6, PV[[#This Row],[Notional Value Local Cur]], -PV[[#This Row],[Notional Value Local Cur]])</f>
        <v>0</v>
      </c>
    </row>
    <row r="12440" spans="1:5" x14ac:dyDescent="0.25">
      <c r="A12440" s="36" t="b">
        <v>0</v>
      </c>
      <c r="B12440" s="56" t="b">
        <v>0</v>
      </c>
      <c r="C12440" s="56" t="b">
        <v>0</v>
      </c>
      <c r="D12440" s="56" t="b">
        <v>0</v>
      </c>
      <c r="E12440" s="56">
        <f ca="1">IF(PV[[#This Row],[Business Date]]=Control!$C$6, PV[[#This Row],[Notional Value Local Cur]], -PV[[#This Row],[Notional Value Local Cur]])</f>
        <v>0</v>
      </c>
    </row>
    <row r="12441" spans="1:5" x14ac:dyDescent="0.25">
      <c r="A12441" s="36" t="b">
        <v>0</v>
      </c>
      <c r="B12441" s="56" t="b">
        <v>0</v>
      </c>
      <c r="C12441" s="56" t="b">
        <v>0</v>
      </c>
      <c r="D12441" s="56" t="b">
        <v>0</v>
      </c>
      <c r="E12441" s="56">
        <f ca="1">IF(PV[[#This Row],[Business Date]]=Control!$C$6, PV[[#This Row],[Notional Value Local Cur]], -PV[[#This Row],[Notional Value Local Cur]])</f>
        <v>0</v>
      </c>
    </row>
    <row r="12442" spans="1:5" x14ac:dyDescent="0.25">
      <c r="A12442" s="36" t="b">
        <v>0</v>
      </c>
      <c r="B12442" s="56" t="b">
        <v>0</v>
      </c>
      <c r="C12442" s="56" t="b">
        <v>0</v>
      </c>
      <c r="D12442" s="56" t="b">
        <v>0</v>
      </c>
      <c r="E12442" s="56">
        <f ca="1">IF(PV[[#This Row],[Business Date]]=Control!$C$6, PV[[#This Row],[Notional Value Local Cur]], -PV[[#This Row],[Notional Value Local Cur]])</f>
        <v>0</v>
      </c>
    </row>
    <row r="12443" spans="1:5" x14ac:dyDescent="0.25">
      <c r="A12443" s="36" t="b">
        <v>0</v>
      </c>
      <c r="B12443" s="56" t="b">
        <v>0</v>
      </c>
      <c r="C12443" s="56" t="b">
        <v>0</v>
      </c>
      <c r="D12443" s="56" t="b">
        <v>0</v>
      </c>
      <c r="E12443" s="56">
        <f ca="1">IF(PV[[#This Row],[Business Date]]=Control!$C$6, PV[[#This Row],[Notional Value Local Cur]], -PV[[#This Row],[Notional Value Local Cur]])</f>
        <v>0</v>
      </c>
    </row>
    <row r="12444" spans="1:5" x14ac:dyDescent="0.25">
      <c r="A12444" s="36" t="b">
        <v>0</v>
      </c>
      <c r="B12444" s="56" t="b">
        <v>0</v>
      </c>
      <c r="C12444" s="56" t="b">
        <v>0</v>
      </c>
      <c r="D12444" s="56" t="b">
        <v>0</v>
      </c>
      <c r="E12444" s="56">
        <f ca="1">IF(PV[[#This Row],[Business Date]]=Control!$C$6, PV[[#This Row],[Notional Value Local Cur]], -PV[[#This Row],[Notional Value Local Cur]])</f>
        <v>0</v>
      </c>
    </row>
    <row r="12445" spans="1:5" x14ac:dyDescent="0.25">
      <c r="A12445" s="36" t="b">
        <v>0</v>
      </c>
      <c r="B12445" s="56" t="b">
        <v>0</v>
      </c>
      <c r="C12445" s="56" t="b">
        <v>0</v>
      </c>
      <c r="D12445" s="56" t="b">
        <v>0</v>
      </c>
      <c r="E12445" s="56">
        <f ca="1">IF(PV[[#This Row],[Business Date]]=Control!$C$6, PV[[#This Row],[Notional Value Local Cur]], -PV[[#This Row],[Notional Value Local Cur]])</f>
        <v>0</v>
      </c>
    </row>
    <row r="12446" spans="1:5" x14ac:dyDescent="0.25">
      <c r="A12446" s="36" t="b">
        <v>0</v>
      </c>
      <c r="B12446" s="56" t="b">
        <v>0</v>
      </c>
      <c r="C12446" s="56" t="b">
        <v>0</v>
      </c>
      <c r="D12446" s="56" t="b">
        <v>0</v>
      </c>
      <c r="E12446" s="56">
        <f ca="1">IF(PV[[#This Row],[Business Date]]=Control!$C$6, PV[[#This Row],[Notional Value Local Cur]], -PV[[#This Row],[Notional Value Local Cur]])</f>
        <v>0</v>
      </c>
    </row>
    <row r="12447" spans="1:5" x14ac:dyDescent="0.25">
      <c r="A12447" s="36" t="b">
        <v>0</v>
      </c>
      <c r="B12447" s="56" t="b">
        <v>0</v>
      </c>
      <c r="C12447" s="56" t="b">
        <v>0</v>
      </c>
      <c r="D12447" s="56" t="b">
        <v>0</v>
      </c>
      <c r="E12447" s="56">
        <f ca="1">IF(PV[[#This Row],[Business Date]]=Control!$C$6, PV[[#This Row],[Notional Value Local Cur]], -PV[[#This Row],[Notional Value Local Cur]])</f>
        <v>0</v>
      </c>
    </row>
    <row r="12448" spans="1:5" x14ac:dyDescent="0.25">
      <c r="A12448" s="36" t="b">
        <v>0</v>
      </c>
      <c r="B12448" s="56" t="b">
        <v>0</v>
      </c>
      <c r="C12448" s="56" t="b">
        <v>0</v>
      </c>
      <c r="D12448" s="56" t="b">
        <v>0</v>
      </c>
      <c r="E12448" s="56">
        <f ca="1">IF(PV[[#This Row],[Business Date]]=Control!$C$6, PV[[#This Row],[Notional Value Local Cur]], -PV[[#This Row],[Notional Value Local Cur]])</f>
        <v>0</v>
      </c>
    </row>
    <row r="12449" spans="1:5" x14ac:dyDescent="0.25">
      <c r="A12449" s="36" t="b">
        <v>0</v>
      </c>
      <c r="B12449" s="56" t="b">
        <v>0</v>
      </c>
      <c r="C12449" s="56" t="b">
        <v>0</v>
      </c>
      <c r="D12449" s="56" t="b">
        <v>0</v>
      </c>
      <c r="E12449" s="56">
        <f ca="1">IF(PV[[#This Row],[Business Date]]=Control!$C$6, PV[[#This Row],[Notional Value Local Cur]], -PV[[#This Row],[Notional Value Local Cur]])</f>
        <v>0</v>
      </c>
    </row>
    <row r="12450" spans="1:5" x14ac:dyDescent="0.25">
      <c r="A12450" s="36" t="b">
        <v>0</v>
      </c>
      <c r="B12450" s="56" t="b">
        <v>0</v>
      </c>
      <c r="C12450" s="56" t="b">
        <v>0</v>
      </c>
      <c r="D12450" s="56" t="b">
        <v>0</v>
      </c>
      <c r="E12450" s="56">
        <f ca="1">IF(PV[[#This Row],[Business Date]]=Control!$C$6, PV[[#This Row],[Notional Value Local Cur]], -PV[[#This Row],[Notional Value Local Cur]])</f>
        <v>0</v>
      </c>
    </row>
    <row r="12451" spans="1:5" x14ac:dyDescent="0.25">
      <c r="A12451" s="36" t="b">
        <v>0</v>
      </c>
      <c r="B12451" s="56" t="b">
        <v>0</v>
      </c>
      <c r="C12451" s="56" t="b">
        <v>0</v>
      </c>
      <c r="D12451" s="56" t="b">
        <v>0</v>
      </c>
      <c r="E12451" s="56">
        <f ca="1">IF(PV[[#This Row],[Business Date]]=Control!$C$6, PV[[#This Row],[Notional Value Local Cur]], -PV[[#This Row],[Notional Value Local Cur]])</f>
        <v>0</v>
      </c>
    </row>
    <row r="12452" spans="1:5" x14ac:dyDescent="0.25">
      <c r="A12452" s="36" t="b">
        <v>0</v>
      </c>
      <c r="B12452" s="56" t="b">
        <v>0</v>
      </c>
      <c r="C12452" s="56" t="b">
        <v>0</v>
      </c>
      <c r="D12452" s="56" t="b">
        <v>0</v>
      </c>
      <c r="E12452" s="56">
        <f ca="1">IF(PV[[#This Row],[Business Date]]=Control!$C$6, PV[[#This Row],[Notional Value Local Cur]], -PV[[#This Row],[Notional Value Local Cur]])</f>
        <v>0</v>
      </c>
    </row>
    <row r="12453" spans="1:5" x14ac:dyDescent="0.25">
      <c r="A12453" s="36" t="b">
        <v>0</v>
      </c>
      <c r="B12453" s="56" t="b">
        <v>0</v>
      </c>
      <c r="C12453" s="56" t="b">
        <v>0</v>
      </c>
      <c r="D12453" s="56" t="b">
        <v>0</v>
      </c>
      <c r="E12453" s="56">
        <f ca="1">IF(PV[[#This Row],[Business Date]]=Control!$C$6, PV[[#This Row],[Notional Value Local Cur]], -PV[[#This Row],[Notional Value Local Cur]])</f>
        <v>0</v>
      </c>
    </row>
    <row r="12454" spans="1:5" x14ac:dyDescent="0.25">
      <c r="A12454" s="36" t="b">
        <v>0</v>
      </c>
      <c r="B12454" s="56" t="b">
        <v>0</v>
      </c>
      <c r="C12454" s="56" t="b">
        <v>0</v>
      </c>
      <c r="D12454" s="56" t="b">
        <v>0</v>
      </c>
      <c r="E12454" s="56">
        <f ca="1">IF(PV[[#This Row],[Business Date]]=Control!$C$6, PV[[#This Row],[Notional Value Local Cur]], -PV[[#This Row],[Notional Value Local Cur]])</f>
        <v>0</v>
      </c>
    </row>
    <row r="12455" spans="1:5" x14ac:dyDescent="0.25">
      <c r="A12455" s="36" t="b">
        <v>0</v>
      </c>
      <c r="B12455" s="56" t="b">
        <v>0</v>
      </c>
      <c r="C12455" s="56" t="b">
        <v>0</v>
      </c>
      <c r="D12455" s="56" t="b">
        <v>0</v>
      </c>
      <c r="E12455" s="56">
        <f ca="1">IF(PV[[#This Row],[Business Date]]=Control!$C$6, PV[[#This Row],[Notional Value Local Cur]], -PV[[#This Row],[Notional Value Local Cur]])</f>
        <v>0</v>
      </c>
    </row>
    <row r="12456" spans="1:5" x14ac:dyDescent="0.25">
      <c r="A12456" s="36" t="b">
        <v>0</v>
      </c>
      <c r="B12456" s="56" t="b">
        <v>0</v>
      </c>
      <c r="C12456" s="56" t="b">
        <v>0</v>
      </c>
      <c r="D12456" s="56" t="b">
        <v>0</v>
      </c>
      <c r="E12456" s="56">
        <f ca="1">IF(PV[[#This Row],[Business Date]]=Control!$C$6, PV[[#This Row],[Notional Value Local Cur]], -PV[[#This Row],[Notional Value Local Cur]])</f>
        <v>0</v>
      </c>
    </row>
    <row r="12457" spans="1:5" x14ac:dyDescent="0.25">
      <c r="A12457" s="36" t="b">
        <v>0</v>
      </c>
      <c r="B12457" s="56" t="b">
        <v>0</v>
      </c>
      <c r="C12457" s="56" t="b">
        <v>0</v>
      </c>
      <c r="D12457" s="56" t="b">
        <v>0</v>
      </c>
      <c r="E12457" s="56">
        <f ca="1">IF(PV[[#This Row],[Business Date]]=Control!$C$6, PV[[#This Row],[Notional Value Local Cur]], -PV[[#This Row],[Notional Value Local Cur]])</f>
        <v>0</v>
      </c>
    </row>
    <row r="12458" spans="1:5" x14ac:dyDescent="0.25">
      <c r="A12458" s="36" t="b">
        <v>0</v>
      </c>
      <c r="B12458" s="56" t="b">
        <v>0</v>
      </c>
      <c r="C12458" s="56" t="b">
        <v>0</v>
      </c>
      <c r="D12458" s="56" t="b">
        <v>0</v>
      </c>
      <c r="E12458" s="56">
        <f ca="1">IF(PV[[#This Row],[Business Date]]=Control!$C$6, PV[[#This Row],[Notional Value Local Cur]], -PV[[#This Row],[Notional Value Local Cur]])</f>
        <v>0</v>
      </c>
    </row>
    <row r="12459" spans="1:5" x14ac:dyDescent="0.25">
      <c r="A12459" s="36" t="b">
        <v>0</v>
      </c>
      <c r="B12459" s="56" t="b">
        <v>0</v>
      </c>
      <c r="C12459" s="56" t="b">
        <v>0</v>
      </c>
      <c r="D12459" s="56" t="b">
        <v>0</v>
      </c>
      <c r="E12459" s="56">
        <f ca="1">IF(PV[[#This Row],[Business Date]]=Control!$C$6, PV[[#This Row],[Notional Value Local Cur]], -PV[[#This Row],[Notional Value Local Cur]])</f>
        <v>0</v>
      </c>
    </row>
    <row r="12460" spans="1:5" x14ac:dyDescent="0.25">
      <c r="A12460" s="36" t="b">
        <v>0</v>
      </c>
      <c r="B12460" s="56" t="b">
        <v>0</v>
      </c>
      <c r="C12460" s="56" t="b">
        <v>0</v>
      </c>
      <c r="D12460" s="56" t="b">
        <v>0</v>
      </c>
      <c r="E12460" s="56">
        <f ca="1">IF(PV[[#This Row],[Business Date]]=Control!$C$6, PV[[#This Row],[Notional Value Local Cur]], -PV[[#This Row],[Notional Value Local Cur]])</f>
        <v>0</v>
      </c>
    </row>
    <row r="12461" spans="1:5" x14ac:dyDescent="0.25">
      <c r="A12461" s="36" t="b">
        <v>0</v>
      </c>
      <c r="B12461" s="56" t="b">
        <v>0</v>
      </c>
      <c r="C12461" s="56" t="b">
        <v>0</v>
      </c>
      <c r="D12461" s="56" t="b">
        <v>0</v>
      </c>
      <c r="E12461" s="56">
        <f ca="1">IF(PV[[#This Row],[Business Date]]=Control!$C$6, PV[[#This Row],[Notional Value Local Cur]], -PV[[#This Row],[Notional Value Local Cur]])</f>
        <v>0</v>
      </c>
    </row>
    <row r="12462" spans="1:5" x14ac:dyDescent="0.25">
      <c r="A12462" s="36" t="b">
        <v>0</v>
      </c>
      <c r="B12462" s="56" t="b">
        <v>0</v>
      </c>
      <c r="C12462" s="56" t="b">
        <v>0</v>
      </c>
      <c r="D12462" s="56" t="b">
        <v>0</v>
      </c>
      <c r="E12462" s="56">
        <f ca="1">IF(PV[[#This Row],[Business Date]]=Control!$C$6, PV[[#This Row],[Notional Value Local Cur]], -PV[[#This Row],[Notional Value Local Cur]])</f>
        <v>0</v>
      </c>
    </row>
    <row r="12463" spans="1:5" x14ac:dyDescent="0.25">
      <c r="A12463" s="36" t="b">
        <v>0</v>
      </c>
      <c r="B12463" s="56" t="b">
        <v>0</v>
      </c>
      <c r="C12463" s="56" t="b">
        <v>0</v>
      </c>
      <c r="D12463" s="56" t="b">
        <v>0</v>
      </c>
      <c r="E12463" s="56">
        <f ca="1">IF(PV[[#This Row],[Business Date]]=Control!$C$6, PV[[#This Row],[Notional Value Local Cur]], -PV[[#This Row],[Notional Value Local Cur]])</f>
        <v>0</v>
      </c>
    </row>
    <row r="12464" spans="1:5" x14ac:dyDescent="0.25">
      <c r="A12464" s="36" t="b">
        <v>0</v>
      </c>
      <c r="B12464" s="56" t="b">
        <v>0</v>
      </c>
      <c r="C12464" s="56" t="b">
        <v>0</v>
      </c>
      <c r="D12464" s="56" t="b">
        <v>0</v>
      </c>
      <c r="E12464" s="56">
        <f ca="1">IF(PV[[#This Row],[Business Date]]=Control!$C$6, PV[[#This Row],[Notional Value Local Cur]], -PV[[#This Row],[Notional Value Local Cur]])</f>
        <v>0</v>
      </c>
    </row>
    <row r="12465" spans="1:5" x14ac:dyDescent="0.25">
      <c r="A12465" s="36" t="b">
        <v>0</v>
      </c>
      <c r="B12465" s="56" t="b">
        <v>0</v>
      </c>
      <c r="C12465" s="56" t="b">
        <v>0</v>
      </c>
      <c r="D12465" s="56" t="b">
        <v>0</v>
      </c>
      <c r="E12465" s="56">
        <f ca="1">IF(PV[[#This Row],[Business Date]]=Control!$C$6, PV[[#This Row],[Notional Value Local Cur]], -PV[[#This Row],[Notional Value Local Cur]])</f>
        <v>0</v>
      </c>
    </row>
    <row r="12466" spans="1:5" x14ac:dyDescent="0.25">
      <c r="A12466" s="36" t="b">
        <v>0</v>
      </c>
      <c r="B12466" s="56" t="b">
        <v>0</v>
      </c>
      <c r="C12466" s="56" t="b">
        <v>0</v>
      </c>
      <c r="D12466" s="56" t="b">
        <v>0</v>
      </c>
      <c r="E12466" s="56">
        <f ca="1">IF(PV[[#This Row],[Business Date]]=Control!$C$6, PV[[#This Row],[Notional Value Local Cur]], -PV[[#This Row],[Notional Value Local Cur]])</f>
        <v>0</v>
      </c>
    </row>
    <row r="12467" spans="1:5" x14ac:dyDescent="0.25">
      <c r="A12467" s="36" t="b">
        <v>0</v>
      </c>
      <c r="B12467" s="56" t="b">
        <v>0</v>
      </c>
      <c r="C12467" s="56" t="b">
        <v>0</v>
      </c>
      <c r="D12467" s="56" t="b">
        <v>0</v>
      </c>
      <c r="E12467" s="56">
        <f ca="1">IF(PV[[#This Row],[Business Date]]=Control!$C$6, PV[[#This Row],[Notional Value Local Cur]], -PV[[#This Row],[Notional Value Local Cur]])</f>
        <v>0</v>
      </c>
    </row>
    <row r="12468" spans="1:5" x14ac:dyDescent="0.25">
      <c r="A12468" s="36" t="b">
        <v>0</v>
      </c>
      <c r="B12468" s="56" t="b">
        <v>0</v>
      </c>
      <c r="C12468" s="56" t="b">
        <v>0</v>
      </c>
      <c r="D12468" s="56" t="b">
        <v>0</v>
      </c>
      <c r="E12468" s="56">
        <f ca="1">IF(PV[[#This Row],[Business Date]]=Control!$C$6, PV[[#This Row],[Notional Value Local Cur]], -PV[[#This Row],[Notional Value Local Cur]])</f>
        <v>0</v>
      </c>
    </row>
    <row r="12469" spans="1:5" x14ac:dyDescent="0.25">
      <c r="A12469" s="36" t="b">
        <v>0</v>
      </c>
      <c r="B12469" s="56" t="b">
        <v>0</v>
      </c>
      <c r="C12469" s="56" t="b">
        <v>0</v>
      </c>
      <c r="D12469" s="56" t="b">
        <v>0</v>
      </c>
      <c r="E12469" s="56">
        <f ca="1">IF(PV[[#This Row],[Business Date]]=Control!$C$6, PV[[#This Row],[Notional Value Local Cur]], -PV[[#This Row],[Notional Value Local Cur]])</f>
        <v>0</v>
      </c>
    </row>
    <row r="12470" spans="1:5" x14ac:dyDescent="0.25">
      <c r="A12470" s="36" t="b">
        <v>0</v>
      </c>
      <c r="B12470" s="56" t="b">
        <v>0</v>
      </c>
      <c r="C12470" s="56" t="b">
        <v>0</v>
      </c>
      <c r="D12470" s="56" t="b">
        <v>0</v>
      </c>
      <c r="E12470" s="56">
        <f ca="1">IF(PV[[#This Row],[Business Date]]=Control!$C$6, PV[[#This Row],[Notional Value Local Cur]], -PV[[#This Row],[Notional Value Local Cur]])</f>
        <v>0</v>
      </c>
    </row>
    <row r="12471" spans="1:5" x14ac:dyDescent="0.25">
      <c r="A12471" s="36" t="b">
        <v>0</v>
      </c>
      <c r="B12471" s="56" t="b">
        <v>0</v>
      </c>
      <c r="C12471" s="56" t="b">
        <v>0</v>
      </c>
      <c r="D12471" s="56" t="b">
        <v>0</v>
      </c>
      <c r="E12471" s="56">
        <f ca="1">IF(PV[[#This Row],[Business Date]]=Control!$C$6, PV[[#This Row],[Notional Value Local Cur]], -PV[[#This Row],[Notional Value Local Cur]])</f>
        <v>0</v>
      </c>
    </row>
    <row r="12472" spans="1:5" x14ac:dyDescent="0.25">
      <c r="A12472" s="36" t="b">
        <v>0</v>
      </c>
      <c r="B12472" s="56" t="b">
        <v>0</v>
      </c>
      <c r="C12472" s="56" t="b">
        <v>0</v>
      </c>
      <c r="D12472" s="56" t="b">
        <v>0</v>
      </c>
      <c r="E12472" s="56">
        <f ca="1">IF(PV[[#This Row],[Business Date]]=Control!$C$6, PV[[#This Row],[Notional Value Local Cur]], -PV[[#This Row],[Notional Value Local Cur]])</f>
        <v>0</v>
      </c>
    </row>
    <row r="12473" spans="1:5" x14ac:dyDescent="0.25">
      <c r="A12473" s="36" t="b">
        <v>0</v>
      </c>
      <c r="B12473" s="56" t="b">
        <v>0</v>
      </c>
      <c r="C12473" s="56" t="b">
        <v>0</v>
      </c>
      <c r="D12473" s="56" t="b">
        <v>0</v>
      </c>
      <c r="E12473" s="56">
        <f ca="1">IF(PV[[#This Row],[Business Date]]=Control!$C$6, PV[[#This Row],[Notional Value Local Cur]], -PV[[#This Row],[Notional Value Local Cur]])</f>
        <v>0</v>
      </c>
    </row>
    <row r="12474" spans="1:5" x14ac:dyDescent="0.25">
      <c r="A12474" s="36" t="b">
        <v>0</v>
      </c>
      <c r="B12474" s="56" t="b">
        <v>0</v>
      </c>
      <c r="C12474" s="56" t="b">
        <v>0</v>
      </c>
      <c r="D12474" s="56" t="b">
        <v>0</v>
      </c>
      <c r="E12474" s="56">
        <f ca="1">IF(PV[[#This Row],[Business Date]]=Control!$C$6, PV[[#This Row],[Notional Value Local Cur]], -PV[[#This Row],[Notional Value Local Cur]])</f>
        <v>0</v>
      </c>
    </row>
    <row r="12475" spans="1:5" x14ac:dyDescent="0.25">
      <c r="A12475" s="36" t="b">
        <v>0</v>
      </c>
      <c r="B12475" s="56" t="b">
        <v>0</v>
      </c>
      <c r="C12475" s="56" t="b">
        <v>0</v>
      </c>
      <c r="D12475" s="56" t="b">
        <v>0</v>
      </c>
      <c r="E12475" s="56">
        <f ca="1">IF(PV[[#This Row],[Business Date]]=Control!$C$6, PV[[#This Row],[Notional Value Local Cur]], -PV[[#This Row],[Notional Value Local Cur]])</f>
        <v>0</v>
      </c>
    </row>
    <row r="12476" spans="1:5" x14ac:dyDescent="0.25">
      <c r="A12476" s="36" t="b">
        <v>0</v>
      </c>
      <c r="B12476" s="56" t="b">
        <v>0</v>
      </c>
      <c r="C12476" s="56" t="b">
        <v>0</v>
      </c>
      <c r="D12476" s="56" t="b">
        <v>0</v>
      </c>
      <c r="E12476" s="56">
        <f ca="1">IF(PV[[#This Row],[Business Date]]=Control!$C$6, PV[[#This Row],[Notional Value Local Cur]], -PV[[#This Row],[Notional Value Local Cur]])</f>
        <v>0</v>
      </c>
    </row>
    <row r="12477" spans="1:5" x14ac:dyDescent="0.25">
      <c r="A12477" s="36" t="b">
        <v>0</v>
      </c>
      <c r="B12477" s="56" t="b">
        <v>0</v>
      </c>
      <c r="C12477" s="56" t="b">
        <v>0</v>
      </c>
      <c r="D12477" s="56" t="b">
        <v>0</v>
      </c>
      <c r="E12477" s="56">
        <f ca="1">IF(PV[[#This Row],[Business Date]]=Control!$C$6, PV[[#This Row],[Notional Value Local Cur]], -PV[[#This Row],[Notional Value Local Cur]])</f>
        <v>0</v>
      </c>
    </row>
    <row r="12478" spans="1:5" x14ac:dyDescent="0.25">
      <c r="A12478" s="36" t="b">
        <v>0</v>
      </c>
      <c r="B12478" s="56" t="b">
        <v>0</v>
      </c>
      <c r="C12478" s="56" t="b">
        <v>0</v>
      </c>
      <c r="D12478" s="56" t="b">
        <v>0</v>
      </c>
      <c r="E12478" s="56">
        <f ca="1">IF(PV[[#This Row],[Business Date]]=Control!$C$6, PV[[#This Row],[Notional Value Local Cur]], -PV[[#This Row],[Notional Value Local Cur]])</f>
        <v>0</v>
      </c>
    </row>
    <row r="12479" spans="1:5" x14ac:dyDescent="0.25">
      <c r="A12479" s="36" t="b">
        <v>0</v>
      </c>
      <c r="B12479" s="56" t="b">
        <v>0</v>
      </c>
      <c r="C12479" s="56" t="b">
        <v>0</v>
      </c>
      <c r="D12479" s="56" t="b">
        <v>0</v>
      </c>
      <c r="E12479" s="56">
        <f ca="1">IF(PV[[#This Row],[Business Date]]=Control!$C$6, PV[[#This Row],[Notional Value Local Cur]], -PV[[#This Row],[Notional Value Local Cur]])</f>
        <v>0</v>
      </c>
    </row>
    <row r="12480" spans="1:5" x14ac:dyDescent="0.25">
      <c r="A12480" s="36" t="b">
        <v>0</v>
      </c>
      <c r="B12480" s="56" t="b">
        <v>0</v>
      </c>
      <c r="C12480" s="56" t="b">
        <v>0</v>
      </c>
      <c r="D12480" s="56" t="b">
        <v>0</v>
      </c>
      <c r="E12480" s="56">
        <f ca="1">IF(PV[[#This Row],[Business Date]]=Control!$C$6, PV[[#This Row],[Notional Value Local Cur]], -PV[[#This Row],[Notional Value Local Cur]])</f>
        <v>0</v>
      </c>
    </row>
    <row r="12481" spans="1:5" x14ac:dyDescent="0.25">
      <c r="A12481" s="36" t="b">
        <v>0</v>
      </c>
      <c r="B12481" s="56" t="b">
        <v>0</v>
      </c>
      <c r="C12481" s="56" t="b">
        <v>0</v>
      </c>
      <c r="D12481" s="56" t="b">
        <v>0</v>
      </c>
      <c r="E12481" s="56">
        <f ca="1">IF(PV[[#This Row],[Business Date]]=Control!$C$6, PV[[#This Row],[Notional Value Local Cur]], -PV[[#This Row],[Notional Value Local Cur]])</f>
        <v>0</v>
      </c>
    </row>
    <row r="12482" spans="1:5" x14ac:dyDescent="0.25">
      <c r="A12482" s="36" t="b">
        <v>0</v>
      </c>
      <c r="B12482" s="56" t="b">
        <v>0</v>
      </c>
      <c r="C12482" s="56" t="b">
        <v>0</v>
      </c>
      <c r="D12482" s="56" t="b">
        <v>0</v>
      </c>
      <c r="E12482" s="56">
        <f ca="1">IF(PV[[#This Row],[Business Date]]=Control!$C$6, PV[[#This Row],[Notional Value Local Cur]], -PV[[#This Row],[Notional Value Local Cur]])</f>
        <v>0</v>
      </c>
    </row>
    <row r="12483" spans="1:5" x14ac:dyDescent="0.25">
      <c r="A12483" s="36" t="b">
        <v>0</v>
      </c>
      <c r="B12483" s="56" t="b">
        <v>0</v>
      </c>
      <c r="C12483" s="56" t="b">
        <v>0</v>
      </c>
      <c r="D12483" s="56" t="b">
        <v>0</v>
      </c>
      <c r="E12483" s="56">
        <f ca="1">IF(PV[[#This Row],[Business Date]]=Control!$C$6, PV[[#This Row],[Notional Value Local Cur]], -PV[[#This Row],[Notional Value Local Cur]])</f>
        <v>0</v>
      </c>
    </row>
    <row r="12484" spans="1:5" x14ac:dyDescent="0.25">
      <c r="A12484" s="36" t="b">
        <v>0</v>
      </c>
      <c r="B12484" s="56" t="b">
        <v>0</v>
      </c>
      <c r="C12484" s="56" t="b">
        <v>0</v>
      </c>
      <c r="D12484" s="56" t="b">
        <v>0</v>
      </c>
      <c r="E12484" s="56">
        <f ca="1">IF(PV[[#This Row],[Business Date]]=Control!$C$6, PV[[#This Row],[Notional Value Local Cur]], -PV[[#This Row],[Notional Value Local Cur]])</f>
        <v>0</v>
      </c>
    </row>
    <row r="12485" spans="1:5" x14ac:dyDescent="0.25">
      <c r="A12485" s="36" t="b">
        <v>0</v>
      </c>
      <c r="B12485" s="56" t="b">
        <v>0</v>
      </c>
      <c r="C12485" s="56" t="b">
        <v>0</v>
      </c>
      <c r="D12485" s="56" t="b">
        <v>0</v>
      </c>
      <c r="E12485" s="56">
        <f ca="1">IF(PV[[#This Row],[Business Date]]=Control!$C$6, PV[[#This Row],[Notional Value Local Cur]], -PV[[#This Row],[Notional Value Local Cur]])</f>
        <v>0</v>
      </c>
    </row>
    <row r="12486" spans="1:5" x14ac:dyDescent="0.25">
      <c r="A12486" s="36" t="b">
        <v>0</v>
      </c>
      <c r="B12486" s="56" t="b">
        <v>0</v>
      </c>
      <c r="C12486" s="56" t="b">
        <v>0</v>
      </c>
      <c r="D12486" s="56" t="b">
        <v>0</v>
      </c>
      <c r="E12486" s="56">
        <f ca="1">IF(PV[[#This Row],[Business Date]]=Control!$C$6, PV[[#This Row],[Notional Value Local Cur]], -PV[[#This Row],[Notional Value Local Cur]])</f>
        <v>0</v>
      </c>
    </row>
    <row r="12487" spans="1:5" x14ac:dyDescent="0.25">
      <c r="A12487" s="36" t="b">
        <v>0</v>
      </c>
      <c r="B12487" s="56" t="b">
        <v>0</v>
      </c>
      <c r="C12487" s="56" t="b">
        <v>0</v>
      </c>
      <c r="D12487" s="56" t="b">
        <v>0</v>
      </c>
      <c r="E12487" s="56">
        <f ca="1">IF(PV[[#This Row],[Business Date]]=Control!$C$6, PV[[#This Row],[Notional Value Local Cur]], -PV[[#This Row],[Notional Value Local Cur]])</f>
        <v>0</v>
      </c>
    </row>
    <row r="12488" spans="1:5" x14ac:dyDescent="0.25">
      <c r="A12488" s="36" t="b">
        <v>0</v>
      </c>
      <c r="B12488" s="56" t="b">
        <v>0</v>
      </c>
      <c r="C12488" s="56" t="b">
        <v>0</v>
      </c>
      <c r="D12488" s="56" t="b">
        <v>0</v>
      </c>
      <c r="E12488" s="56">
        <f ca="1">IF(PV[[#This Row],[Business Date]]=Control!$C$6, PV[[#This Row],[Notional Value Local Cur]], -PV[[#This Row],[Notional Value Local Cur]])</f>
        <v>0</v>
      </c>
    </row>
    <row r="12489" spans="1:5" x14ac:dyDescent="0.25">
      <c r="A12489" s="36" t="b">
        <v>0</v>
      </c>
      <c r="B12489" s="56" t="b">
        <v>0</v>
      </c>
      <c r="C12489" s="56" t="b">
        <v>0</v>
      </c>
      <c r="D12489" s="56" t="b">
        <v>0</v>
      </c>
      <c r="E12489" s="56">
        <f ca="1">IF(PV[[#This Row],[Business Date]]=Control!$C$6, PV[[#This Row],[Notional Value Local Cur]], -PV[[#This Row],[Notional Value Local Cur]])</f>
        <v>0</v>
      </c>
    </row>
    <row r="12490" spans="1:5" x14ac:dyDescent="0.25">
      <c r="A12490" s="36" t="b">
        <v>0</v>
      </c>
      <c r="B12490" s="56" t="b">
        <v>0</v>
      </c>
      <c r="C12490" s="56" t="b">
        <v>0</v>
      </c>
      <c r="D12490" s="56" t="b">
        <v>0</v>
      </c>
      <c r="E12490" s="56">
        <f ca="1">IF(PV[[#This Row],[Business Date]]=Control!$C$6, PV[[#This Row],[Notional Value Local Cur]], -PV[[#This Row],[Notional Value Local Cur]])</f>
        <v>0</v>
      </c>
    </row>
    <row r="12491" spans="1:5" x14ac:dyDescent="0.25">
      <c r="A12491" s="36" t="b">
        <v>0</v>
      </c>
      <c r="B12491" s="56" t="b">
        <v>0</v>
      </c>
      <c r="C12491" s="56" t="b">
        <v>0</v>
      </c>
      <c r="D12491" s="56" t="b">
        <v>0</v>
      </c>
      <c r="E12491" s="56">
        <f ca="1">IF(PV[[#This Row],[Business Date]]=Control!$C$6, PV[[#This Row],[Notional Value Local Cur]], -PV[[#This Row],[Notional Value Local Cur]])</f>
        <v>0</v>
      </c>
    </row>
    <row r="12492" spans="1:5" x14ac:dyDescent="0.25">
      <c r="A12492" s="36" t="b">
        <v>0</v>
      </c>
      <c r="B12492" s="56" t="b">
        <v>0</v>
      </c>
      <c r="C12492" s="56" t="b">
        <v>0</v>
      </c>
      <c r="D12492" s="56" t="b">
        <v>0</v>
      </c>
      <c r="E12492" s="56">
        <f ca="1">IF(PV[[#This Row],[Business Date]]=Control!$C$6, PV[[#This Row],[Notional Value Local Cur]], -PV[[#This Row],[Notional Value Local Cur]])</f>
        <v>0</v>
      </c>
    </row>
    <row r="12493" spans="1:5" x14ac:dyDescent="0.25">
      <c r="A12493" s="36" t="b">
        <v>0</v>
      </c>
      <c r="B12493" s="56" t="b">
        <v>0</v>
      </c>
      <c r="C12493" s="56" t="b">
        <v>0</v>
      </c>
      <c r="D12493" s="56" t="b">
        <v>0</v>
      </c>
      <c r="E12493" s="56">
        <f ca="1">IF(PV[[#This Row],[Business Date]]=Control!$C$6, PV[[#This Row],[Notional Value Local Cur]], -PV[[#This Row],[Notional Value Local Cur]])</f>
        <v>0</v>
      </c>
    </row>
    <row r="12494" spans="1:5" x14ac:dyDescent="0.25">
      <c r="A12494" s="36" t="b">
        <v>0</v>
      </c>
      <c r="B12494" s="56" t="b">
        <v>0</v>
      </c>
      <c r="C12494" s="56" t="b">
        <v>0</v>
      </c>
      <c r="D12494" s="56" t="b">
        <v>0</v>
      </c>
      <c r="E12494" s="56">
        <f ca="1">IF(PV[[#This Row],[Business Date]]=Control!$C$6, PV[[#This Row],[Notional Value Local Cur]], -PV[[#This Row],[Notional Value Local Cur]])</f>
        <v>0</v>
      </c>
    </row>
    <row r="12495" spans="1:5" x14ac:dyDescent="0.25">
      <c r="A12495" s="36" t="b">
        <v>0</v>
      </c>
      <c r="B12495" s="56" t="b">
        <v>0</v>
      </c>
      <c r="C12495" s="56" t="b">
        <v>0</v>
      </c>
      <c r="D12495" s="56" t="b">
        <v>0</v>
      </c>
      <c r="E12495" s="56">
        <f ca="1">IF(PV[[#This Row],[Business Date]]=Control!$C$6, PV[[#This Row],[Notional Value Local Cur]], -PV[[#This Row],[Notional Value Local Cur]])</f>
        <v>0</v>
      </c>
    </row>
    <row r="12496" spans="1:5" x14ac:dyDescent="0.25">
      <c r="A12496" s="36" t="b">
        <v>0</v>
      </c>
      <c r="B12496" s="56" t="b">
        <v>0</v>
      </c>
      <c r="C12496" s="56" t="b">
        <v>0</v>
      </c>
      <c r="D12496" s="56" t="b">
        <v>0</v>
      </c>
      <c r="E12496" s="56">
        <f ca="1">IF(PV[[#This Row],[Business Date]]=Control!$C$6, PV[[#This Row],[Notional Value Local Cur]], -PV[[#This Row],[Notional Value Local Cur]])</f>
        <v>0</v>
      </c>
    </row>
    <row r="12497" spans="1:5" x14ac:dyDescent="0.25">
      <c r="A12497" s="36" t="b">
        <v>0</v>
      </c>
      <c r="B12497" s="56" t="b">
        <v>0</v>
      </c>
      <c r="C12497" s="56" t="b">
        <v>0</v>
      </c>
      <c r="D12497" s="56" t="b">
        <v>0</v>
      </c>
      <c r="E12497" s="56">
        <f ca="1">IF(PV[[#This Row],[Business Date]]=Control!$C$6, PV[[#This Row],[Notional Value Local Cur]], -PV[[#This Row],[Notional Value Local Cur]])</f>
        <v>0</v>
      </c>
    </row>
    <row r="12498" spans="1:5" x14ac:dyDescent="0.25">
      <c r="A12498" s="36" t="b">
        <v>0</v>
      </c>
      <c r="B12498" s="56" t="b">
        <v>0</v>
      </c>
      <c r="C12498" s="56" t="b">
        <v>0</v>
      </c>
      <c r="D12498" s="56" t="b">
        <v>0</v>
      </c>
      <c r="E12498" s="56">
        <f ca="1">IF(PV[[#This Row],[Business Date]]=Control!$C$6, PV[[#This Row],[Notional Value Local Cur]], -PV[[#This Row],[Notional Value Local Cur]])</f>
        <v>0</v>
      </c>
    </row>
    <row r="12499" spans="1:5" x14ac:dyDescent="0.25">
      <c r="A12499" s="36" t="b">
        <v>0</v>
      </c>
      <c r="B12499" s="56" t="b">
        <v>0</v>
      </c>
      <c r="C12499" s="56" t="b">
        <v>0</v>
      </c>
      <c r="D12499" s="56" t="b">
        <v>0</v>
      </c>
      <c r="E12499" s="56">
        <f ca="1">IF(PV[[#This Row],[Business Date]]=Control!$C$6, PV[[#This Row],[Notional Value Local Cur]], -PV[[#This Row],[Notional Value Local Cur]])</f>
        <v>0</v>
      </c>
    </row>
    <row r="12500" spans="1:5" x14ac:dyDescent="0.25">
      <c r="A12500" s="36" t="b">
        <v>0</v>
      </c>
      <c r="B12500" s="56" t="b">
        <v>0</v>
      </c>
      <c r="C12500" s="56" t="b">
        <v>0</v>
      </c>
      <c r="D12500" s="56" t="b">
        <v>0</v>
      </c>
      <c r="E12500" s="56">
        <f ca="1">IF(PV[[#This Row],[Business Date]]=Control!$C$6, PV[[#This Row],[Notional Value Local Cur]], -PV[[#This Row],[Notional Value Local Cur]])</f>
        <v>0</v>
      </c>
    </row>
    <row r="12501" spans="1:5" x14ac:dyDescent="0.25">
      <c r="A12501" s="36" t="b">
        <v>0</v>
      </c>
      <c r="B12501" s="56" t="b">
        <v>0</v>
      </c>
      <c r="C12501" s="56" t="b">
        <v>0</v>
      </c>
      <c r="D12501" s="56" t="b">
        <v>0</v>
      </c>
      <c r="E12501" s="56">
        <f ca="1">IF(PV[[#This Row],[Business Date]]=Control!$C$6, PV[[#This Row],[Notional Value Local Cur]], -PV[[#This Row],[Notional Value Local Cur]])</f>
        <v>0</v>
      </c>
    </row>
    <row r="12502" spans="1:5" x14ac:dyDescent="0.25">
      <c r="A12502" s="36" t="b">
        <v>0</v>
      </c>
      <c r="B12502" s="56" t="b">
        <v>0</v>
      </c>
      <c r="C12502" s="56" t="b">
        <v>0</v>
      </c>
      <c r="D12502" s="56" t="b">
        <v>0</v>
      </c>
      <c r="E12502" s="56">
        <f ca="1">IF(PV[[#This Row],[Business Date]]=Control!$C$6, PV[[#This Row],[Notional Value Local Cur]], -PV[[#This Row],[Notional Value Local Cur]])</f>
        <v>0</v>
      </c>
    </row>
    <row r="12503" spans="1:5" x14ac:dyDescent="0.25">
      <c r="A12503" s="36" t="b">
        <v>0</v>
      </c>
      <c r="B12503" s="56" t="b">
        <v>0</v>
      </c>
      <c r="C12503" s="56" t="b">
        <v>0</v>
      </c>
      <c r="D12503" s="56" t="b">
        <v>0</v>
      </c>
      <c r="E12503" s="56">
        <f ca="1">IF(PV[[#This Row],[Business Date]]=Control!$C$6, PV[[#This Row],[Notional Value Local Cur]], -PV[[#This Row],[Notional Value Local Cur]])</f>
        <v>0</v>
      </c>
    </row>
    <row r="12504" spans="1:5" x14ac:dyDescent="0.25">
      <c r="A12504" s="36" t="b">
        <v>0</v>
      </c>
      <c r="B12504" s="56" t="b">
        <v>0</v>
      </c>
      <c r="C12504" s="56" t="b">
        <v>0</v>
      </c>
      <c r="D12504" s="56" t="b">
        <v>0</v>
      </c>
      <c r="E12504" s="56">
        <f ca="1">IF(PV[[#This Row],[Business Date]]=Control!$C$6, PV[[#This Row],[Notional Value Local Cur]], -PV[[#This Row],[Notional Value Local Cur]])</f>
        <v>0</v>
      </c>
    </row>
    <row r="12505" spans="1:5" x14ac:dyDescent="0.25">
      <c r="A12505" s="36" t="b">
        <v>0</v>
      </c>
      <c r="B12505" s="56" t="b">
        <v>0</v>
      </c>
      <c r="C12505" s="56" t="b">
        <v>0</v>
      </c>
      <c r="D12505" s="56" t="b">
        <v>0</v>
      </c>
      <c r="E12505" s="56">
        <f ca="1">IF(PV[[#This Row],[Business Date]]=Control!$C$6, PV[[#This Row],[Notional Value Local Cur]], -PV[[#This Row],[Notional Value Local Cur]])</f>
        <v>0</v>
      </c>
    </row>
    <row r="12506" spans="1:5" x14ac:dyDescent="0.25">
      <c r="A12506" s="36" t="b">
        <v>0</v>
      </c>
      <c r="B12506" s="56" t="b">
        <v>0</v>
      </c>
      <c r="C12506" s="56" t="b">
        <v>0</v>
      </c>
      <c r="D12506" s="56" t="b">
        <v>0</v>
      </c>
      <c r="E12506" s="56">
        <f ca="1">IF(PV[[#This Row],[Business Date]]=Control!$C$6, PV[[#This Row],[Notional Value Local Cur]], -PV[[#This Row],[Notional Value Local Cur]])</f>
        <v>0</v>
      </c>
    </row>
    <row r="12507" spans="1:5" x14ac:dyDescent="0.25">
      <c r="A12507" s="36" t="b">
        <v>0</v>
      </c>
      <c r="B12507" s="56" t="b">
        <v>0</v>
      </c>
      <c r="C12507" s="56" t="b">
        <v>0</v>
      </c>
      <c r="D12507" s="56" t="b">
        <v>0</v>
      </c>
      <c r="E12507" s="56">
        <f ca="1">IF(PV[[#This Row],[Business Date]]=Control!$C$6, PV[[#This Row],[Notional Value Local Cur]], -PV[[#This Row],[Notional Value Local Cur]])</f>
        <v>0</v>
      </c>
    </row>
    <row r="12508" spans="1:5" x14ac:dyDescent="0.25">
      <c r="A12508" s="36" t="b">
        <v>0</v>
      </c>
      <c r="B12508" s="56" t="b">
        <v>0</v>
      </c>
      <c r="C12508" s="56" t="b">
        <v>0</v>
      </c>
      <c r="D12508" s="56" t="b">
        <v>0</v>
      </c>
      <c r="E12508" s="56">
        <f ca="1">IF(PV[[#This Row],[Business Date]]=Control!$C$6, PV[[#This Row],[Notional Value Local Cur]], -PV[[#This Row],[Notional Value Local Cur]])</f>
        <v>0</v>
      </c>
    </row>
    <row r="12509" spans="1:5" x14ac:dyDescent="0.25">
      <c r="A12509" s="36" t="b">
        <v>0</v>
      </c>
      <c r="B12509" s="56" t="b">
        <v>0</v>
      </c>
      <c r="C12509" s="56" t="b">
        <v>0</v>
      </c>
      <c r="D12509" s="56" t="b">
        <v>0</v>
      </c>
      <c r="E12509" s="56">
        <f ca="1">IF(PV[[#This Row],[Business Date]]=Control!$C$6, PV[[#This Row],[Notional Value Local Cur]], -PV[[#This Row],[Notional Value Local Cur]])</f>
        <v>0</v>
      </c>
    </row>
    <row r="12510" spans="1:5" x14ac:dyDescent="0.25">
      <c r="A12510" s="36" t="b">
        <v>0</v>
      </c>
      <c r="B12510" s="56" t="b">
        <v>0</v>
      </c>
      <c r="C12510" s="56" t="b">
        <v>0</v>
      </c>
      <c r="D12510" s="56" t="b">
        <v>0</v>
      </c>
      <c r="E12510" s="56">
        <f ca="1">IF(PV[[#This Row],[Business Date]]=Control!$C$6, PV[[#This Row],[Notional Value Local Cur]], -PV[[#This Row],[Notional Value Local Cur]])</f>
        <v>0</v>
      </c>
    </row>
    <row r="12511" spans="1:5" x14ac:dyDescent="0.25">
      <c r="A12511" s="36" t="b">
        <v>0</v>
      </c>
      <c r="B12511" s="56" t="b">
        <v>0</v>
      </c>
      <c r="C12511" s="56" t="b">
        <v>0</v>
      </c>
      <c r="D12511" s="56" t="b">
        <v>0</v>
      </c>
      <c r="E12511" s="56">
        <f ca="1">IF(PV[[#This Row],[Business Date]]=Control!$C$6, PV[[#This Row],[Notional Value Local Cur]], -PV[[#This Row],[Notional Value Local Cur]])</f>
        <v>0</v>
      </c>
    </row>
    <row r="12512" spans="1:5" x14ac:dyDescent="0.25">
      <c r="A12512" s="36" t="b">
        <v>0</v>
      </c>
      <c r="B12512" s="56" t="b">
        <v>0</v>
      </c>
      <c r="C12512" s="56" t="b">
        <v>0</v>
      </c>
      <c r="D12512" s="56" t="b">
        <v>0</v>
      </c>
      <c r="E12512" s="56">
        <f ca="1">IF(PV[[#This Row],[Business Date]]=Control!$C$6, PV[[#This Row],[Notional Value Local Cur]], -PV[[#This Row],[Notional Value Local Cur]])</f>
        <v>0</v>
      </c>
    </row>
    <row r="12513" spans="1:5" x14ac:dyDescent="0.25">
      <c r="A12513" s="36" t="b">
        <v>0</v>
      </c>
      <c r="B12513" s="56" t="b">
        <v>0</v>
      </c>
      <c r="C12513" s="56" t="b">
        <v>0</v>
      </c>
      <c r="D12513" s="56" t="b">
        <v>0</v>
      </c>
      <c r="E12513" s="56">
        <f ca="1">IF(PV[[#This Row],[Business Date]]=Control!$C$6, PV[[#This Row],[Notional Value Local Cur]], -PV[[#This Row],[Notional Value Local Cur]])</f>
        <v>0</v>
      </c>
    </row>
    <row r="12514" spans="1:5" x14ac:dyDescent="0.25">
      <c r="A12514" s="36" t="b">
        <v>0</v>
      </c>
      <c r="B12514" s="56" t="b">
        <v>0</v>
      </c>
      <c r="C12514" s="56" t="b">
        <v>0</v>
      </c>
      <c r="D12514" s="56" t="b">
        <v>0</v>
      </c>
      <c r="E12514" s="56">
        <f ca="1">IF(PV[[#This Row],[Business Date]]=Control!$C$6, PV[[#This Row],[Notional Value Local Cur]], -PV[[#This Row],[Notional Value Local Cur]])</f>
        <v>0</v>
      </c>
    </row>
    <row r="12515" spans="1:5" x14ac:dyDescent="0.25">
      <c r="A12515" s="36" t="b">
        <v>0</v>
      </c>
      <c r="B12515" s="56" t="b">
        <v>0</v>
      </c>
      <c r="C12515" s="56" t="b">
        <v>0</v>
      </c>
      <c r="D12515" s="56" t="b">
        <v>0</v>
      </c>
      <c r="E12515" s="56">
        <f ca="1">IF(PV[[#This Row],[Business Date]]=Control!$C$6, PV[[#This Row],[Notional Value Local Cur]], -PV[[#This Row],[Notional Value Local Cur]])</f>
        <v>0</v>
      </c>
    </row>
    <row r="12516" spans="1:5" x14ac:dyDescent="0.25">
      <c r="A12516" s="36" t="b">
        <v>0</v>
      </c>
      <c r="B12516" s="56" t="b">
        <v>0</v>
      </c>
      <c r="C12516" s="56" t="b">
        <v>0</v>
      </c>
      <c r="D12516" s="56" t="b">
        <v>0</v>
      </c>
      <c r="E12516" s="56">
        <f ca="1">IF(PV[[#This Row],[Business Date]]=Control!$C$6, PV[[#This Row],[Notional Value Local Cur]], -PV[[#This Row],[Notional Value Local Cur]])</f>
        <v>0</v>
      </c>
    </row>
    <row r="12517" spans="1:5" x14ac:dyDescent="0.25">
      <c r="A12517" s="36" t="b">
        <v>0</v>
      </c>
      <c r="B12517" s="56" t="b">
        <v>0</v>
      </c>
      <c r="C12517" s="56" t="b">
        <v>0</v>
      </c>
      <c r="D12517" s="56" t="b">
        <v>0</v>
      </c>
      <c r="E12517" s="56">
        <f ca="1">IF(PV[[#This Row],[Business Date]]=Control!$C$6, PV[[#This Row],[Notional Value Local Cur]], -PV[[#This Row],[Notional Value Local Cur]])</f>
        <v>0</v>
      </c>
    </row>
    <row r="12518" spans="1:5" x14ac:dyDescent="0.25">
      <c r="A12518" s="36" t="b">
        <v>0</v>
      </c>
      <c r="B12518" s="56" t="b">
        <v>0</v>
      </c>
      <c r="C12518" s="56" t="b">
        <v>0</v>
      </c>
      <c r="D12518" s="56" t="b">
        <v>0</v>
      </c>
      <c r="E12518" s="56">
        <f ca="1">IF(PV[[#This Row],[Business Date]]=Control!$C$6, PV[[#This Row],[Notional Value Local Cur]], -PV[[#This Row],[Notional Value Local Cur]])</f>
        <v>0</v>
      </c>
    </row>
    <row r="12519" spans="1:5" x14ac:dyDescent="0.25">
      <c r="A12519" s="36" t="b">
        <v>0</v>
      </c>
      <c r="B12519" s="56" t="b">
        <v>0</v>
      </c>
      <c r="C12519" s="56" t="b">
        <v>0</v>
      </c>
      <c r="D12519" s="56" t="b">
        <v>0</v>
      </c>
      <c r="E12519" s="56">
        <f ca="1">IF(PV[[#This Row],[Business Date]]=Control!$C$6, PV[[#This Row],[Notional Value Local Cur]], -PV[[#This Row],[Notional Value Local Cur]])</f>
        <v>0</v>
      </c>
    </row>
    <row r="12520" spans="1:5" x14ac:dyDescent="0.25">
      <c r="A12520" s="36" t="b">
        <v>0</v>
      </c>
      <c r="B12520" s="56" t="b">
        <v>0</v>
      </c>
      <c r="C12520" s="56" t="b">
        <v>0</v>
      </c>
      <c r="D12520" s="56" t="b">
        <v>0</v>
      </c>
      <c r="E12520" s="56">
        <f ca="1">IF(PV[[#This Row],[Business Date]]=Control!$C$6, PV[[#This Row],[Notional Value Local Cur]], -PV[[#This Row],[Notional Value Local Cur]])</f>
        <v>0</v>
      </c>
    </row>
    <row r="12521" spans="1:5" x14ac:dyDescent="0.25">
      <c r="A12521" s="36" t="b">
        <v>0</v>
      </c>
      <c r="B12521" s="56" t="b">
        <v>0</v>
      </c>
      <c r="C12521" s="56" t="b">
        <v>0</v>
      </c>
      <c r="D12521" s="56" t="b">
        <v>0</v>
      </c>
      <c r="E12521" s="56">
        <f ca="1">IF(PV[[#This Row],[Business Date]]=Control!$C$6, PV[[#This Row],[Notional Value Local Cur]], -PV[[#This Row],[Notional Value Local Cur]])</f>
        <v>0</v>
      </c>
    </row>
    <row r="12522" spans="1:5" x14ac:dyDescent="0.25">
      <c r="A12522" s="36" t="b">
        <v>0</v>
      </c>
      <c r="B12522" s="56" t="b">
        <v>0</v>
      </c>
      <c r="C12522" s="56" t="b">
        <v>0</v>
      </c>
      <c r="D12522" s="56" t="b">
        <v>0</v>
      </c>
      <c r="E12522" s="56">
        <f ca="1">IF(PV[[#This Row],[Business Date]]=Control!$C$6, PV[[#This Row],[Notional Value Local Cur]], -PV[[#This Row],[Notional Value Local Cur]])</f>
        <v>0</v>
      </c>
    </row>
    <row r="12523" spans="1:5" x14ac:dyDescent="0.25">
      <c r="A12523" s="36" t="b">
        <v>0</v>
      </c>
      <c r="B12523" s="56" t="b">
        <v>0</v>
      </c>
      <c r="C12523" s="56" t="b">
        <v>0</v>
      </c>
      <c r="D12523" s="56" t="b">
        <v>0</v>
      </c>
      <c r="E12523" s="56">
        <f ca="1">IF(PV[[#This Row],[Business Date]]=Control!$C$6, PV[[#This Row],[Notional Value Local Cur]], -PV[[#This Row],[Notional Value Local Cur]])</f>
        <v>0</v>
      </c>
    </row>
    <row r="12524" spans="1:5" x14ac:dyDescent="0.25">
      <c r="A12524" s="36" t="b">
        <v>0</v>
      </c>
      <c r="B12524" s="56" t="b">
        <v>0</v>
      </c>
      <c r="C12524" s="56" t="b">
        <v>0</v>
      </c>
      <c r="D12524" s="56" t="b">
        <v>0</v>
      </c>
      <c r="E12524" s="56">
        <f ca="1">IF(PV[[#This Row],[Business Date]]=Control!$C$6, PV[[#This Row],[Notional Value Local Cur]], -PV[[#This Row],[Notional Value Local Cur]])</f>
        <v>0</v>
      </c>
    </row>
    <row r="12525" spans="1:5" x14ac:dyDescent="0.25">
      <c r="A12525" s="36" t="b">
        <v>0</v>
      </c>
      <c r="B12525" s="56" t="b">
        <v>0</v>
      </c>
      <c r="C12525" s="56" t="b">
        <v>0</v>
      </c>
      <c r="D12525" s="56" t="b">
        <v>0</v>
      </c>
      <c r="E12525" s="56">
        <f ca="1">IF(PV[[#This Row],[Business Date]]=Control!$C$6, PV[[#This Row],[Notional Value Local Cur]], -PV[[#This Row],[Notional Value Local Cur]])</f>
        <v>0</v>
      </c>
    </row>
    <row r="12526" spans="1:5" x14ac:dyDescent="0.25">
      <c r="A12526" s="36" t="b">
        <v>0</v>
      </c>
      <c r="B12526" s="56" t="b">
        <v>0</v>
      </c>
      <c r="C12526" s="56" t="b">
        <v>0</v>
      </c>
      <c r="D12526" s="56" t="b">
        <v>0</v>
      </c>
      <c r="E12526" s="56">
        <f ca="1">IF(PV[[#This Row],[Business Date]]=Control!$C$6, PV[[#This Row],[Notional Value Local Cur]], -PV[[#This Row],[Notional Value Local Cur]])</f>
        <v>0</v>
      </c>
    </row>
    <row r="12527" spans="1:5" x14ac:dyDescent="0.25">
      <c r="A12527" s="36" t="b">
        <v>0</v>
      </c>
      <c r="B12527" s="56" t="b">
        <v>0</v>
      </c>
      <c r="C12527" s="56" t="b">
        <v>0</v>
      </c>
      <c r="D12527" s="56" t="b">
        <v>0</v>
      </c>
      <c r="E12527" s="56">
        <f ca="1">IF(PV[[#This Row],[Business Date]]=Control!$C$6, PV[[#This Row],[Notional Value Local Cur]], -PV[[#This Row],[Notional Value Local Cur]])</f>
        <v>0</v>
      </c>
    </row>
    <row r="12528" spans="1:5" x14ac:dyDescent="0.25">
      <c r="A12528" s="36" t="b">
        <v>0</v>
      </c>
      <c r="B12528" s="56" t="b">
        <v>0</v>
      </c>
      <c r="C12528" s="56" t="b">
        <v>0</v>
      </c>
      <c r="D12528" s="56" t="b">
        <v>0</v>
      </c>
      <c r="E12528" s="56">
        <f ca="1">IF(PV[[#This Row],[Business Date]]=Control!$C$6, PV[[#This Row],[Notional Value Local Cur]], -PV[[#This Row],[Notional Value Local Cur]])</f>
        <v>0</v>
      </c>
    </row>
    <row r="12529" spans="1:5" x14ac:dyDescent="0.25">
      <c r="A12529" s="36" t="b">
        <v>0</v>
      </c>
      <c r="B12529" s="56" t="b">
        <v>0</v>
      </c>
      <c r="C12529" s="56" t="b">
        <v>0</v>
      </c>
      <c r="D12529" s="56" t="b">
        <v>0</v>
      </c>
      <c r="E12529" s="56">
        <f ca="1">IF(PV[[#This Row],[Business Date]]=Control!$C$6, PV[[#This Row],[Notional Value Local Cur]], -PV[[#This Row],[Notional Value Local Cur]])</f>
        <v>0</v>
      </c>
    </row>
    <row r="12530" spans="1:5" x14ac:dyDescent="0.25">
      <c r="A12530" s="36" t="b">
        <v>0</v>
      </c>
      <c r="B12530" s="56" t="b">
        <v>0</v>
      </c>
      <c r="C12530" s="56" t="b">
        <v>0</v>
      </c>
      <c r="D12530" s="56" t="b">
        <v>0</v>
      </c>
      <c r="E12530" s="56">
        <f ca="1">IF(PV[[#This Row],[Business Date]]=Control!$C$6, PV[[#This Row],[Notional Value Local Cur]], -PV[[#This Row],[Notional Value Local Cur]])</f>
        <v>0</v>
      </c>
    </row>
    <row r="12531" spans="1:5" x14ac:dyDescent="0.25">
      <c r="A12531" s="36" t="b">
        <v>0</v>
      </c>
      <c r="B12531" s="56" t="b">
        <v>0</v>
      </c>
      <c r="C12531" s="56" t="b">
        <v>0</v>
      </c>
      <c r="D12531" s="56" t="b">
        <v>0</v>
      </c>
      <c r="E12531" s="56">
        <f ca="1">IF(PV[[#This Row],[Business Date]]=Control!$C$6, PV[[#This Row],[Notional Value Local Cur]], -PV[[#This Row],[Notional Value Local Cur]])</f>
        <v>0</v>
      </c>
    </row>
    <row r="12532" spans="1:5" x14ac:dyDescent="0.25">
      <c r="A12532" s="36" t="b">
        <v>0</v>
      </c>
      <c r="B12532" s="56" t="b">
        <v>0</v>
      </c>
      <c r="C12532" s="56" t="b">
        <v>0</v>
      </c>
      <c r="D12532" s="56" t="b">
        <v>0</v>
      </c>
      <c r="E12532" s="56">
        <f ca="1">IF(PV[[#This Row],[Business Date]]=Control!$C$6, PV[[#This Row],[Notional Value Local Cur]], -PV[[#This Row],[Notional Value Local Cur]])</f>
        <v>0</v>
      </c>
    </row>
    <row r="12533" spans="1:5" x14ac:dyDescent="0.25">
      <c r="A12533" s="36" t="b">
        <v>0</v>
      </c>
      <c r="B12533" s="56" t="b">
        <v>0</v>
      </c>
      <c r="C12533" s="56" t="b">
        <v>0</v>
      </c>
      <c r="D12533" s="56" t="b">
        <v>0</v>
      </c>
      <c r="E12533" s="56">
        <f ca="1">IF(PV[[#This Row],[Business Date]]=Control!$C$6, PV[[#This Row],[Notional Value Local Cur]], -PV[[#This Row],[Notional Value Local Cur]])</f>
        <v>0</v>
      </c>
    </row>
    <row r="12534" spans="1:5" x14ac:dyDescent="0.25">
      <c r="A12534" s="36" t="b">
        <v>0</v>
      </c>
      <c r="B12534" s="56" t="b">
        <v>0</v>
      </c>
      <c r="C12534" s="56" t="b">
        <v>0</v>
      </c>
      <c r="D12534" s="56" t="b">
        <v>0</v>
      </c>
      <c r="E12534" s="56">
        <f ca="1">IF(PV[[#This Row],[Business Date]]=Control!$C$6, PV[[#This Row],[Notional Value Local Cur]], -PV[[#This Row],[Notional Value Local Cur]])</f>
        <v>0</v>
      </c>
    </row>
    <row r="12535" spans="1:5" x14ac:dyDescent="0.25">
      <c r="A12535" s="36" t="b">
        <v>0</v>
      </c>
      <c r="B12535" s="56" t="b">
        <v>0</v>
      </c>
      <c r="C12535" s="56" t="b">
        <v>0</v>
      </c>
      <c r="D12535" s="56" t="b">
        <v>0</v>
      </c>
      <c r="E12535" s="56">
        <f ca="1">IF(PV[[#This Row],[Business Date]]=Control!$C$6, PV[[#This Row],[Notional Value Local Cur]], -PV[[#This Row],[Notional Value Local Cur]])</f>
        <v>0</v>
      </c>
    </row>
    <row r="12536" spans="1:5" x14ac:dyDescent="0.25">
      <c r="A12536" s="36" t="b">
        <v>0</v>
      </c>
      <c r="B12536" s="56" t="b">
        <v>0</v>
      </c>
      <c r="C12536" s="56" t="b">
        <v>0</v>
      </c>
      <c r="D12536" s="56" t="b">
        <v>0</v>
      </c>
      <c r="E12536" s="56">
        <f ca="1">IF(PV[[#This Row],[Business Date]]=Control!$C$6, PV[[#This Row],[Notional Value Local Cur]], -PV[[#This Row],[Notional Value Local Cur]])</f>
        <v>0</v>
      </c>
    </row>
    <row r="12537" spans="1:5" x14ac:dyDescent="0.25">
      <c r="A12537" s="36" t="b">
        <v>0</v>
      </c>
      <c r="B12537" s="56" t="b">
        <v>0</v>
      </c>
      <c r="C12537" s="56" t="b">
        <v>0</v>
      </c>
      <c r="D12537" s="56" t="b">
        <v>0</v>
      </c>
      <c r="E12537" s="56">
        <f ca="1">IF(PV[[#This Row],[Business Date]]=Control!$C$6, PV[[#This Row],[Notional Value Local Cur]], -PV[[#This Row],[Notional Value Local Cur]])</f>
        <v>0</v>
      </c>
    </row>
    <row r="12538" spans="1:5" x14ac:dyDescent="0.25">
      <c r="A12538" s="36" t="b">
        <v>0</v>
      </c>
      <c r="B12538" s="56" t="b">
        <v>0</v>
      </c>
      <c r="C12538" s="56" t="b">
        <v>0</v>
      </c>
      <c r="D12538" s="56" t="b">
        <v>0</v>
      </c>
      <c r="E12538" s="56">
        <f ca="1">IF(PV[[#This Row],[Business Date]]=Control!$C$6, PV[[#This Row],[Notional Value Local Cur]], -PV[[#This Row],[Notional Value Local Cur]])</f>
        <v>0</v>
      </c>
    </row>
    <row r="12539" spans="1:5" x14ac:dyDescent="0.25">
      <c r="A12539" s="36" t="b">
        <v>0</v>
      </c>
      <c r="B12539" s="56" t="b">
        <v>0</v>
      </c>
      <c r="C12539" s="56" t="b">
        <v>0</v>
      </c>
      <c r="D12539" s="56" t="b">
        <v>0</v>
      </c>
      <c r="E12539" s="56">
        <f ca="1">IF(PV[[#This Row],[Business Date]]=Control!$C$6, PV[[#This Row],[Notional Value Local Cur]], -PV[[#This Row],[Notional Value Local Cur]])</f>
        <v>0</v>
      </c>
    </row>
    <row r="12540" spans="1:5" x14ac:dyDescent="0.25">
      <c r="A12540" s="36" t="b">
        <v>0</v>
      </c>
      <c r="B12540" s="56" t="b">
        <v>0</v>
      </c>
      <c r="C12540" s="56" t="b">
        <v>0</v>
      </c>
      <c r="D12540" s="56" t="b">
        <v>0</v>
      </c>
      <c r="E12540" s="56">
        <f ca="1">IF(PV[[#This Row],[Business Date]]=Control!$C$6, PV[[#This Row],[Notional Value Local Cur]], -PV[[#This Row],[Notional Value Local Cur]])</f>
        <v>0</v>
      </c>
    </row>
    <row r="12541" spans="1:5" x14ac:dyDescent="0.25">
      <c r="A12541" s="36" t="b">
        <v>0</v>
      </c>
      <c r="B12541" s="56" t="b">
        <v>0</v>
      </c>
      <c r="C12541" s="56" t="b">
        <v>0</v>
      </c>
      <c r="D12541" s="56" t="b">
        <v>0</v>
      </c>
      <c r="E12541" s="56">
        <f ca="1">IF(PV[[#This Row],[Business Date]]=Control!$C$6, PV[[#This Row],[Notional Value Local Cur]], -PV[[#This Row],[Notional Value Local Cur]])</f>
        <v>0</v>
      </c>
    </row>
    <row r="12542" spans="1:5" x14ac:dyDescent="0.25">
      <c r="A12542" s="36" t="b">
        <v>0</v>
      </c>
      <c r="B12542" s="56" t="b">
        <v>0</v>
      </c>
      <c r="C12542" s="56" t="b">
        <v>0</v>
      </c>
      <c r="D12542" s="56" t="b">
        <v>0</v>
      </c>
      <c r="E12542" s="56">
        <f ca="1">IF(PV[[#This Row],[Business Date]]=Control!$C$6, PV[[#This Row],[Notional Value Local Cur]], -PV[[#This Row],[Notional Value Local Cur]])</f>
        <v>0</v>
      </c>
    </row>
    <row r="12543" spans="1:5" x14ac:dyDescent="0.25">
      <c r="A12543" s="36" t="b">
        <v>0</v>
      </c>
      <c r="B12543" s="56" t="b">
        <v>0</v>
      </c>
      <c r="C12543" s="56" t="b">
        <v>0</v>
      </c>
      <c r="D12543" s="56" t="b">
        <v>0</v>
      </c>
      <c r="E12543" s="56">
        <f ca="1">IF(PV[[#This Row],[Business Date]]=Control!$C$6, PV[[#This Row],[Notional Value Local Cur]], -PV[[#This Row],[Notional Value Local Cur]])</f>
        <v>0</v>
      </c>
    </row>
    <row r="12544" spans="1:5" x14ac:dyDescent="0.25">
      <c r="A12544" s="36" t="b">
        <v>0</v>
      </c>
      <c r="B12544" s="56" t="b">
        <v>0</v>
      </c>
      <c r="C12544" s="56" t="b">
        <v>0</v>
      </c>
      <c r="D12544" s="56" t="b">
        <v>0</v>
      </c>
      <c r="E12544" s="56">
        <f ca="1">IF(PV[[#This Row],[Business Date]]=Control!$C$6, PV[[#This Row],[Notional Value Local Cur]], -PV[[#This Row],[Notional Value Local Cur]])</f>
        <v>0</v>
      </c>
    </row>
    <row r="12545" spans="1:5" x14ac:dyDescent="0.25">
      <c r="A12545" s="36" t="b">
        <v>0</v>
      </c>
      <c r="B12545" s="56" t="b">
        <v>0</v>
      </c>
      <c r="C12545" s="56" t="b">
        <v>0</v>
      </c>
      <c r="D12545" s="56" t="b">
        <v>0</v>
      </c>
      <c r="E12545" s="56">
        <f ca="1">IF(PV[[#This Row],[Business Date]]=Control!$C$6, PV[[#This Row],[Notional Value Local Cur]], -PV[[#This Row],[Notional Value Local Cur]])</f>
        <v>0</v>
      </c>
    </row>
    <row r="12546" spans="1:5" x14ac:dyDescent="0.25">
      <c r="A12546" s="36" t="b">
        <v>0</v>
      </c>
      <c r="B12546" s="56" t="b">
        <v>0</v>
      </c>
      <c r="C12546" s="56" t="b">
        <v>0</v>
      </c>
      <c r="D12546" s="56" t="b">
        <v>0</v>
      </c>
      <c r="E12546" s="56">
        <f ca="1">IF(PV[[#This Row],[Business Date]]=Control!$C$6, PV[[#This Row],[Notional Value Local Cur]], -PV[[#This Row],[Notional Value Local Cur]])</f>
        <v>0</v>
      </c>
    </row>
    <row r="12547" spans="1:5" x14ac:dyDescent="0.25">
      <c r="A12547" s="36" t="b">
        <v>0</v>
      </c>
      <c r="B12547" s="56" t="b">
        <v>0</v>
      </c>
      <c r="C12547" s="56" t="b">
        <v>0</v>
      </c>
      <c r="D12547" s="56" t="b">
        <v>0</v>
      </c>
      <c r="E12547" s="56">
        <f ca="1">IF(PV[[#This Row],[Business Date]]=Control!$C$6, PV[[#This Row],[Notional Value Local Cur]], -PV[[#This Row],[Notional Value Local Cur]])</f>
        <v>0</v>
      </c>
    </row>
    <row r="12548" spans="1:5" x14ac:dyDescent="0.25">
      <c r="A12548" s="36" t="b">
        <v>0</v>
      </c>
      <c r="B12548" s="56" t="b">
        <v>0</v>
      </c>
      <c r="C12548" s="56" t="b">
        <v>0</v>
      </c>
      <c r="D12548" s="56" t="b">
        <v>0</v>
      </c>
      <c r="E12548" s="56">
        <f ca="1">IF(PV[[#This Row],[Business Date]]=Control!$C$6, PV[[#This Row],[Notional Value Local Cur]], -PV[[#This Row],[Notional Value Local Cur]])</f>
        <v>0</v>
      </c>
    </row>
    <row r="12549" spans="1:5" x14ac:dyDescent="0.25">
      <c r="A12549" s="36" t="b">
        <v>0</v>
      </c>
      <c r="B12549" s="56" t="b">
        <v>0</v>
      </c>
      <c r="C12549" s="56" t="b">
        <v>0</v>
      </c>
      <c r="D12549" s="56" t="b">
        <v>0</v>
      </c>
      <c r="E12549" s="56">
        <f ca="1">IF(PV[[#This Row],[Business Date]]=Control!$C$6, PV[[#This Row],[Notional Value Local Cur]], -PV[[#This Row],[Notional Value Local Cur]])</f>
        <v>0</v>
      </c>
    </row>
    <row r="12550" spans="1:5" x14ac:dyDescent="0.25">
      <c r="A12550" s="36" t="b">
        <v>0</v>
      </c>
      <c r="B12550" s="56" t="b">
        <v>0</v>
      </c>
      <c r="C12550" s="56" t="b">
        <v>0</v>
      </c>
      <c r="D12550" s="56" t="b">
        <v>0</v>
      </c>
      <c r="E12550" s="56">
        <f ca="1">IF(PV[[#This Row],[Business Date]]=Control!$C$6, PV[[#This Row],[Notional Value Local Cur]], -PV[[#This Row],[Notional Value Local Cur]])</f>
        <v>0</v>
      </c>
    </row>
    <row r="12551" spans="1:5" x14ac:dyDescent="0.25">
      <c r="A12551" s="36" t="b">
        <v>0</v>
      </c>
      <c r="B12551" s="56" t="b">
        <v>0</v>
      </c>
      <c r="C12551" s="56" t="b">
        <v>0</v>
      </c>
      <c r="D12551" s="56" t="b">
        <v>0</v>
      </c>
      <c r="E12551" s="56">
        <f ca="1">IF(PV[[#This Row],[Business Date]]=Control!$C$6, PV[[#This Row],[Notional Value Local Cur]], -PV[[#This Row],[Notional Value Local Cur]])</f>
        <v>0</v>
      </c>
    </row>
    <row r="12552" spans="1:5" x14ac:dyDescent="0.25">
      <c r="A12552" s="36" t="b">
        <v>0</v>
      </c>
      <c r="B12552" s="56" t="b">
        <v>0</v>
      </c>
      <c r="C12552" s="56" t="b">
        <v>0</v>
      </c>
      <c r="D12552" s="56" t="b">
        <v>0</v>
      </c>
      <c r="E12552" s="56">
        <f ca="1">IF(PV[[#This Row],[Business Date]]=Control!$C$6, PV[[#This Row],[Notional Value Local Cur]], -PV[[#This Row],[Notional Value Local Cur]])</f>
        <v>0</v>
      </c>
    </row>
    <row r="12553" spans="1:5" x14ac:dyDescent="0.25">
      <c r="A12553" s="36" t="b">
        <v>0</v>
      </c>
      <c r="B12553" s="56" t="b">
        <v>0</v>
      </c>
      <c r="C12553" s="56" t="b">
        <v>0</v>
      </c>
      <c r="D12553" s="56" t="b">
        <v>0</v>
      </c>
      <c r="E12553" s="56">
        <f ca="1">IF(PV[[#This Row],[Business Date]]=Control!$C$6, PV[[#This Row],[Notional Value Local Cur]], -PV[[#This Row],[Notional Value Local Cur]])</f>
        <v>0</v>
      </c>
    </row>
    <row r="12554" spans="1:5" x14ac:dyDescent="0.25">
      <c r="A12554" s="36" t="b">
        <v>0</v>
      </c>
      <c r="B12554" s="56" t="b">
        <v>0</v>
      </c>
      <c r="C12554" s="56" t="b">
        <v>0</v>
      </c>
      <c r="D12554" s="56" t="b">
        <v>0</v>
      </c>
      <c r="E12554" s="56">
        <f ca="1">IF(PV[[#This Row],[Business Date]]=Control!$C$6, PV[[#This Row],[Notional Value Local Cur]], -PV[[#This Row],[Notional Value Local Cur]])</f>
        <v>0</v>
      </c>
    </row>
    <row r="12555" spans="1:5" x14ac:dyDescent="0.25">
      <c r="A12555" s="36" t="b">
        <v>0</v>
      </c>
      <c r="B12555" s="56" t="b">
        <v>0</v>
      </c>
      <c r="C12555" s="56" t="b">
        <v>0</v>
      </c>
      <c r="D12555" s="56" t="b">
        <v>0</v>
      </c>
      <c r="E12555" s="56">
        <f ca="1">IF(PV[[#This Row],[Business Date]]=Control!$C$6, PV[[#This Row],[Notional Value Local Cur]], -PV[[#This Row],[Notional Value Local Cur]])</f>
        <v>0</v>
      </c>
    </row>
    <row r="12556" spans="1:5" x14ac:dyDescent="0.25">
      <c r="A12556" s="36" t="b">
        <v>0</v>
      </c>
      <c r="B12556" s="56" t="b">
        <v>0</v>
      </c>
      <c r="C12556" s="56" t="b">
        <v>0</v>
      </c>
      <c r="D12556" s="56" t="b">
        <v>0</v>
      </c>
      <c r="E12556" s="56">
        <f ca="1">IF(PV[[#This Row],[Business Date]]=Control!$C$6, PV[[#This Row],[Notional Value Local Cur]], -PV[[#This Row],[Notional Value Local Cur]])</f>
        <v>0</v>
      </c>
    </row>
    <row r="12557" spans="1:5" x14ac:dyDescent="0.25">
      <c r="A12557" s="36" t="b">
        <v>0</v>
      </c>
      <c r="B12557" s="56" t="b">
        <v>0</v>
      </c>
      <c r="C12557" s="56" t="b">
        <v>0</v>
      </c>
      <c r="D12557" s="56" t="b">
        <v>0</v>
      </c>
      <c r="E12557" s="56">
        <f ca="1">IF(PV[[#This Row],[Business Date]]=Control!$C$6, PV[[#This Row],[Notional Value Local Cur]], -PV[[#This Row],[Notional Value Local Cur]])</f>
        <v>0</v>
      </c>
    </row>
    <row r="12558" spans="1:5" x14ac:dyDescent="0.25">
      <c r="A12558" s="36" t="b">
        <v>0</v>
      </c>
      <c r="B12558" s="56" t="b">
        <v>0</v>
      </c>
      <c r="C12558" s="56" t="b">
        <v>0</v>
      </c>
      <c r="D12558" s="56" t="b">
        <v>0</v>
      </c>
      <c r="E12558" s="56">
        <f ca="1">IF(PV[[#This Row],[Business Date]]=Control!$C$6, PV[[#This Row],[Notional Value Local Cur]], -PV[[#This Row],[Notional Value Local Cur]])</f>
        <v>0</v>
      </c>
    </row>
    <row r="12559" spans="1:5" x14ac:dyDescent="0.25">
      <c r="A12559" s="36" t="b">
        <v>0</v>
      </c>
      <c r="B12559" s="56" t="b">
        <v>0</v>
      </c>
      <c r="C12559" s="56" t="b">
        <v>0</v>
      </c>
      <c r="D12559" s="56" t="b">
        <v>0</v>
      </c>
      <c r="E12559" s="56">
        <f ca="1">IF(PV[[#This Row],[Business Date]]=Control!$C$6, PV[[#This Row],[Notional Value Local Cur]], -PV[[#This Row],[Notional Value Local Cur]])</f>
        <v>0</v>
      </c>
    </row>
    <row r="12560" spans="1:5" x14ac:dyDescent="0.25">
      <c r="A12560" s="36" t="b">
        <v>0</v>
      </c>
      <c r="B12560" s="56" t="b">
        <v>0</v>
      </c>
      <c r="C12560" s="56" t="b">
        <v>0</v>
      </c>
      <c r="D12560" s="56" t="b">
        <v>0</v>
      </c>
      <c r="E12560" s="56">
        <f ca="1">IF(PV[[#This Row],[Business Date]]=Control!$C$6, PV[[#This Row],[Notional Value Local Cur]], -PV[[#This Row],[Notional Value Local Cur]])</f>
        <v>0</v>
      </c>
    </row>
    <row r="12561" spans="1:5" x14ac:dyDescent="0.25">
      <c r="A12561" s="36" t="b">
        <v>0</v>
      </c>
      <c r="B12561" s="56" t="b">
        <v>0</v>
      </c>
      <c r="C12561" s="56" t="b">
        <v>0</v>
      </c>
      <c r="D12561" s="56" t="b">
        <v>0</v>
      </c>
      <c r="E12561" s="56">
        <f ca="1">IF(PV[[#This Row],[Business Date]]=Control!$C$6, PV[[#This Row],[Notional Value Local Cur]], -PV[[#This Row],[Notional Value Local Cur]])</f>
        <v>0</v>
      </c>
    </row>
    <row r="12562" spans="1:5" x14ac:dyDescent="0.25">
      <c r="A12562" s="36" t="b">
        <v>0</v>
      </c>
      <c r="B12562" s="56" t="b">
        <v>0</v>
      </c>
      <c r="C12562" s="56" t="b">
        <v>0</v>
      </c>
      <c r="D12562" s="56" t="b">
        <v>0</v>
      </c>
      <c r="E12562" s="56">
        <f ca="1">IF(PV[[#This Row],[Business Date]]=Control!$C$6, PV[[#This Row],[Notional Value Local Cur]], -PV[[#This Row],[Notional Value Local Cur]])</f>
        <v>0</v>
      </c>
    </row>
    <row r="12563" spans="1:5" x14ac:dyDescent="0.25">
      <c r="A12563" s="36" t="b">
        <v>0</v>
      </c>
      <c r="B12563" s="56" t="b">
        <v>0</v>
      </c>
      <c r="C12563" s="56" t="b">
        <v>0</v>
      </c>
      <c r="D12563" s="56" t="b">
        <v>0</v>
      </c>
      <c r="E12563" s="56">
        <f ca="1">IF(PV[[#This Row],[Business Date]]=Control!$C$6, PV[[#This Row],[Notional Value Local Cur]], -PV[[#This Row],[Notional Value Local Cur]])</f>
        <v>0</v>
      </c>
    </row>
    <row r="12564" spans="1:5" x14ac:dyDescent="0.25">
      <c r="A12564" s="36" t="b">
        <v>0</v>
      </c>
      <c r="B12564" s="56" t="b">
        <v>0</v>
      </c>
      <c r="C12564" s="56" t="b">
        <v>0</v>
      </c>
      <c r="D12564" s="56" t="b">
        <v>0</v>
      </c>
      <c r="E12564" s="56">
        <f ca="1">IF(PV[[#This Row],[Business Date]]=Control!$C$6, PV[[#This Row],[Notional Value Local Cur]], -PV[[#This Row],[Notional Value Local Cur]])</f>
        <v>0</v>
      </c>
    </row>
    <row r="12565" spans="1:5" x14ac:dyDescent="0.25">
      <c r="A12565" s="36" t="b">
        <v>0</v>
      </c>
      <c r="B12565" s="56" t="b">
        <v>0</v>
      </c>
      <c r="C12565" s="56" t="b">
        <v>0</v>
      </c>
      <c r="D12565" s="56" t="b">
        <v>0</v>
      </c>
      <c r="E12565" s="56">
        <f ca="1">IF(PV[[#This Row],[Business Date]]=Control!$C$6, PV[[#This Row],[Notional Value Local Cur]], -PV[[#This Row],[Notional Value Local Cur]])</f>
        <v>0</v>
      </c>
    </row>
    <row r="12566" spans="1:5" x14ac:dyDescent="0.25">
      <c r="A12566" s="36" t="b">
        <v>0</v>
      </c>
      <c r="B12566" s="56" t="b">
        <v>0</v>
      </c>
      <c r="C12566" s="56" t="b">
        <v>0</v>
      </c>
      <c r="D12566" s="56" t="b">
        <v>0</v>
      </c>
      <c r="E12566" s="56">
        <f ca="1">IF(PV[[#This Row],[Business Date]]=Control!$C$6, PV[[#This Row],[Notional Value Local Cur]], -PV[[#This Row],[Notional Value Local Cur]])</f>
        <v>0</v>
      </c>
    </row>
    <row r="12567" spans="1:5" x14ac:dyDescent="0.25">
      <c r="A12567" s="36" t="b">
        <v>0</v>
      </c>
      <c r="B12567" s="56" t="b">
        <v>0</v>
      </c>
      <c r="C12567" s="56" t="b">
        <v>0</v>
      </c>
      <c r="D12567" s="56" t="b">
        <v>0</v>
      </c>
      <c r="E12567" s="56">
        <f ca="1">IF(PV[[#This Row],[Business Date]]=Control!$C$6, PV[[#This Row],[Notional Value Local Cur]], -PV[[#This Row],[Notional Value Local Cur]])</f>
        <v>0</v>
      </c>
    </row>
    <row r="12568" spans="1:5" x14ac:dyDescent="0.25">
      <c r="A12568" s="36" t="b">
        <v>0</v>
      </c>
      <c r="B12568" s="56" t="b">
        <v>0</v>
      </c>
      <c r="C12568" s="56" t="b">
        <v>0</v>
      </c>
      <c r="D12568" s="56" t="b">
        <v>0</v>
      </c>
      <c r="E12568" s="56">
        <f ca="1">IF(PV[[#This Row],[Business Date]]=Control!$C$6, PV[[#This Row],[Notional Value Local Cur]], -PV[[#This Row],[Notional Value Local Cur]])</f>
        <v>0</v>
      </c>
    </row>
    <row r="12569" spans="1:5" x14ac:dyDescent="0.25">
      <c r="A12569" s="36" t="b">
        <v>0</v>
      </c>
      <c r="B12569" s="56" t="b">
        <v>0</v>
      </c>
      <c r="C12569" s="56" t="b">
        <v>0</v>
      </c>
      <c r="D12569" s="56" t="b">
        <v>0</v>
      </c>
      <c r="E12569" s="56">
        <f ca="1">IF(PV[[#This Row],[Business Date]]=Control!$C$6, PV[[#This Row],[Notional Value Local Cur]], -PV[[#This Row],[Notional Value Local Cur]])</f>
        <v>0</v>
      </c>
    </row>
    <row r="12570" spans="1:5" x14ac:dyDescent="0.25">
      <c r="A12570" s="36" t="b">
        <v>0</v>
      </c>
      <c r="B12570" s="56" t="b">
        <v>0</v>
      </c>
      <c r="C12570" s="56" t="b">
        <v>0</v>
      </c>
      <c r="D12570" s="56" t="b">
        <v>0</v>
      </c>
      <c r="E12570" s="56">
        <f ca="1">IF(PV[[#This Row],[Business Date]]=Control!$C$6, PV[[#This Row],[Notional Value Local Cur]], -PV[[#This Row],[Notional Value Local Cur]])</f>
        <v>0</v>
      </c>
    </row>
    <row r="12571" spans="1:5" x14ac:dyDescent="0.25">
      <c r="A12571" s="36" t="b">
        <v>0</v>
      </c>
      <c r="B12571" s="56" t="b">
        <v>0</v>
      </c>
      <c r="C12571" s="56" t="b">
        <v>0</v>
      </c>
      <c r="D12571" s="56" t="b">
        <v>0</v>
      </c>
      <c r="E12571" s="56">
        <f ca="1">IF(PV[[#This Row],[Business Date]]=Control!$C$6, PV[[#This Row],[Notional Value Local Cur]], -PV[[#This Row],[Notional Value Local Cur]])</f>
        <v>0</v>
      </c>
    </row>
    <row r="12572" spans="1:5" x14ac:dyDescent="0.25">
      <c r="A12572" s="36" t="b">
        <v>0</v>
      </c>
      <c r="B12572" s="56" t="b">
        <v>0</v>
      </c>
      <c r="C12572" s="56" t="b">
        <v>0</v>
      </c>
      <c r="D12572" s="56" t="b">
        <v>0</v>
      </c>
      <c r="E12572" s="56">
        <f ca="1">IF(PV[[#This Row],[Business Date]]=Control!$C$6, PV[[#This Row],[Notional Value Local Cur]], -PV[[#This Row],[Notional Value Local Cur]])</f>
        <v>0</v>
      </c>
    </row>
    <row r="12573" spans="1:5" x14ac:dyDescent="0.25">
      <c r="A12573" s="36" t="b">
        <v>0</v>
      </c>
      <c r="B12573" s="56" t="b">
        <v>0</v>
      </c>
      <c r="C12573" s="56" t="b">
        <v>0</v>
      </c>
      <c r="D12573" s="56" t="b">
        <v>0</v>
      </c>
      <c r="E12573" s="56">
        <f ca="1">IF(PV[[#This Row],[Business Date]]=Control!$C$6, PV[[#This Row],[Notional Value Local Cur]], -PV[[#This Row],[Notional Value Local Cur]])</f>
        <v>0</v>
      </c>
    </row>
    <row r="12574" spans="1:5" x14ac:dyDescent="0.25">
      <c r="A12574" s="36" t="b">
        <v>0</v>
      </c>
      <c r="B12574" s="56" t="b">
        <v>0</v>
      </c>
      <c r="C12574" s="56" t="b">
        <v>0</v>
      </c>
      <c r="D12574" s="56" t="b">
        <v>0</v>
      </c>
      <c r="E12574" s="56">
        <f ca="1">IF(PV[[#This Row],[Business Date]]=Control!$C$6, PV[[#This Row],[Notional Value Local Cur]], -PV[[#This Row],[Notional Value Local Cur]])</f>
        <v>0</v>
      </c>
    </row>
    <row r="12575" spans="1:5" x14ac:dyDescent="0.25">
      <c r="A12575" s="36" t="b">
        <v>0</v>
      </c>
      <c r="B12575" s="56" t="b">
        <v>0</v>
      </c>
      <c r="C12575" s="56" t="b">
        <v>0</v>
      </c>
      <c r="D12575" s="56" t="b">
        <v>0</v>
      </c>
      <c r="E12575" s="56">
        <f ca="1">IF(PV[[#This Row],[Business Date]]=Control!$C$6, PV[[#This Row],[Notional Value Local Cur]], -PV[[#This Row],[Notional Value Local Cur]])</f>
        <v>0</v>
      </c>
    </row>
    <row r="12576" spans="1:5" x14ac:dyDescent="0.25">
      <c r="A12576" s="36" t="b">
        <v>0</v>
      </c>
      <c r="B12576" s="56" t="b">
        <v>0</v>
      </c>
      <c r="C12576" s="56" t="b">
        <v>0</v>
      </c>
      <c r="D12576" s="56" t="b">
        <v>0</v>
      </c>
      <c r="E12576" s="56">
        <f ca="1">IF(PV[[#This Row],[Business Date]]=Control!$C$6, PV[[#This Row],[Notional Value Local Cur]], -PV[[#This Row],[Notional Value Local Cur]])</f>
        <v>0</v>
      </c>
    </row>
    <row r="12577" spans="1:5" x14ac:dyDescent="0.25">
      <c r="A12577" s="36" t="b">
        <v>0</v>
      </c>
      <c r="B12577" s="56" t="b">
        <v>0</v>
      </c>
      <c r="C12577" s="56" t="b">
        <v>0</v>
      </c>
      <c r="D12577" s="56" t="b">
        <v>0</v>
      </c>
      <c r="E12577" s="56">
        <f ca="1">IF(PV[[#This Row],[Business Date]]=Control!$C$6, PV[[#This Row],[Notional Value Local Cur]], -PV[[#This Row],[Notional Value Local Cur]])</f>
        <v>0</v>
      </c>
    </row>
    <row r="12578" spans="1:5" x14ac:dyDescent="0.25">
      <c r="A12578" s="36" t="b">
        <v>0</v>
      </c>
      <c r="B12578" s="56" t="b">
        <v>0</v>
      </c>
      <c r="C12578" s="56" t="b">
        <v>0</v>
      </c>
      <c r="D12578" s="56" t="b">
        <v>0</v>
      </c>
      <c r="E12578" s="56">
        <f ca="1">IF(PV[[#This Row],[Business Date]]=Control!$C$6, PV[[#This Row],[Notional Value Local Cur]], -PV[[#This Row],[Notional Value Local Cur]])</f>
        <v>0</v>
      </c>
    </row>
    <row r="12579" spans="1:5" x14ac:dyDescent="0.25">
      <c r="A12579" s="36" t="b">
        <v>0</v>
      </c>
      <c r="B12579" s="56" t="b">
        <v>0</v>
      </c>
      <c r="C12579" s="56" t="b">
        <v>0</v>
      </c>
      <c r="D12579" s="56" t="b">
        <v>0</v>
      </c>
      <c r="E12579" s="56">
        <f ca="1">IF(PV[[#This Row],[Business Date]]=Control!$C$6, PV[[#This Row],[Notional Value Local Cur]], -PV[[#This Row],[Notional Value Local Cur]])</f>
        <v>0</v>
      </c>
    </row>
    <row r="12580" spans="1:5" x14ac:dyDescent="0.25">
      <c r="A12580" s="36" t="b">
        <v>0</v>
      </c>
      <c r="B12580" s="56" t="b">
        <v>0</v>
      </c>
      <c r="C12580" s="56" t="b">
        <v>0</v>
      </c>
      <c r="D12580" s="56" t="b">
        <v>0</v>
      </c>
      <c r="E12580" s="56">
        <f ca="1">IF(PV[[#This Row],[Business Date]]=Control!$C$6, PV[[#This Row],[Notional Value Local Cur]], -PV[[#This Row],[Notional Value Local Cur]])</f>
        <v>0</v>
      </c>
    </row>
    <row r="12581" spans="1:5" x14ac:dyDescent="0.25">
      <c r="A12581" s="36" t="b">
        <v>0</v>
      </c>
      <c r="B12581" s="56" t="b">
        <v>0</v>
      </c>
      <c r="C12581" s="56" t="b">
        <v>0</v>
      </c>
      <c r="D12581" s="56" t="b">
        <v>0</v>
      </c>
      <c r="E12581" s="56">
        <f ca="1">IF(PV[[#This Row],[Business Date]]=Control!$C$6, PV[[#This Row],[Notional Value Local Cur]], -PV[[#This Row],[Notional Value Local Cur]])</f>
        <v>0</v>
      </c>
    </row>
    <row r="12582" spans="1:5" x14ac:dyDescent="0.25">
      <c r="A12582" s="36" t="b">
        <v>0</v>
      </c>
      <c r="B12582" s="56" t="b">
        <v>0</v>
      </c>
      <c r="C12582" s="56" t="b">
        <v>0</v>
      </c>
      <c r="D12582" s="56" t="b">
        <v>0</v>
      </c>
      <c r="E12582" s="56">
        <f ca="1">IF(PV[[#This Row],[Business Date]]=Control!$C$6, PV[[#This Row],[Notional Value Local Cur]], -PV[[#This Row],[Notional Value Local Cur]])</f>
        <v>0</v>
      </c>
    </row>
    <row r="12583" spans="1:5" x14ac:dyDescent="0.25">
      <c r="A12583" s="36" t="b">
        <v>0</v>
      </c>
      <c r="B12583" s="56" t="b">
        <v>0</v>
      </c>
      <c r="C12583" s="56" t="b">
        <v>0</v>
      </c>
      <c r="D12583" s="56" t="b">
        <v>0</v>
      </c>
      <c r="E12583" s="56">
        <f ca="1">IF(PV[[#This Row],[Business Date]]=Control!$C$6, PV[[#This Row],[Notional Value Local Cur]], -PV[[#This Row],[Notional Value Local Cur]])</f>
        <v>0</v>
      </c>
    </row>
    <row r="12584" spans="1:5" x14ac:dyDescent="0.25">
      <c r="A12584" s="36" t="b">
        <v>0</v>
      </c>
      <c r="B12584" s="56" t="b">
        <v>0</v>
      </c>
      <c r="C12584" s="56" t="b">
        <v>0</v>
      </c>
      <c r="D12584" s="56" t="b">
        <v>0</v>
      </c>
      <c r="E12584" s="56">
        <f ca="1">IF(PV[[#This Row],[Business Date]]=Control!$C$6, PV[[#This Row],[Notional Value Local Cur]], -PV[[#This Row],[Notional Value Local Cur]])</f>
        <v>0</v>
      </c>
    </row>
    <row r="12585" spans="1:5" x14ac:dyDescent="0.25">
      <c r="A12585" s="36" t="b">
        <v>0</v>
      </c>
      <c r="B12585" s="56" t="b">
        <v>0</v>
      </c>
      <c r="C12585" s="56" t="b">
        <v>0</v>
      </c>
      <c r="D12585" s="56" t="b">
        <v>0</v>
      </c>
      <c r="E12585" s="56">
        <f ca="1">IF(PV[[#This Row],[Business Date]]=Control!$C$6, PV[[#This Row],[Notional Value Local Cur]], -PV[[#This Row],[Notional Value Local Cur]])</f>
        <v>0</v>
      </c>
    </row>
    <row r="12586" spans="1:5" x14ac:dyDescent="0.25">
      <c r="A12586" s="36" t="b">
        <v>0</v>
      </c>
      <c r="B12586" s="56" t="b">
        <v>0</v>
      </c>
      <c r="C12586" s="56" t="b">
        <v>0</v>
      </c>
      <c r="D12586" s="56" t="b">
        <v>0</v>
      </c>
      <c r="E12586" s="56">
        <f ca="1">IF(PV[[#This Row],[Business Date]]=Control!$C$6, PV[[#This Row],[Notional Value Local Cur]], -PV[[#This Row],[Notional Value Local Cur]])</f>
        <v>0</v>
      </c>
    </row>
    <row r="12587" spans="1:5" x14ac:dyDescent="0.25">
      <c r="A12587" s="36" t="b">
        <v>0</v>
      </c>
      <c r="B12587" s="56" t="b">
        <v>0</v>
      </c>
      <c r="C12587" s="56" t="b">
        <v>0</v>
      </c>
      <c r="D12587" s="56" t="b">
        <v>0</v>
      </c>
      <c r="E12587" s="56">
        <f ca="1">IF(PV[[#This Row],[Business Date]]=Control!$C$6, PV[[#This Row],[Notional Value Local Cur]], -PV[[#This Row],[Notional Value Local Cur]])</f>
        <v>0</v>
      </c>
    </row>
    <row r="12588" spans="1:5" x14ac:dyDescent="0.25">
      <c r="A12588" s="36" t="b">
        <v>0</v>
      </c>
      <c r="B12588" s="56" t="b">
        <v>0</v>
      </c>
      <c r="C12588" s="56" t="b">
        <v>0</v>
      </c>
      <c r="D12588" s="56" t="b">
        <v>0</v>
      </c>
      <c r="E12588" s="56">
        <f ca="1">IF(PV[[#This Row],[Business Date]]=Control!$C$6, PV[[#This Row],[Notional Value Local Cur]], -PV[[#This Row],[Notional Value Local Cur]])</f>
        <v>0</v>
      </c>
    </row>
    <row r="12589" spans="1:5" x14ac:dyDescent="0.25">
      <c r="A12589" s="36" t="b">
        <v>0</v>
      </c>
      <c r="B12589" s="56" t="b">
        <v>0</v>
      </c>
      <c r="C12589" s="56" t="b">
        <v>0</v>
      </c>
      <c r="D12589" s="56" t="b">
        <v>0</v>
      </c>
      <c r="E12589" s="56">
        <f ca="1">IF(PV[[#This Row],[Business Date]]=Control!$C$6, PV[[#This Row],[Notional Value Local Cur]], -PV[[#This Row],[Notional Value Local Cur]])</f>
        <v>0</v>
      </c>
    </row>
    <row r="12590" spans="1:5" x14ac:dyDescent="0.25">
      <c r="A12590" s="36" t="b">
        <v>0</v>
      </c>
      <c r="B12590" s="56" t="b">
        <v>0</v>
      </c>
      <c r="C12590" s="56" t="b">
        <v>0</v>
      </c>
      <c r="D12590" s="56" t="b">
        <v>0</v>
      </c>
      <c r="E12590" s="56">
        <f ca="1">IF(PV[[#This Row],[Business Date]]=Control!$C$6, PV[[#This Row],[Notional Value Local Cur]], -PV[[#This Row],[Notional Value Local Cur]])</f>
        <v>0</v>
      </c>
    </row>
    <row r="12591" spans="1:5" x14ac:dyDescent="0.25">
      <c r="A12591" s="36" t="b">
        <v>0</v>
      </c>
      <c r="B12591" s="56" t="b">
        <v>0</v>
      </c>
      <c r="C12591" s="56" t="b">
        <v>0</v>
      </c>
      <c r="D12591" s="56" t="b">
        <v>0</v>
      </c>
      <c r="E12591" s="56">
        <f ca="1">IF(PV[[#This Row],[Business Date]]=Control!$C$6, PV[[#This Row],[Notional Value Local Cur]], -PV[[#This Row],[Notional Value Local Cur]])</f>
        <v>0</v>
      </c>
    </row>
    <row r="12592" spans="1:5" x14ac:dyDescent="0.25">
      <c r="A12592" s="36" t="b">
        <v>0</v>
      </c>
      <c r="B12592" s="56" t="b">
        <v>0</v>
      </c>
      <c r="C12592" s="56" t="b">
        <v>0</v>
      </c>
      <c r="D12592" s="56" t="b">
        <v>0</v>
      </c>
      <c r="E12592" s="56">
        <f ca="1">IF(PV[[#This Row],[Business Date]]=Control!$C$6, PV[[#This Row],[Notional Value Local Cur]], -PV[[#This Row],[Notional Value Local Cur]])</f>
        <v>0</v>
      </c>
    </row>
    <row r="12593" spans="1:5" x14ac:dyDescent="0.25">
      <c r="A12593" s="36" t="b">
        <v>0</v>
      </c>
      <c r="B12593" s="56" t="b">
        <v>0</v>
      </c>
      <c r="C12593" s="56" t="b">
        <v>0</v>
      </c>
      <c r="D12593" s="56" t="b">
        <v>0</v>
      </c>
      <c r="E12593" s="56">
        <f ca="1">IF(PV[[#This Row],[Business Date]]=Control!$C$6, PV[[#This Row],[Notional Value Local Cur]], -PV[[#This Row],[Notional Value Local Cur]])</f>
        <v>0</v>
      </c>
    </row>
    <row r="12594" spans="1:5" x14ac:dyDescent="0.25">
      <c r="A12594" s="36" t="b">
        <v>0</v>
      </c>
      <c r="B12594" s="56" t="b">
        <v>0</v>
      </c>
      <c r="C12594" s="56" t="b">
        <v>0</v>
      </c>
      <c r="D12594" s="56" t="b">
        <v>0</v>
      </c>
      <c r="E12594" s="56">
        <f ca="1">IF(PV[[#This Row],[Business Date]]=Control!$C$6, PV[[#This Row],[Notional Value Local Cur]], -PV[[#This Row],[Notional Value Local Cur]])</f>
        <v>0</v>
      </c>
    </row>
    <row r="12595" spans="1:5" x14ac:dyDescent="0.25">
      <c r="A12595" s="36" t="b">
        <v>0</v>
      </c>
      <c r="B12595" s="56" t="b">
        <v>0</v>
      </c>
      <c r="C12595" s="56" t="b">
        <v>0</v>
      </c>
      <c r="D12595" s="56" t="b">
        <v>0</v>
      </c>
      <c r="E12595" s="56">
        <f ca="1">IF(PV[[#This Row],[Business Date]]=Control!$C$6, PV[[#This Row],[Notional Value Local Cur]], -PV[[#This Row],[Notional Value Local Cur]])</f>
        <v>0</v>
      </c>
    </row>
    <row r="12596" spans="1:5" x14ac:dyDescent="0.25">
      <c r="A12596" s="36" t="b">
        <v>0</v>
      </c>
      <c r="B12596" s="56" t="b">
        <v>0</v>
      </c>
      <c r="C12596" s="56" t="b">
        <v>0</v>
      </c>
      <c r="D12596" s="56" t="b">
        <v>0</v>
      </c>
      <c r="E12596" s="56">
        <f ca="1">IF(PV[[#This Row],[Business Date]]=Control!$C$6, PV[[#This Row],[Notional Value Local Cur]], -PV[[#This Row],[Notional Value Local Cur]])</f>
        <v>0</v>
      </c>
    </row>
    <row r="12597" spans="1:5" x14ac:dyDescent="0.25">
      <c r="A12597" s="36" t="b">
        <v>0</v>
      </c>
      <c r="B12597" s="56" t="b">
        <v>0</v>
      </c>
      <c r="C12597" s="56" t="b">
        <v>0</v>
      </c>
      <c r="D12597" s="56" t="b">
        <v>0</v>
      </c>
      <c r="E12597" s="56">
        <f ca="1">IF(PV[[#This Row],[Business Date]]=Control!$C$6, PV[[#This Row],[Notional Value Local Cur]], -PV[[#This Row],[Notional Value Local Cur]])</f>
        <v>0</v>
      </c>
    </row>
    <row r="12598" spans="1:5" x14ac:dyDescent="0.25">
      <c r="A12598" s="36" t="b">
        <v>0</v>
      </c>
      <c r="B12598" s="56" t="b">
        <v>0</v>
      </c>
      <c r="C12598" s="56" t="b">
        <v>0</v>
      </c>
      <c r="D12598" s="56" t="b">
        <v>0</v>
      </c>
      <c r="E12598" s="56">
        <f ca="1">IF(PV[[#This Row],[Business Date]]=Control!$C$6, PV[[#This Row],[Notional Value Local Cur]], -PV[[#This Row],[Notional Value Local Cur]])</f>
        <v>0</v>
      </c>
    </row>
    <row r="12599" spans="1:5" x14ac:dyDescent="0.25">
      <c r="A12599" s="36" t="b">
        <v>0</v>
      </c>
      <c r="B12599" s="56" t="b">
        <v>0</v>
      </c>
      <c r="C12599" s="56" t="b">
        <v>0</v>
      </c>
      <c r="D12599" s="56" t="b">
        <v>0</v>
      </c>
      <c r="E12599" s="56">
        <f ca="1">IF(PV[[#This Row],[Business Date]]=Control!$C$6, PV[[#This Row],[Notional Value Local Cur]], -PV[[#This Row],[Notional Value Local Cur]])</f>
        <v>0</v>
      </c>
    </row>
    <row r="12600" spans="1:5" x14ac:dyDescent="0.25">
      <c r="A12600" s="36" t="b">
        <v>0</v>
      </c>
      <c r="B12600" s="56" t="b">
        <v>0</v>
      </c>
      <c r="C12600" s="56" t="b">
        <v>0</v>
      </c>
      <c r="D12600" s="56" t="b">
        <v>0</v>
      </c>
      <c r="E12600" s="56">
        <f ca="1">IF(PV[[#This Row],[Business Date]]=Control!$C$6, PV[[#This Row],[Notional Value Local Cur]], -PV[[#This Row],[Notional Value Local Cur]])</f>
        <v>0</v>
      </c>
    </row>
    <row r="12601" spans="1:5" x14ac:dyDescent="0.25">
      <c r="A12601" s="36" t="b">
        <v>0</v>
      </c>
      <c r="B12601" s="56" t="b">
        <v>0</v>
      </c>
      <c r="C12601" s="56" t="b">
        <v>0</v>
      </c>
      <c r="D12601" s="56" t="b">
        <v>0</v>
      </c>
      <c r="E12601" s="56">
        <f ca="1">IF(PV[[#This Row],[Business Date]]=Control!$C$6, PV[[#This Row],[Notional Value Local Cur]], -PV[[#This Row],[Notional Value Local Cur]])</f>
        <v>0</v>
      </c>
    </row>
    <row r="12602" spans="1:5" x14ac:dyDescent="0.25">
      <c r="A12602" s="36" t="b">
        <v>0</v>
      </c>
      <c r="B12602" s="56" t="b">
        <v>0</v>
      </c>
      <c r="C12602" s="56" t="b">
        <v>0</v>
      </c>
      <c r="D12602" s="56" t="b">
        <v>0</v>
      </c>
      <c r="E12602" s="56">
        <f ca="1">IF(PV[[#This Row],[Business Date]]=Control!$C$6, PV[[#This Row],[Notional Value Local Cur]], -PV[[#This Row],[Notional Value Local Cur]])</f>
        <v>0</v>
      </c>
    </row>
    <row r="12603" spans="1:5" x14ac:dyDescent="0.25">
      <c r="A12603" s="36" t="b">
        <v>0</v>
      </c>
      <c r="B12603" s="56" t="b">
        <v>0</v>
      </c>
      <c r="C12603" s="56" t="b">
        <v>0</v>
      </c>
      <c r="D12603" s="56" t="b">
        <v>0</v>
      </c>
      <c r="E12603" s="56">
        <f ca="1">IF(PV[[#This Row],[Business Date]]=Control!$C$6, PV[[#This Row],[Notional Value Local Cur]], -PV[[#This Row],[Notional Value Local Cur]])</f>
        <v>0</v>
      </c>
    </row>
    <row r="12604" spans="1:5" x14ac:dyDescent="0.25">
      <c r="A12604" s="36" t="b">
        <v>0</v>
      </c>
      <c r="B12604" s="56" t="b">
        <v>0</v>
      </c>
      <c r="C12604" s="56" t="b">
        <v>0</v>
      </c>
      <c r="D12604" s="56" t="b">
        <v>0</v>
      </c>
      <c r="E12604" s="56">
        <f ca="1">IF(PV[[#This Row],[Business Date]]=Control!$C$6, PV[[#This Row],[Notional Value Local Cur]], -PV[[#This Row],[Notional Value Local Cur]])</f>
        <v>0</v>
      </c>
    </row>
    <row r="12605" spans="1:5" x14ac:dyDescent="0.25">
      <c r="A12605" s="36" t="b">
        <v>0</v>
      </c>
      <c r="B12605" s="56" t="b">
        <v>0</v>
      </c>
      <c r="C12605" s="56" t="b">
        <v>0</v>
      </c>
      <c r="D12605" s="56" t="b">
        <v>0</v>
      </c>
      <c r="E12605" s="56">
        <f ca="1">IF(PV[[#This Row],[Business Date]]=Control!$C$6, PV[[#This Row],[Notional Value Local Cur]], -PV[[#This Row],[Notional Value Local Cur]])</f>
        <v>0</v>
      </c>
    </row>
    <row r="12606" spans="1:5" x14ac:dyDescent="0.25">
      <c r="A12606" s="36" t="b">
        <v>0</v>
      </c>
      <c r="B12606" s="56" t="b">
        <v>0</v>
      </c>
      <c r="C12606" s="56" t="b">
        <v>0</v>
      </c>
      <c r="D12606" s="56" t="b">
        <v>0</v>
      </c>
      <c r="E12606" s="56">
        <f ca="1">IF(PV[[#This Row],[Business Date]]=Control!$C$6, PV[[#This Row],[Notional Value Local Cur]], -PV[[#This Row],[Notional Value Local Cur]])</f>
        <v>0</v>
      </c>
    </row>
    <row r="12607" spans="1:5" x14ac:dyDescent="0.25">
      <c r="A12607" s="36" t="b">
        <v>0</v>
      </c>
      <c r="B12607" s="56" t="b">
        <v>0</v>
      </c>
      <c r="C12607" s="56" t="b">
        <v>0</v>
      </c>
      <c r="D12607" s="56" t="b">
        <v>0</v>
      </c>
      <c r="E12607" s="56">
        <f ca="1">IF(PV[[#This Row],[Business Date]]=Control!$C$6, PV[[#This Row],[Notional Value Local Cur]], -PV[[#This Row],[Notional Value Local Cur]])</f>
        <v>0</v>
      </c>
    </row>
    <row r="12608" spans="1:5" x14ac:dyDescent="0.25">
      <c r="A12608" s="36" t="b">
        <v>0</v>
      </c>
      <c r="B12608" s="56" t="b">
        <v>0</v>
      </c>
      <c r="C12608" s="56" t="b">
        <v>0</v>
      </c>
      <c r="D12608" s="56" t="b">
        <v>0</v>
      </c>
      <c r="E12608" s="56">
        <f ca="1">IF(PV[[#This Row],[Business Date]]=Control!$C$6, PV[[#This Row],[Notional Value Local Cur]], -PV[[#This Row],[Notional Value Local Cur]])</f>
        <v>0</v>
      </c>
    </row>
    <row r="12609" spans="1:5" x14ac:dyDescent="0.25">
      <c r="A12609" s="36" t="b">
        <v>0</v>
      </c>
      <c r="B12609" s="56" t="b">
        <v>0</v>
      </c>
      <c r="C12609" s="56" t="b">
        <v>0</v>
      </c>
      <c r="D12609" s="56" t="b">
        <v>0</v>
      </c>
      <c r="E12609" s="56">
        <f ca="1">IF(PV[[#This Row],[Business Date]]=Control!$C$6, PV[[#This Row],[Notional Value Local Cur]], -PV[[#This Row],[Notional Value Local Cur]])</f>
        <v>0</v>
      </c>
    </row>
    <row r="12610" spans="1:5" x14ac:dyDescent="0.25">
      <c r="A12610" s="36" t="b">
        <v>0</v>
      </c>
      <c r="B12610" s="56" t="b">
        <v>0</v>
      </c>
      <c r="C12610" s="56" t="b">
        <v>0</v>
      </c>
      <c r="D12610" s="56" t="b">
        <v>0</v>
      </c>
      <c r="E12610" s="56">
        <f ca="1">IF(PV[[#This Row],[Business Date]]=Control!$C$6, PV[[#This Row],[Notional Value Local Cur]], -PV[[#This Row],[Notional Value Local Cur]])</f>
        <v>0</v>
      </c>
    </row>
    <row r="12611" spans="1:5" x14ac:dyDescent="0.25">
      <c r="A12611" s="36" t="b">
        <v>0</v>
      </c>
      <c r="B12611" s="56" t="b">
        <v>0</v>
      </c>
      <c r="C12611" s="56" t="b">
        <v>0</v>
      </c>
      <c r="D12611" s="56" t="b">
        <v>0</v>
      </c>
      <c r="E12611" s="56">
        <f ca="1">IF(PV[[#This Row],[Business Date]]=Control!$C$6, PV[[#This Row],[Notional Value Local Cur]], -PV[[#This Row],[Notional Value Local Cur]])</f>
        <v>0</v>
      </c>
    </row>
    <row r="12612" spans="1:5" x14ac:dyDescent="0.25">
      <c r="A12612" s="36" t="b">
        <v>0</v>
      </c>
      <c r="B12612" s="56" t="b">
        <v>0</v>
      </c>
      <c r="C12612" s="56" t="b">
        <v>0</v>
      </c>
      <c r="D12612" s="56" t="b">
        <v>0</v>
      </c>
      <c r="E12612" s="56">
        <f ca="1">IF(PV[[#This Row],[Business Date]]=Control!$C$6, PV[[#This Row],[Notional Value Local Cur]], -PV[[#This Row],[Notional Value Local Cur]])</f>
        <v>0</v>
      </c>
    </row>
    <row r="12613" spans="1:5" x14ac:dyDescent="0.25">
      <c r="A12613" s="36" t="b">
        <v>0</v>
      </c>
      <c r="B12613" s="56" t="b">
        <v>0</v>
      </c>
      <c r="C12613" s="56" t="b">
        <v>0</v>
      </c>
      <c r="D12613" s="56" t="b">
        <v>0</v>
      </c>
      <c r="E12613" s="56">
        <f ca="1">IF(PV[[#This Row],[Business Date]]=Control!$C$6, PV[[#This Row],[Notional Value Local Cur]], -PV[[#This Row],[Notional Value Local Cur]])</f>
        <v>0</v>
      </c>
    </row>
    <row r="12614" spans="1:5" x14ac:dyDescent="0.25">
      <c r="A12614" s="36" t="b">
        <v>0</v>
      </c>
      <c r="B12614" s="56" t="b">
        <v>0</v>
      </c>
      <c r="C12614" s="56" t="b">
        <v>0</v>
      </c>
      <c r="D12614" s="56" t="b">
        <v>0</v>
      </c>
      <c r="E12614" s="56">
        <f ca="1">IF(PV[[#This Row],[Business Date]]=Control!$C$6, PV[[#This Row],[Notional Value Local Cur]], -PV[[#This Row],[Notional Value Local Cur]])</f>
        <v>0</v>
      </c>
    </row>
    <row r="12615" spans="1:5" x14ac:dyDescent="0.25">
      <c r="A12615" s="36" t="b">
        <v>0</v>
      </c>
      <c r="B12615" s="56" t="b">
        <v>0</v>
      </c>
      <c r="C12615" s="56" t="b">
        <v>0</v>
      </c>
      <c r="D12615" s="56" t="b">
        <v>0</v>
      </c>
      <c r="E12615" s="56">
        <f ca="1">IF(PV[[#This Row],[Business Date]]=Control!$C$6, PV[[#This Row],[Notional Value Local Cur]], -PV[[#This Row],[Notional Value Local Cur]])</f>
        <v>0</v>
      </c>
    </row>
    <row r="12616" spans="1:5" x14ac:dyDescent="0.25">
      <c r="A12616" s="36" t="b">
        <v>0</v>
      </c>
      <c r="B12616" s="56" t="b">
        <v>0</v>
      </c>
      <c r="C12616" s="56" t="b">
        <v>0</v>
      </c>
      <c r="D12616" s="56" t="b">
        <v>0</v>
      </c>
      <c r="E12616" s="56">
        <f ca="1">IF(PV[[#This Row],[Business Date]]=Control!$C$6, PV[[#This Row],[Notional Value Local Cur]], -PV[[#This Row],[Notional Value Local Cur]])</f>
        <v>0</v>
      </c>
    </row>
    <row r="12617" spans="1:5" x14ac:dyDescent="0.25">
      <c r="A12617" s="36" t="b">
        <v>0</v>
      </c>
      <c r="B12617" s="56" t="b">
        <v>0</v>
      </c>
      <c r="C12617" s="56" t="b">
        <v>0</v>
      </c>
      <c r="D12617" s="56" t="b">
        <v>0</v>
      </c>
      <c r="E12617" s="56">
        <f ca="1">IF(PV[[#This Row],[Business Date]]=Control!$C$6, PV[[#This Row],[Notional Value Local Cur]], -PV[[#This Row],[Notional Value Local Cur]])</f>
        <v>0</v>
      </c>
    </row>
    <row r="12618" spans="1:5" x14ac:dyDescent="0.25">
      <c r="A12618" s="36" t="b">
        <v>0</v>
      </c>
      <c r="B12618" s="56" t="b">
        <v>0</v>
      </c>
      <c r="C12618" s="56" t="b">
        <v>0</v>
      </c>
      <c r="D12618" s="56" t="b">
        <v>0</v>
      </c>
      <c r="E12618" s="56">
        <f ca="1">IF(PV[[#This Row],[Business Date]]=Control!$C$6, PV[[#This Row],[Notional Value Local Cur]], -PV[[#This Row],[Notional Value Local Cur]])</f>
        <v>0</v>
      </c>
    </row>
    <row r="12619" spans="1:5" x14ac:dyDescent="0.25">
      <c r="A12619" s="36" t="b">
        <v>0</v>
      </c>
      <c r="B12619" s="56" t="b">
        <v>0</v>
      </c>
      <c r="C12619" s="56" t="b">
        <v>0</v>
      </c>
      <c r="D12619" s="56" t="b">
        <v>0</v>
      </c>
      <c r="E12619" s="56">
        <f ca="1">IF(PV[[#This Row],[Business Date]]=Control!$C$6, PV[[#This Row],[Notional Value Local Cur]], -PV[[#This Row],[Notional Value Local Cur]])</f>
        <v>0</v>
      </c>
    </row>
    <row r="12620" spans="1:5" x14ac:dyDescent="0.25">
      <c r="A12620" s="36" t="b">
        <v>0</v>
      </c>
      <c r="B12620" s="56" t="b">
        <v>0</v>
      </c>
      <c r="C12620" s="56" t="b">
        <v>0</v>
      </c>
      <c r="D12620" s="56" t="b">
        <v>0</v>
      </c>
      <c r="E12620" s="56">
        <f ca="1">IF(PV[[#This Row],[Business Date]]=Control!$C$6, PV[[#This Row],[Notional Value Local Cur]], -PV[[#This Row],[Notional Value Local Cur]])</f>
        <v>0</v>
      </c>
    </row>
    <row r="12621" spans="1:5" x14ac:dyDescent="0.25">
      <c r="A12621" s="36" t="b">
        <v>0</v>
      </c>
      <c r="B12621" s="56" t="b">
        <v>0</v>
      </c>
      <c r="C12621" s="56" t="b">
        <v>0</v>
      </c>
      <c r="D12621" s="56" t="b">
        <v>0</v>
      </c>
      <c r="E12621" s="56">
        <f ca="1">IF(PV[[#This Row],[Business Date]]=Control!$C$6, PV[[#This Row],[Notional Value Local Cur]], -PV[[#This Row],[Notional Value Local Cur]])</f>
        <v>0</v>
      </c>
    </row>
    <row r="12622" spans="1:5" x14ac:dyDescent="0.25">
      <c r="A12622" s="36" t="b">
        <v>0</v>
      </c>
      <c r="B12622" s="56" t="b">
        <v>0</v>
      </c>
      <c r="C12622" s="56" t="b">
        <v>0</v>
      </c>
      <c r="D12622" s="56" t="b">
        <v>0</v>
      </c>
      <c r="E12622" s="56">
        <f ca="1">IF(PV[[#This Row],[Business Date]]=Control!$C$6, PV[[#This Row],[Notional Value Local Cur]], -PV[[#This Row],[Notional Value Local Cur]])</f>
        <v>0</v>
      </c>
    </row>
    <row r="12623" spans="1:5" x14ac:dyDescent="0.25">
      <c r="A12623" s="36" t="b">
        <v>0</v>
      </c>
      <c r="B12623" s="56" t="b">
        <v>0</v>
      </c>
      <c r="C12623" s="56" t="b">
        <v>0</v>
      </c>
      <c r="D12623" s="56" t="b">
        <v>0</v>
      </c>
      <c r="E12623" s="56">
        <f ca="1">IF(PV[[#This Row],[Business Date]]=Control!$C$6, PV[[#This Row],[Notional Value Local Cur]], -PV[[#This Row],[Notional Value Local Cur]])</f>
        <v>0</v>
      </c>
    </row>
    <row r="12624" spans="1:5" x14ac:dyDescent="0.25">
      <c r="A12624" s="36" t="b">
        <v>0</v>
      </c>
      <c r="B12624" s="56" t="b">
        <v>0</v>
      </c>
      <c r="C12624" s="56" t="b">
        <v>0</v>
      </c>
      <c r="D12624" s="56" t="b">
        <v>0</v>
      </c>
      <c r="E12624" s="56">
        <f ca="1">IF(PV[[#This Row],[Business Date]]=Control!$C$6, PV[[#This Row],[Notional Value Local Cur]], -PV[[#This Row],[Notional Value Local Cur]])</f>
        <v>0</v>
      </c>
    </row>
    <row r="12625" spans="1:5" x14ac:dyDescent="0.25">
      <c r="A12625" s="36" t="b">
        <v>0</v>
      </c>
      <c r="B12625" s="56" t="b">
        <v>0</v>
      </c>
      <c r="C12625" s="56" t="b">
        <v>0</v>
      </c>
      <c r="D12625" s="56" t="b">
        <v>0</v>
      </c>
      <c r="E12625" s="56">
        <f ca="1">IF(PV[[#This Row],[Business Date]]=Control!$C$6, PV[[#This Row],[Notional Value Local Cur]], -PV[[#This Row],[Notional Value Local Cur]])</f>
        <v>0</v>
      </c>
    </row>
    <row r="12626" spans="1:5" x14ac:dyDescent="0.25">
      <c r="A12626" s="36" t="b">
        <v>0</v>
      </c>
      <c r="B12626" s="56" t="b">
        <v>0</v>
      </c>
      <c r="C12626" s="56" t="b">
        <v>0</v>
      </c>
      <c r="D12626" s="56" t="b">
        <v>0</v>
      </c>
      <c r="E12626" s="56">
        <f ca="1">IF(PV[[#This Row],[Business Date]]=Control!$C$6, PV[[#This Row],[Notional Value Local Cur]], -PV[[#This Row],[Notional Value Local Cur]])</f>
        <v>0</v>
      </c>
    </row>
    <row r="12627" spans="1:5" x14ac:dyDescent="0.25">
      <c r="A12627" s="36" t="b">
        <v>0</v>
      </c>
      <c r="B12627" s="56" t="b">
        <v>0</v>
      </c>
      <c r="C12627" s="56" t="b">
        <v>0</v>
      </c>
      <c r="D12627" s="56" t="b">
        <v>0</v>
      </c>
      <c r="E12627" s="56">
        <f ca="1">IF(PV[[#This Row],[Business Date]]=Control!$C$6, PV[[#This Row],[Notional Value Local Cur]], -PV[[#This Row],[Notional Value Local Cur]])</f>
        <v>0</v>
      </c>
    </row>
    <row r="12628" spans="1:5" x14ac:dyDescent="0.25">
      <c r="A12628" s="36" t="b">
        <v>0</v>
      </c>
      <c r="B12628" s="56" t="b">
        <v>0</v>
      </c>
      <c r="C12628" s="56" t="b">
        <v>0</v>
      </c>
      <c r="D12628" s="56" t="b">
        <v>0</v>
      </c>
      <c r="E12628" s="56">
        <f ca="1">IF(PV[[#This Row],[Business Date]]=Control!$C$6, PV[[#This Row],[Notional Value Local Cur]], -PV[[#This Row],[Notional Value Local Cur]])</f>
        <v>0</v>
      </c>
    </row>
    <row r="12629" spans="1:5" x14ac:dyDescent="0.25">
      <c r="A12629" s="36" t="b">
        <v>0</v>
      </c>
      <c r="B12629" s="56" t="b">
        <v>0</v>
      </c>
      <c r="C12629" s="56" t="b">
        <v>0</v>
      </c>
      <c r="D12629" s="56" t="b">
        <v>0</v>
      </c>
      <c r="E12629" s="56">
        <f ca="1">IF(PV[[#This Row],[Business Date]]=Control!$C$6, PV[[#This Row],[Notional Value Local Cur]], -PV[[#This Row],[Notional Value Local Cur]])</f>
        <v>0</v>
      </c>
    </row>
    <row r="12630" spans="1:5" x14ac:dyDescent="0.25">
      <c r="A12630" s="36" t="b">
        <v>0</v>
      </c>
      <c r="B12630" s="56" t="b">
        <v>0</v>
      </c>
      <c r="C12630" s="56" t="b">
        <v>0</v>
      </c>
      <c r="D12630" s="56" t="b">
        <v>0</v>
      </c>
      <c r="E12630" s="56">
        <f ca="1">IF(PV[[#This Row],[Business Date]]=Control!$C$6, PV[[#This Row],[Notional Value Local Cur]], -PV[[#This Row],[Notional Value Local Cur]])</f>
        <v>0</v>
      </c>
    </row>
    <row r="12631" spans="1:5" x14ac:dyDescent="0.25">
      <c r="A12631" s="36" t="b">
        <v>0</v>
      </c>
      <c r="B12631" s="56" t="b">
        <v>0</v>
      </c>
      <c r="C12631" s="56" t="b">
        <v>0</v>
      </c>
      <c r="D12631" s="56" t="b">
        <v>0</v>
      </c>
      <c r="E12631" s="56">
        <f ca="1">IF(PV[[#This Row],[Business Date]]=Control!$C$6, PV[[#This Row],[Notional Value Local Cur]], -PV[[#This Row],[Notional Value Local Cur]])</f>
        <v>0</v>
      </c>
    </row>
    <row r="12632" spans="1:5" x14ac:dyDescent="0.25">
      <c r="A12632" s="36" t="b">
        <v>0</v>
      </c>
      <c r="B12632" s="56" t="b">
        <v>0</v>
      </c>
      <c r="C12632" s="56" t="b">
        <v>0</v>
      </c>
      <c r="D12632" s="56" t="b">
        <v>0</v>
      </c>
      <c r="E12632" s="56">
        <f ca="1">IF(PV[[#This Row],[Business Date]]=Control!$C$6, PV[[#This Row],[Notional Value Local Cur]], -PV[[#This Row],[Notional Value Local Cur]])</f>
        <v>0</v>
      </c>
    </row>
    <row r="12633" spans="1:5" x14ac:dyDescent="0.25">
      <c r="A12633" s="36" t="b">
        <v>0</v>
      </c>
      <c r="B12633" s="56" t="b">
        <v>0</v>
      </c>
      <c r="C12633" s="56" t="b">
        <v>0</v>
      </c>
      <c r="D12633" s="56" t="b">
        <v>0</v>
      </c>
      <c r="E12633" s="56">
        <f ca="1">IF(PV[[#This Row],[Business Date]]=Control!$C$6, PV[[#This Row],[Notional Value Local Cur]], -PV[[#This Row],[Notional Value Local Cur]])</f>
        <v>0</v>
      </c>
    </row>
    <row r="12634" spans="1:5" x14ac:dyDescent="0.25">
      <c r="A12634" s="36" t="b">
        <v>0</v>
      </c>
      <c r="B12634" s="56" t="b">
        <v>0</v>
      </c>
      <c r="C12634" s="56" t="b">
        <v>0</v>
      </c>
      <c r="D12634" s="56" t="b">
        <v>0</v>
      </c>
      <c r="E12634" s="56">
        <f ca="1">IF(PV[[#This Row],[Business Date]]=Control!$C$6, PV[[#This Row],[Notional Value Local Cur]], -PV[[#This Row],[Notional Value Local Cur]])</f>
        <v>0</v>
      </c>
    </row>
    <row r="12635" spans="1:5" x14ac:dyDescent="0.25">
      <c r="A12635" s="36" t="b">
        <v>0</v>
      </c>
      <c r="B12635" s="56" t="b">
        <v>0</v>
      </c>
      <c r="C12635" s="56" t="b">
        <v>0</v>
      </c>
      <c r="D12635" s="56" t="b">
        <v>0</v>
      </c>
      <c r="E12635" s="56">
        <f ca="1">IF(PV[[#This Row],[Business Date]]=Control!$C$6, PV[[#This Row],[Notional Value Local Cur]], -PV[[#This Row],[Notional Value Local Cur]])</f>
        <v>0</v>
      </c>
    </row>
    <row r="12636" spans="1:5" x14ac:dyDescent="0.25">
      <c r="A12636" s="36" t="b">
        <v>0</v>
      </c>
      <c r="B12636" s="56" t="b">
        <v>0</v>
      </c>
      <c r="C12636" s="56" t="b">
        <v>0</v>
      </c>
      <c r="D12636" s="56" t="b">
        <v>0</v>
      </c>
      <c r="E12636" s="56">
        <f ca="1">IF(PV[[#This Row],[Business Date]]=Control!$C$6, PV[[#This Row],[Notional Value Local Cur]], -PV[[#This Row],[Notional Value Local Cur]])</f>
        <v>0</v>
      </c>
    </row>
    <row r="12637" spans="1:5" x14ac:dyDescent="0.25">
      <c r="A12637" s="36" t="b">
        <v>0</v>
      </c>
      <c r="B12637" s="56" t="b">
        <v>0</v>
      </c>
      <c r="C12637" s="56" t="b">
        <v>0</v>
      </c>
      <c r="D12637" s="56" t="b">
        <v>0</v>
      </c>
      <c r="E12637" s="56">
        <f ca="1">IF(PV[[#This Row],[Business Date]]=Control!$C$6, PV[[#This Row],[Notional Value Local Cur]], -PV[[#This Row],[Notional Value Local Cur]])</f>
        <v>0</v>
      </c>
    </row>
    <row r="12638" spans="1:5" x14ac:dyDescent="0.25">
      <c r="A12638" s="36" t="b">
        <v>0</v>
      </c>
      <c r="B12638" s="56" t="b">
        <v>0</v>
      </c>
      <c r="C12638" s="56" t="b">
        <v>0</v>
      </c>
      <c r="D12638" s="56" t="b">
        <v>0</v>
      </c>
      <c r="E12638" s="56">
        <f ca="1">IF(PV[[#This Row],[Business Date]]=Control!$C$6, PV[[#This Row],[Notional Value Local Cur]], -PV[[#This Row],[Notional Value Local Cur]])</f>
        <v>0</v>
      </c>
    </row>
    <row r="12639" spans="1:5" x14ac:dyDescent="0.25">
      <c r="A12639" s="36" t="b">
        <v>0</v>
      </c>
      <c r="B12639" s="56" t="b">
        <v>0</v>
      </c>
      <c r="C12639" s="56" t="b">
        <v>0</v>
      </c>
      <c r="D12639" s="56" t="b">
        <v>0</v>
      </c>
      <c r="E12639" s="56">
        <f ca="1">IF(PV[[#This Row],[Business Date]]=Control!$C$6, PV[[#This Row],[Notional Value Local Cur]], -PV[[#This Row],[Notional Value Local Cur]])</f>
        <v>0</v>
      </c>
    </row>
    <row r="12640" spans="1:5" x14ac:dyDescent="0.25">
      <c r="A12640" s="36" t="b">
        <v>0</v>
      </c>
      <c r="B12640" s="56" t="b">
        <v>0</v>
      </c>
      <c r="C12640" s="56" t="b">
        <v>0</v>
      </c>
      <c r="D12640" s="56" t="b">
        <v>0</v>
      </c>
      <c r="E12640" s="56">
        <f ca="1">IF(PV[[#This Row],[Business Date]]=Control!$C$6, PV[[#This Row],[Notional Value Local Cur]], -PV[[#This Row],[Notional Value Local Cur]])</f>
        <v>0</v>
      </c>
    </row>
    <row r="12641" spans="1:5" x14ac:dyDescent="0.25">
      <c r="A12641" s="36" t="b">
        <v>0</v>
      </c>
      <c r="B12641" s="56" t="b">
        <v>0</v>
      </c>
      <c r="C12641" s="56" t="b">
        <v>0</v>
      </c>
      <c r="D12641" s="56" t="b">
        <v>0</v>
      </c>
      <c r="E12641" s="56">
        <f ca="1">IF(PV[[#This Row],[Business Date]]=Control!$C$6, PV[[#This Row],[Notional Value Local Cur]], -PV[[#This Row],[Notional Value Local Cur]])</f>
        <v>0</v>
      </c>
    </row>
    <row r="12642" spans="1:5" x14ac:dyDescent="0.25">
      <c r="A12642" s="36" t="b">
        <v>0</v>
      </c>
      <c r="B12642" s="56" t="b">
        <v>0</v>
      </c>
      <c r="C12642" s="56" t="b">
        <v>0</v>
      </c>
      <c r="D12642" s="56" t="b">
        <v>0</v>
      </c>
      <c r="E12642" s="56">
        <f ca="1">IF(PV[[#This Row],[Business Date]]=Control!$C$6, PV[[#This Row],[Notional Value Local Cur]], -PV[[#This Row],[Notional Value Local Cur]])</f>
        <v>0</v>
      </c>
    </row>
    <row r="12643" spans="1:5" x14ac:dyDescent="0.25">
      <c r="A12643" s="36" t="b">
        <v>0</v>
      </c>
      <c r="B12643" s="56" t="b">
        <v>0</v>
      </c>
      <c r="C12643" s="56" t="b">
        <v>0</v>
      </c>
      <c r="D12643" s="56" t="b">
        <v>0</v>
      </c>
      <c r="E12643" s="56">
        <f ca="1">IF(PV[[#This Row],[Business Date]]=Control!$C$6, PV[[#This Row],[Notional Value Local Cur]], -PV[[#This Row],[Notional Value Local Cur]])</f>
        <v>0</v>
      </c>
    </row>
    <row r="12644" spans="1:5" x14ac:dyDescent="0.25">
      <c r="A12644" s="36" t="b">
        <v>0</v>
      </c>
      <c r="B12644" s="56" t="b">
        <v>0</v>
      </c>
      <c r="C12644" s="56" t="b">
        <v>0</v>
      </c>
      <c r="D12644" s="56" t="b">
        <v>0</v>
      </c>
      <c r="E12644" s="56">
        <f ca="1">IF(PV[[#This Row],[Business Date]]=Control!$C$6, PV[[#This Row],[Notional Value Local Cur]], -PV[[#This Row],[Notional Value Local Cur]])</f>
        <v>0</v>
      </c>
    </row>
    <row r="12645" spans="1:5" x14ac:dyDescent="0.25">
      <c r="A12645" s="36" t="b">
        <v>0</v>
      </c>
      <c r="B12645" s="56" t="b">
        <v>0</v>
      </c>
      <c r="C12645" s="56" t="b">
        <v>0</v>
      </c>
      <c r="D12645" s="56" t="b">
        <v>0</v>
      </c>
      <c r="E12645" s="56">
        <f ca="1">IF(PV[[#This Row],[Business Date]]=Control!$C$6, PV[[#This Row],[Notional Value Local Cur]], -PV[[#This Row],[Notional Value Local Cur]])</f>
        <v>0</v>
      </c>
    </row>
    <row r="12646" spans="1:5" x14ac:dyDescent="0.25">
      <c r="A12646" s="36" t="b">
        <v>0</v>
      </c>
      <c r="B12646" s="56" t="b">
        <v>0</v>
      </c>
      <c r="C12646" s="56" t="b">
        <v>0</v>
      </c>
      <c r="D12646" s="56" t="b">
        <v>0</v>
      </c>
      <c r="E12646" s="56">
        <f ca="1">IF(PV[[#This Row],[Business Date]]=Control!$C$6, PV[[#This Row],[Notional Value Local Cur]], -PV[[#This Row],[Notional Value Local Cur]])</f>
        <v>0</v>
      </c>
    </row>
    <row r="12647" spans="1:5" x14ac:dyDescent="0.25">
      <c r="A12647" s="36" t="b">
        <v>0</v>
      </c>
      <c r="B12647" s="56" t="b">
        <v>0</v>
      </c>
      <c r="C12647" s="56" t="b">
        <v>0</v>
      </c>
      <c r="D12647" s="56" t="b">
        <v>0</v>
      </c>
      <c r="E12647" s="56">
        <f ca="1">IF(PV[[#This Row],[Business Date]]=Control!$C$6, PV[[#This Row],[Notional Value Local Cur]], -PV[[#This Row],[Notional Value Local Cur]])</f>
        <v>0</v>
      </c>
    </row>
    <row r="12648" spans="1:5" x14ac:dyDescent="0.25">
      <c r="A12648" s="36" t="b">
        <v>0</v>
      </c>
      <c r="B12648" s="56" t="b">
        <v>0</v>
      </c>
      <c r="C12648" s="56" t="b">
        <v>0</v>
      </c>
      <c r="D12648" s="56" t="b">
        <v>0</v>
      </c>
      <c r="E12648" s="56">
        <f ca="1">IF(PV[[#This Row],[Business Date]]=Control!$C$6, PV[[#This Row],[Notional Value Local Cur]], -PV[[#This Row],[Notional Value Local Cur]])</f>
        <v>0</v>
      </c>
    </row>
    <row r="12649" spans="1:5" x14ac:dyDescent="0.25">
      <c r="A12649" s="36" t="b">
        <v>0</v>
      </c>
      <c r="B12649" s="56" t="b">
        <v>0</v>
      </c>
      <c r="C12649" s="56" t="b">
        <v>0</v>
      </c>
      <c r="D12649" s="56" t="b">
        <v>0</v>
      </c>
      <c r="E12649" s="56">
        <f ca="1">IF(PV[[#This Row],[Business Date]]=Control!$C$6, PV[[#This Row],[Notional Value Local Cur]], -PV[[#This Row],[Notional Value Local Cur]])</f>
        <v>0</v>
      </c>
    </row>
    <row r="12650" spans="1:5" x14ac:dyDescent="0.25">
      <c r="A12650" s="36" t="b">
        <v>0</v>
      </c>
      <c r="B12650" s="56" t="b">
        <v>0</v>
      </c>
      <c r="C12650" s="56" t="b">
        <v>0</v>
      </c>
      <c r="D12650" s="56" t="b">
        <v>0</v>
      </c>
      <c r="E12650" s="56">
        <f ca="1">IF(PV[[#This Row],[Business Date]]=Control!$C$6, PV[[#This Row],[Notional Value Local Cur]], -PV[[#This Row],[Notional Value Local Cur]])</f>
        <v>0</v>
      </c>
    </row>
    <row r="12651" spans="1:5" x14ac:dyDescent="0.25">
      <c r="A12651" s="36" t="b">
        <v>0</v>
      </c>
      <c r="B12651" s="56" t="b">
        <v>0</v>
      </c>
      <c r="C12651" s="56" t="b">
        <v>0</v>
      </c>
      <c r="D12651" s="56" t="b">
        <v>0</v>
      </c>
      <c r="E12651" s="56">
        <f ca="1">IF(PV[[#This Row],[Business Date]]=Control!$C$6, PV[[#This Row],[Notional Value Local Cur]], -PV[[#This Row],[Notional Value Local Cur]])</f>
        <v>0</v>
      </c>
    </row>
    <row r="12652" spans="1:5" x14ac:dyDescent="0.25">
      <c r="A12652" s="36" t="b">
        <v>0</v>
      </c>
      <c r="B12652" s="56" t="b">
        <v>0</v>
      </c>
      <c r="C12652" s="56" t="b">
        <v>0</v>
      </c>
      <c r="D12652" s="56" t="b">
        <v>0</v>
      </c>
      <c r="E12652" s="56">
        <f ca="1">IF(PV[[#This Row],[Business Date]]=Control!$C$6, PV[[#This Row],[Notional Value Local Cur]], -PV[[#This Row],[Notional Value Local Cur]])</f>
        <v>0</v>
      </c>
    </row>
    <row r="12653" spans="1:5" x14ac:dyDescent="0.25">
      <c r="A12653" s="36" t="b">
        <v>0</v>
      </c>
      <c r="B12653" s="56" t="b">
        <v>0</v>
      </c>
      <c r="C12653" s="56" t="b">
        <v>0</v>
      </c>
      <c r="D12653" s="56" t="b">
        <v>0</v>
      </c>
      <c r="E12653" s="56">
        <f ca="1">IF(PV[[#This Row],[Business Date]]=Control!$C$6, PV[[#This Row],[Notional Value Local Cur]], -PV[[#This Row],[Notional Value Local Cur]])</f>
        <v>0</v>
      </c>
    </row>
    <row r="12654" spans="1:5" x14ac:dyDescent="0.25">
      <c r="A12654" s="36" t="b">
        <v>0</v>
      </c>
      <c r="B12654" s="56" t="b">
        <v>0</v>
      </c>
      <c r="C12654" s="56" t="b">
        <v>0</v>
      </c>
      <c r="D12654" s="56" t="b">
        <v>0</v>
      </c>
      <c r="E12654" s="56">
        <f ca="1">IF(PV[[#This Row],[Business Date]]=Control!$C$6, PV[[#This Row],[Notional Value Local Cur]], -PV[[#This Row],[Notional Value Local Cur]])</f>
        <v>0</v>
      </c>
    </row>
    <row r="12655" spans="1:5" x14ac:dyDescent="0.25">
      <c r="A12655" s="36" t="b">
        <v>0</v>
      </c>
      <c r="B12655" s="56" t="b">
        <v>0</v>
      </c>
      <c r="C12655" s="56" t="b">
        <v>0</v>
      </c>
      <c r="D12655" s="56" t="b">
        <v>0</v>
      </c>
      <c r="E12655" s="56">
        <f ca="1">IF(PV[[#This Row],[Business Date]]=Control!$C$6, PV[[#This Row],[Notional Value Local Cur]], -PV[[#This Row],[Notional Value Local Cur]])</f>
        <v>0</v>
      </c>
    </row>
    <row r="12656" spans="1:5" x14ac:dyDescent="0.25">
      <c r="A12656" s="36" t="b">
        <v>0</v>
      </c>
      <c r="B12656" s="56" t="b">
        <v>0</v>
      </c>
      <c r="C12656" s="56" t="b">
        <v>0</v>
      </c>
      <c r="D12656" s="56" t="b">
        <v>0</v>
      </c>
      <c r="E12656" s="56">
        <f ca="1">IF(PV[[#This Row],[Business Date]]=Control!$C$6, PV[[#This Row],[Notional Value Local Cur]], -PV[[#This Row],[Notional Value Local Cur]])</f>
        <v>0</v>
      </c>
    </row>
    <row r="12657" spans="1:5" x14ac:dyDescent="0.25">
      <c r="A12657" s="36" t="b">
        <v>0</v>
      </c>
      <c r="B12657" s="56" t="b">
        <v>0</v>
      </c>
      <c r="C12657" s="56" t="b">
        <v>0</v>
      </c>
      <c r="D12657" s="56" t="b">
        <v>0</v>
      </c>
      <c r="E12657" s="56">
        <f ca="1">IF(PV[[#This Row],[Business Date]]=Control!$C$6, PV[[#This Row],[Notional Value Local Cur]], -PV[[#This Row],[Notional Value Local Cur]])</f>
        <v>0</v>
      </c>
    </row>
    <row r="12658" spans="1:5" x14ac:dyDescent="0.25">
      <c r="A12658" s="36" t="b">
        <v>0</v>
      </c>
      <c r="B12658" s="56" t="b">
        <v>0</v>
      </c>
      <c r="C12658" s="56" t="b">
        <v>0</v>
      </c>
      <c r="D12658" s="56" t="b">
        <v>0</v>
      </c>
      <c r="E12658" s="56">
        <f ca="1">IF(PV[[#This Row],[Business Date]]=Control!$C$6, PV[[#This Row],[Notional Value Local Cur]], -PV[[#This Row],[Notional Value Local Cur]])</f>
        <v>0</v>
      </c>
    </row>
    <row r="12659" spans="1:5" x14ac:dyDescent="0.25">
      <c r="A12659" s="36" t="b">
        <v>0</v>
      </c>
      <c r="B12659" s="56" t="b">
        <v>0</v>
      </c>
      <c r="C12659" s="56" t="b">
        <v>0</v>
      </c>
      <c r="D12659" s="56" t="b">
        <v>0</v>
      </c>
      <c r="E12659" s="56">
        <f ca="1">IF(PV[[#This Row],[Business Date]]=Control!$C$6, PV[[#This Row],[Notional Value Local Cur]], -PV[[#This Row],[Notional Value Local Cur]])</f>
        <v>0</v>
      </c>
    </row>
    <row r="12660" spans="1:5" x14ac:dyDescent="0.25">
      <c r="A12660" s="36" t="b">
        <v>0</v>
      </c>
      <c r="B12660" s="56" t="b">
        <v>0</v>
      </c>
      <c r="C12660" s="56" t="b">
        <v>0</v>
      </c>
      <c r="D12660" s="56" t="b">
        <v>0</v>
      </c>
      <c r="E12660" s="56">
        <f ca="1">IF(PV[[#This Row],[Business Date]]=Control!$C$6, PV[[#This Row],[Notional Value Local Cur]], -PV[[#This Row],[Notional Value Local Cur]])</f>
        <v>0</v>
      </c>
    </row>
    <row r="12661" spans="1:5" x14ac:dyDescent="0.25">
      <c r="A12661" s="36" t="b">
        <v>0</v>
      </c>
      <c r="B12661" s="56" t="b">
        <v>0</v>
      </c>
      <c r="C12661" s="56" t="b">
        <v>0</v>
      </c>
      <c r="D12661" s="56" t="b">
        <v>0</v>
      </c>
      <c r="E12661" s="56">
        <f ca="1">IF(PV[[#This Row],[Business Date]]=Control!$C$6, PV[[#This Row],[Notional Value Local Cur]], -PV[[#This Row],[Notional Value Local Cur]])</f>
        <v>0</v>
      </c>
    </row>
    <row r="12662" spans="1:5" x14ac:dyDescent="0.25">
      <c r="A12662" s="36" t="b">
        <v>0</v>
      </c>
      <c r="B12662" s="56" t="b">
        <v>0</v>
      </c>
      <c r="C12662" s="56" t="b">
        <v>0</v>
      </c>
      <c r="D12662" s="56" t="b">
        <v>0</v>
      </c>
      <c r="E12662" s="56">
        <f ca="1">IF(PV[[#This Row],[Business Date]]=Control!$C$6, PV[[#This Row],[Notional Value Local Cur]], -PV[[#This Row],[Notional Value Local Cur]])</f>
        <v>0</v>
      </c>
    </row>
    <row r="12663" spans="1:5" x14ac:dyDescent="0.25">
      <c r="A12663" s="36" t="b">
        <v>0</v>
      </c>
      <c r="B12663" s="56" t="b">
        <v>0</v>
      </c>
      <c r="C12663" s="56" t="b">
        <v>0</v>
      </c>
      <c r="D12663" s="56" t="b">
        <v>0</v>
      </c>
      <c r="E12663" s="56">
        <f ca="1">IF(PV[[#This Row],[Business Date]]=Control!$C$6, PV[[#This Row],[Notional Value Local Cur]], -PV[[#This Row],[Notional Value Local Cur]])</f>
        <v>0</v>
      </c>
    </row>
    <row r="12664" spans="1:5" x14ac:dyDescent="0.25">
      <c r="A12664" s="36" t="b">
        <v>0</v>
      </c>
      <c r="B12664" s="56" t="b">
        <v>0</v>
      </c>
      <c r="C12664" s="56" t="b">
        <v>0</v>
      </c>
      <c r="D12664" s="56" t="b">
        <v>0</v>
      </c>
      <c r="E12664" s="56">
        <f ca="1">IF(PV[[#This Row],[Business Date]]=Control!$C$6, PV[[#This Row],[Notional Value Local Cur]], -PV[[#This Row],[Notional Value Local Cur]])</f>
        <v>0</v>
      </c>
    </row>
    <row r="12665" spans="1:5" x14ac:dyDescent="0.25">
      <c r="A12665" s="36" t="b">
        <v>0</v>
      </c>
      <c r="B12665" s="56" t="b">
        <v>0</v>
      </c>
      <c r="C12665" s="56" t="b">
        <v>0</v>
      </c>
      <c r="D12665" s="56" t="b">
        <v>0</v>
      </c>
      <c r="E12665" s="56">
        <f ca="1">IF(PV[[#This Row],[Business Date]]=Control!$C$6, PV[[#This Row],[Notional Value Local Cur]], -PV[[#This Row],[Notional Value Local Cur]])</f>
        <v>0</v>
      </c>
    </row>
    <row r="12666" spans="1:5" x14ac:dyDescent="0.25">
      <c r="A12666" s="36" t="b">
        <v>0</v>
      </c>
      <c r="B12666" s="56" t="b">
        <v>0</v>
      </c>
      <c r="C12666" s="56" t="b">
        <v>0</v>
      </c>
      <c r="D12666" s="56" t="b">
        <v>0</v>
      </c>
      <c r="E12666" s="56">
        <f ca="1">IF(PV[[#This Row],[Business Date]]=Control!$C$6, PV[[#This Row],[Notional Value Local Cur]], -PV[[#This Row],[Notional Value Local Cur]])</f>
        <v>0</v>
      </c>
    </row>
    <row r="12667" spans="1:5" x14ac:dyDescent="0.25">
      <c r="A12667" s="36" t="b">
        <v>0</v>
      </c>
      <c r="B12667" s="56" t="b">
        <v>0</v>
      </c>
      <c r="C12667" s="56" t="b">
        <v>0</v>
      </c>
      <c r="D12667" s="56" t="b">
        <v>0</v>
      </c>
      <c r="E12667" s="56">
        <f ca="1">IF(PV[[#This Row],[Business Date]]=Control!$C$6, PV[[#This Row],[Notional Value Local Cur]], -PV[[#This Row],[Notional Value Local Cur]])</f>
        <v>0</v>
      </c>
    </row>
    <row r="12668" spans="1:5" x14ac:dyDescent="0.25">
      <c r="A12668" s="36" t="b">
        <v>0</v>
      </c>
      <c r="B12668" s="56" t="b">
        <v>0</v>
      </c>
      <c r="C12668" s="56" t="b">
        <v>0</v>
      </c>
      <c r="D12668" s="56" t="b">
        <v>0</v>
      </c>
      <c r="E12668" s="56">
        <f ca="1">IF(PV[[#This Row],[Business Date]]=Control!$C$6, PV[[#This Row],[Notional Value Local Cur]], -PV[[#This Row],[Notional Value Local Cur]])</f>
        <v>0</v>
      </c>
    </row>
    <row r="12669" spans="1:5" x14ac:dyDescent="0.25">
      <c r="A12669" s="36" t="b">
        <v>0</v>
      </c>
      <c r="B12669" s="56" t="b">
        <v>0</v>
      </c>
      <c r="C12669" s="56" t="b">
        <v>0</v>
      </c>
      <c r="D12669" s="56" t="b">
        <v>0</v>
      </c>
      <c r="E12669" s="56">
        <f ca="1">IF(PV[[#This Row],[Business Date]]=Control!$C$6, PV[[#This Row],[Notional Value Local Cur]], -PV[[#This Row],[Notional Value Local Cur]])</f>
        <v>0</v>
      </c>
    </row>
    <row r="12670" spans="1:5" x14ac:dyDescent="0.25">
      <c r="A12670" s="36" t="b">
        <v>0</v>
      </c>
      <c r="B12670" s="56" t="b">
        <v>0</v>
      </c>
      <c r="C12670" s="56" t="b">
        <v>0</v>
      </c>
      <c r="D12670" s="56" t="b">
        <v>0</v>
      </c>
      <c r="E12670" s="56">
        <f ca="1">IF(PV[[#This Row],[Business Date]]=Control!$C$6, PV[[#This Row],[Notional Value Local Cur]], -PV[[#This Row],[Notional Value Local Cur]])</f>
        <v>0</v>
      </c>
    </row>
    <row r="12671" spans="1:5" x14ac:dyDescent="0.25">
      <c r="A12671" s="36" t="b">
        <v>0</v>
      </c>
      <c r="B12671" s="56" t="b">
        <v>0</v>
      </c>
      <c r="C12671" s="56" t="b">
        <v>0</v>
      </c>
      <c r="D12671" s="56" t="b">
        <v>0</v>
      </c>
      <c r="E12671" s="56">
        <f ca="1">IF(PV[[#This Row],[Business Date]]=Control!$C$6, PV[[#This Row],[Notional Value Local Cur]], -PV[[#This Row],[Notional Value Local Cur]])</f>
        <v>0</v>
      </c>
    </row>
    <row r="12672" spans="1:5" x14ac:dyDescent="0.25">
      <c r="A12672" s="36" t="b">
        <v>0</v>
      </c>
      <c r="B12672" s="56" t="b">
        <v>0</v>
      </c>
      <c r="C12672" s="56" t="b">
        <v>0</v>
      </c>
      <c r="D12672" s="56" t="b">
        <v>0</v>
      </c>
      <c r="E12672" s="56">
        <f ca="1">IF(PV[[#This Row],[Business Date]]=Control!$C$6, PV[[#This Row],[Notional Value Local Cur]], -PV[[#This Row],[Notional Value Local Cur]])</f>
        <v>0</v>
      </c>
    </row>
    <row r="12673" spans="1:5" x14ac:dyDescent="0.25">
      <c r="A12673" s="36" t="b">
        <v>0</v>
      </c>
      <c r="B12673" s="56" t="b">
        <v>0</v>
      </c>
      <c r="C12673" s="56" t="b">
        <v>0</v>
      </c>
      <c r="D12673" s="56" t="b">
        <v>0</v>
      </c>
      <c r="E12673" s="56">
        <f ca="1">IF(PV[[#This Row],[Business Date]]=Control!$C$6, PV[[#This Row],[Notional Value Local Cur]], -PV[[#This Row],[Notional Value Local Cur]])</f>
        <v>0</v>
      </c>
    </row>
    <row r="12674" spans="1:5" x14ac:dyDescent="0.25">
      <c r="A12674" s="36" t="b">
        <v>0</v>
      </c>
      <c r="B12674" s="56" t="b">
        <v>0</v>
      </c>
      <c r="C12674" s="56" t="b">
        <v>0</v>
      </c>
      <c r="D12674" s="56" t="b">
        <v>0</v>
      </c>
      <c r="E12674" s="56">
        <f ca="1">IF(PV[[#This Row],[Business Date]]=Control!$C$6, PV[[#This Row],[Notional Value Local Cur]], -PV[[#This Row],[Notional Value Local Cur]])</f>
        <v>0</v>
      </c>
    </row>
    <row r="12675" spans="1:5" x14ac:dyDescent="0.25">
      <c r="A12675" s="36" t="b">
        <v>0</v>
      </c>
      <c r="B12675" s="56" t="b">
        <v>0</v>
      </c>
      <c r="C12675" s="56" t="b">
        <v>0</v>
      </c>
      <c r="D12675" s="56" t="b">
        <v>0</v>
      </c>
      <c r="E12675" s="56">
        <f ca="1">IF(PV[[#This Row],[Business Date]]=Control!$C$6, PV[[#This Row],[Notional Value Local Cur]], -PV[[#This Row],[Notional Value Local Cur]])</f>
        <v>0</v>
      </c>
    </row>
    <row r="12676" spans="1:5" x14ac:dyDescent="0.25">
      <c r="A12676" s="36" t="b">
        <v>0</v>
      </c>
      <c r="B12676" s="56" t="b">
        <v>0</v>
      </c>
      <c r="C12676" s="56" t="b">
        <v>0</v>
      </c>
      <c r="D12676" s="56" t="b">
        <v>0</v>
      </c>
      <c r="E12676" s="56">
        <f ca="1">IF(PV[[#This Row],[Business Date]]=Control!$C$6, PV[[#This Row],[Notional Value Local Cur]], -PV[[#This Row],[Notional Value Local Cur]])</f>
        <v>0</v>
      </c>
    </row>
    <row r="12677" spans="1:5" x14ac:dyDescent="0.25">
      <c r="A12677" s="36" t="b">
        <v>0</v>
      </c>
      <c r="B12677" s="56" t="b">
        <v>0</v>
      </c>
      <c r="C12677" s="56" t="b">
        <v>0</v>
      </c>
      <c r="D12677" s="56" t="b">
        <v>0</v>
      </c>
      <c r="E12677" s="56">
        <f ca="1">IF(PV[[#This Row],[Business Date]]=Control!$C$6, PV[[#This Row],[Notional Value Local Cur]], -PV[[#This Row],[Notional Value Local Cur]])</f>
        <v>0</v>
      </c>
    </row>
    <row r="12678" spans="1:5" x14ac:dyDescent="0.25">
      <c r="A12678" s="36" t="b">
        <v>0</v>
      </c>
      <c r="B12678" s="56" t="b">
        <v>0</v>
      </c>
      <c r="C12678" s="56" t="b">
        <v>0</v>
      </c>
      <c r="D12678" s="56" t="b">
        <v>0</v>
      </c>
      <c r="E12678" s="56">
        <f ca="1">IF(PV[[#This Row],[Business Date]]=Control!$C$6, PV[[#This Row],[Notional Value Local Cur]], -PV[[#This Row],[Notional Value Local Cur]])</f>
        <v>0</v>
      </c>
    </row>
    <row r="12679" spans="1:5" x14ac:dyDescent="0.25">
      <c r="A12679" s="36" t="b">
        <v>0</v>
      </c>
      <c r="B12679" s="56" t="b">
        <v>0</v>
      </c>
      <c r="C12679" s="56" t="b">
        <v>0</v>
      </c>
      <c r="D12679" s="56" t="b">
        <v>0</v>
      </c>
      <c r="E12679" s="56">
        <f ca="1">IF(PV[[#This Row],[Business Date]]=Control!$C$6, PV[[#This Row],[Notional Value Local Cur]], -PV[[#This Row],[Notional Value Local Cur]])</f>
        <v>0</v>
      </c>
    </row>
    <row r="12680" spans="1:5" x14ac:dyDescent="0.25">
      <c r="A12680" s="36" t="b">
        <v>0</v>
      </c>
      <c r="B12680" s="56" t="b">
        <v>0</v>
      </c>
      <c r="C12680" s="56" t="b">
        <v>0</v>
      </c>
      <c r="D12680" s="56" t="b">
        <v>0</v>
      </c>
      <c r="E12680" s="56">
        <f ca="1">IF(PV[[#This Row],[Business Date]]=Control!$C$6, PV[[#This Row],[Notional Value Local Cur]], -PV[[#This Row],[Notional Value Local Cur]])</f>
        <v>0</v>
      </c>
    </row>
    <row r="12681" spans="1:5" x14ac:dyDescent="0.25">
      <c r="A12681" s="36" t="b">
        <v>0</v>
      </c>
      <c r="B12681" s="56" t="b">
        <v>0</v>
      </c>
      <c r="C12681" s="56" t="b">
        <v>0</v>
      </c>
      <c r="D12681" s="56" t="b">
        <v>0</v>
      </c>
      <c r="E12681" s="56">
        <f ca="1">IF(PV[[#This Row],[Business Date]]=Control!$C$6, PV[[#This Row],[Notional Value Local Cur]], -PV[[#This Row],[Notional Value Local Cur]])</f>
        <v>0</v>
      </c>
    </row>
    <row r="12682" spans="1:5" x14ac:dyDescent="0.25">
      <c r="A12682" s="36" t="b">
        <v>0</v>
      </c>
      <c r="B12682" s="56" t="b">
        <v>0</v>
      </c>
      <c r="C12682" s="56" t="b">
        <v>0</v>
      </c>
      <c r="D12682" s="56" t="b">
        <v>0</v>
      </c>
      <c r="E12682" s="56">
        <f ca="1">IF(PV[[#This Row],[Business Date]]=Control!$C$6, PV[[#This Row],[Notional Value Local Cur]], -PV[[#This Row],[Notional Value Local Cur]])</f>
        <v>0</v>
      </c>
    </row>
    <row r="12683" spans="1:5" x14ac:dyDescent="0.25">
      <c r="A12683" s="36" t="b">
        <v>0</v>
      </c>
      <c r="B12683" s="56" t="b">
        <v>0</v>
      </c>
      <c r="C12683" s="56" t="b">
        <v>0</v>
      </c>
      <c r="D12683" s="56" t="b">
        <v>0</v>
      </c>
      <c r="E12683" s="56">
        <f ca="1">IF(PV[[#This Row],[Business Date]]=Control!$C$6, PV[[#This Row],[Notional Value Local Cur]], -PV[[#This Row],[Notional Value Local Cur]])</f>
        <v>0</v>
      </c>
    </row>
    <row r="12684" spans="1:5" x14ac:dyDescent="0.25">
      <c r="A12684" s="36" t="b">
        <v>0</v>
      </c>
      <c r="B12684" s="56" t="b">
        <v>0</v>
      </c>
      <c r="C12684" s="56" t="b">
        <v>0</v>
      </c>
      <c r="D12684" s="56" t="b">
        <v>0</v>
      </c>
      <c r="E12684" s="56">
        <f ca="1">IF(PV[[#This Row],[Business Date]]=Control!$C$6, PV[[#This Row],[Notional Value Local Cur]], -PV[[#This Row],[Notional Value Local Cur]])</f>
        <v>0</v>
      </c>
    </row>
    <row r="12685" spans="1:5" x14ac:dyDescent="0.25">
      <c r="A12685" s="36" t="b">
        <v>0</v>
      </c>
      <c r="B12685" s="56" t="b">
        <v>0</v>
      </c>
      <c r="C12685" s="56" t="b">
        <v>0</v>
      </c>
      <c r="D12685" s="56" t="b">
        <v>0</v>
      </c>
      <c r="E12685" s="56">
        <f ca="1">IF(PV[[#This Row],[Business Date]]=Control!$C$6, PV[[#This Row],[Notional Value Local Cur]], -PV[[#This Row],[Notional Value Local Cur]])</f>
        <v>0</v>
      </c>
    </row>
    <row r="12686" spans="1:5" x14ac:dyDescent="0.25">
      <c r="A12686" s="36" t="b">
        <v>0</v>
      </c>
      <c r="B12686" s="56" t="b">
        <v>0</v>
      </c>
      <c r="C12686" s="56" t="b">
        <v>0</v>
      </c>
      <c r="D12686" s="56" t="b">
        <v>0</v>
      </c>
      <c r="E12686" s="56">
        <f ca="1">IF(PV[[#This Row],[Business Date]]=Control!$C$6, PV[[#This Row],[Notional Value Local Cur]], -PV[[#This Row],[Notional Value Local Cur]])</f>
        <v>0</v>
      </c>
    </row>
    <row r="12687" spans="1:5" x14ac:dyDescent="0.25">
      <c r="A12687" s="36" t="b">
        <v>0</v>
      </c>
      <c r="B12687" s="56" t="b">
        <v>0</v>
      </c>
      <c r="C12687" s="56" t="b">
        <v>0</v>
      </c>
      <c r="D12687" s="56" t="b">
        <v>0</v>
      </c>
      <c r="E12687" s="56">
        <f ca="1">IF(PV[[#This Row],[Business Date]]=Control!$C$6, PV[[#This Row],[Notional Value Local Cur]], -PV[[#This Row],[Notional Value Local Cur]])</f>
        <v>0</v>
      </c>
    </row>
    <row r="12688" spans="1:5" x14ac:dyDescent="0.25">
      <c r="A12688" s="36" t="b">
        <v>0</v>
      </c>
      <c r="B12688" s="56" t="b">
        <v>0</v>
      </c>
      <c r="C12688" s="56" t="b">
        <v>0</v>
      </c>
      <c r="D12688" s="56" t="b">
        <v>0</v>
      </c>
      <c r="E12688" s="56">
        <f ca="1">IF(PV[[#This Row],[Business Date]]=Control!$C$6, PV[[#This Row],[Notional Value Local Cur]], -PV[[#This Row],[Notional Value Local Cur]])</f>
        <v>0</v>
      </c>
    </row>
    <row r="12689" spans="1:5" x14ac:dyDescent="0.25">
      <c r="A12689" s="36" t="b">
        <v>0</v>
      </c>
      <c r="B12689" s="56" t="b">
        <v>0</v>
      </c>
      <c r="C12689" s="56" t="b">
        <v>0</v>
      </c>
      <c r="D12689" s="56" t="b">
        <v>0</v>
      </c>
      <c r="E12689" s="56">
        <f ca="1">IF(PV[[#This Row],[Business Date]]=Control!$C$6, PV[[#This Row],[Notional Value Local Cur]], -PV[[#This Row],[Notional Value Local Cur]])</f>
        <v>0</v>
      </c>
    </row>
    <row r="12690" spans="1:5" x14ac:dyDescent="0.25">
      <c r="A12690" s="36" t="b">
        <v>0</v>
      </c>
      <c r="B12690" s="56" t="b">
        <v>0</v>
      </c>
      <c r="C12690" s="56" t="b">
        <v>0</v>
      </c>
      <c r="D12690" s="56" t="b">
        <v>0</v>
      </c>
      <c r="E12690" s="56">
        <f ca="1">IF(PV[[#This Row],[Business Date]]=Control!$C$6, PV[[#This Row],[Notional Value Local Cur]], -PV[[#This Row],[Notional Value Local Cur]])</f>
        <v>0</v>
      </c>
    </row>
    <row r="12691" spans="1:5" x14ac:dyDescent="0.25">
      <c r="A12691" s="36" t="b">
        <v>0</v>
      </c>
      <c r="B12691" s="56" t="b">
        <v>0</v>
      </c>
      <c r="C12691" s="56" t="b">
        <v>0</v>
      </c>
      <c r="D12691" s="56" t="b">
        <v>0</v>
      </c>
      <c r="E12691" s="56">
        <f ca="1">IF(PV[[#This Row],[Business Date]]=Control!$C$6, PV[[#This Row],[Notional Value Local Cur]], -PV[[#This Row],[Notional Value Local Cur]])</f>
        <v>0</v>
      </c>
    </row>
    <row r="12692" spans="1:5" x14ac:dyDescent="0.25">
      <c r="A12692" s="36" t="b">
        <v>0</v>
      </c>
      <c r="B12692" s="56" t="b">
        <v>0</v>
      </c>
      <c r="C12692" s="56" t="b">
        <v>0</v>
      </c>
      <c r="D12692" s="56" t="b">
        <v>0</v>
      </c>
      <c r="E12692" s="56">
        <f ca="1">IF(PV[[#This Row],[Business Date]]=Control!$C$6, PV[[#This Row],[Notional Value Local Cur]], -PV[[#This Row],[Notional Value Local Cur]])</f>
        <v>0</v>
      </c>
    </row>
    <row r="12693" spans="1:5" x14ac:dyDescent="0.25">
      <c r="A12693" s="36" t="b">
        <v>0</v>
      </c>
      <c r="B12693" s="56" t="b">
        <v>0</v>
      </c>
      <c r="C12693" s="56" t="b">
        <v>0</v>
      </c>
      <c r="D12693" s="56" t="b">
        <v>0</v>
      </c>
      <c r="E12693" s="56">
        <f ca="1">IF(PV[[#This Row],[Business Date]]=Control!$C$6, PV[[#This Row],[Notional Value Local Cur]], -PV[[#This Row],[Notional Value Local Cur]])</f>
        <v>0</v>
      </c>
    </row>
    <row r="12694" spans="1:5" x14ac:dyDescent="0.25">
      <c r="A12694" s="36" t="b">
        <v>0</v>
      </c>
      <c r="B12694" s="56" t="b">
        <v>0</v>
      </c>
      <c r="C12694" s="56" t="b">
        <v>0</v>
      </c>
      <c r="D12694" s="56" t="b">
        <v>0</v>
      </c>
      <c r="E12694" s="56">
        <f ca="1">IF(PV[[#This Row],[Business Date]]=Control!$C$6, PV[[#This Row],[Notional Value Local Cur]], -PV[[#This Row],[Notional Value Local Cur]])</f>
        <v>0</v>
      </c>
    </row>
    <row r="12695" spans="1:5" x14ac:dyDescent="0.25">
      <c r="A12695" s="36" t="b">
        <v>0</v>
      </c>
      <c r="B12695" s="56" t="b">
        <v>0</v>
      </c>
      <c r="C12695" s="56" t="b">
        <v>0</v>
      </c>
      <c r="D12695" s="56" t="b">
        <v>0</v>
      </c>
      <c r="E12695" s="56">
        <f ca="1">IF(PV[[#This Row],[Business Date]]=Control!$C$6, PV[[#This Row],[Notional Value Local Cur]], -PV[[#This Row],[Notional Value Local Cur]])</f>
        <v>0</v>
      </c>
    </row>
    <row r="12696" spans="1:5" x14ac:dyDescent="0.25">
      <c r="A12696" s="36" t="b">
        <v>0</v>
      </c>
      <c r="B12696" s="56" t="b">
        <v>0</v>
      </c>
      <c r="C12696" s="56" t="b">
        <v>0</v>
      </c>
      <c r="D12696" s="56" t="b">
        <v>0</v>
      </c>
      <c r="E12696" s="56">
        <f ca="1">IF(PV[[#This Row],[Business Date]]=Control!$C$6, PV[[#This Row],[Notional Value Local Cur]], -PV[[#This Row],[Notional Value Local Cur]])</f>
        <v>0</v>
      </c>
    </row>
    <row r="12697" spans="1:5" x14ac:dyDescent="0.25">
      <c r="A12697" s="36" t="b">
        <v>0</v>
      </c>
      <c r="B12697" s="56" t="b">
        <v>0</v>
      </c>
      <c r="C12697" s="56" t="b">
        <v>0</v>
      </c>
      <c r="D12697" s="56" t="b">
        <v>0</v>
      </c>
      <c r="E12697" s="56">
        <f ca="1">IF(PV[[#This Row],[Business Date]]=Control!$C$6, PV[[#This Row],[Notional Value Local Cur]], -PV[[#This Row],[Notional Value Local Cur]])</f>
        <v>0</v>
      </c>
    </row>
    <row r="12698" spans="1:5" x14ac:dyDescent="0.25">
      <c r="A12698" s="36" t="b">
        <v>0</v>
      </c>
      <c r="B12698" s="56" t="b">
        <v>0</v>
      </c>
      <c r="C12698" s="56" t="b">
        <v>0</v>
      </c>
      <c r="D12698" s="56" t="b">
        <v>0</v>
      </c>
      <c r="E12698" s="56">
        <f ca="1">IF(PV[[#This Row],[Business Date]]=Control!$C$6, PV[[#This Row],[Notional Value Local Cur]], -PV[[#This Row],[Notional Value Local Cur]])</f>
        <v>0</v>
      </c>
    </row>
    <row r="12699" spans="1:5" x14ac:dyDescent="0.25">
      <c r="A12699" s="36" t="b">
        <v>0</v>
      </c>
      <c r="B12699" s="56" t="b">
        <v>0</v>
      </c>
      <c r="C12699" s="56" t="b">
        <v>0</v>
      </c>
      <c r="D12699" s="56" t="b">
        <v>0</v>
      </c>
      <c r="E12699" s="56">
        <f ca="1">IF(PV[[#This Row],[Business Date]]=Control!$C$6, PV[[#This Row],[Notional Value Local Cur]], -PV[[#This Row],[Notional Value Local Cur]])</f>
        <v>0</v>
      </c>
    </row>
    <row r="12700" spans="1:5" x14ac:dyDescent="0.25">
      <c r="A12700" s="36" t="b">
        <v>0</v>
      </c>
      <c r="B12700" s="56" t="b">
        <v>0</v>
      </c>
      <c r="C12700" s="56" t="b">
        <v>0</v>
      </c>
      <c r="D12700" s="56" t="b">
        <v>0</v>
      </c>
      <c r="E12700" s="56">
        <f ca="1">IF(PV[[#This Row],[Business Date]]=Control!$C$6, PV[[#This Row],[Notional Value Local Cur]], -PV[[#This Row],[Notional Value Local Cur]])</f>
        <v>0</v>
      </c>
    </row>
    <row r="12701" spans="1:5" x14ac:dyDescent="0.25">
      <c r="A12701" s="36" t="b">
        <v>0</v>
      </c>
      <c r="B12701" s="56" t="b">
        <v>0</v>
      </c>
      <c r="C12701" s="56" t="b">
        <v>0</v>
      </c>
      <c r="D12701" s="56" t="b">
        <v>0</v>
      </c>
      <c r="E12701" s="56">
        <f ca="1">IF(PV[[#This Row],[Business Date]]=Control!$C$6, PV[[#This Row],[Notional Value Local Cur]], -PV[[#This Row],[Notional Value Local Cur]])</f>
        <v>0</v>
      </c>
    </row>
    <row r="12702" spans="1:5" x14ac:dyDescent="0.25">
      <c r="A12702" s="36" t="b">
        <v>0</v>
      </c>
      <c r="B12702" s="56" t="b">
        <v>0</v>
      </c>
      <c r="C12702" s="56" t="b">
        <v>0</v>
      </c>
      <c r="D12702" s="56" t="b">
        <v>0</v>
      </c>
      <c r="E12702" s="56">
        <f ca="1">IF(PV[[#This Row],[Business Date]]=Control!$C$6, PV[[#This Row],[Notional Value Local Cur]], -PV[[#This Row],[Notional Value Local Cur]])</f>
        <v>0</v>
      </c>
    </row>
    <row r="12703" spans="1:5" x14ac:dyDescent="0.25">
      <c r="A12703" s="36" t="b">
        <v>0</v>
      </c>
      <c r="B12703" s="56" t="b">
        <v>0</v>
      </c>
      <c r="C12703" s="56" t="b">
        <v>0</v>
      </c>
      <c r="D12703" s="56" t="b">
        <v>0</v>
      </c>
      <c r="E12703" s="56">
        <f ca="1">IF(PV[[#This Row],[Business Date]]=Control!$C$6, PV[[#This Row],[Notional Value Local Cur]], -PV[[#This Row],[Notional Value Local Cur]])</f>
        <v>0</v>
      </c>
    </row>
    <row r="12704" spans="1:5" x14ac:dyDescent="0.25">
      <c r="A12704" s="36" t="b">
        <v>0</v>
      </c>
      <c r="B12704" s="56" t="b">
        <v>0</v>
      </c>
      <c r="C12704" s="56" t="b">
        <v>0</v>
      </c>
      <c r="D12704" s="56" t="b">
        <v>0</v>
      </c>
      <c r="E12704" s="56">
        <f ca="1">IF(PV[[#This Row],[Business Date]]=Control!$C$6, PV[[#This Row],[Notional Value Local Cur]], -PV[[#This Row],[Notional Value Local Cur]])</f>
        <v>0</v>
      </c>
    </row>
    <row r="12705" spans="1:5" x14ac:dyDescent="0.25">
      <c r="A12705" s="36" t="b">
        <v>0</v>
      </c>
      <c r="B12705" s="56" t="b">
        <v>0</v>
      </c>
      <c r="C12705" s="56" t="b">
        <v>0</v>
      </c>
      <c r="D12705" s="56" t="b">
        <v>0</v>
      </c>
      <c r="E12705" s="56">
        <f ca="1">IF(PV[[#This Row],[Business Date]]=Control!$C$6, PV[[#This Row],[Notional Value Local Cur]], -PV[[#This Row],[Notional Value Local Cur]])</f>
        <v>0</v>
      </c>
    </row>
    <row r="12706" spans="1:5" x14ac:dyDescent="0.25">
      <c r="A12706" s="36" t="b">
        <v>0</v>
      </c>
      <c r="B12706" s="56" t="b">
        <v>0</v>
      </c>
      <c r="C12706" s="56" t="b">
        <v>0</v>
      </c>
      <c r="D12706" s="56" t="b">
        <v>0</v>
      </c>
      <c r="E12706" s="56">
        <f ca="1">IF(PV[[#This Row],[Business Date]]=Control!$C$6, PV[[#This Row],[Notional Value Local Cur]], -PV[[#This Row],[Notional Value Local Cur]])</f>
        <v>0</v>
      </c>
    </row>
    <row r="12707" spans="1:5" x14ac:dyDescent="0.25">
      <c r="A12707" s="36" t="b">
        <v>0</v>
      </c>
      <c r="B12707" s="56" t="b">
        <v>0</v>
      </c>
      <c r="C12707" s="56" t="b">
        <v>0</v>
      </c>
      <c r="D12707" s="56" t="b">
        <v>0</v>
      </c>
      <c r="E12707" s="56">
        <f ca="1">IF(PV[[#This Row],[Business Date]]=Control!$C$6, PV[[#This Row],[Notional Value Local Cur]], -PV[[#This Row],[Notional Value Local Cur]])</f>
        <v>0</v>
      </c>
    </row>
    <row r="12708" spans="1:5" x14ac:dyDescent="0.25">
      <c r="A12708" s="36" t="b">
        <v>0</v>
      </c>
      <c r="B12708" s="56" t="b">
        <v>0</v>
      </c>
      <c r="C12708" s="56" t="b">
        <v>0</v>
      </c>
      <c r="D12708" s="56" t="b">
        <v>0</v>
      </c>
      <c r="E12708" s="56">
        <f ca="1">IF(PV[[#This Row],[Business Date]]=Control!$C$6, PV[[#This Row],[Notional Value Local Cur]], -PV[[#This Row],[Notional Value Local Cur]])</f>
        <v>0</v>
      </c>
    </row>
    <row r="12709" spans="1:5" x14ac:dyDescent="0.25">
      <c r="A12709" s="36" t="b">
        <v>0</v>
      </c>
      <c r="B12709" s="56" t="b">
        <v>0</v>
      </c>
      <c r="C12709" s="56" t="b">
        <v>0</v>
      </c>
      <c r="D12709" s="56" t="b">
        <v>0</v>
      </c>
      <c r="E12709" s="56">
        <f ca="1">IF(PV[[#This Row],[Business Date]]=Control!$C$6, PV[[#This Row],[Notional Value Local Cur]], -PV[[#This Row],[Notional Value Local Cur]])</f>
        <v>0</v>
      </c>
    </row>
    <row r="12710" spans="1:5" x14ac:dyDescent="0.25">
      <c r="A12710" s="36" t="b">
        <v>0</v>
      </c>
      <c r="B12710" s="56" t="b">
        <v>0</v>
      </c>
      <c r="C12710" s="56" t="b">
        <v>0</v>
      </c>
      <c r="D12710" s="56" t="b">
        <v>0</v>
      </c>
      <c r="E12710" s="56">
        <f ca="1">IF(PV[[#This Row],[Business Date]]=Control!$C$6, PV[[#This Row],[Notional Value Local Cur]], -PV[[#This Row],[Notional Value Local Cur]])</f>
        <v>0</v>
      </c>
    </row>
    <row r="12711" spans="1:5" x14ac:dyDescent="0.25">
      <c r="A12711" s="36" t="b">
        <v>0</v>
      </c>
      <c r="B12711" s="56" t="b">
        <v>0</v>
      </c>
      <c r="C12711" s="56" t="b">
        <v>0</v>
      </c>
      <c r="D12711" s="56" t="b">
        <v>0</v>
      </c>
      <c r="E12711" s="56">
        <f ca="1">IF(PV[[#This Row],[Business Date]]=Control!$C$6, PV[[#This Row],[Notional Value Local Cur]], -PV[[#This Row],[Notional Value Local Cur]])</f>
        <v>0</v>
      </c>
    </row>
    <row r="12712" spans="1:5" x14ac:dyDescent="0.25">
      <c r="A12712" s="36" t="b">
        <v>0</v>
      </c>
      <c r="B12712" s="56" t="b">
        <v>0</v>
      </c>
      <c r="C12712" s="56" t="b">
        <v>0</v>
      </c>
      <c r="D12712" s="56" t="b">
        <v>0</v>
      </c>
      <c r="E12712" s="56">
        <f ca="1">IF(PV[[#This Row],[Business Date]]=Control!$C$6, PV[[#This Row],[Notional Value Local Cur]], -PV[[#This Row],[Notional Value Local Cur]])</f>
        <v>0</v>
      </c>
    </row>
    <row r="12713" spans="1:5" x14ac:dyDescent="0.25">
      <c r="A12713" s="36" t="b">
        <v>0</v>
      </c>
      <c r="B12713" s="56" t="b">
        <v>0</v>
      </c>
      <c r="C12713" s="56" t="b">
        <v>0</v>
      </c>
      <c r="D12713" s="56" t="b">
        <v>0</v>
      </c>
      <c r="E12713" s="56">
        <f ca="1">IF(PV[[#This Row],[Business Date]]=Control!$C$6, PV[[#This Row],[Notional Value Local Cur]], -PV[[#This Row],[Notional Value Local Cur]])</f>
        <v>0</v>
      </c>
    </row>
    <row r="12714" spans="1:5" x14ac:dyDescent="0.25">
      <c r="A12714" s="36" t="b">
        <v>0</v>
      </c>
      <c r="B12714" s="56" t="b">
        <v>0</v>
      </c>
      <c r="C12714" s="56" t="b">
        <v>0</v>
      </c>
      <c r="D12714" s="56" t="b">
        <v>0</v>
      </c>
      <c r="E12714" s="56">
        <f ca="1">IF(PV[[#This Row],[Business Date]]=Control!$C$6, PV[[#This Row],[Notional Value Local Cur]], -PV[[#This Row],[Notional Value Local Cur]])</f>
        <v>0</v>
      </c>
    </row>
    <row r="12715" spans="1:5" x14ac:dyDescent="0.25">
      <c r="A12715" s="36" t="b">
        <v>0</v>
      </c>
      <c r="B12715" s="56" t="b">
        <v>0</v>
      </c>
      <c r="C12715" s="56" t="b">
        <v>0</v>
      </c>
      <c r="D12715" s="56" t="b">
        <v>0</v>
      </c>
      <c r="E12715" s="56">
        <f ca="1">IF(PV[[#This Row],[Business Date]]=Control!$C$6, PV[[#This Row],[Notional Value Local Cur]], -PV[[#This Row],[Notional Value Local Cur]])</f>
        <v>0</v>
      </c>
    </row>
    <row r="12716" spans="1:5" x14ac:dyDescent="0.25">
      <c r="A12716" s="36" t="b">
        <v>0</v>
      </c>
      <c r="B12716" s="56" t="b">
        <v>0</v>
      </c>
      <c r="C12716" s="56" t="b">
        <v>0</v>
      </c>
      <c r="D12716" s="56" t="b">
        <v>0</v>
      </c>
      <c r="E12716" s="56">
        <f ca="1">IF(PV[[#This Row],[Business Date]]=Control!$C$6, PV[[#This Row],[Notional Value Local Cur]], -PV[[#This Row],[Notional Value Local Cur]])</f>
        <v>0</v>
      </c>
    </row>
    <row r="12717" spans="1:5" x14ac:dyDescent="0.25">
      <c r="A12717" s="36" t="b">
        <v>0</v>
      </c>
      <c r="B12717" s="56" t="b">
        <v>0</v>
      </c>
      <c r="C12717" s="56" t="b">
        <v>0</v>
      </c>
      <c r="D12717" s="56" t="b">
        <v>0</v>
      </c>
      <c r="E12717" s="56">
        <f ca="1">IF(PV[[#This Row],[Business Date]]=Control!$C$6, PV[[#This Row],[Notional Value Local Cur]], -PV[[#This Row],[Notional Value Local Cur]])</f>
        <v>0</v>
      </c>
    </row>
    <row r="12718" spans="1:5" x14ac:dyDescent="0.25">
      <c r="A12718" s="36" t="b">
        <v>0</v>
      </c>
      <c r="B12718" s="56" t="b">
        <v>0</v>
      </c>
      <c r="C12718" s="56" t="b">
        <v>0</v>
      </c>
      <c r="D12718" s="56" t="b">
        <v>0</v>
      </c>
      <c r="E12718" s="56">
        <f ca="1">IF(PV[[#This Row],[Business Date]]=Control!$C$6, PV[[#This Row],[Notional Value Local Cur]], -PV[[#This Row],[Notional Value Local Cur]])</f>
        <v>0</v>
      </c>
    </row>
    <row r="12719" spans="1:5" x14ac:dyDescent="0.25">
      <c r="A12719" s="36" t="b">
        <v>0</v>
      </c>
      <c r="B12719" s="56" t="b">
        <v>0</v>
      </c>
      <c r="C12719" s="56" t="b">
        <v>0</v>
      </c>
      <c r="D12719" s="56" t="b">
        <v>0</v>
      </c>
      <c r="E12719" s="56">
        <f ca="1">IF(PV[[#This Row],[Business Date]]=Control!$C$6, PV[[#This Row],[Notional Value Local Cur]], -PV[[#This Row],[Notional Value Local Cur]])</f>
        <v>0</v>
      </c>
    </row>
    <row r="12720" spans="1:5" x14ac:dyDescent="0.25">
      <c r="A12720" s="36" t="b">
        <v>0</v>
      </c>
      <c r="B12720" s="56" t="b">
        <v>0</v>
      </c>
      <c r="C12720" s="56" t="b">
        <v>0</v>
      </c>
      <c r="D12720" s="56" t="b">
        <v>0</v>
      </c>
      <c r="E12720" s="56">
        <f ca="1">IF(PV[[#This Row],[Business Date]]=Control!$C$6, PV[[#This Row],[Notional Value Local Cur]], -PV[[#This Row],[Notional Value Local Cur]])</f>
        <v>0</v>
      </c>
    </row>
    <row r="12721" spans="1:5" x14ac:dyDescent="0.25">
      <c r="A12721" s="36" t="b">
        <v>0</v>
      </c>
      <c r="B12721" s="56" t="b">
        <v>0</v>
      </c>
      <c r="C12721" s="56" t="b">
        <v>0</v>
      </c>
      <c r="D12721" s="56" t="b">
        <v>0</v>
      </c>
      <c r="E12721" s="56">
        <f ca="1">IF(PV[[#This Row],[Business Date]]=Control!$C$6, PV[[#This Row],[Notional Value Local Cur]], -PV[[#This Row],[Notional Value Local Cur]])</f>
        <v>0</v>
      </c>
    </row>
    <row r="12722" spans="1:5" x14ac:dyDescent="0.25">
      <c r="A12722" s="36" t="b">
        <v>0</v>
      </c>
      <c r="B12722" s="56" t="b">
        <v>0</v>
      </c>
      <c r="C12722" s="56" t="b">
        <v>0</v>
      </c>
      <c r="D12722" s="56" t="b">
        <v>0</v>
      </c>
      <c r="E12722" s="56">
        <f ca="1">IF(PV[[#This Row],[Business Date]]=Control!$C$6, PV[[#This Row],[Notional Value Local Cur]], -PV[[#This Row],[Notional Value Local Cur]])</f>
        <v>0</v>
      </c>
    </row>
    <row r="12723" spans="1:5" x14ac:dyDescent="0.25">
      <c r="A12723" s="36" t="b">
        <v>0</v>
      </c>
      <c r="B12723" s="56" t="b">
        <v>0</v>
      </c>
      <c r="C12723" s="56" t="b">
        <v>0</v>
      </c>
      <c r="D12723" s="56" t="b">
        <v>0</v>
      </c>
      <c r="E12723" s="56">
        <f ca="1">IF(PV[[#This Row],[Business Date]]=Control!$C$6, PV[[#This Row],[Notional Value Local Cur]], -PV[[#This Row],[Notional Value Local Cur]])</f>
        <v>0</v>
      </c>
    </row>
    <row r="12724" spans="1:5" x14ac:dyDescent="0.25">
      <c r="A12724" s="36" t="b">
        <v>0</v>
      </c>
      <c r="B12724" s="56" t="b">
        <v>0</v>
      </c>
      <c r="C12724" s="56" t="b">
        <v>0</v>
      </c>
      <c r="D12724" s="56" t="b">
        <v>0</v>
      </c>
      <c r="E12724" s="56">
        <f ca="1">IF(PV[[#This Row],[Business Date]]=Control!$C$6, PV[[#This Row],[Notional Value Local Cur]], -PV[[#This Row],[Notional Value Local Cur]])</f>
        <v>0</v>
      </c>
    </row>
    <row r="12725" spans="1:5" x14ac:dyDescent="0.25">
      <c r="A12725" s="36" t="b">
        <v>0</v>
      </c>
      <c r="B12725" s="56" t="b">
        <v>0</v>
      </c>
      <c r="C12725" s="56" t="b">
        <v>0</v>
      </c>
      <c r="D12725" s="56" t="b">
        <v>0</v>
      </c>
      <c r="E12725" s="56">
        <f ca="1">IF(PV[[#This Row],[Business Date]]=Control!$C$6, PV[[#This Row],[Notional Value Local Cur]], -PV[[#This Row],[Notional Value Local Cur]])</f>
        <v>0</v>
      </c>
    </row>
    <row r="12726" spans="1:5" x14ac:dyDescent="0.25">
      <c r="A12726" s="36" t="b">
        <v>0</v>
      </c>
      <c r="B12726" s="56" t="b">
        <v>0</v>
      </c>
      <c r="C12726" s="56" t="b">
        <v>0</v>
      </c>
      <c r="D12726" s="56" t="b">
        <v>0</v>
      </c>
      <c r="E12726" s="56">
        <f ca="1">IF(PV[[#This Row],[Business Date]]=Control!$C$6, PV[[#This Row],[Notional Value Local Cur]], -PV[[#This Row],[Notional Value Local Cur]])</f>
        <v>0</v>
      </c>
    </row>
    <row r="12727" spans="1:5" x14ac:dyDescent="0.25">
      <c r="A12727" s="36" t="b">
        <v>0</v>
      </c>
      <c r="B12727" s="56" t="b">
        <v>0</v>
      </c>
      <c r="C12727" s="56" t="b">
        <v>0</v>
      </c>
      <c r="D12727" s="56" t="b">
        <v>0</v>
      </c>
      <c r="E12727" s="56">
        <f ca="1">IF(PV[[#This Row],[Business Date]]=Control!$C$6, PV[[#This Row],[Notional Value Local Cur]], -PV[[#This Row],[Notional Value Local Cur]])</f>
        <v>0</v>
      </c>
    </row>
    <row r="12728" spans="1:5" x14ac:dyDescent="0.25">
      <c r="A12728" s="36" t="b">
        <v>0</v>
      </c>
      <c r="B12728" s="56" t="b">
        <v>0</v>
      </c>
      <c r="C12728" s="56" t="b">
        <v>0</v>
      </c>
      <c r="D12728" s="56" t="b">
        <v>0</v>
      </c>
      <c r="E12728" s="56">
        <f ca="1">IF(PV[[#This Row],[Business Date]]=Control!$C$6, PV[[#This Row],[Notional Value Local Cur]], -PV[[#This Row],[Notional Value Local Cur]])</f>
        <v>0</v>
      </c>
    </row>
    <row r="12729" spans="1:5" x14ac:dyDescent="0.25">
      <c r="A12729" s="36" t="b">
        <v>0</v>
      </c>
      <c r="B12729" s="56" t="b">
        <v>0</v>
      </c>
      <c r="C12729" s="56" t="b">
        <v>0</v>
      </c>
      <c r="D12729" s="56" t="b">
        <v>0</v>
      </c>
      <c r="E12729" s="56">
        <f ca="1">IF(PV[[#This Row],[Business Date]]=Control!$C$6, PV[[#This Row],[Notional Value Local Cur]], -PV[[#This Row],[Notional Value Local Cur]])</f>
        <v>0</v>
      </c>
    </row>
    <row r="12730" spans="1:5" x14ac:dyDescent="0.25">
      <c r="A12730" s="36" t="b">
        <v>0</v>
      </c>
      <c r="B12730" s="56" t="b">
        <v>0</v>
      </c>
      <c r="C12730" s="56" t="b">
        <v>0</v>
      </c>
      <c r="D12730" s="56" t="b">
        <v>0</v>
      </c>
      <c r="E12730" s="56">
        <f ca="1">IF(PV[[#This Row],[Business Date]]=Control!$C$6, PV[[#This Row],[Notional Value Local Cur]], -PV[[#This Row],[Notional Value Local Cur]])</f>
        <v>0</v>
      </c>
    </row>
    <row r="12731" spans="1:5" x14ac:dyDescent="0.25">
      <c r="A12731" s="36" t="b">
        <v>0</v>
      </c>
      <c r="B12731" s="56" t="b">
        <v>0</v>
      </c>
      <c r="C12731" s="56" t="b">
        <v>0</v>
      </c>
      <c r="D12731" s="56" t="b">
        <v>0</v>
      </c>
      <c r="E12731" s="56">
        <f ca="1">IF(PV[[#This Row],[Business Date]]=Control!$C$6, PV[[#This Row],[Notional Value Local Cur]], -PV[[#This Row],[Notional Value Local Cur]])</f>
        <v>0</v>
      </c>
    </row>
    <row r="12732" spans="1:5" x14ac:dyDescent="0.25">
      <c r="A12732" s="36" t="b">
        <v>0</v>
      </c>
      <c r="B12732" s="56" t="b">
        <v>0</v>
      </c>
      <c r="C12732" s="56" t="b">
        <v>0</v>
      </c>
      <c r="D12732" s="56" t="b">
        <v>0</v>
      </c>
      <c r="E12732" s="56">
        <f ca="1">IF(PV[[#This Row],[Business Date]]=Control!$C$6, PV[[#This Row],[Notional Value Local Cur]], -PV[[#This Row],[Notional Value Local Cur]])</f>
        <v>0</v>
      </c>
    </row>
    <row r="12733" spans="1:5" x14ac:dyDescent="0.25">
      <c r="A12733" s="36" t="b">
        <v>0</v>
      </c>
      <c r="B12733" s="56" t="b">
        <v>0</v>
      </c>
      <c r="C12733" s="56" t="b">
        <v>0</v>
      </c>
      <c r="D12733" s="56" t="b">
        <v>0</v>
      </c>
      <c r="E12733" s="56">
        <f ca="1">IF(PV[[#This Row],[Business Date]]=Control!$C$6, PV[[#This Row],[Notional Value Local Cur]], -PV[[#This Row],[Notional Value Local Cur]])</f>
        <v>0</v>
      </c>
    </row>
    <row r="12734" spans="1:5" x14ac:dyDescent="0.25">
      <c r="A12734" s="36" t="b">
        <v>0</v>
      </c>
      <c r="B12734" s="56" t="b">
        <v>0</v>
      </c>
      <c r="C12734" s="56" t="b">
        <v>0</v>
      </c>
      <c r="D12734" s="56" t="b">
        <v>0</v>
      </c>
      <c r="E12734" s="56">
        <f ca="1">IF(PV[[#This Row],[Business Date]]=Control!$C$6, PV[[#This Row],[Notional Value Local Cur]], -PV[[#This Row],[Notional Value Local Cur]])</f>
        <v>0</v>
      </c>
    </row>
    <row r="12735" spans="1:5" x14ac:dyDescent="0.25">
      <c r="A12735" s="36" t="b">
        <v>0</v>
      </c>
      <c r="B12735" s="56" t="b">
        <v>0</v>
      </c>
      <c r="C12735" s="56" t="b">
        <v>0</v>
      </c>
      <c r="D12735" s="56" t="b">
        <v>0</v>
      </c>
      <c r="E12735" s="56">
        <f ca="1">IF(PV[[#This Row],[Business Date]]=Control!$C$6, PV[[#This Row],[Notional Value Local Cur]], -PV[[#This Row],[Notional Value Local Cur]])</f>
        <v>0</v>
      </c>
    </row>
    <row r="12736" spans="1:5" x14ac:dyDescent="0.25">
      <c r="A12736" s="36" t="b">
        <v>0</v>
      </c>
      <c r="B12736" s="56" t="b">
        <v>0</v>
      </c>
      <c r="C12736" s="56" t="b">
        <v>0</v>
      </c>
      <c r="D12736" s="56" t="b">
        <v>0</v>
      </c>
      <c r="E12736" s="56">
        <f ca="1">IF(PV[[#This Row],[Business Date]]=Control!$C$6, PV[[#This Row],[Notional Value Local Cur]], -PV[[#This Row],[Notional Value Local Cur]])</f>
        <v>0</v>
      </c>
    </row>
    <row r="12737" spans="1:5" x14ac:dyDescent="0.25">
      <c r="A12737" s="36" t="b">
        <v>0</v>
      </c>
      <c r="B12737" s="56" t="b">
        <v>0</v>
      </c>
      <c r="C12737" s="56" t="b">
        <v>0</v>
      </c>
      <c r="D12737" s="56" t="b">
        <v>0</v>
      </c>
      <c r="E12737" s="56">
        <f ca="1">IF(PV[[#This Row],[Business Date]]=Control!$C$6, PV[[#This Row],[Notional Value Local Cur]], -PV[[#This Row],[Notional Value Local Cur]])</f>
        <v>0</v>
      </c>
    </row>
    <row r="12738" spans="1:5" x14ac:dyDescent="0.25">
      <c r="A12738" s="36" t="b">
        <v>0</v>
      </c>
      <c r="B12738" s="56" t="b">
        <v>0</v>
      </c>
      <c r="C12738" s="56" t="b">
        <v>0</v>
      </c>
      <c r="D12738" s="56" t="b">
        <v>0</v>
      </c>
      <c r="E12738" s="56">
        <f ca="1">IF(PV[[#This Row],[Business Date]]=Control!$C$6, PV[[#This Row],[Notional Value Local Cur]], -PV[[#This Row],[Notional Value Local Cur]])</f>
        <v>0</v>
      </c>
    </row>
    <row r="12739" spans="1:5" x14ac:dyDescent="0.25">
      <c r="A12739" s="36" t="b">
        <v>0</v>
      </c>
      <c r="B12739" s="56" t="b">
        <v>0</v>
      </c>
      <c r="C12739" s="56" t="b">
        <v>0</v>
      </c>
      <c r="D12739" s="56" t="b">
        <v>0</v>
      </c>
      <c r="E12739" s="56">
        <f ca="1">IF(PV[[#This Row],[Business Date]]=Control!$C$6, PV[[#This Row],[Notional Value Local Cur]], -PV[[#This Row],[Notional Value Local Cur]])</f>
        <v>0</v>
      </c>
    </row>
    <row r="12740" spans="1:5" x14ac:dyDescent="0.25">
      <c r="A12740" s="36" t="b">
        <v>0</v>
      </c>
      <c r="B12740" s="56" t="b">
        <v>0</v>
      </c>
      <c r="C12740" s="56" t="b">
        <v>0</v>
      </c>
      <c r="D12740" s="56" t="b">
        <v>0</v>
      </c>
      <c r="E12740" s="56">
        <f ca="1">IF(PV[[#This Row],[Business Date]]=Control!$C$6, PV[[#This Row],[Notional Value Local Cur]], -PV[[#This Row],[Notional Value Local Cur]])</f>
        <v>0</v>
      </c>
    </row>
    <row r="12741" spans="1:5" x14ac:dyDescent="0.25">
      <c r="A12741" s="36" t="b">
        <v>0</v>
      </c>
      <c r="B12741" s="56" t="b">
        <v>0</v>
      </c>
      <c r="C12741" s="56" t="b">
        <v>0</v>
      </c>
      <c r="D12741" s="56" t="b">
        <v>0</v>
      </c>
      <c r="E12741" s="56">
        <f ca="1">IF(PV[[#This Row],[Business Date]]=Control!$C$6, PV[[#This Row],[Notional Value Local Cur]], -PV[[#This Row],[Notional Value Local Cur]])</f>
        <v>0</v>
      </c>
    </row>
    <row r="12742" spans="1:5" x14ac:dyDescent="0.25">
      <c r="A12742" s="36" t="b">
        <v>0</v>
      </c>
      <c r="B12742" s="56" t="b">
        <v>0</v>
      </c>
      <c r="C12742" s="56" t="b">
        <v>0</v>
      </c>
      <c r="D12742" s="56" t="b">
        <v>0</v>
      </c>
      <c r="E12742" s="56">
        <f ca="1">IF(PV[[#This Row],[Business Date]]=Control!$C$6, PV[[#This Row],[Notional Value Local Cur]], -PV[[#This Row],[Notional Value Local Cur]])</f>
        <v>0</v>
      </c>
    </row>
    <row r="12743" spans="1:5" x14ac:dyDescent="0.25">
      <c r="A12743" s="36" t="b">
        <v>0</v>
      </c>
      <c r="B12743" s="56" t="b">
        <v>0</v>
      </c>
      <c r="C12743" s="56" t="b">
        <v>0</v>
      </c>
      <c r="D12743" s="56" t="b">
        <v>0</v>
      </c>
      <c r="E12743" s="56">
        <f ca="1">IF(PV[[#This Row],[Business Date]]=Control!$C$6, PV[[#This Row],[Notional Value Local Cur]], -PV[[#This Row],[Notional Value Local Cur]])</f>
        <v>0</v>
      </c>
    </row>
    <row r="12744" spans="1:5" x14ac:dyDescent="0.25">
      <c r="A12744" s="36" t="b">
        <v>0</v>
      </c>
      <c r="B12744" s="56" t="b">
        <v>0</v>
      </c>
      <c r="C12744" s="56" t="b">
        <v>0</v>
      </c>
      <c r="D12744" s="56" t="b">
        <v>0</v>
      </c>
      <c r="E12744" s="56">
        <f ca="1">IF(PV[[#This Row],[Business Date]]=Control!$C$6, PV[[#This Row],[Notional Value Local Cur]], -PV[[#This Row],[Notional Value Local Cur]])</f>
        <v>0</v>
      </c>
    </row>
    <row r="12745" spans="1:5" x14ac:dyDescent="0.25">
      <c r="A12745" s="36" t="b">
        <v>0</v>
      </c>
      <c r="B12745" s="56" t="b">
        <v>0</v>
      </c>
      <c r="C12745" s="56" t="b">
        <v>0</v>
      </c>
      <c r="D12745" s="56" t="b">
        <v>0</v>
      </c>
      <c r="E12745" s="56">
        <f ca="1">IF(PV[[#This Row],[Business Date]]=Control!$C$6, PV[[#This Row],[Notional Value Local Cur]], -PV[[#This Row],[Notional Value Local Cur]])</f>
        <v>0</v>
      </c>
    </row>
    <row r="12746" spans="1:5" x14ac:dyDescent="0.25">
      <c r="A12746" s="36" t="b">
        <v>0</v>
      </c>
      <c r="B12746" s="56" t="b">
        <v>0</v>
      </c>
      <c r="C12746" s="56" t="b">
        <v>0</v>
      </c>
      <c r="D12746" s="56" t="b">
        <v>0</v>
      </c>
      <c r="E12746" s="56">
        <f ca="1">IF(PV[[#This Row],[Business Date]]=Control!$C$6, PV[[#This Row],[Notional Value Local Cur]], -PV[[#This Row],[Notional Value Local Cur]])</f>
        <v>0</v>
      </c>
    </row>
    <row r="12747" spans="1:5" x14ac:dyDescent="0.25">
      <c r="A12747" s="36" t="b">
        <v>0</v>
      </c>
      <c r="B12747" s="56" t="b">
        <v>0</v>
      </c>
      <c r="C12747" s="56" t="b">
        <v>0</v>
      </c>
      <c r="D12747" s="56" t="b">
        <v>0</v>
      </c>
      <c r="E12747" s="56">
        <f ca="1">IF(PV[[#This Row],[Business Date]]=Control!$C$6, PV[[#This Row],[Notional Value Local Cur]], -PV[[#This Row],[Notional Value Local Cur]])</f>
        <v>0</v>
      </c>
    </row>
    <row r="12748" spans="1:5" x14ac:dyDescent="0.25">
      <c r="A12748" s="36" t="b">
        <v>0</v>
      </c>
      <c r="B12748" s="56" t="b">
        <v>0</v>
      </c>
      <c r="C12748" s="56" t="b">
        <v>0</v>
      </c>
      <c r="D12748" s="56" t="b">
        <v>0</v>
      </c>
      <c r="E12748" s="56">
        <f ca="1">IF(PV[[#This Row],[Business Date]]=Control!$C$6, PV[[#This Row],[Notional Value Local Cur]], -PV[[#This Row],[Notional Value Local Cur]])</f>
        <v>0</v>
      </c>
    </row>
    <row r="12749" spans="1:5" x14ac:dyDescent="0.25">
      <c r="A12749" s="36" t="b">
        <v>0</v>
      </c>
      <c r="B12749" s="56" t="b">
        <v>0</v>
      </c>
      <c r="C12749" s="56" t="b">
        <v>0</v>
      </c>
      <c r="D12749" s="56" t="b">
        <v>0</v>
      </c>
      <c r="E12749" s="56">
        <f ca="1">IF(PV[[#This Row],[Business Date]]=Control!$C$6, PV[[#This Row],[Notional Value Local Cur]], -PV[[#This Row],[Notional Value Local Cur]])</f>
        <v>0</v>
      </c>
    </row>
    <row r="12750" spans="1:5" x14ac:dyDescent="0.25">
      <c r="A12750" s="36" t="b">
        <v>0</v>
      </c>
      <c r="B12750" s="56" t="b">
        <v>0</v>
      </c>
      <c r="C12750" s="56" t="b">
        <v>0</v>
      </c>
      <c r="D12750" s="56" t="b">
        <v>0</v>
      </c>
      <c r="E12750" s="56">
        <f ca="1">IF(PV[[#This Row],[Business Date]]=Control!$C$6, PV[[#This Row],[Notional Value Local Cur]], -PV[[#This Row],[Notional Value Local Cur]])</f>
        <v>0</v>
      </c>
    </row>
    <row r="12751" spans="1:5" x14ac:dyDescent="0.25">
      <c r="A12751" s="36" t="b">
        <v>0</v>
      </c>
      <c r="B12751" s="56" t="b">
        <v>0</v>
      </c>
      <c r="C12751" s="56" t="b">
        <v>0</v>
      </c>
      <c r="D12751" s="56" t="b">
        <v>0</v>
      </c>
      <c r="E12751" s="56">
        <f ca="1">IF(PV[[#This Row],[Business Date]]=Control!$C$6, PV[[#This Row],[Notional Value Local Cur]], -PV[[#This Row],[Notional Value Local Cur]])</f>
        <v>0</v>
      </c>
    </row>
    <row r="12752" spans="1:5" x14ac:dyDescent="0.25">
      <c r="A12752" s="36" t="b">
        <v>0</v>
      </c>
      <c r="B12752" s="56" t="b">
        <v>0</v>
      </c>
      <c r="C12752" s="56" t="b">
        <v>0</v>
      </c>
      <c r="D12752" s="56" t="b">
        <v>0</v>
      </c>
      <c r="E12752" s="56">
        <f ca="1">IF(PV[[#This Row],[Business Date]]=Control!$C$6, PV[[#This Row],[Notional Value Local Cur]], -PV[[#This Row],[Notional Value Local Cur]])</f>
        <v>0</v>
      </c>
    </row>
    <row r="12753" spans="1:5" x14ac:dyDescent="0.25">
      <c r="A12753" s="36" t="b">
        <v>0</v>
      </c>
      <c r="B12753" s="56" t="b">
        <v>0</v>
      </c>
      <c r="C12753" s="56" t="b">
        <v>0</v>
      </c>
      <c r="D12753" s="56" t="b">
        <v>0</v>
      </c>
      <c r="E12753" s="56">
        <f ca="1">IF(PV[[#This Row],[Business Date]]=Control!$C$6, PV[[#This Row],[Notional Value Local Cur]], -PV[[#This Row],[Notional Value Local Cur]])</f>
        <v>0</v>
      </c>
    </row>
    <row r="12754" spans="1:5" x14ac:dyDescent="0.25">
      <c r="A12754" s="36" t="b">
        <v>0</v>
      </c>
      <c r="B12754" s="56" t="b">
        <v>0</v>
      </c>
      <c r="C12754" s="56" t="b">
        <v>0</v>
      </c>
      <c r="D12754" s="56" t="b">
        <v>0</v>
      </c>
      <c r="E12754" s="56">
        <f ca="1">IF(PV[[#This Row],[Business Date]]=Control!$C$6, PV[[#This Row],[Notional Value Local Cur]], -PV[[#This Row],[Notional Value Local Cur]])</f>
        <v>0</v>
      </c>
    </row>
    <row r="12755" spans="1:5" x14ac:dyDescent="0.25">
      <c r="A12755" s="36" t="b">
        <v>0</v>
      </c>
      <c r="B12755" s="56" t="b">
        <v>0</v>
      </c>
      <c r="C12755" s="56" t="b">
        <v>0</v>
      </c>
      <c r="D12755" s="56" t="b">
        <v>0</v>
      </c>
      <c r="E12755" s="56">
        <f ca="1">IF(PV[[#This Row],[Business Date]]=Control!$C$6, PV[[#This Row],[Notional Value Local Cur]], -PV[[#This Row],[Notional Value Local Cur]])</f>
        <v>0</v>
      </c>
    </row>
    <row r="12756" spans="1:5" x14ac:dyDescent="0.25">
      <c r="A12756" s="36" t="b">
        <v>0</v>
      </c>
      <c r="B12756" s="56" t="b">
        <v>0</v>
      </c>
      <c r="C12756" s="56" t="b">
        <v>0</v>
      </c>
      <c r="D12756" s="56" t="b">
        <v>0</v>
      </c>
      <c r="E12756" s="56">
        <f ca="1">IF(PV[[#This Row],[Business Date]]=Control!$C$6, PV[[#This Row],[Notional Value Local Cur]], -PV[[#This Row],[Notional Value Local Cur]])</f>
        <v>0</v>
      </c>
    </row>
    <row r="12757" spans="1:5" x14ac:dyDescent="0.25">
      <c r="A12757" s="36" t="b">
        <v>0</v>
      </c>
      <c r="B12757" s="56" t="b">
        <v>0</v>
      </c>
      <c r="C12757" s="56" t="b">
        <v>0</v>
      </c>
      <c r="D12757" s="56" t="b">
        <v>0</v>
      </c>
      <c r="E12757" s="56">
        <f ca="1">IF(PV[[#This Row],[Business Date]]=Control!$C$6, PV[[#This Row],[Notional Value Local Cur]], -PV[[#This Row],[Notional Value Local Cur]])</f>
        <v>0</v>
      </c>
    </row>
    <row r="12758" spans="1:5" x14ac:dyDescent="0.25">
      <c r="A12758" s="36" t="b">
        <v>0</v>
      </c>
      <c r="B12758" s="56" t="b">
        <v>0</v>
      </c>
      <c r="C12758" s="56" t="b">
        <v>0</v>
      </c>
      <c r="D12758" s="56" t="b">
        <v>0</v>
      </c>
      <c r="E12758" s="56">
        <f ca="1">IF(PV[[#This Row],[Business Date]]=Control!$C$6, PV[[#This Row],[Notional Value Local Cur]], -PV[[#This Row],[Notional Value Local Cur]])</f>
        <v>0</v>
      </c>
    </row>
    <row r="12759" spans="1:5" x14ac:dyDescent="0.25">
      <c r="A12759" s="36" t="b">
        <v>0</v>
      </c>
      <c r="B12759" s="56" t="b">
        <v>0</v>
      </c>
      <c r="C12759" s="56" t="b">
        <v>0</v>
      </c>
      <c r="D12759" s="56" t="b">
        <v>0</v>
      </c>
      <c r="E12759" s="56">
        <f ca="1">IF(PV[[#This Row],[Business Date]]=Control!$C$6, PV[[#This Row],[Notional Value Local Cur]], -PV[[#This Row],[Notional Value Local Cur]])</f>
        <v>0</v>
      </c>
    </row>
    <row r="12760" spans="1:5" x14ac:dyDescent="0.25">
      <c r="A12760" s="36" t="b">
        <v>0</v>
      </c>
      <c r="B12760" s="56" t="b">
        <v>0</v>
      </c>
      <c r="C12760" s="56" t="b">
        <v>0</v>
      </c>
      <c r="D12760" s="56" t="b">
        <v>0</v>
      </c>
      <c r="E12760" s="56">
        <f ca="1">IF(PV[[#This Row],[Business Date]]=Control!$C$6, PV[[#This Row],[Notional Value Local Cur]], -PV[[#This Row],[Notional Value Local Cur]])</f>
        <v>0</v>
      </c>
    </row>
    <row r="12761" spans="1:5" x14ac:dyDescent="0.25">
      <c r="A12761" s="36" t="b">
        <v>0</v>
      </c>
      <c r="B12761" s="56" t="b">
        <v>0</v>
      </c>
      <c r="C12761" s="56" t="b">
        <v>0</v>
      </c>
      <c r="D12761" s="56" t="b">
        <v>0</v>
      </c>
      <c r="E12761" s="56">
        <f ca="1">IF(PV[[#This Row],[Business Date]]=Control!$C$6, PV[[#This Row],[Notional Value Local Cur]], -PV[[#This Row],[Notional Value Local Cur]])</f>
        <v>0</v>
      </c>
    </row>
    <row r="12762" spans="1:5" x14ac:dyDescent="0.25">
      <c r="A12762" s="36" t="b">
        <v>0</v>
      </c>
      <c r="B12762" s="56" t="b">
        <v>0</v>
      </c>
      <c r="C12762" s="56" t="b">
        <v>0</v>
      </c>
      <c r="D12762" s="56" t="b">
        <v>0</v>
      </c>
      <c r="E12762" s="56">
        <f ca="1">IF(PV[[#This Row],[Business Date]]=Control!$C$6, PV[[#This Row],[Notional Value Local Cur]], -PV[[#This Row],[Notional Value Local Cur]])</f>
        <v>0</v>
      </c>
    </row>
    <row r="12763" spans="1:5" x14ac:dyDescent="0.25">
      <c r="A12763" s="36" t="b">
        <v>0</v>
      </c>
      <c r="B12763" s="56" t="b">
        <v>0</v>
      </c>
      <c r="C12763" s="56" t="b">
        <v>0</v>
      </c>
      <c r="D12763" s="56" t="b">
        <v>0</v>
      </c>
      <c r="E12763" s="56">
        <f ca="1">IF(PV[[#This Row],[Business Date]]=Control!$C$6, PV[[#This Row],[Notional Value Local Cur]], -PV[[#This Row],[Notional Value Local Cur]])</f>
        <v>0</v>
      </c>
    </row>
    <row r="12764" spans="1:5" x14ac:dyDescent="0.25">
      <c r="A12764" s="36" t="b">
        <v>0</v>
      </c>
      <c r="B12764" s="56" t="b">
        <v>0</v>
      </c>
      <c r="C12764" s="56" t="b">
        <v>0</v>
      </c>
      <c r="D12764" s="56" t="b">
        <v>0</v>
      </c>
      <c r="E12764" s="56">
        <f ca="1">IF(PV[[#This Row],[Business Date]]=Control!$C$6, PV[[#This Row],[Notional Value Local Cur]], -PV[[#This Row],[Notional Value Local Cur]])</f>
        <v>0</v>
      </c>
    </row>
    <row r="12765" spans="1:5" x14ac:dyDescent="0.25">
      <c r="A12765" s="36" t="b">
        <v>0</v>
      </c>
      <c r="B12765" s="56" t="b">
        <v>0</v>
      </c>
      <c r="C12765" s="56" t="b">
        <v>0</v>
      </c>
      <c r="D12765" s="56" t="b">
        <v>0</v>
      </c>
      <c r="E12765" s="56">
        <f ca="1">IF(PV[[#This Row],[Business Date]]=Control!$C$6, PV[[#This Row],[Notional Value Local Cur]], -PV[[#This Row],[Notional Value Local Cur]])</f>
        <v>0</v>
      </c>
    </row>
    <row r="12766" spans="1:5" x14ac:dyDescent="0.25">
      <c r="A12766" s="36" t="b">
        <v>0</v>
      </c>
      <c r="B12766" s="56" t="b">
        <v>0</v>
      </c>
      <c r="C12766" s="56" t="b">
        <v>0</v>
      </c>
      <c r="D12766" s="56" t="b">
        <v>0</v>
      </c>
      <c r="E12766" s="56">
        <f ca="1">IF(PV[[#This Row],[Business Date]]=Control!$C$6, PV[[#This Row],[Notional Value Local Cur]], -PV[[#This Row],[Notional Value Local Cur]])</f>
        <v>0</v>
      </c>
    </row>
    <row r="12767" spans="1:5" x14ac:dyDescent="0.25">
      <c r="A12767" s="36" t="b">
        <v>0</v>
      </c>
      <c r="B12767" s="56" t="b">
        <v>0</v>
      </c>
      <c r="C12767" s="56" t="b">
        <v>0</v>
      </c>
      <c r="D12767" s="56" t="b">
        <v>0</v>
      </c>
      <c r="E12767" s="56">
        <f ca="1">IF(PV[[#This Row],[Business Date]]=Control!$C$6, PV[[#This Row],[Notional Value Local Cur]], -PV[[#This Row],[Notional Value Local Cur]])</f>
        <v>0</v>
      </c>
    </row>
    <row r="12768" spans="1:5" x14ac:dyDescent="0.25">
      <c r="A12768" s="36" t="b">
        <v>0</v>
      </c>
      <c r="B12768" s="56" t="b">
        <v>0</v>
      </c>
      <c r="C12768" s="56" t="b">
        <v>0</v>
      </c>
      <c r="D12768" s="56" t="b">
        <v>0</v>
      </c>
      <c r="E12768" s="56">
        <f ca="1">IF(PV[[#This Row],[Business Date]]=Control!$C$6, PV[[#This Row],[Notional Value Local Cur]], -PV[[#This Row],[Notional Value Local Cur]])</f>
        <v>0</v>
      </c>
    </row>
    <row r="12769" spans="1:5" x14ac:dyDescent="0.25">
      <c r="A12769" s="36" t="b">
        <v>0</v>
      </c>
      <c r="B12769" s="56" t="b">
        <v>0</v>
      </c>
      <c r="C12769" s="56" t="b">
        <v>0</v>
      </c>
      <c r="D12769" s="56" t="b">
        <v>0</v>
      </c>
      <c r="E12769" s="56">
        <f ca="1">IF(PV[[#This Row],[Business Date]]=Control!$C$6, PV[[#This Row],[Notional Value Local Cur]], -PV[[#This Row],[Notional Value Local Cur]])</f>
        <v>0</v>
      </c>
    </row>
    <row r="12770" spans="1:5" x14ac:dyDescent="0.25">
      <c r="A12770" s="36" t="b">
        <v>0</v>
      </c>
      <c r="B12770" s="56" t="b">
        <v>0</v>
      </c>
      <c r="C12770" s="56" t="b">
        <v>0</v>
      </c>
      <c r="D12770" s="56" t="b">
        <v>0</v>
      </c>
      <c r="E12770" s="56">
        <f ca="1">IF(PV[[#This Row],[Business Date]]=Control!$C$6, PV[[#This Row],[Notional Value Local Cur]], -PV[[#This Row],[Notional Value Local Cur]])</f>
        <v>0</v>
      </c>
    </row>
    <row r="12771" spans="1:5" x14ac:dyDescent="0.25">
      <c r="A12771" s="36" t="b">
        <v>0</v>
      </c>
      <c r="B12771" s="56" t="b">
        <v>0</v>
      </c>
      <c r="C12771" s="56" t="b">
        <v>0</v>
      </c>
      <c r="D12771" s="56" t="b">
        <v>0</v>
      </c>
      <c r="E12771" s="56">
        <f ca="1">IF(PV[[#This Row],[Business Date]]=Control!$C$6, PV[[#This Row],[Notional Value Local Cur]], -PV[[#This Row],[Notional Value Local Cur]])</f>
        <v>0</v>
      </c>
    </row>
    <row r="12772" spans="1:5" x14ac:dyDescent="0.25">
      <c r="A12772" s="36" t="b">
        <v>0</v>
      </c>
      <c r="B12772" s="56" t="b">
        <v>0</v>
      </c>
      <c r="C12772" s="56" t="b">
        <v>0</v>
      </c>
      <c r="D12772" s="56" t="b">
        <v>0</v>
      </c>
      <c r="E12772" s="56">
        <f ca="1">IF(PV[[#This Row],[Business Date]]=Control!$C$6, PV[[#This Row],[Notional Value Local Cur]], -PV[[#This Row],[Notional Value Local Cur]])</f>
        <v>0</v>
      </c>
    </row>
    <row r="12773" spans="1:5" x14ac:dyDescent="0.25">
      <c r="A12773" s="36" t="b">
        <v>0</v>
      </c>
      <c r="B12773" s="56" t="b">
        <v>0</v>
      </c>
      <c r="C12773" s="56" t="b">
        <v>0</v>
      </c>
      <c r="D12773" s="56" t="b">
        <v>0</v>
      </c>
      <c r="E12773" s="56">
        <f ca="1">IF(PV[[#This Row],[Business Date]]=Control!$C$6, PV[[#This Row],[Notional Value Local Cur]], -PV[[#This Row],[Notional Value Local Cur]])</f>
        <v>0</v>
      </c>
    </row>
    <row r="12774" spans="1:5" x14ac:dyDescent="0.25">
      <c r="A12774" s="36" t="b">
        <v>0</v>
      </c>
      <c r="B12774" s="56" t="b">
        <v>0</v>
      </c>
      <c r="C12774" s="56" t="b">
        <v>0</v>
      </c>
      <c r="D12774" s="56" t="b">
        <v>0</v>
      </c>
      <c r="E12774" s="56">
        <f ca="1">IF(PV[[#This Row],[Business Date]]=Control!$C$6, PV[[#This Row],[Notional Value Local Cur]], -PV[[#This Row],[Notional Value Local Cur]])</f>
        <v>0</v>
      </c>
    </row>
    <row r="12775" spans="1:5" x14ac:dyDescent="0.25">
      <c r="A12775" s="36" t="b">
        <v>0</v>
      </c>
      <c r="B12775" s="56" t="b">
        <v>0</v>
      </c>
      <c r="C12775" s="56" t="b">
        <v>0</v>
      </c>
      <c r="D12775" s="56" t="b">
        <v>0</v>
      </c>
      <c r="E12775" s="56">
        <f ca="1">IF(PV[[#This Row],[Business Date]]=Control!$C$6, PV[[#This Row],[Notional Value Local Cur]], -PV[[#This Row],[Notional Value Local Cur]])</f>
        <v>0</v>
      </c>
    </row>
    <row r="12776" spans="1:5" x14ac:dyDescent="0.25">
      <c r="A12776" s="36" t="b">
        <v>0</v>
      </c>
      <c r="B12776" s="56" t="b">
        <v>0</v>
      </c>
      <c r="C12776" s="56" t="b">
        <v>0</v>
      </c>
      <c r="D12776" s="56" t="b">
        <v>0</v>
      </c>
      <c r="E12776" s="56">
        <f ca="1">IF(PV[[#This Row],[Business Date]]=Control!$C$6, PV[[#This Row],[Notional Value Local Cur]], -PV[[#This Row],[Notional Value Local Cur]])</f>
        <v>0</v>
      </c>
    </row>
    <row r="12777" spans="1:5" x14ac:dyDescent="0.25">
      <c r="A12777" s="36" t="b">
        <v>0</v>
      </c>
      <c r="B12777" s="56" t="b">
        <v>0</v>
      </c>
      <c r="C12777" s="56" t="b">
        <v>0</v>
      </c>
      <c r="D12777" s="56" t="b">
        <v>0</v>
      </c>
      <c r="E12777" s="56">
        <f ca="1">IF(PV[[#This Row],[Business Date]]=Control!$C$6, PV[[#This Row],[Notional Value Local Cur]], -PV[[#This Row],[Notional Value Local Cur]])</f>
        <v>0</v>
      </c>
    </row>
    <row r="12778" spans="1:5" x14ac:dyDescent="0.25">
      <c r="A12778" s="36" t="b">
        <v>0</v>
      </c>
      <c r="B12778" s="56" t="b">
        <v>0</v>
      </c>
      <c r="C12778" s="56" t="b">
        <v>0</v>
      </c>
      <c r="D12778" s="56" t="b">
        <v>0</v>
      </c>
      <c r="E12778" s="56">
        <f ca="1">IF(PV[[#This Row],[Business Date]]=Control!$C$6, PV[[#This Row],[Notional Value Local Cur]], -PV[[#This Row],[Notional Value Local Cur]])</f>
        <v>0</v>
      </c>
    </row>
    <row r="12779" spans="1:5" x14ac:dyDescent="0.25">
      <c r="A12779" s="36" t="b">
        <v>0</v>
      </c>
      <c r="B12779" s="56" t="b">
        <v>0</v>
      </c>
      <c r="C12779" s="56" t="b">
        <v>0</v>
      </c>
      <c r="D12779" s="56" t="b">
        <v>0</v>
      </c>
      <c r="E12779" s="56">
        <f ca="1">IF(PV[[#This Row],[Business Date]]=Control!$C$6, PV[[#This Row],[Notional Value Local Cur]], -PV[[#This Row],[Notional Value Local Cur]])</f>
        <v>0</v>
      </c>
    </row>
    <row r="12780" spans="1:5" x14ac:dyDescent="0.25">
      <c r="A12780" s="36" t="b">
        <v>0</v>
      </c>
      <c r="B12780" s="56" t="b">
        <v>0</v>
      </c>
      <c r="C12780" s="56" t="b">
        <v>0</v>
      </c>
      <c r="D12780" s="56" t="b">
        <v>0</v>
      </c>
      <c r="E12780" s="56">
        <f ca="1">IF(PV[[#This Row],[Business Date]]=Control!$C$6, PV[[#This Row],[Notional Value Local Cur]], -PV[[#This Row],[Notional Value Local Cur]])</f>
        <v>0</v>
      </c>
    </row>
    <row r="12781" spans="1:5" x14ac:dyDescent="0.25">
      <c r="A12781" s="36" t="b">
        <v>0</v>
      </c>
      <c r="B12781" s="56" t="b">
        <v>0</v>
      </c>
      <c r="C12781" s="56" t="b">
        <v>0</v>
      </c>
      <c r="D12781" s="56" t="b">
        <v>0</v>
      </c>
      <c r="E12781" s="56">
        <f ca="1">IF(PV[[#This Row],[Business Date]]=Control!$C$6, PV[[#This Row],[Notional Value Local Cur]], -PV[[#This Row],[Notional Value Local Cur]])</f>
        <v>0</v>
      </c>
    </row>
    <row r="12782" spans="1:5" x14ac:dyDescent="0.25">
      <c r="A12782" s="36" t="b">
        <v>0</v>
      </c>
      <c r="B12782" s="56" t="b">
        <v>0</v>
      </c>
      <c r="C12782" s="56" t="b">
        <v>0</v>
      </c>
      <c r="D12782" s="56" t="b">
        <v>0</v>
      </c>
      <c r="E12782" s="56">
        <f ca="1">IF(PV[[#This Row],[Business Date]]=Control!$C$6, PV[[#This Row],[Notional Value Local Cur]], -PV[[#This Row],[Notional Value Local Cur]])</f>
        <v>0</v>
      </c>
    </row>
    <row r="12783" spans="1:5" x14ac:dyDescent="0.25">
      <c r="A12783" s="36" t="b">
        <v>0</v>
      </c>
      <c r="B12783" s="56" t="b">
        <v>0</v>
      </c>
      <c r="C12783" s="56" t="b">
        <v>0</v>
      </c>
      <c r="D12783" s="56" t="b">
        <v>0</v>
      </c>
      <c r="E12783" s="56">
        <f ca="1">IF(PV[[#This Row],[Business Date]]=Control!$C$6, PV[[#This Row],[Notional Value Local Cur]], -PV[[#This Row],[Notional Value Local Cur]])</f>
        <v>0</v>
      </c>
    </row>
    <row r="12784" spans="1:5" x14ac:dyDescent="0.25">
      <c r="A12784" s="36" t="b">
        <v>0</v>
      </c>
      <c r="B12784" s="56" t="b">
        <v>0</v>
      </c>
      <c r="C12784" s="56" t="b">
        <v>0</v>
      </c>
      <c r="D12784" s="56" t="b">
        <v>0</v>
      </c>
      <c r="E12784" s="56">
        <f ca="1">IF(PV[[#This Row],[Business Date]]=Control!$C$6, PV[[#This Row],[Notional Value Local Cur]], -PV[[#This Row],[Notional Value Local Cur]])</f>
        <v>0</v>
      </c>
    </row>
    <row r="12785" spans="1:5" x14ac:dyDescent="0.25">
      <c r="A12785" s="36" t="b">
        <v>0</v>
      </c>
      <c r="B12785" s="56" t="b">
        <v>0</v>
      </c>
      <c r="C12785" s="56" t="b">
        <v>0</v>
      </c>
      <c r="D12785" s="56" t="b">
        <v>0</v>
      </c>
      <c r="E12785" s="56">
        <f ca="1">IF(PV[[#This Row],[Business Date]]=Control!$C$6, PV[[#This Row],[Notional Value Local Cur]], -PV[[#This Row],[Notional Value Local Cur]])</f>
        <v>0</v>
      </c>
    </row>
    <row r="12786" spans="1:5" x14ac:dyDescent="0.25">
      <c r="A12786" s="36" t="b">
        <v>0</v>
      </c>
      <c r="B12786" s="56" t="b">
        <v>0</v>
      </c>
      <c r="C12786" s="56" t="b">
        <v>0</v>
      </c>
      <c r="D12786" s="56" t="b">
        <v>0</v>
      </c>
      <c r="E12786" s="56">
        <f ca="1">IF(PV[[#This Row],[Business Date]]=Control!$C$6, PV[[#This Row],[Notional Value Local Cur]], -PV[[#This Row],[Notional Value Local Cur]])</f>
        <v>0</v>
      </c>
    </row>
    <row r="12787" spans="1:5" x14ac:dyDescent="0.25">
      <c r="A12787" s="36" t="b">
        <v>0</v>
      </c>
      <c r="B12787" s="56" t="b">
        <v>0</v>
      </c>
      <c r="C12787" s="56" t="b">
        <v>0</v>
      </c>
      <c r="D12787" s="56" t="b">
        <v>0</v>
      </c>
      <c r="E12787" s="56">
        <f ca="1">IF(PV[[#This Row],[Business Date]]=Control!$C$6, PV[[#This Row],[Notional Value Local Cur]], -PV[[#This Row],[Notional Value Local Cur]])</f>
        <v>0</v>
      </c>
    </row>
    <row r="12788" spans="1:5" x14ac:dyDescent="0.25">
      <c r="A12788" s="36" t="b">
        <v>0</v>
      </c>
      <c r="B12788" s="56" t="b">
        <v>0</v>
      </c>
      <c r="C12788" s="56" t="b">
        <v>0</v>
      </c>
      <c r="D12788" s="56" t="b">
        <v>0</v>
      </c>
      <c r="E12788" s="56">
        <f ca="1">IF(PV[[#This Row],[Business Date]]=Control!$C$6, PV[[#This Row],[Notional Value Local Cur]], -PV[[#This Row],[Notional Value Local Cur]])</f>
        <v>0</v>
      </c>
    </row>
    <row r="12789" spans="1:5" x14ac:dyDescent="0.25">
      <c r="A12789" s="36" t="b">
        <v>0</v>
      </c>
      <c r="B12789" s="56" t="b">
        <v>0</v>
      </c>
      <c r="C12789" s="56" t="b">
        <v>0</v>
      </c>
      <c r="D12789" s="56" t="b">
        <v>0</v>
      </c>
      <c r="E12789" s="56">
        <f ca="1">IF(PV[[#This Row],[Business Date]]=Control!$C$6, PV[[#This Row],[Notional Value Local Cur]], -PV[[#This Row],[Notional Value Local Cur]])</f>
        <v>0</v>
      </c>
    </row>
    <row r="12790" spans="1:5" x14ac:dyDescent="0.25">
      <c r="A12790" s="36" t="b">
        <v>0</v>
      </c>
      <c r="B12790" s="56" t="b">
        <v>0</v>
      </c>
      <c r="C12790" s="56" t="b">
        <v>0</v>
      </c>
      <c r="D12790" s="56" t="b">
        <v>0</v>
      </c>
      <c r="E12790" s="56">
        <f ca="1">IF(PV[[#This Row],[Business Date]]=Control!$C$6, PV[[#This Row],[Notional Value Local Cur]], -PV[[#This Row],[Notional Value Local Cur]])</f>
        <v>0</v>
      </c>
    </row>
    <row r="12791" spans="1:5" x14ac:dyDescent="0.25">
      <c r="A12791" s="36" t="b">
        <v>0</v>
      </c>
      <c r="B12791" s="56" t="b">
        <v>0</v>
      </c>
      <c r="C12791" s="56" t="b">
        <v>0</v>
      </c>
      <c r="D12791" s="56" t="b">
        <v>0</v>
      </c>
      <c r="E12791" s="56">
        <f ca="1">IF(PV[[#This Row],[Business Date]]=Control!$C$6, PV[[#This Row],[Notional Value Local Cur]], -PV[[#This Row],[Notional Value Local Cur]])</f>
        <v>0</v>
      </c>
    </row>
    <row r="12792" spans="1:5" x14ac:dyDescent="0.25">
      <c r="A12792" s="36" t="b">
        <v>0</v>
      </c>
      <c r="B12792" s="56" t="b">
        <v>0</v>
      </c>
      <c r="C12792" s="56" t="b">
        <v>0</v>
      </c>
      <c r="D12792" s="56" t="b">
        <v>0</v>
      </c>
      <c r="E12792" s="56">
        <f ca="1">IF(PV[[#This Row],[Business Date]]=Control!$C$6, PV[[#This Row],[Notional Value Local Cur]], -PV[[#This Row],[Notional Value Local Cur]])</f>
        <v>0</v>
      </c>
    </row>
    <row r="12793" spans="1:5" x14ac:dyDescent="0.25">
      <c r="A12793" s="36" t="b">
        <v>0</v>
      </c>
      <c r="B12793" s="56" t="b">
        <v>0</v>
      </c>
      <c r="C12793" s="56" t="b">
        <v>0</v>
      </c>
      <c r="D12793" s="56" t="b">
        <v>0</v>
      </c>
      <c r="E12793" s="56">
        <f ca="1">IF(PV[[#This Row],[Business Date]]=Control!$C$6, PV[[#This Row],[Notional Value Local Cur]], -PV[[#This Row],[Notional Value Local Cur]])</f>
        <v>0</v>
      </c>
    </row>
    <row r="12794" spans="1:5" x14ac:dyDescent="0.25">
      <c r="A12794" s="36" t="b">
        <v>0</v>
      </c>
      <c r="B12794" s="56" t="b">
        <v>0</v>
      </c>
      <c r="C12794" s="56" t="b">
        <v>0</v>
      </c>
      <c r="D12794" s="56" t="b">
        <v>0</v>
      </c>
      <c r="E12794" s="56">
        <f ca="1">IF(PV[[#This Row],[Business Date]]=Control!$C$6, PV[[#This Row],[Notional Value Local Cur]], -PV[[#This Row],[Notional Value Local Cur]])</f>
        <v>0</v>
      </c>
    </row>
    <row r="12795" spans="1:5" x14ac:dyDescent="0.25">
      <c r="A12795" s="36" t="b">
        <v>0</v>
      </c>
      <c r="B12795" s="56" t="b">
        <v>0</v>
      </c>
      <c r="C12795" s="56" t="b">
        <v>0</v>
      </c>
      <c r="D12795" s="56" t="b">
        <v>0</v>
      </c>
      <c r="E12795" s="56">
        <f ca="1">IF(PV[[#This Row],[Business Date]]=Control!$C$6, PV[[#This Row],[Notional Value Local Cur]], -PV[[#This Row],[Notional Value Local Cur]])</f>
        <v>0</v>
      </c>
    </row>
    <row r="12796" spans="1:5" x14ac:dyDescent="0.25">
      <c r="A12796" s="36" t="b">
        <v>0</v>
      </c>
      <c r="B12796" s="56" t="b">
        <v>0</v>
      </c>
      <c r="C12796" s="56" t="b">
        <v>0</v>
      </c>
      <c r="D12796" s="56" t="b">
        <v>0</v>
      </c>
      <c r="E12796" s="56">
        <f ca="1">IF(PV[[#This Row],[Business Date]]=Control!$C$6, PV[[#This Row],[Notional Value Local Cur]], -PV[[#This Row],[Notional Value Local Cur]])</f>
        <v>0</v>
      </c>
    </row>
    <row r="12797" spans="1:5" x14ac:dyDescent="0.25">
      <c r="A12797" s="36" t="b">
        <v>0</v>
      </c>
      <c r="B12797" s="56" t="b">
        <v>0</v>
      </c>
      <c r="C12797" s="56" t="b">
        <v>0</v>
      </c>
      <c r="D12797" s="56" t="b">
        <v>0</v>
      </c>
      <c r="E12797" s="56">
        <f ca="1">IF(PV[[#This Row],[Business Date]]=Control!$C$6, PV[[#This Row],[Notional Value Local Cur]], -PV[[#This Row],[Notional Value Local Cur]])</f>
        <v>0</v>
      </c>
    </row>
    <row r="12798" spans="1:5" x14ac:dyDescent="0.25">
      <c r="A12798" s="36" t="b">
        <v>0</v>
      </c>
      <c r="B12798" s="56" t="b">
        <v>0</v>
      </c>
      <c r="C12798" s="56" t="b">
        <v>0</v>
      </c>
      <c r="D12798" s="56" t="b">
        <v>0</v>
      </c>
      <c r="E12798" s="56">
        <f ca="1">IF(PV[[#This Row],[Business Date]]=Control!$C$6, PV[[#This Row],[Notional Value Local Cur]], -PV[[#This Row],[Notional Value Local Cur]])</f>
        <v>0</v>
      </c>
    </row>
    <row r="12799" spans="1:5" x14ac:dyDescent="0.25">
      <c r="A12799" s="36" t="b">
        <v>0</v>
      </c>
      <c r="B12799" s="56" t="b">
        <v>0</v>
      </c>
      <c r="C12799" s="56" t="b">
        <v>0</v>
      </c>
      <c r="D12799" s="56" t="b">
        <v>0</v>
      </c>
      <c r="E12799" s="56">
        <f ca="1">IF(PV[[#This Row],[Business Date]]=Control!$C$6, PV[[#This Row],[Notional Value Local Cur]], -PV[[#This Row],[Notional Value Local Cur]])</f>
        <v>0</v>
      </c>
    </row>
    <row r="12800" spans="1:5" x14ac:dyDescent="0.25">
      <c r="A12800" s="36" t="b">
        <v>0</v>
      </c>
      <c r="B12800" s="56" t="b">
        <v>0</v>
      </c>
      <c r="C12800" s="56" t="b">
        <v>0</v>
      </c>
      <c r="D12800" s="56" t="b">
        <v>0</v>
      </c>
      <c r="E12800" s="56">
        <f ca="1">IF(PV[[#This Row],[Business Date]]=Control!$C$6, PV[[#This Row],[Notional Value Local Cur]], -PV[[#This Row],[Notional Value Local Cur]])</f>
        <v>0</v>
      </c>
    </row>
    <row r="12801" spans="1:5" x14ac:dyDescent="0.25">
      <c r="A12801" s="36" t="b">
        <v>0</v>
      </c>
      <c r="B12801" s="56" t="b">
        <v>0</v>
      </c>
      <c r="C12801" s="56" t="b">
        <v>0</v>
      </c>
      <c r="D12801" s="56" t="b">
        <v>0</v>
      </c>
      <c r="E12801" s="56">
        <f ca="1">IF(PV[[#This Row],[Business Date]]=Control!$C$6, PV[[#This Row],[Notional Value Local Cur]], -PV[[#This Row],[Notional Value Local Cur]])</f>
        <v>0</v>
      </c>
    </row>
    <row r="12802" spans="1:5" x14ac:dyDescent="0.25">
      <c r="A12802" s="36" t="b">
        <v>0</v>
      </c>
      <c r="B12802" s="56" t="b">
        <v>0</v>
      </c>
      <c r="C12802" s="56" t="b">
        <v>0</v>
      </c>
      <c r="D12802" s="56" t="b">
        <v>0</v>
      </c>
      <c r="E12802" s="56">
        <f ca="1">IF(PV[[#This Row],[Business Date]]=Control!$C$6, PV[[#This Row],[Notional Value Local Cur]], -PV[[#This Row],[Notional Value Local Cur]])</f>
        <v>0</v>
      </c>
    </row>
    <row r="12803" spans="1:5" x14ac:dyDescent="0.25">
      <c r="A12803" s="36" t="b">
        <v>0</v>
      </c>
      <c r="B12803" s="56" t="b">
        <v>0</v>
      </c>
      <c r="C12803" s="56" t="b">
        <v>0</v>
      </c>
      <c r="D12803" s="56" t="b">
        <v>0</v>
      </c>
      <c r="E12803" s="56">
        <f ca="1">IF(PV[[#This Row],[Business Date]]=Control!$C$6, PV[[#This Row],[Notional Value Local Cur]], -PV[[#This Row],[Notional Value Local Cur]])</f>
        <v>0</v>
      </c>
    </row>
    <row r="12804" spans="1:5" x14ac:dyDescent="0.25">
      <c r="A12804" s="36" t="b">
        <v>0</v>
      </c>
      <c r="B12804" s="56" t="b">
        <v>0</v>
      </c>
      <c r="C12804" s="56" t="b">
        <v>0</v>
      </c>
      <c r="D12804" s="56" t="b">
        <v>0</v>
      </c>
      <c r="E12804" s="56">
        <f ca="1">IF(PV[[#This Row],[Business Date]]=Control!$C$6, PV[[#This Row],[Notional Value Local Cur]], -PV[[#This Row],[Notional Value Local Cur]])</f>
        <v>0</v>
      </c>
    </row>
    <row r="12805" spans="1:5" x14ac:dyDescent="0.25">
      <c r="A12805" s="36" t="b">
        <v>0</v>
      </c>
      <c r="B12805" s="56" t="b">
        <v>0</v>
      </c>
      <c r="C12805" s="56" t="b">
        <v>0</v>
      </c>
      <c r="D12805" s="56" t="b">
        <v>0</v>
      </c>
      <c r="E12805" s="56">
        <f ca="1">IF(PV[[#This Row],[Business Date]]=Control!$C$6, PV[[#This Row],[Notional Value Local Cur]], -PV[[#This Row],[Notional Value Local Cur]])</f>
        <v>0</v>
      </c>
    </row>
    <row r="12806" spans="1:5" x14ac:dyDescent="0.25">
      <c r="A12806" s="36" t="b">
        <v>0</v>
      </c>
      <c r="B12806" s="56" t="b">
        <v>0</v>
      </c>
      <c r="C12806" s="56" t="b">
        <v>0</v>
      </c>
      <c r="D12806" s="56" t="b">
        <v>0</v>
      </c>
      <c r="E12806" s="56">
        <f ca="1">IF(PV[[#This Row],[Business Date]]=Control!$C$6, PV[[#This Row],[Notional Value Local Cur]], -PV[[#This Row],[Notional Value Local Cur]])</f>
        <v>0</v>
      </c>
    </row>
    <row r="12807" spans="1:5" x14ac:dyDescent="0.25">
      <c r="A12807" s="36" t="b">
        <v>0</v>
      </c>
      <c r="B12807" s="56" t="b">
        <v>0</v>
      </c>
      <c r="C12807" s="56" t="b">
        <v>0</v>
      </c>
      <c r="D12807" s="56" t="b">
        <v>0</v>
      </c>
      <c r="E12807" s="56">
        <f ca="1">IF(PV[[#This Row],[Business Date]]=Control!$C$6, PV[[#This Row],[Notional Value Local Cur]], -PV[[#This Row],[Notional Value Local Cur]])</f>
        <v>0</v>
      </c>
    </row>
    <row r="12808" spans="1:5" x14ac:dyDescent="0.25">
      <c r="A12808" s="36" t="b">
        <v>0</v>
      </c>
      <c r="B12808" s="56" t="b">
        <v>0</v>
      </c>
      <c r="C12808" s="56" t="b">
        <v>0</v>
      </c>
      <c r="D12808" s="56" t="b">
        <v>0</v>
      </c>
      <c r="E12808" s="56">
        <f ca="1">IF(PV[[#This Row],[Business Date]]=Control!$C$6, PV[[#This Row],[Notional Value Local Cur]], -PV[[#This Row],[Notional Value Local Cur]])</f>
        <v>0</v>
      </c>
    </row>
    <row r="12809" spans="1:5" x14ac:dyDescent="0.25">
      <c r="A12809" s="36" t="b">
        <v>0</v>
      </c>
      <c r="B12809" s="56" t="b">
        <v>0</v>
      </c>
      <c r="C12809" s="56" t="b">
        <v>0</v>
      </c>
      <c r="D12809" s="56" t="b">
        <v>0</v>
      </c>
      <c r="E12809" s="56">
        <f ca="1">IF(PV[[#This Row],[Business Date]]=Control!$C$6, PV[[#This Row],[Notional Value Local Cur]], -PV[[#This Row],[Notional Value Local Cur]])</f>
        <v>0</v>
      </c>
    </row>
    <row r="12810" spans="1:5" x14ac:dyDescent="0.25">
      <c r="A12810" s="36" t="b">
        <v>0</v>
      </c>
      <c r="B12810" s="56" t="b">
        <v>0</v>
      </c>
      <c r="C12810" s="56" t="b">
        <v>0</v>
      </c>
      <c r="D12810" s="56" t="b">
        <v>0</v>
      </c>
      <c r="E12810" s="56">
        <f ca="1">IF(PV[[#This Row],[Business Date]]=Control!$C$6, PV[[#This Row],[Notional Value Local Cur]], -PV[[#This Row],[Notional Value Local Cur]])</f>
        <v>0</v>
      </c>
    </row>
    <row r="12811" spans="1:5" x14ac:dyDescent="0.25">
      <c r="A12811" s="36" t="b">
        <v>0</v>
      </c>
      <c r="B12811" s="56" t="b">
        <v>0</v>
      </c>
      <c r="C12811" s="56" t="b">
        <v>0</v>
      </c>
      <c r="D12811" s="56" t="b">
        <v>0</v>
      </c>
      <c r="E12811" s="56">
        <f ca="1">IF(PV[[#This Row],[Business Date]]=Control!$C$6, PV[[#This Row],[Notional Value Local Cur]], -PV[[#This Row],[Notional Value Local Cur]])</f>
        <v>0</v>
      </c>
    </row>
    <row r="12812" spans="1:5" x14ac:dyDescent="0.25">
      <c r="A12812" s="36" t="b">
        <v>0</v>
      </c>
      <c r="B12812" s="56" t="b">
        <v>0</v>
      </c>
      <c r="C12812" s="56" t="b">
        <v>0</v>
      </c>
      <c r="D12812" s="56" t="b">
        <v>0</v>
      </c>
      <c r="E12812" s="56">
        <f ca="1">IF(PV[[#This Row],[Business Date]]=Control!$C$6, PV[[#This Row],[Notional Value Local Cur]], -PV[[#This Row],[Notional Value Local Cur]])</f>
        <v>0</v>
      </c>
    </row>
    <row r="12813" spans="1:5" x14ac:dyDescent="0.25">
      <c r="A12813" s="36" t="b">
        <v>0</v>
      </c>
      <c r="B12813" s="56" t="b">
        <v>0</v>
      </c>
      <c r="C12813" s="56" t="b">
        <v>0</v>
      </c>
      <c r="D12813" s="56" t="b">
        <v>0</v>
      </c>
      <c r="E12813" s="56">
        <f ca="1">IF(PV[[#This Row],[Business Date]]=Control!$C$6, PV[[#This Row],[Notional Value Local Cur]], -PV[[#This Row],[Notional Value Local Cur]])</f>
        <v>0</v>
      </c>
    </row>
    <row r="12814" spans="1:5" x14ac:dyDescent="0.25">
      <c r="A12814" s="36" t="b">
        <v>0</v>
      </c>
      <c r="B12814" s="56" t="b">
        <v>0</v>
      </c>
      <c r="C12814" s="56" t="b">
        <v>0</v>
      </c>
      <c r="D12814" s="56" t="b">
        <v>0</v>
      </c>
      <c r="E12814" s="56">
        <f ca="1">IF(PV[[#This Row],[Business Date]]=Control!$C$6, PV[[#This Row],[Notional Value Local Cur]], -PV[[#This Row],[Notional Value Local Cur]])</f>
        <v>0</v>
      </c>
    </row>
    <row r="12815" spans="1:5" x14ac:dyDescent="0.25">
      <c r="A12815" s="36" t="b">
        <v>0</v>
      </c>
      <c r="B12815" s="56" t="b">
        <v>0</v>
      </c>
      <c r="C12815" s="56" t="b">
        <v>0</v>
      </c>
      <c r="D12815" s="56" t="b">
        <v>0</v>
      </c>
      <c r="E12815" s="56">
        <f ca="1">IF(PV[[#This Row],[Business Date]]=Control!$C$6, PV[[#This Row],[Notional Value Local Cur]], -PV[[#This Row],[Notional Value Local Cur]])</f>
        <v>0</v>
      </c>
    </row>
    <row r="12816" spans="1:5" x14ac:dyDescent="0.25">
      <c r="A12816" s="36" t="b">
        <v>0</v>
      </c>
      <c r="B12816" s="56" t="b">
        <v>0</v>
      </c>
      <c r="C12816" s="56" t="b">
        <v>0</v>
      </c>
      <c r="D12816" s="56" t="b">
        <v>0</v>
      </c>
      <c r="E12816" s="56">
        <f ca="1">IF(PV[[#This Row],[Business Date]]=Control!$C$6, PV[[#This Row],[Notional Value Local Cur]], -PV[[#This Row],[Notional Value Local Cur]])</f>
        <v>0</v>
      </c>
    </row>
    <row r="12817" spans="1:5" x14ac:dyDescent="0.25">
      <c r="A12817" s="36" t="b">
        <v>0</v>
      </c>
      <c r="B12817" s="56" t="b">
        <v>0</v>
      </c>
      <c r="C12817" s="56" t="b">
        <v>0</v>
      </c>
      <c r="D12817" s="56" t="b">
        <v>0</v>
      </c>
      <c r="E12817" s="56">
        <f ca="1">IF(PV[[#This Row],[Business Date]]=Control!$C$6, PV[[#This Row],[Notional Value Local Cur]], -PV[[#This Row],[Notional Value Local Cur]])</f>
        <v>0</v>
      </c>
    </row>
    <row r="12818" spans="1:5" x14ac:dyDescent="0.25">
      <c r="A12818" s="36" t="b">
        <v>0</v>
      </c>
      <c r="B12818" s="56" t="b">
        <v>0</v>
      </c>
      <c r="C12818" s="56" t="b">
        <v>0</v>
      </c>
      <c r="D12818" s="56" t="b">
        <v>0</v>
      </c>
      <c r="E12818" s="56">
        <f ca="1">IF(PV[[#This Row],[Business Date]]=Control!$C$6, PV[[#This Row],[Notional Value Local Cur]], -PV[[#This Row],[Notional Value Local Cur]])</f>
        <v>0</v>
      </c>
    </row>
    <row r="12819" spans="1:5" x14ac:dyDescent="0.25">
      <c r="A12819" s="36" t="b">
        <v>0</v>
      </c>
      <c r="B12819" s="56" t="b">
        <v>0</v>
      </c>
      <c r="C12819" s="56" t="b">
        <v>0</v>
      </c>
      <c r="D12819" s="56" t="b">
        <v>0</v>
      </c>
      <c r="E12819" s="56">
        <f ca="1">IF(PV[[#This Row],[Business Date]]=Control!$C$6, PV[[#This Row],[Notional Value Local Cur]], -PV[[#This Row],[Notional Value Local Cur]])</f>
        <v>0</v>
      </c>
    </row>
    <row r="12820" spans="1:5" x14ac:dyDescent="0.25">
      <c r="A12820" s="36" t="b">
        <v>0</v>
      </c>
      <c r="B12820" s="56" t="b">
        <v>0</v>
      </c>
      <c r="C12820" s="56" t="b">
        <v>0</v>
      </c>
      <c r="D12820" s="56" t="b">
        <v>0</v>
      </c>
      <c r="E12820" s="56">
        <f ca="1">IF(PV[[#This Row],[Business Date]]=Control!$C$6, PV[[#This Row],[Notional Value Local Cur]], -PV[[#This Row],[Notional Value Local Cur]])</f>
        <v>0</v>
      </c>
    </row>
    <row r="12821" spans="1:5" x14ac:dyDescent="0.25">
      <c r="A12821" s="36" t="b">
        <v>0</v>
      </c>
      <c r="B12821" s="56" t="b">
        <v>0</v>
      </c>
      <c r="C12821" s="56" t="b">
        <v>0</v>
      </c>
      <c r="D12821" s="56" t="b">
        <v>0</v>
      </c>
      <c r="E12821" s="56">
        <f ca="1">IF(PV[[#This Row],[Business Date]]=Control!$C$6, PV[[#This Row],[Notional Value Local Cur]], -PV[[#This Row],[Notional Value Local Cur]])</f>
        <v>0</v>
      </c>
    </row>
    <row r="12822" spans="1:5" x14ac:dyDescent="0.25">
      <c r="A12822" s="36" t="b">
        <v>0</v>
      </c>
      <c r="B12822" s="56" t="b">
        <v>0</v>
      </c>
      <c r="C12822" s="56" t="b">
        <v>0</v>
      </c>
      <c r="D12822" s="56" t="b">
        <v>0</v>
      </c>
      <c r="E12822" s="56">
        <f ca="1">IF(PV[[#This Row],[Business Date]]=Control!$C$6, PV[[#This Row],[Notional Value Local Cur]], -PV[[#This Row],[Notional Value Local Cur]])</f>
        <v>0</v>
      </c>
    </row>
    <row r="12823" spans="1:5" x14ac:dyDescent="0.25">
      <c r="A12823" s="36" t="b">
        <v>0</v>
      </c>
      <c r="B12823" s="56" t="b">
        <v>0</v>
      </c>
      <c r="C12823" s="56" t="b">
        <v>0</v>
      </c>
      <c r="D12823" s="56" t="b">
        <v>0</v>
      </c>
      <c r="E12823" s="56">
        <f ca="1">IF(PV[[#This Row],[Business Date]]=Control!$C$6, PV[[#This Row],[Notional Value Local Cur]], -PV[[#This Row],[Notional Value Local Cur]])</f>
        <v>0</v>
      </c>
    </row>
    <row r="12824" spans="1:5" x14ac:dyDescent="0.25">
      <c r="A12824" s="36" t="b">
        <v>0</v>
      </c>
      <c r="B12824" s="56" t="b">
        <v>0</v>
      </c>
      <c r="C12824" s="56" t="b">
        <v>0</v>
      </c>
      <c r="D12824" s="56" t="b">
        <v>0</v>
      </c>
      <c r="E12824" s="56">
        <f ca="1">IF(PV[[#This Row],[Business Date]]=Control!$C$6, PV[[#This Row],[Notional Value Local Cur]], -PV[[#This Row],[Notional Value Local Cur]])</f>
        <v>0</v>
      </c>
    </row>
    <row r="12825" spans="1:5" x14ac:dyDescent="0.25">
      <c r="A12825" s="36" t="b">
        <v>0</v>
      </c>
      <c r="B12825" s="56" t="b">
        <v>0</v>
      </c>
      <c r="C12825" s="56" t="b">
        <v>0</v>
      </c>
      <c r="D12825" s="56" t="b">
        <v>0</v>
      </c>
      <c r="E12825" s="56">
        <f ca="1">IF(PV[[#This Row],[Business Date]]=Control!$C$6, PV[[#This Row],[Notional Value Local Cur]], -PV[[#This Row],[Notional Value Local Cur]])</f>
        <v>0</v>
      </c>
    </row>
    <row r="12826" spans="1:5" x14ac:dyDescent="0.25">
      <c r="A12826" s="36" t="b">
        <v>0</v>
      </c>
      <c r="B12826" s="56" t="b">
        <v>0</v>
      </c>
      <c r="C12826" s="56" t="b">
        <v>0</v>
      </c>
      <c r="D12826" s="56" t="b">
        <v>0</v>
      </c>
      <c r="E12826" s="56">
        <f ca="1">IF(PV[[#This Row],[Business Date]]=Control!$C$6, PV[[#This Row],[Notional Value Local Cur]], -PV[[#This Row],[Notional Value Local Cur]])</f>
        <v>0</v>
      </c>
    </row>
    <row r="12827" spans="1:5" x14ac:dyDescent="0.25">
      <c r="A12827" s="36" t="b">
        <v>0</v>
      </c>
      <c r="B12827" s="56" t="b">
        <v>0</v>
      </c>
      <c r="C12827" s="56" t="b">
        <v>0</v>
      </c>
      <c r="D12827" s="56" t="b">
        <v>0</v>
      </c>
      <c r="E12827" s="56">
        <f ca="1">IF(PV[[#This Row],[Business Date]]=Control!$C$6, PV[[#This Row],[Notional Value Local Cur]], -PV[[#This Row],[Notional Value Local Cur]])</f>
        <v>0</v>
      </c>
    </row>
    <row r="12828" spans="1:5" x14ac:dyDescent="0.25">
      <c r="A12828" s="36" t="b">
        <v>0</v>
      </c>
      <c r="B12828" s="56" t="b">
        <v>0</v>
      </c>
      <c r="C12828" s="56" t="b">
        <v>0</v>
      </c>
      <c r="D12828" s="56" t="b">
        <v>0</v>
      </c>
      <c r="E12828" s="56">
        <f ca="1">IF(PV[[#This Row],[Business Date]]=Control!$C$6, PV[[#This Row],[Notional Value Local Cur]], -PV[[#This Row],[Notional Value Local Cur]])</f>
        <v>0</v>
      </c>
    </row>
    <row r="12829" spans="1:5" x14ac:dyDescent="0.25">
      <c r="A12829" s="36" t="b">
        <v>0</v>
      </c>
      <c r="B12829" s="56" t="b">
        <v>0</v>
      </c>
      <c r="C12829" s="56" t="b">
        <v>0</v>
      </c>
      <c r="D12829" s="56" t="b">
        <v>0</v>
      </c>
      <c r="E12829" s="56">
        <f ca="1">IF(PV[[#This Row],[Business Date]]=Control!$C$6, PV[[#This Row],[Notional Value Local Cur]], -PV[[#This Row],[Notional Value Local Cur]])</f>
        <v>0</v>
      </c>
    </row>
    <row r="12830" spans="1:5" x14ac:dyDescent="0.25">
      <c r="A12830" s="36" t="b">
        <v>0</v>
      </c>
      <c r="B12830" s="56" t="b">
        <v>0</v>
      </c>
      <c r="C12830" s="56" t="b">
        <v>0</v>
      </c>
      <c r="D12830" s="56" t="b">
        <v>0</v>
      </c>
      <c r="E12830" s="56">
        <f ca="1">IF(PV[[#This Row],[Business Date]]=Control!$C$6, PV[[#This Row],[Notional Value Local Cur]], -PV[[#This Row],[Notional Value Local Cur]])</f>
        <v>0</v>
      </c>
    </row>
    <row r="12831" spans="1:5" x14ac:dyDescent="0.25">
      <c r="A12831" s="36" t="b">
        <v>0</v>
      </c>
      <c r="B12831" s="56" t="b">
        <v>0</v>
      </c>
      <c r="C12831" s="56" t="b">
        <v>0</v>
      </c>
      <c r="D12831" s="56" t="b">
        <v>0</v>
      </c>
      <c r="E12831" s="56">
        <f ca="1">IF(PV[[#This Row],[Business Date]]=Control!$C$6, PV[[#This Row],[Notional Value Local Cur]], -PV[[#This Row],[Notional Value Local Cur]])</f>
        <v>0</v>
      </c>
    </row>
    <row r="12832" spans="1:5" x14ac:dyDescent="0.25">
      <c r="A12832" s="36" t="b">
        <v>0</v>
      </c>
      <c r="B12832" s="56" t="b">
        <v>0</v>
      </c>
      <c r="C12832" s="56" t="b">
        <v>0</v>
      </c>
      <c r="D12832" s="56" t="b">
        <v>0</v>
      </c>
      <c r="E12832" s="56">
        <f ca="1">IF(PV[[#This Row],[Business Date]]=Control!$C$6, PV[[#This Row],[Notional Value Local Cur]], -PV[[#This Row],[Notional Value Local Cur]])</f>
        <v>0</v>
      </c>
    </row>
    <row r="12833" spans="1:5" x14ac:dyDescent="0.25">
      <c r="A12833" s="36" t="b">
        <v>0</v>
      </c>
      <c r="B12833" s="56" t="b">
        <v>0</v>
      </c>
      <c r="C12833" s="56" t="b">
        <v>0</v>
      </c>
      <c r="D12833" s="56" t="b">
        <v>0</v>
      </c>
      <c r="E12833" s="56">
        <f ca="1">IF(PV[[#This Row],[Business Date]]=Control!$C$6, PV[[#This Row],[Notional Value Local Cur]], -PV[[#This Row],[Notional Value Local Cur]])</f>
        <v>0</v>
      </c>
    </row>
    <row r="12834" spans="1:5" x14ac:dyDescent="0.25">
      <c r="A12834" s="36" t="b">
        <v>0</v>
      </c>
      <c r="B12834" s="56" t="b">
        <v>0</v>
      </c>
      <c r="C12834" s="56" t="b">
        <v>0</v>
      </c>
      <c r="D12834" s="56" t="b">
        <v>0</v>
      </c>
      <c r="E12834" s="56">
        <f ca="1">IF(PV[[#This Row],[Business Date]]=Control!$C$6, PV[[#This Row],[Notional Value Local Cur]], -PV[[#This Row],[Notional Value Local Cur]])</f>
        <v>0</v>
      </c>
    </row>
    <row r="12835" spans="1:5" x14ac:dyDescent="0.25">
      <c r="A12835" s="36" t="b">
        <v>0</v>
      </c>
      <c r="B12835" s="56" t="b">
        <v>0</v>
      </c>
      <c r="C12835" s="56" t="b">
        <v>0</v>
      </c>
      <c r="D12835" s="56" t="b">
        <v>0</v>
      </c>
      <c r="E12835" s="56">
        <f ca="1">IF(PV[[#This Row],[Business Date]]=Control!$C$6, PV[[#This Row],[Notional Value Local Cur]], -PV[[#This Row],[Notional Value Local Cur]])</f>
        <v>0</v>
      </c>
    </row>
    <row r="12836" spans="1:5" x14ac:dyDescent="0.25">
      <c r="A12836" s="36" t="b">
        <v>0</v>
      </c>
      <c r="B12836" s="56" t="b">
        <v>0</v>
      </c>
      <c r="C12836" s="56" t="b">
        <v>0</v>
      </c>
      <c r="D12836" s="56" t="b">
        <v>0</v>
      </c>
      <c r="E12836" s="56">
        <f ca="1">IF(PV[[#This Row],[Business Date]]=Control!$C$6, PV[[#This Row],[Notional Value Local Cur]], -PV[[#This Row],[Notional Value Local Cur]])</f>
        <v>0</v>
      </c>
    </row>
    <row r="12837" spans="1:5" x14ac:dyDescent="0.25">
      <c r="A12837" s="36" t="b">
        <v>0</v>
      </c>
      <c r="B12837" s="56" t="b">
        <v>0</v>
      </c>
      <c r="C12837" s="56" t="b">
        <v>0</v>
      </c>
      <c r="D12837" s="56" t="b">
        <v>0</v>
      </c>
      <c r="E12837" s="56">
        <f ca="1">IF(PV[[#This Row],[Business Date]]=Control!$C$6, PV[[#This Row],[Notional Value Local Cur]], -PV[[#This Row],[Notional Value Local Cur]])</f>
        <v>0</v>
      </c>
    </row>
    <row r="12838" spans="1:5" x14ac:dyDescent="0.25">
      <c r="A12838" s="36" t="b">
        <v>0</v>
      </c>
      <c r="B12838" s="56" t="b">
        <v>0</v>
      </c>
      <c r="C12838" s="56" t="b">
        <v>0</v>
      </c>
      <c r="D12838" s="56" t="b">
        <v>0</v>
      </c>
      <c r="E12838" s="56">
        <f ca="1">IF(PV[[#This Row],[Business Date]]=Control!$C$6, PV[[#This Row],[Notional Value Local Cur]], -PV[[#This Row],[Notional Value Local Cur]])</f>
        <v>0</v>
      </c>
    </row>
    <row r="12839" spans="1:5" x14ac:dyDescent="0.25">
      <c r="A12839" s="36" t="b">
        <v>0</v>
      </c>
      <c r="B12839" s="56" t="b">
        <v>0</v>
      </c>
      <c r="C12839" s="56" t="b">
        <v>0</v>
      </c>
      <c r="D12839" s="56" t="b">
        <v>0</v>
      </c>
      <c r="E12839" s="56">
        <f ca="1">IF(PV[[#This Row],[Business Date]]=Control!$C$6, PV[[#This Row],[Notional Value Local Cur]], -PV[[#This Row],[Notional Value Local Cur]])</f>
        <v>0</v>
      </c>
    </row>
    <row r="12840" spans="1:5" x14ac:dyDescent="0.25">
      <c r="A12840" s="36" t="b">
        <v>0</v>
      </c>
      <c r="B12840" s="56" t="b">
        <v>0</v>
      </c>
      <c r="C12840" s="56" t="b">
        <v>0</v>
      </c>
      <c r="D12840" s="56" t="b">
        <v>0</v>
      </c>
      <c r="E12840" s="56">
        <f ca="1">IF(PV[[#This Row],[Business Date]]=Control!$C$6, PV[[#This Row],[Notional Value Local Cur]], -PV[[#This Row],[Notional Value Local Cur]])</f>
        <v>0</v>
      </c>
    </row>
    <row r="12841" spans="1:5" x14ac:dyDescent="0.25">
      <c r="A12841" s="36" t="b">
        <v>0</v>
      </c>
      <c r="B12841" s="56" t="b">
        <v>0</v>
      </c>
      <c r="C12841" s="56" t="b">
        <v>0</v>
      </c>
      <c r="D12841" s="56" t="b">
        <v>0</v>
      </c>
      <c r="E12841" s="56">
        <f ca="1">IF(PV[[#This Row],[Business Date]]=Control!$C$6, PV[[#This Row],[Notional Value Local Cur]], -PV[[#This Row],[Notional Value Local Cur]])</f>
        <v>0</v>
      </c>
    </row>
    <row r="12842" spans="1:5" x14ac:dyDescent="0.25">
      <c r="A12842" s="36" t="b">
        <v>0</v>
      </c>
      <c r="B12842" s="56" t="b">
        <v>0</v>
      </c>
      <c r="C12842" s="56" t="b">
        <v>0</v>
      </c>
      <c r="D12842" s="56" t="b">
        <v>0</v>
      </c>
      <c r="E12842" s="56">
        <f ca="1">IF(PV[[#This Row],[Business Date]]=Control!$C$6, PV[[#This Row],[Notional Value Local Cur]], -PV[[#This Row],[Notional Value Local Cur]])</f>
        <v>0</v>
      </c>
    </row>
    <row r="12843" spans="1:5" x14ac:dyDescent="0.25">
      <c r="A12843" s="36" t="b">
        <v>0</v>
      </c>
      <c r="B12843" s="56" t="b">
        <v>0</v>
      </c>
      <c r="C12843" s="56" t="b">
        <v>0</v>
      </c>
      <c r="D12843" s="56" t="b">
        <v>0</v>
      </c>
      <c r="E12843" s="56">
        <f ca="1">IF(PV[[#This Row],[Business Date]]=Control!$C$6, PV[[#This Row],[Notional Value Local Cur]], -PV[[#This Row],[Notional Value Local Cur]])</f>
        <v>0</v>
      </c>
    </row>
    <row r="12844" spans="1:5" x14ac:dyDescent="0.25">
      <c r="A12844" s="36" t="b">
        <v>0</v>
      </c>
      <c r="B12844" s="56" t="b">
        <v>0</v>
      </c>
      <c r="C12844" s="56" t="b">
        <v>0</v>
      </c>
      <c r="D12844" s="56" t="b">
        <v>0</v>
      </c>
      <c r="E12844" s="56">
        <f ca="1">IF(PV[[#This Row],[Business Date]]=Control!$C$6, PV[[#This Row],[Notional Value Local Cur]], -PV[[#This Row],[Notional Value Local Cur]])</f>
        <v>0</v>
      </c>
    </row>
    <row r="12845" spans="1:5" x14ac:dyDescent="0.25">
      <c r="A12845" s="36" t="b">
        <v>0</v>
      </c>
      <c r="B12845" s="56" t="b">
        <v>0</v>
      </c>
      <c r="C12845" s="56" t="b">
        <v>0</v>
      </c>
      <c r="D12845" s="56" t="b">
        <v>0</v>
      </c>
      <c r="E12845" s="56">
        <f ca="1">IF(PV[[#This Row],[Business Date]]=Control!$C$6, PV[[#This Row],[Notional Value Local Cur]], -PV[[#This Row],[Notional Value Local Cur]])</f>
        <v>0</v>
      </c>
    </row>
    <row r="12846" spans="1:5" x14ac:dyDescent="0.25">
      <c r="A12846" s="36" t="b">
        <v>0</v>
      </c>
      <c r="B12846" s="56" t="b">
        <v>0</v>
      </c>
      <c r="C12846" s="56" t="b">
        <v>0</v>
      </c>
      <c r="D12846" s="56" t="b">
        <v>0</v>
      </c>
      <c r="E12846" s="56">
        <f ca="1">IF(PV[[#This Row],[Business Date]]=Control!$C$6, PV[[#This Row],[Notional Value Local Cur]], -PV[[#This Row],[Notional Value Local Cur]])</f>
        <v>0</v>
      </c>
    </row>
    <row r="12847" spans="1:5" x14ac:dyDescent="0.25">
      <c r="A12847" s="36" t="b">
        <v>0</v>
      </c>
      <c r="B12847" s="56" t="b">
        <v>0</v>
      </c>
      <c r="C12847" s="56" t="b">
        <v>0</v>
      </c>
      <c r="D12847" s="56" t="b">
        <v>0</v>
      </c>
      <c r="E12847" s="56">
        <f ca="1">IF(PV[[#This Row],[Business Date]]=Control!$C$6, PV[[#This Row],[Notional Value Local Cur]], -PV[[#This Row],[Notional Value Local Cur]])</f>
        <v>0</v>
      </c>
    </row>
    <row r="12848" spans="1:5" x14ac:dyDescent="0.25">
      <c r="A12848" s="36" t="b">
        <v>0</v>
      </c>
      <c r="B12848" s="56" t="b">
        <v>0</v>
      </c>
      <c r="C12848" s="56" t="b">
        <v>0</v>
      </c>
      <c r="D12848" s="56" t="b">
        <v>0</v>
      </c>
      <c r="E12848" s="56">
        <f ca="1">IF(PV[[#This Row],[Business Date]]=Control!$C$6, PV[[#This Row],[Notional Value Local Cur]], -PV[[#This Row],[Notional Value Local Cur]])</f>
        <v>0</v>
      </c>
    </row>
    <row r="12849" spans="1:5" x14ac:dyDescent="0.25">
      <c r="A12849" s="36" t="b">
        <v>0</v>
      </c>
      <c r="B12849" s="56" t="b">
        <v>0</v>
      </c>
      <c r="C12849" s="56" t="b">
        <v>0</v>
      </c>
      <c r="D12849" s="56" t="b">
        <v>0</v>
      </c>
      <c r="E12849" s="56">
        <f ca="1">IF(PV[[#This Row],[Business Date]]=Control!$C$6, PV[[#This Row],[Notional Value Local Cur]], -PV[[#This Row],[Notional Value Local Cur]])</f>
        <v>0</v>
      </c>
    </row>
    <row r="12850" spans="1:5" x14ac:dyDescent="0.25">
      <c r="A12850" s="36" t="b">
        <v>0</v>
      </c>
      <c r="B12850" s="56" t="b">
        <v>0</v>
      </c>
      <c r="C12850" s="56" t="b">
        <v>0</v>
      </c>
      <c r="D12850" s="56" t="b">
        <v>0</v>
      </c>
      <c r="E12850" s="56">
        <f ca="1">IF(PV[[#This Row],[Business Date]]=Control!$C$6, PV[[#This Row],[Notional Value Local Cur]], -PV[[#This Row],[Notional Value Local Cur]])</f>
        <v>0</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601"/>
  <sheetViews>
    <sheetView workbookViewId="0">
      <selection activeCell="B2" sqref="B2"/>
    </sheetView>
  </sheetViews>
  <sheetFormatPr defaultRowHeight="15" x14ac:dyDescent="0.25"/>
  <cols>
    <col min="1" max="1" width="11" customWidth="1"/>
  </cols>
  <sheetData>
    <row r="1" spans="1:3" x14ac:dyDescent="0.25">
      <c r="A1" s="36" t="s">
        <v>307</v>
      </c>
      <c r="B1" t="s">
        <v>297</v>
      </c>
      <c r="C1" t="s">
        <v>286</v>
      </c>
    </row>
    <row r="2" spans="1:3" x14ac:dyDescent="0.25">
      <c r="A2">
        <v>20080624</v>
      </c>
      <c r="B2">
        <v>-5576811.9398266403</v>
      </c>
      <c r="C2">
        <v>-8857135.0951064099</v>
      </c>
    </row>
    <row r="3" spans="1:3" x14ac:dyDescent="0.25">
      <c r="A3">
        <v>20080625</v>
      </c>
      <c r="B3">
        <v>631607.81365844398</v>
      </c>
      <c r="C3">
        <v>-19348577.728675898</v>
      </c>
    </row>
    <row r="4" spans="1:3" x14ac:dyDescent="0.25">
      <c r="A4">
        <v>20080626</v>
      </c>
      <c r="B4">
        <v>-10797567.344390601</v>
      </c>
      <c r="C4">
        <v>-8552548.8888556492</v>
      </c>
    </row>
    <row r="5" spans="1:3" x14ac:dyDescent="0.25">
      <c r="A5">
        <v>20080627</v>
      </c>
      <c r="B5">
        <v>759663.48239871801</v>
      </c>
      <c r="C5">
        <v>-19263191.3609723</v>
      </c>
    </row>
    <row r="6" spans="1:3" x14ac:dyDescent="0.25">
      <c r="A6">
        <v>20080630</v>
      </c>
      <c r="B6">
        <v>-11291756.9502852</v>
      </c>
      <c r="C6">
        <v>-9078469.9264898207</v>
      </c>
    </row>
    <row r="7" spans="1:3" x14ac:dyDescent="0.25">
      <c r="A7">
        <v>20080701</v>
      </c>
      <c r="B7">
        <v>-10919560.677588301</v>
      </c>
      <c r="C7">
        <v>-2231318.5700325998</v>
      </c>
    </row>
    <row r="8" spans="1:3" x14ac:dyDescent="0.25">
      <c r="A8">
        <v>20080702</v>
      </c>
      <c r="B8">
        <v>-13799689.757411901</v>
      </c>
      <c r="C8">
        <v>-6574884.4601167096</v>
      </c>
    </row>
    <row r="9" spans="1:3" x14ac:dyDescent="0.25">
      <c r="A9">
        <v>20080703</v>
      </c>
      <c r="B9">
        <v>-4922845.4816626804</v>
      </c>
      <c r="C9">
        <v>2026129.490187</v>
      </c>
    </row>
    <row r="10" spans="1:3" x14ac:dyDescent="0.25">
      <c r="A10">
        <v>20080704</v>
      </c>
      <c r="B10">
        <v>-7320065.7384123998</v>
      </c>
      <c r="C10">
        <v>274709.17596397997</v>
      </c>
    </row>
    <row r="11" spans="1:3" x14ac:dyDescent="0.25">
      <c r="A11">
        <v>20080707</v>
      </c>
      <c r="B11">
        <v>-5616708.9990580603</v>
      </c>
      <c r="C11">
        <v>-2004070.8122660201</v>
      </c>
    </row>
    <row r="12" spans="1:3" x14ac:dyDescent="0.25">
      <c r="A12">
        <v>20080708</v>
      </c>
      <c r="B12">
        <v>-7709308.34241434</v>
      </c>
      <c r="C12">
        <v>1840710.8532433501</v>
      </c>
    </row>
    <row r="13" spans="1:3" x14ac:dyDescent="0.25">
      <c r="A13">
        <v>20080709</v>
      </c>
      <c r="B13">
        <v>-2545163.5604881598</v>
      </c>
      <c r="C13">
        <v>3840728.2713287999</v>
      </c>
    </row>
    <row r="14" spans="1:3" x14ac:dyDescent="0.25">
      <c r="A14">
        <v>20080710</v>
      </c>
      <c r="B14">
        <v>-1092144.3707735599</v>
      </c>
      <c r="C14">
        <v>-4308220.6052344898</v>
      </c>
    </row>
    <row r="15" spans="1:3" x14ac:dyDescent="0.25">
      <c r="A15">
        <v>20080711</v>
      </c>
      <c r="B15">
        <v>-4585341.7306780098</v>
      </c>
      <c r="C15">
        <v>6957464.4931152696</v>
      </c>
    </row>
    <row r="16" spans="1:3" x14ac:dyDescent="0.25">
      <c r="A16">
        <v>20080714</v>
      </c>
      <c r="B16">
        <v>2195387.3465178199</v>
      </c>
      <c r="C16">
        <v>3747155.1692811502</v>
      </c>
    </row>
    <row r="17" spans="1:3" x14ac:dyDescent="0.25">
      <c r="A17">
        <v>20080715</v>
      </c>
      <c r="B17">
        <v>4494467.1918124901</v>
      </c>
      <c r="C17">
        <v>-15004373.396792101</v>
      </c>
    </row>
    <row r="18" spans="1:3" x14ac:dyDescent="0.25">
      <c r="A18">
        <v>20080716</v>
      </c>
      <c r="B18">
        <v>5832242.6158577204</v>
      </c>
      <c r="C18">
        <v>2723875.5340809799</v>
      </c>
    </row>
    <row r="19" spans="1:3" x14ac:dyDescent="0.25">
      <c r="A19">
        <v>20080717</v>
      </c>
      <c r="B19">
        <v>9319517.6325116195</v>
      </c>
      <c r="C19">
        <v>7068099.9276759503</v>
      </c>
    </row>
    <row r="20" spans="1:3" x14ac:dyDescent="0.25">
      <c r="A20">
        <v>20080718</v>
      </c>
      <c r="B20">
        <v>2556504.2547478201</v>
      </c>
      <c r="C20">
        <v>15297981.1409347</v>
      </c>
    </row>
    <row r="21" spans="1:3" x14ac:dyDescent="0.25">
      <c r="A21">
        <v>20080721</v>
      </c>
      <c r="B21">
        <v>4389908.8158350801</v>
      </c>
      <c r="C21">
        <v>12338835.653385499</v>
      </c>
    </row>
    <row r="22" spans="1:3" x14ac:dyDescent="0.25">
      <c r="A22">
        <v>20080722</v>
      </c>
      <c r="B22">
        <v>957871.23632365395</v>
      </c>
      <c r="C22">
        <v>25997420.589490499</v>
      </c>
    </row>
    <row r="23" spans="1:3" x14ac:dyDescent="0.25">
      <c r="A23">
        <v>20080723</v>
      </c>
      <c r="B23">
        <v>4583207.0168810999</v>
      </c>
      <c r="C23">
        <v>24666476.898759201</v>
      </c>
    </row>
    <row r="24" spans="1:3" x14ac:dyDescent="0.25">
      <c r="A24">
        <v>20080724</v>
      </c>
      <c r="B24">
        <v>-2128296.0240330398</v>
      </c>
      <c r="C24">
        <v>25486130.9442164</v>
      </c>
    </row>
    <row r="25" spans="1:3" x14ac:dyDescent="0.25">
      <c r="A25">
        <v>20080725</v>
      </c>
      <c r="B25">
        <v>803037.64657310501</v>
      </c>
      <c r="C25">
        <v>23495893.721074998</v>
      </c>
    </row>
    <row r="26" spans="1:3" x14ac:dyDescent="0.25">
      <c r="A26">
        <v>20080728</v>
      </c>
      <c r="B26">
        <v>-3044875.12470116</v>
      </c>
      <c r="C26">
        <v>35179254.825514801</v>
      </c>
    </row>
    <row r="27" spans="1:3" x14ac:dyDescent="0.25">
      <c r="A27">
        <v>20080729</v>
      </c>
      <c r="B27">
        <v>8794798.8518779203</v>
      </c>
      <c r="C27">
        <v>34643902.476173401</v>
      </c>
    </row>
    <row r="28" spans="1:3" x14ac:dyDescent="0.25">
      <c r="A28">
        <v>20080730</v>
      </c>
      <c r="B28">
        <v>2671182.29567819</v>
      </c>
      <c r="C28">
        <v>23758456.489232101</v>
      </c>
    </row>
    <row r="29" spans="1:3" x14ac:dyDescent="0.25">
      <c r="A29">
        <v>20080731</v>
      </c>
      <c r="B29">
        <v>4046241.1629173299</v>
      </c>
      <c r="C29">
        <v>26021834.9605886</v>
      </c>
    </row>
    <row r="30" spans="1:3" x14ac:dyDescent="0.25">
      <c r="A30">
        <v>20080801</v>
      </c>
      <c r="B30">
        <v>11621887.3337723</v>
      </c>
      <c r="C30">
        <v>23928240.095122099</v>
      </c>
    </row>
    <row r="31" spans="1:3" x14ac:dyDescent="0.25">
      <c r="A31">
        <v>20080804</v>
      </c>
      <c r="B31">
        <v>13873333.672648899</v>
      </c>
      <c r="C31">
        <v>23530289.405528799</v>
      </c>
    </row>
    <row r="32" spans="1:3" x14ac:dyDescent="0.25">
      <c r="A32">
        <v>20080805</v>
      </c>
      <c r="B32">
        <v>13766686.956076</v>
      </c>
      <c r="C32">
        <v>39338878.8250245</v>
      </c>
    </row>
    <row r="33" spans="1:3" x14ac:dyDescent="0.25">
      <c r="A33">
        <v>20080806</v>
      </c>
      <c r="B33">
        <v>14540107.0899809</v>
      </c>
      <c r="C33">
        <v>43357506.2467831</v>
      </c>
    </row>
    <row r="34" spans="1:3" x14ac:dyDescent="0.25">
      <c r="A34">
        <v>20080807</v>
      </c>
      <c r="B34">
        <v>17385226.610470001</v>
      </c>
      <c r="C34">
        <v>40388210.1314243</v>
      </c>
    </row>
    <row r="35" spans="1:3" x14ac:dyDescent="0.25">
      <c r="A35">
        <v>20080808</v>
      </c>
      <c r="B35">
        <v>31435782.613981001</v>
      </c>
      <c r="C35">
        <v>45816023.424042903</v>
      </c>
    </row>
    <row r="36" spans="1:3" x14ac:dyDescent="0.25">
      <c r="A36">
        <v>20080811</v>
      </c>
      <c r="B36">
        <v>28506059.410537399</v>
      </c>
      <c r="C36">
        <v>37015976.732098401</v>
      </c>
    </row>
    <row r="37" spans="1:3" x14ac:dyDescent="0.25">
      <c r="A37">
        <v>20080812</v>
      </c>
      <c r="B37">
        <v>22568474.332314</v>
      </c>
      <c r="C37">
        <v>10444950.948248601</v>
      </c>
    </row>
    <row r="38" spans="1:3" x14ac:dyDescent="0.25">
      <c r="A38">
        <v>20080813</v>
      </c>
      <c r="B38">
        <v>21469366.5977837</v>
      </c>
      <c r="C38">
        <v>6264203.4198340001</v>
      </c>
    </row>
    <row r="39" spans="1:3" x14ac:dyDescent="0.25">
      <c r="A39">
        <v>20080814</v>
      </c>
      <c r="B39">
        <v>18790542.795487002</v>
      </c>
      <c r="C39">
        <v>-5627454.9620623197</v>
      </c>
    </row>
    <row r="40" spans="1:3" x14ac:dyDescent="0.25">
      <c r="A40">
        <v>20080815</v>
      </c>
      <c r="B40">
        <v>13155179.934740299</v>
      </c>
      <c r="C40">
        <v>-18931320.674536601</v>
      </c>
    </row>
    <row r="41" spans="1:3" x14ac:dyDescent="0.25">
      <c r="A41">
        <v>20080818</v>
      </c>
      <c r="B41">
        <v>18638303.4108903</v>
      </c>
      <c r="C41">
        <v>-20794284.528219499</v>
      </c>
    </row>
    <row r="42" spans="1:3" x14ac:dyDescent="0.25">
      <c r="A42">
        <v>20080819</v>
      </c>
      <c r="B42">
        <v>12280475.2451696</v>
      </c>
      <c r="C42">
        <v>-13472950.3402647</v>
      </c>
    </row>
    <row r="43" spans="1:3" x14ac:dyDescent="0.25">
      <c r="A43">
        <v>20080820</v>
      </c>
      <c r="B43">
        <v>7079939.3217162704</v>
      </c>
      <c r="C43">
        <v>-12896794.728801601</v>
      </c>
    </row>
    <row r="44" spans="1:3" x14ac:dyDescent="0.25">
      <c r="A44">
        <v>20080821</v>
      </c>
      <c r="B44">
        <v>1242429.22366265</v>
      </c>
      <c r="C44">
        <v>-22508069.2155306</v>
      </c>
    </row>
    <row r="45" spans="1:3" x14ac:dyDescent="0.25">
      <c r="A45">
        <v>20080822</v>
      </c>
      <c r="B45">
        <v>-5124831.3096350199</v>
      </c>
      <c r="C45">
        <v>-16521744.044436799</v>
      </c>
    </row>
    <row r="46" spans="1:3" x14ac:dyDescent="0.25">
      <c r="A46">
        <v>20080825</v>
      </c>
      <c r="B46">
        <v>-9071787.8206845801</v>
      </c>
      <c r="C46">
        <v>-15844585.7047788</v>
      </c>
    </row>
    <row r="47" spans="1:3" x14ac:dyDescent="0.25">
      <c r="A47">
        <v>20080826</v>
      </c>
      <c r="B47">
        <v>3324693.2784943101</v>
      </c>
      <c r="C47">
        <v>-20496115.5160533</v>
      </c>
    </row>
    <row r="48" spans="1:3" x14ac:dyDescent="0.25">
      <c r="A48">
        <v>20080827</v>
      </c>
      <c r="B48">
        <v>5193138.2575708097</v>
      </c>
      <c r="C48">
        <v>-14227527.492565099</v>
      </c>
    </row>
    <row r="49" spans="1:3" x14ac:dyDescent="0.25">
      <c r="A49">
        <v>20080828</v>
      </c>
      <c r="B49">
        <v>9654925.1390645001</v>
      </c>
      <c r="C49">
        <v>13174359.1961134</v>
      </c>
    </row>
    <row r="50" spans="1:3" x14ac:dyDescent="0.25">
      <c r="A50">
        <v>20080829</v>
      </c>
      <c r="B50">
        <v>5040127.5729858596</v>
      </c>
      <c r="C50">
        <v>16761577.783384999</v>
      </c>
    </row>
    <row r="51" spans="1:3" x14ac:dyDescent="0.25">
      <c r="A51">
        <v>20080901</v>
      </c>
      <c r="B51">
        <v>10262182.407070801</v>
      </c>
      <c r="C51">
        <v>28410382.317788001</v>
      </c>
    </row>
    <row r="52" spans="1:3" x14ac:dyDescent="0.25">
      <c r="A52">
        <v>20080902</v>
      </c>
      <c r="B52">
        <v>2774084.2525194502</v>
      </c>
      <c r="C52">
        <v>31901270.110592701</v>
      </c>
    </row>
    <row r="53" spans="1:3" x14ac:dyDescent="0.25">
      <c r="A53">
        <v>20080903</v>
      </c>
      <c r="B53">
        <v>3736553.54950761</v>
      </c>
      <c r="C53">
        <v>9348109.1870232709</v>
      </c>
    </row>
    <row r="54" spans="1:3" x14ac:dyDescent="0.25">
      <c r="A54">
        <v>20080904</v>
      </c>
      <c r="B54">
        <v>9238863.4875135198</v>
      </c>
      <c r="C54">
        <v>704314.98308740905</v>
      </c>
    </row>
    <row r="55" spans="1:3" x14ac:dyDescent="0.25">
      <c r="A55">
        <v>20080905</v>
      </c>
      <c r="B55">
        <v>11382848.501235399</v>
      </c>
      <c r="C55">
        <v>-20456267.694439601</v>
      </c>
    </row>
    <row r="56" spans="1:3" x14ac:dyDescent="0.25">
      <c r="A56">
        <v>20080908</v>
      </c>
      <c r="B56">
        <v>14176989.9908366</v>
      </c>
      <c r="C56">
        <v>-23145304.692715898</v>
      </c>
    </row>
    <row r="57" spans="1:3" x14ac:dyDescent="0.25">
      <c r="A57">
        <v>20080909</v>
      </c>
      <c r="B57">
        <v>18014105.454507701</v>
      </c>
      <c r="C57">
        <v>-23242175.8366872</v>
      </c>
    </row>
    <row r="58" spans="1:3" x14ac:dyDescent="0.25">
      <c r="A58">
        <v>20080910</v>
      </c>
      <c r="B58">
        <v>21635444.075902</v>
      </c>
      <c r="C58">
        <v>-11931791.6799425</v>
      </c>
    </row>
    <row r="59" spans="1:3" x14ac:dyDescent="0.25">
      <c r="A59">
        <v>20080911</v>
      </c>
      <c r="B59">
        <v>20201190.817931399</v>
      </c>
      <c r="C59">
        <v>-11058546.586327599</v>
      </c>
    </row>
    <row r="60" spans="1:3" x14ac:dyDescent="0.25">
      <c r="A60">
        <v>20080912</v>
      </c>
      <c r="B60">
        <v>16103418.979694201</v>
      </c>
      <c r="C60">
        <v>-15066739.089518899</v>
      </c>
    </row>
    <row r="61" spans="1:3" x14ac:dyDescent="0.25">
      <c r="A61">
        <v>20080915</v>
      </c>
      <c r="B61">
        <v>15908148.641534699</v>
      </c>
      <c r="C61">
        <v>-19286568.408916</v>
      </c>
    </row>
    <row r="62" spans="1:3" x14ac:dyDescent="0.25">
      <c r="A62">
        <v>20080916</v>
      </c>
      <c r="B62">
        <v>45031326.338601597</v>
      </c>
      <c r="C62">
        <v>-16234771.116829099</v>
      </c>
    </row>
    <row r="63" spans="1:3" x14ac:dyDescent="0.25">
      <c r="A63">
        <v>20080917</v>
      </c>
      <c r="B63">
        <v>92381059.720017001</v>
      </c>
      <c r="C63">
        <v>-4438072.71995907</v>
      </c>
    </row>
    <row r="64" spans="1:3" x14ac:dyDescent="0.25">
      <c r="A64">
        <v>20080918</v>
      </c>
      <c r="B64">
        <v>121154088.850871</v>
      </c>
      <c r="C64">
        <v>-18416953.550160799</v>
      </c>
    </row>
    <row r="65" spans="1:3" x14ac:dyDescent="0.25">
      <c r="A65">
        <v>20080919</v>
      </c>
      <c r="B65">
        <v>74295716.552336007</v>
      </c>
      <c r="C65">
        <v>-6304824.4768594</v>
      </c>
    </row>
    <row r="66" spans="1:3" x14ac:dyDescent="0.25">
      <c r="A66">
        <v>20080922</v>
      </c>
      <c r="B66">
        <v>49844419.634609997</v>
      </c>
      <c r="C66">
        <v>-15650710.023480199</v>
      </c>
    </row>
    <row r="67" spans="1:3" x14ac:dyDescent="0.25">
      <c r="A67">
        <v>20080923</v>
      </c>
      <c r="B67">
        <v>24967165.836754698</v>
      </c>
      <c r="C67">
        <v>-23290112.2328908</v>
      </c>
    </row>
    <row r="68" spans="1:3" x14ac:dyDescent="0.25">
      <c r="A68">
        <v>20080924</v>
      </c>
      <c r="B68">
        <v>25029154.1863316</v>
      </c>
      <c r="C68">
        <v>-41166461.366951302</v>
      </c>
    </row>
    <row r="69" spans="1:3" x14ac:dyDescent="0.25">
      <c r="A69">
        <v>20080925</v>
      </c>
      <c r="B69">
        <v>-807637.12425023306</v>
      </c>
      <c r="C69">
        <v>-29125006.073340401</v>
      </c>
    </row>
    <row r="70" spans="1:3" x14ac:dyDescent="0.25">
      <c r="A70">
        <v>20080926</v>
      </c>
      <c r="B70">
        <v>37317744.955662601</v>
      </c>
      <c r="C70">
        <v>-27058132.357625399</v>
      </c>
    </row>
    <row r="71" spans="1:3" x14ac:dyDescent="0.25">
      <c r="A71">
        <v>20080929</v>
      </c>
      <c r="B71">
        <v>91102983.070712596</v>
      </c>
      <c r="C71">
        <v>-33604678.544909097</v>
      </c>
    </row>
    <row r="72" spans="1:3" x14ac:dyDescent="0.25">
      <c r="A72">
        <v>20080930</v>
      </c>
      <c r="B72">
        <v>74554156.025567204</v>
      </c>
      <c r="C72">
        <v>4901143.6573157096</v>
      </c>
    </row>
    <row r="73" spans="1:3" x14ac:dyDescent="0.25">
      <c r="A73">
        <v>20081001</v>
      </c>
      <c r="B73">
        <v>64926884.803611703</v>
      </c>
      <c r="C73">
        <v>18066491.5369488</v>
      </c>
    </row>
    <row r="74" spans="1:3" x14ac:dyDescent="0.25">
      <c r="A74">
        <v>20081002</v>
      </c>
      <c r="B74">
        <v>68194697.018412098</v>
      </c>
      <c r="C74">
        <v>26980319.674799599</v>
      </c>
    </row>
    <row r="75" spans="1:3" x14ac:dyDescent="0.25">
      <c r="A75">
        <v>20081003</v>
      </c>
      <c r="B75">
        <v>83237281.588122293</v>
      </c>
      <c r="C75">
        <v>35914350.328380503</v>
      </c>
    </row>
    <row r="76" spans="1:3" x14ac:dyDescent="0.25">
      <c r="A76">
        <v>20081006</v>
      </c>
      <c r="B76">
        <v>28960443.919382799</v>
      </c>
      <c r="C76">
        <v>48998417.673532397</v>
      </c>
    </row>
    <row r="77" spans="1:3" x14ac:dyDescent="0.25">
      <c r="A77">
        <v>20081007</v>
      </c>
      <c r="B77">
        <v>31984725.492758799</v>
      </c>
      <c r="C77">
        <v>11840830.4391512</v>
      </c>
    </row>
    <row r="78" spans="1:3" x14ac:dyDescent="0.25">
      <c r="A78">
        <v>20081008</v>
      </c>
      <c r="B78">
        <v>-10532640.537670599</v>
      </c>
      <c r="C78">
        <v>7336980.3110745996</v>
      </c>
    </row>
    <row r="79" spans="1:3" x14ac:dyDescent="0.25">
      <c r="A79">
        <v>20081009</v>
      </c>
      <c r="B79">
        <v>16996639.270433899</v>
      </c>
      <c r="C79">
        <v>43924843.488096297</v>
      </c>
    </row>
    <row r="80" spans="1:3" x14ac:dyDescent="0.25">
      <c r="A80">
        <v>20081010</v>
      </c>
      <c r="B80">
        <v>26866706.924098302</v>
      </c>
      <c r="C80">
        <v>58981547.2408076</v>
      </c>
    </row>
    <row r="81" spans="1:3" x14ac:dyDescent="0.25">
      <c r="A81">
        <v>20081013</v>
      </c>
      <c r="B81">
        <v>45142314.854585499</v>
      </c>
      <c r="C81">
        <v>45248320.751075201</v>
      </c>
    </row>
    <row r="82" spans="1:3" x14ac:dyDescent="0.25">
      <c r="A82">
        <v>20081014</v>
      </c>
      <c r="B82">
        <v>34210766.665851802</v>
      </c>
      <c r="C82">
        <v>54730974.131858699</v>
      </c>
    </row>
    <row r="83" spans="1:3" x14ac:dyDescent="0.25">
      <c r="A83">
        <v>20081015</v>
      </c>
      <c r="B83">
        <v>20580613.9056728</v>
      </c>
      <c r="C83">
        <v>78785483.710236102</v>
      </c>
    </row>
    <row r="84" spans="1:3" x14ac:dyDescent="0.25">
      <c r="A84">
        <v>20081016</v>
      </c>
      <c r="B84">
        <v>38001437.424736902</v>
      </c>
      <c r="C84">
        <v>19863839.680628501</v>
      </c>
    </row>
    <row r="85" spans="1:3" x14ac:dyDescent="0.25">
      <c r="A85">
        <v>20081017</v>
      </c>
      <c r="B85">
        <v>-59056046.159940898</v>
      </c>
      <c r="C85">
        <v>187056.37310621099</v>
      </c>
    </row>
    <row r="86" spans="1:3" x14ac:dyDescent="0.25">
      <c r="A86">
        <v>20081020</v>
      </c>
      <c r="B86">
        <v>-59826557.284996003</v>
      </c>
      <c r="C86">
        <v>30848164.753493201</v>
      </c>
    </row>
    <row r="87" spans="1:3" x14ac:dyDescent="0.25">
      <c r="A87">
        <v>20081021</v>
      </c>
      <c r="B87">
        <v>-97651388.174797505</v>
      </c>
      <c r="C87">
        <v>26048382.069037899</v>
      </c>
    </row>
    <row r="88" spans="1:3" x14ac:dyDescent="0.25">
      <c r="A88">
        <v>20081022</v>
      </c>
      <c r="B88">
        <v>-58723655.431195699</v>
      </c>
      <c r="C88">
        <v>15114849.0276746</v>
      </c>
    </row>
    <row r="89" spans="1:3" x14ac:dyDescent="0.25">
      <c r="A89">
        <v>20081023</v>
      </c>
      <c r="B89">
        <v>-76697398.764757603</v>
      </c>
      <c r="C89">
        <v>28963802.8370369</v>
      </c>
    </row>
    <row r="90" spans="1:3" x14ac:dyDescent="0.25">
      <c r="A90">
        <v>20081024</v>
      </c>
      <c r="B90">
        <v>-18125406.6399833</v>
      </c>
      <c r="C90">
        <v>22305136.2375152</v>
      </c>
    </row>
    <row r="91" spans="1:3" x14ac:dyDescent="0.25">
      <c r="A91">
        <v>20081027</v>
      </c>
      <c r="B91">
        <v>38846478.164198697</v>
      </c>
      <c r="C91">
        <v>28149323.375626002</v>
      </c>
    </row>
    <row r="92" spans="1:3" x14ac:dyDescent="0.25">
      <c r="A92">
        <v>20081028</v>
      </c>
      <c r="B92">
        <v>48629025.901179001</v>
      </c>
      <c r="C92">
        <v>41188965.846306004</v>
      </c>
    </row>
    <row r="93" spans="1:3" x14ac:dyDescent="0.25">
      <c r="A93">
        <v>20081029</v>
      </c>
      <c r="B93">
        <v>-19333674.488792598</v>
      </c>
      <c r="C93">
        <v>999363.81278699206</v>
      </c>
    </row>
    <row r="94" spans="1:3" x14ac:dyDescent="0.25">
      <c r="A94">
        <v>20081030</v>
      </c>
      <c r="B94">
        <v>1666114.19561195</v>
      </c>
      <c r="C94">
        <v>-17594102.376949299</v>
      </c>
    </row>
    <row r="95" spans="1:3" x14ac:dyDescent="0.25">
      <c r="A95">
        <v>20081031</v>
      </c>
      <c r="B95">
        <v>-14185696.1417522</v>
      </c>
      <c r="C95">
        <v>-1888223.3262042501</v>
      </c>
    </row>
    <row r="96" spans="1:3" x14ac:dyDescent="0.25">
      <c r="A96">
        <v>20081103</v>
      </c>
      <c r="B96">
        <v>-54080307.926178403</v>
      </c>
      <c r="C96">
        <v>-42383308.652414702</v>
      </c>
    </row>
    <row r="97" spans="1:3" x14ac:dyDescent="0.25">
      <c r="A97">
        <v>20081104</v>
      </c>
      <c r="B97">
        <v>-47382370.337305903</v>
      </c>
      <c r="C97">
        <v>-73124783.647828206</v>
      </c>
    </row>
    <row r="98" spans="1:3" x14ac:dyDescent="0.25">
      <c r="A98">
        <v>20081105</v>
      </c>
      <c r="B98">
        <v>-22097797.321578499</v>
      </c>
      <c r="C98">
        <v>-24415679.973166</v>
      </c>
    </row>
    <row r="99" spans="1:3" x14ac:dyDescent="0.25">
      <c r="A99">
        <v>20081106</v>
      </c>
      <c r="B99">
        <v>-28893265.468154501</v>
      </c>
      <c r="C99">
        <v>-11015959.5220176</v>
      </c>
    </row>
    <row r="100" spans="1:3" x14ac:dyDescent="0.25">
      <c r="A100">
        <v>20081107</v>
      </c>
      <c r="B100">
        <v>-42730354.195996203</v>
      </c>
      <c r="C100">
        <v>-21740935.397640798</v>
      </c>
    </row>
    <row r="101" spans="1:3" x14ac:dyDescent="0.25">
      <c r="A101">
        <v>20081110</v>
      </c>
      <c r="B101">
        <v>-32883868.352437001</v>
      </c>
      <c r="C101">
        <v>16922269.239316601</v>
      </c>
    </row>
    <row r="102" spans="1:3" x14ac:dyDescent="0.25">
      <c r="A102">
        <v>20081111</v>
      </c>
      <c r="B102">
        <v>10631547.903454499</v>
      </c>
      <c r="C102">
        <v>44843046.220728002</v>
      </c>
    </row>
    <row r="103" spans="1:3" x14ac:dyDescent="0.25">
      <c r="A103">
        <v>20081112</v>
      </c>
      <c r="B103">
        <v>-6091716.05871912</v>
      </c>
      <c r="C103">
        <v>43552120.361596301</v>
      </c>
    </row>
    <row r="104" spans="1:3" x14ac:dyDescent="0.25">
      <c r="A104">
        <v>20081113</v>
      </c>
      <c r="B104">
        <v>-13589877.5371748</v>
      </c>
      <c r="C104">
        <v>26346615.781082299</v>
      </c>
    </row>
    <row r="105" spans="1:3" x14ac:dyDescent="0.25">
      <c r="A105">
        <v>20081114</v>
      </c>
      <c r="B105">
        <v>3526856.3444363102</v>
      </c>
      <c r="C105">
        <v>29532172.106435899</v>
      </c>
    </row>
    <row r="106" spans="1:3" x14ac:dyDescent="0.25">
      <c r="A106">
        <v>20081117</v>
      </c>
      <c r="B106">
        <v>1515224.76619527</v>
      </c>
      <c r="C106">
        <v>4605461.69290209</v>
      </c>
    </row>
    <row r="107" spans="1:3" x14ac:dyDescent="0.25">
      <c r="A107">
        <v>20081118</v>
      </c>
      <c r="B107">
        <v>5620090.1259420002</v>
      </c>
      <c r="C107">
        <v>-7932839.6596382</v>
      </c>
    </row>
    <row r="108" spans="1:3" x14ac:dyDescent="0.25">
      <c r="A108">
        <v>20081119</v>
      </c>
      <c r="B108">
        <v>-2615132.3973523001</v>
      </c>
      <c r="C108">
        <v>-6875591.2969841296</v>
      </c>
    </row>
    <row r="109" spans="1:3" x14ac:dyDescent="0.25">
      <c r="A109">
        <v>20081120</v>
      </c>
      <c r="B109">
        <v>18466814.883905701</v>
      </c>
      <c r="C109">
        <v>40166765.666019201</v>
      </c>
    </row>
    <row r="110" spans="1:3" x14ac:dyDescent="0.25">
      <c r="A110">
        <v>20081121</v>
      </c>
      <c r="B110">
        <v>4108258.6082481998</v>
      </c>
      <c r="C110">
        <v>30670319.4213924</v>
      </c>
    </row>
    <row r="111" spans="1:3" x14ac:dyDescent="0.25">
      <c r="A111">
        <v>20081124</v>
      </c>
      <c r="B111">
        <v>17555895.6518947</v>
      </c>
      <c r="C111">
        <v>-4193803.1883586501</v>
      </c>
    </row>
    <row r="112" spans="1:3" x14ac:dyDescent="0.25">
      <c r="A112">
        <v>20081125</v>
      </c>
      <c r="B112">
        <v>-5431775.4488479504</v>
      </c>
      <c r="C112">
        <v>18107773.398359399</v>
      </c>
    </row>
    <row r="113" spans="1:3" x14ac:dyDescent="0.25">
      <c r="A113">
        <v>20081126</v>
      </c>
      <c r="B113">
        <v>-334337.73524072702</v>
      </c>
      <c r="C113">
        <v>25253849.784018502</v>
      </c>
    </row>
    <row r="114" spans="1:3" x14ac:dyDescent="0.25">
      <c r="A114">
        <v>20081127</v>
      </c>
      <c r="B114">
        <v>-6071031.4876291398</v>
      </c>
      <c r="C114">
        <v>1902805.93093099</v>
      </c>
    </row>
    <row r="115" spans="1:3" x14ac:dyDescent="0.25">
      <c r="A115">
        <v>20081128</v>
      </c>
      <c r="B115">
        <v>6482446.7708094101</v>
      </c>
      <c r="C115">
        <v>7098611.94040679</v>
      </c>
    </row>
    <row r="116" spans="1:3" x14ac:dyDescent="0.25">
      <c r="A116">
        <v>20081201</v>
      </c>
      <c r="B116">
        <v>22619685.5590044</v>
      </c>
      <c r="C116">
        <v>46239264.002356</v>
      </c>
    </row>
    <row r="117" spans="1:3" x14ac:dyDescent="0.25">
      <c r="A117">
        <v>20081202</v>
      </c>
      <c r="B117">
        <v>36042079.511075601</v>
      </c>
      <c r="C117">
        <v>29175928.422330599</v>
      </c>
    </row>
    <row r="118" spans="1:3" x14ac:dyDescent="0.25">
      <c r="A118">
        <v>20081203</v>
      </c>
      <c r="B118">
        <v>33097909.592131499</v>
      </c>
      <c r="C118">
        <v>37163625.015270799</v>
      </c>
    </row>
    <row r="119" spans="1:3" x14ac:dyDescent="0.25">
      <c r="A119">
        <v>20081204</v>
      </c>
      <c r="B119">
        <v>-345126.66645520902</v>
      </c>
      <c r="C119">
        <v>34365732.391420901</v>
      </c>
    </row>
    <row r="120" spans="1:3" x14ac:dyDescent="0.25">
      <c r="A120">
        <v>20081205</v>
      </c>
      <c r="B120">
        <v>-7058670.3989420198</v>
      </c>
      <c r="C120">
        <v>74512479.822008103</v>
      </c>
    </row>
    <row r="121" spans="1:3" x14ac:dyDescent="0.25">
      <c r="A121">
        <v>20081208</v>
      </c>
      <c r="B121">
        <v>-34145962.533089399</v>
      </c>
      <c r="C121">
        <v>44942772.683586501</v>
      </c>
    </row>
    <row r="122" spans="1:3" x14ac:dyDescent="0.25">
      <c r="A122">
        <v>20081209</v>
      </c>
      <c r="B122">
        <v>-42349482.586784698</v>
      </c>
      <c r="C122">
        <v>68248931.811917603</v>
      </c>
    </row>
    <row r="123" spans="1:3" x14ac:dyDescent="0.25">
      <c r="A123">
        <v>20081210</v>
      </c>
      <c r="B123">
        <v>-53532572.905273102</v>
      </c>
      <c r="C123">
        <v>45929803.446416497</v>
      </c>
    </row>
    <row r="124" spans="1:3" x14ac:dyDescent="0.25">
      <c r="A124">
        <v>20081211</v>
      </c>
      <c r="B124">
        <v>-55221255.885265902</v>
      </c>
      <c r="C124">
        <v>16163761.007132599</v>
      </c>
    </row>
    <row r="125" spans="1:3" x14ac:dyDescent="0.25">
      <c r="A125">
        <v>20081212</v>
      </c>
      <c r="B125">
        <v>-69024959.577317297</v>
      </c>
      <c r="C125">
        <v>-3637140.3628711998</v>
      </c>
    </row>
    <row r="126" spans="1:3" x14ac:dyDescent="0.25">
      <c r="A126">
        <v>20081215</v>
      </c>
      <c r="B126">
        <v>-69250115.559274301</v>
      </c>
      <c r="C126">
        <v>24798379.7634812</v>
      </c>
    </row>
    <row r="127" spans="1:3" x14ac:dyDescent="0.25">
      <c r="A127">
        <v>20081216</v>
      </c>
      <c r="B127">
        <v>-70371954.402393505</v>
      </c>
      <c r="C127">
        <v>-6096259.2810403202</v>
      </c>
    </row>
    <row r="128" spans="1:3" x14ac:dyDescent="0.25">
      <c r="A128">
        <v>20081217</v>
      </c>
      <c r="B128">
        <v>-98472149.414307207</v>
      </c>
      <c r="C128">
        <v>-9605575.0542740095</v>
      </c>
    </row>
    <row r="129" spans="1:3" x14ac:dyDescent="0.25">
      <c r="A129">
        <v>20081218</v>
      </c>
      <c r="B129">
        <v>-89741811.975971803</v>
      </c>
      <c r="C129">
        <v>25796783.447277501</v>
      </c>
    </row>
    <row r="130" spans="1:3" x14ac:dyDescent="0.25">
      <c r="A130">
        <v>20081219</v>
      </c>
      <c r="B130">
        <v>-57652268.8104598</v>
      </c>
      <c r="C130">
        <v>25734867.1144532</v>
      </c>
    </row>
    <row r="131" spans="1:3" x14ac:dyDescent="0.25">
      <c r="A131">
        <v>20081222</v>
      </c>
      <c r="B131">
        <v>-45393452.897528999</v>
      </c>
      <c r="C131">
        <v>14980525.192523999</v>
      </c>
    </row>
    <row r="132" spans="1:3" x14ac:dyDescent="0.25">
      <c r="A132">
        <v>20081223</v>
      </c>
      <c r="B132">
        <v>-23378761.564280499</v>
      </c>
      <c r="C132">
        <v>18431535.7184925</v>
      </c>
    </row>
    <row r="133" spans="1:3" x14ac:dyDescent="0.25">
      <c r="A133">
        <v>20081224</v>
      </c>
      <c r="B133">
        <v>13633164.124674</v>
      </c>
      <c r="C133">
        <v>23056822.056015499</v>
      </c>
    </row>
    <row r="134" spans="1:3" x14ac:dyDescent="0.25">
      <c r="A134">
        <v>20081225</v>
      </c>
      <c r="B134">
        <v>20310485.597525101</v>
      </c>
      <c r="C134">
        <v>5585375.2451751204</v>
      </c>
    </row>
    <row r="135" spans="1:3" x14ac:dyDescent="0.25">
      <c r="A135">
        <v>20081226</v>
      </c>
      <c r="B135">
        <v>3444438.6095407298</v>
      </c>
      <c r="C135">
        <v>-11046476.0706368</v>
      </c>
    </row>
    <row r="136" spans="1:3" x14ac:dyDescent="0.25">
      <c r="A136">
        <v>20081229</v>
      </c>
      <c r="B136">
        <v>-1489572.55225144</v>
      </c>
      <c r="C136">
        <v>2784944.6903440901</v>
      </c>
    </row>
    <row r="137" spans="1:3" x14ac:dyDescent="0.25">
      <c r="A137">
        <v>20081230</v>
      </c>
      <c r="B137">
        <v>-11346662.212639</v>
      </c>
      <c r="C137">
        <v>23659264.4022616</v>
      </c>
    </row>
    <row r="138" spans="1:3" x14ac:dyDescent="0.25">
      <c r="A138">
        <v>20081231</v>
      </c>
      <c r="B138">
        <v>-3409727.2830790598</v>
      </c>
      <c r="C138">
        <v>26767572.871167999</v>
      </c>
    </row>
    <row r="139" spans="1:3" x14ac:dyDescent="0.25">
      <c r="A139">
        <v>20090101</v>
      </c>
      <c r="B139">
        <v>-3705163.8166652801</v>
      </c>
      <c r="C139">
        <v>26512496.6227898</v>
      </c>
    </row>
    <row r="140" spans="1:3" x14ac:dyDescent="0.25">
      <c r="A140">
        <v>20090102</v>
      </c>
      <c r="B140">
        <v>-1388617.0800781101</v>
      </c>
      <c r="C140">
        <v>10489048.1558016</v>
      </c>
    </row>
    <row r="141" spans="1:3" x14ac:dyDescent="0.25">
      <c r="A141">
        <v>20090105</v>
      </c>
      <c r="B141">
        <v>11443785.131702101</v>
      </c>
      <c r="C141">
        <v>-15996738.5523958</v>
      </c>
    </row>
    <row r="142" spans="1:3" x14ac:dyDescent="0.25">
      <c r="A142">
        <v>20090106</v>
      </c>
      <c r="B142">
        <v>27646435.1994179</v>
      </c>
      <c r="C142">
        <v>-36840899.754095502</v>
      </c>
    </row>
    <row r="143" spans="1:3" x14ac:dyDescent="0.25">
      <c r="A143">
        <v>20090107</v>
      </c>
      <c r="B143">
        <v>12359455.3699666</v>
      </c>
      <c r="C143">
        <v>-50638785.654114701</v>
      </c>
    </row>
    <row r="144" spans="1:3" x14ac:dyDescent="0.25">
      <c r="A144">
        <v>20090108</v>
      </c>
      <c r="B144">
        <v>6868248.4957906101</v>
      </c>
      <c r="C144">
        <v>-60021996.198367096</v>
      </c>
    </row>
    <row r="145" spans="1:3" x14ac:dyDescent="0.25">
      <c r="A145">
        <v>20090109</v>
      </c>
      <c r="B145">
        <v>1973146.6305370601</v>
      </c>
      <c r="C145">
        <v>-40128942.8305839</v>
      </c>
    </row>
    <row r="146" spans="1:3" x14ac:dyDescent="0.25">
      <c r="A146">
        <v>20090112</v>
      </c>
      <c r="B146">
        <v>1028149.35233326</v>
      </c>
      <c r="C146">
        <v>-9382263.3120449297</v>
      </c>
    </row>
    <row r="147" spans="1:3" x14ac:dyDescent="0.25">
      <c r="A147">
        <v>20090113</v>
      </c>
      <c r="B147">
        <v>-24168239.854520801</v>
      </c>
      <c r="C147">
        <v>27395998.5136736</v>
      </c>
    </row>
    <row r="148" spans="1:3" x14ac:dyDescent="0.25">
      <c r="A148">
        <v>20090114</v>
      </c>
      <c r="B148">
        <v>-5008002.4264288498</v>
      </c>
      <c r="C148">
        <v>39348671.662234001</v>
      </c>
    </row>
    <row r="149" spans="1:3" x14ac:dyDescent="0.25">
      <c r="A149">
        <v>20090115</v>
      </c>
      <c r="B149">
        <v>3706474.9929315401</v>
      </c>
      <c r="C149">
        <v>67525665.818574503</v>
      </c>
    </row>
    <row r="150" spans="1:3" x14ac:dyDescent="0.25">
      <c r="A150">
        <v>20090116</v>
      </c>
      <c r="B150">
        <v>-322814.93603932101</v>
      </c>
      <c r="C150">
        <v>47793014.612540402</v>
      </c>
    </row>
    <row r="151" spans="1:3" x14ac:dyDescent="0.25">
      <c r="A151">
        <v>20090119</v>
      </c>
      <c r="B151">
        <v>8496762.0944404695</v>
      </c>
      <c r="C151">
        <v>45649463.591137499</v>
      </c>
    </row>
    <row r="152" spans="1:3" x14ac:dyDescent="0.25">
      <c r="A152">
        <v>20090120</v>
      </c>
      <c r="B152">
        <v>22959355.802799199</v>
      </c>
      <c r="C152">
        <v>13685765.347349999</v>
      </c>
    </row>
    <row r="153" spans="1:3" x14ac:dyDescent="0.25">
      <c r="A153">
        <v>20090121</v>
      </c>
      <c r="B153">
        <v>27895409.793933</v>
      </c>
      <c r="C153">
        <v>13001227.8384401</v>
      </c>
    </row>
    <row r="154" spans="1:3" x14ac:dyDescent="0.25">
      <c r="A154">
        <v>20090122</v>
      </c>
      <c r="B154">
        <v>13104976.2539705</v>
      </c>
      <c r="C154">
        <v>-6170488.7963282503</v>
      </c>
    </row>
    <row r="155" spans="1:3" x14ac:dyDescent="0.25">
      <c r="A155">
        <v>20090123</v>
      </c>
      <c r="B155">
        <v>21419813.629041299</v>
      </c>
      <c r="C155">
        <v>-13240657.1079691</v>
      </c>
    </row>
    <row r="156" spans="1:3" x14ac:dyDescent="0.25">
      <c r="A156">
        <v>20090126</v>
      </c>
      <c r="B156">
        <v>6372829.4323063996</v>
      </c>
      <c r="C156">
        <v>-45246958.706149697</v>
      </c>
    </row>
    <row r="157" spans="1:3" x14ac:dyDescent="0.25">
      <c r="A157">
        <v>20090127</v>
      </c>
      <c r="B157">
        <v>-8265307.4786007199</v>
      </c>
      <c r="C157">
        <v>-35216485.556518503</v>
      </c>
    </row>
    <row r="158" spans="1:3" x14ac:dyDescent="0.25">
      <c r="A158">
        <v>20090128</v>
      </c>
      <c r="B158">
        <v>-13100361.6842889</v>
      </c>
      <c r="C158">
        <v>-57389076.571753502</v>
      </c>
    </row>
    <row r="159" spans="1:3" x14ac:dyDescent="0.25">
      <c r="A159">
        <v>20090129</v>
      </c>
      <c r="B159">
        <v>-8047772.4820711697</v>
      </c>
      <c r="C159">
        <v>-51631436.046948202</v>
      </c>
    </row>
    <row r="160" spans="1:3" x14ac:dyDescent="0.25">
      <c r="A160">
        <v>20090130</v>
      </c>
      <c r="B160">
        <v>3739815.07964005</v>
      </c>
      <c r="C160">
        <v>-14845040.785464101</v>
      </c>
    </row>
    <row r="161" spans="1:3" x14ac:dyDescent="0.25">
      <c r="A161">
        <v>20090202</v>
      </c>
      <c r="B161">
        <v>23409309.816629101</v>
      </c>
      <c r="C161">
        <v>3925143.89030491</v>
      </c>
    </row>
    <row r="162" spans="1:3" x14ac:dyDescent="0.25">
      <c r="A162">
        <v>20090203</v>
      </c>
      <c r="B162">
        <v>8815949.6434977297</v>
      </c>
      <c r="C162">
        <v>-6835486.9740315601</v>
      </c>
    </row>
    <row r="163" spans="1:3" x14ac:dyDescent="0.25">
      <c r="A163">
        <v>20090204</v>
      </c>
      <c r="B163">
        <v>16635363.675187301</v>
      </c>
      <c r="C163">
        <v>-2603588.2115491801</v>
      </c>
    </row>
    <row r="164" spans="1:3" x14ac:dyDescent="0.25">
      <c r="A164">
        <v>20090205</v>
      </c>
      <c r="B164">
        <v>10278831.457285199</v>
      </c>
      <c r="C164">
        <v>-14220143.0498024</v>
      </c>
    </row>
    <row r="165" spans="1:3" x14ac:dyDescent="0.25">
      <c r="A165">
        <v>20090206</v>
      </c>
      <c r="B165">
        <v>-4430577.6800745102</v>
      </c>
      <c r="C165">
        <v>-6710908.0559113203</v>
      </c>
    </row>
    <row r="166" spans="1:3" x14ac:dyDescent="0.25">
      <c r="A166">
        <v>20090209</v>
      </c>
      <c r="B166">
        <v>-9542678.0321369898</v>
      </c>
      <c r="C166">
        <v>-14680428.3590347</v>
      </c>
    </row>
    <row r="167" spans="1:3" x14ac:dyDescent="0.25">
      <c r="A167">
        <v>20090210</v>
      </c>
      <c r="B167">
        <v>45472.556177996099</v>
      </c>
      <c r="C167">
        <v>-21490429.753193799</v>
      </c>
    </row>
    <row r="168" spans="1:3" x14ac:dyDescent="0.25">
      <c r="A168">
        <v>20090211</v>
      </c>
      <c r="B168">
        <v>-884989.827562302</v>
      </c>
      <c r="C168">
        <v>21524717.124411602</v>
      </c>
    </row>
    <row r="169" spans="1:3" x14ac:dyDescent="0.25">
      <c r="A169">
        <v>20090212</v>
      </c>
      <c r="B169">
        <v>2260531.5758008598</v>
      </c>
      <c r="C169">
        <v>20284295.9325803</v>
      </c>
    </row>
    <row r="170" spans="1:3" x14ac:dyDescent="0.25">
      <c r="A170">
        <v>20090213</v>
      </c>
      <c r="B170">
        <v>-3428013.4193037599</v>
      </c>
      <c r="C170">
        <v>-10156536.7359038</v>
      </c>
    </row>
    <row r="171" spans="1:3" x14ac:dyDescent="0.25">
      <c r="A171">
        <v>20090216</v>
      </c>
      <c r="B171">
        <v>6364576.3691980196</v>
      </c>
      <c r="C171">
        <v>-4245457.8457149696</v>
      </c>
    </row>
    <row r="172" spans="1:3" x14ac:dyDescent="0.25">
      <c r="A172">
        <v>20090217</v>
      </c>
      <c r="B172">
        <v>29922671.7805776</v>
      </c>
      <c r="C172">
        <v>8465211.3453858998</v>
      </c>
    </row>
    <row r="173" spans="1:3" x14ac:dyDescent="0.25">
      <c r="A173">
        <v>20090218</v>
      </c>
      <c r="B173">
        <v>24280948.499262799</v>
      </c>
      <c r="C173">
        <v>-25750776.2310731</v>
      </c>
    </row>
    <row r="174" spans="1:3" x14ac:dyDescent="0.25">
      <c r="A174">
        <v>20090219</v>
      </c>
      <c r="B174">
        <v>19046399.192917898</v>
      </c>
      <c r="C174">
        <v>-12793379.578074301</v>
      </c>
    </row>
    <row r="175" spans="1:3" x14ac:dyDescent="0.25">
      <c r="A175">
        <v>20090220</v>
      </c>
      <c r="B175">
        <v>23676495.1207112</v>
      </c>
      <c r="C175">
        <v>-15918120.4850205</v>
      </c>
    </row>
    <row r="176" spans="1:3" x14ac:dyDescent="0.25">
      <c r="A176">
        <v>20090223</v>
      </c>
      <c r="B176">
        <v>5318839.4368127603</v>
      </c>
      <c r="C176">
        <v>-9818363.4972421397</v>
      </c>
    </row>
    <row r="177" spans="1:3" x14ac:dyDescent="0.25">
      <c r="A177">
        <v>20090224</v>
      </c>
      <c r="B177">
        <v>-11537103.7625631</v>
      </c>
      <c r="C177">
        <v>-22759837.138309199</v>
      </c>
    </row>
    <row r="178" spans="1:3" x14ac:dyDescent="0.25">
      <c r="A178">
        <v>20090225</v>
      </c>
      <c r="B178">
        <v>-5918509.9295913698</v>
      </c>
      <c r="C178">
        <v>-5932366.3163290098</v>
      </c>
    </row>
    <row r="179" spans="1:3" x14ac:dyDescent="0.25">
      <c r="A179">
        <v>20090226</v>
      </c>
      <c r="B179">
        <v>4180027.5031166002</v>
      </c>
      <c r="C179">
        <v>-24473605.264664799</v>
      </c>
    </row>
    <row r="180" spans="1:3" x14ac:dyDescent="0.25">
      <c r="A180">
        <v>20090227</v>
      </c>
      <c r="B180">
        <v>15984766.982250899</v>
      </c>
      <c r="C180">
        <v>3851496.5216723299</v>
      </c>
    </row>
    <row r="181" spans="1:3" x14ac:dyDescent="0.25">
      <c r="A181">
        <v>20090302</v>
      </c>
      <c r="B181">
        <v>27749759.636218701</v>
      </c>
      <c r="C181">
        <v>10938198.6231733</v>
      </c>
    </row>
    <row r="182" spans="1:3" x14ac:dyDescent="0.25">
      <c r="A182">
        <v>20090303</v>
      </c>
      <c r="B182">
        <v>27299480.7325757</v>
      </c>
      <c r="C182">
        <v>26222542.692006402</v>
      </c>
    </row>
    <row r="183" spans="1:3" x14ac:dyDescent="0.25">
      <c r="A183">
        <v>20090304</v>
      </c>
      <c r="B183">
        <v>24615902.634180699</v>
      </c>
      <c r="C183">
        <v>5220679.7062716</v>
      </c>
    </row>
    <row r="184" spans="1:3" x14ac:dyDescent="0.25">
      <c r="A184">
        <v>20090305</v>
      </c>
      <c r="B184">
        <v>38798594.7701625</v>
      </c>
      <c r="C184">
        <v>21217486.105882902</v>
      </c>
    </row>
    <row r="185" spans="1:3" x14ac:dyDescent="0.25">
      <c r="A185">
        <v>20090306</v>
      </c>
      <c r="B185">
        <v>8212899.0344805401</v>
      </c>
      <c r="C185">
        <v>-2988837.5220105099</v>
      </c>
    </row>
    <row r="186" spans="1:3" x14ac:dyDescent="0.25">
      <c r="A186">
        <v>20090309</v>
      </c>
      <c r="B186">
        <v>11867387.189819001</v>
      </c>
      <c r="C186">
        <v>3374557.7839067001</v>
      </c>
    </row>
    <row r="187" spans="1:3" x14ac:dyDescent="0.25">
      <c r="A187">
        <v>20090310</v>
      </c>
      <c r="B187">
        <v>2199375.8266751501</v>
      </c>
      <c r="C187">
        <v>-12136394.722219201</v>
      </c>
    </row>
    <row r="188" spans="1:3" x14ac:dyDescent="0.25">
      <c r="A188">
        <v>20090311</v>
      </c>
      <c r="B188">
        <v>10751217.603029201</v>
      </c>
      <c r="C188">
        <v>1273496.2356044799</v>
      </c>
    </row>
    <row r="189" spans="1:3" x14ac:dyDescent="0.25">
      <c r="A189">
        <v>20090312</v>
      </c>
      <c r="B189">
        <v>4307554.2473593401</v>
      </c>
      <c r="C189">
        <v>11004965.0457443</v>
      </c>
    </row>
    <row r="190" spans="1:3" x14ac:dyDescent="0.25">
      <c r="A190">
        <v>20090313</v>
      </c>
      <c r="B190">
        <v>-1327696.7538247099</v>
      </c>
      <c r="C190">
        <v>8341021.8753804304</v>
      </c>
    </row>
    <row r="191" spans="1:3" x14ac:dyDescent="0.25">
      <c r="A191">
        <v>20090316</v>
      </c>
      <c r="B191">
        <v>-7223527.3353411704</v>
      </c>
      <c r="C191">
        <v>12468261.2742665</v>
      </c>
    </row>
    <row r="192" spans="1:3" x14ac:dyDescent="0.25">
      <c r="A192">
        <v>20090317</v>
      </c>
      <c r="B192">
        <v>-2866676.2375770202</v>
      </c>
      <c r="C192">
        <v>18969320.952243999</v>
      </c>
    </row>
    <row r="193" spans="1:3" x14ac:dyDescent="0.25">
      <c r="A193">
        <v>20090318</v>
      </c>
      <c r="B193">
        <v>-18499901.506448399</v>
      </c>
      <c r="C193">
        <v>17355602.7366133</v>
      </c>
    </row>
    <row r="194" spans="1:3" x14ac:dyDescent="0.25">
      <c r="A194">
        <v>20090319</v>
      </c>
      <c r="B194">
        <v>-42951668.155547597</v>
      </c>
      <c r="C194">
        <v>-15422504.381187901</v>
      </c>
    </row>
    <row r="195" spans="1:3" x14ac:dyDescent="0.25">
      <c r="A195">
        <v>20090320</v>
      </c>
      <c r="B195">
        <v>-29367667.671217501</v>
      </c>
      <c r="C195">
        <v>-2395671.9969161199</v>
      </c>
    </row>
    <row r="196" spans="1:3" x14ac:dyDescent="0.25">
      <c r="A196">
        <v>20090323</v>
      </c>
      <c r="B196">
        <v>-29350062.2381569</v>
      </c>
      <c r="C196">
        <v>-16742756.3744289</v>
      </c>
    </row>
    <row r="197" spans="1:3" x14ac:dyDescent="0.25">
      <c r="A197">
        <v>20090324</v>
      </c>
      <c r="B197">
        <v>-29231740.642150499</v>
      </c>
      <c r="C197">
        <v>-20753764.4800184</v>
      </c>
    </row>
    <row r="198" spans="1:3" x14ac:dyDescent="0.25">
      <c r="A198">
        <v>20090325</v>
      </c>
      <c r="B198">
        <v>-9711722.9275862798</v>
      </c>
      <c r="C198">
        <v>-29930845.599747699</v>
      </c>
    </row>
    <row r="199" spans="1:3" x14ac:dyDescent="0.25">
      <c r="A199">
        <v>20090326</v>
      </c>
      <c r="B199">
        <v>13036930.1280286</v>
      </c>
      <c r="C199">
        <v>-3813472.2634112099</v>
      </c>
    </row>
    <row r="200" spans="1:3" x14ac:dyDescent="0.25">
      <c r="A200">
        <v>20090327</v>
      </c>
      <c r="B200">
        <v>19169949.469138801</v>
      </c>
      <c r="C200">
        <v>-9517242.9054771196</v>
      </c>
    </row>
    <row r="201" spans="1:3" x14ac:dyDescent="0.25">
      <c r="A201">
        <v>20090330</v>
      </c>
      <c r="B201">
        <v>20309429.655760001</v>
      </c>
      <c r="C201">
        <v>-7044363.3490635697</v>
      </c>
    </row>
    <row r="202" spans="1:3" x14ac:dyDescent="0.25">
      <c r="A202">
        <v>20090331</v>
      </c>
      <c r="B202">
        <v>14340452.6299017</v>
      </c>
      <c r="C202">
        <v>15394828.193568701</v>
      </c>
    </row>
    <row r="203" spans="1:3" x14ac:dyDescent="0.25">
      <c r="A203">
        <v>20090401</v>
      </c>
      <c r="B203">
        <v>3534622.8337939</v>
      </c>
      <c r="C203">
        <v>36901134.074799202</v>
      </c>
    </row>
    <row r="204" spans="1:3" x14ac:dyDescent="0.25">
      <c r="A204">
        <v>20090402</v>
      </c>
      <c r="B204">
        <v>-1871777.2322776499</v>
      </c>
      <c r="C204">
        <v>22612293.811661098</v>
      </c>
    </row>
    <row r="205" spans="1:3" x14ac:dyDescent="0.25">
      <c r="A205">
        <v>20090403</v>
      </c>
      <c r="B205">
        <v>-16253192.938803401</v>
      </c>
      <c r="C205">
        <v>12535056.975526201</v>
      </c>
    </row>
    <row r="206" spans="1:3" x14ac:dyDescent="0.25">
      <c r="A206">
        <v>20090406</v>
      </c>
      <c r="B206">
        <v>-9068976.5364871901</v>
      </c>
      <c r="C206">
        <v>21671329.731271099</v>
      </c>
    </row>
    <row r="207" spans="1:3" x14ac:dyDescent="0.25">
      <c r="A207">
        <v>20090407</v>
      </c>
      <c r="B207">
        <v>4864894.5151668703</v>
      </c>
      <c r="C207">
        <v>1209269.1758534701</v>
      </c>
    </row>
    <row r="208" spans="1:3" x14ac:dyDescent="0.25">
      <c r="A208">
        <v>20090408</v>
      </c>
      <c r="B208">
        <v>7533754.3907284103</v>
      </c>
      <c r="C208">
        <v>-10243763.6032681</v>
      </c>
    </row>
    <row r="209" spans="1:3" x14ac:dyDescent="0.25">
      <c r="A209">
        <v>20090409</v>
      </c>
      <c r="B209">
        <v>18385012.167435501</v>
      </c>
      <c r="C209">
        <v>-5455679.1913068397</v>
      </c>
    </row>
    <row r="210" spans="1:3" x14ac:dyDescent="0.25">
      <c r="A210">
        <v>20090410</v>
      </c>
      <c r="B210">
        <v>16419765.326554799</v>
      </c>
      <c r="C210">
        <v>2661527.5579661299</v>
      </c>
    </row>
    <row r="211" spans="1:3" x14ac:dyDescent="0.25">
      <c r="A211">
        <v>20090413</v>
      </c>
      <c r="B211">
        <v>698948.58553709404</v>
      </c>
      <c r="C211">
        <v>-5561171.4428923596</v>
      </c>
    </row>
    <row r="212" spans="1:3" x14ac:dyDescent="0.25">
      <c r="A212">
        <v>20090414</v>
      </c>
      <c r="B212">
        <v>5122233.5571803898</v>
      </c>
      <c r="C212">
        <v>-8624636.1338890102</v>
      </c>
    </row>
    <row r="213" spans="1:3" x14ac:dyDescent="0.25">
      <c r="A213">
        <v>20090415</v>
      </c>
      <c r="B213">
        <v>4979387.2943663802</v>
      </c>
      <c r="C213">
        <v>-17101361.882338502</v>
      </c>
    </row>
    <row r="214" spans="1:3" x14ac:dyDescent="0.25">
      <c r="A214">
        <v>20090416</v>
      </c>
      <c r="B214">
        <v>889066.176440835</v>
      </c>
      <c r="C214">
        <v>-5832537.9752360499</v>
      </c>
    </row>
    <row r="215" spans="1:3" x14ac:dyDescent="0.25">
      <c r="A215">
        <v>20090417</v>
      </c>
      <c r="B215">
        <v>8975009.5227920804</v>
      </c>
      <c r="C215">
        <v>5113938.3117847499</v>
      </c>
    </row>
    <row r="216" spans="1:3" x14ac:dyDescent="0.25">
      <c r="A216">
        <v>20090420</v>
      </c>
      <c r="B216">
        <v>19093832.752326898</v>
      </c>
      <c r="C216">
        <v>11553758.899788201</v>
      </c>
    </row>
    <row r="217" spans="1:3" x14ac:dyDescent="0.25">
      <c r="A217">
        <v>20090421</v>
      </c>
      <c r="B217">
        <v>7884765.3438420398</v>
      </c>
      <c r="C217">
        <v>32141834.489405598</v>
      </c>
    </row>
    <row r="218" spans="1:3" x14ac:dyDescent="0.25">
      <c r="A218">
        <v>20090422</v>
      </c>
      <c r="B218">
        <v>5452205.3820110802</v>
      </c>
      <c r="C218">
        <v>33345522.753305901</v>
      </c>
    </row>
    <row r="219" spans="1:3" x14ac:dyDescent="0.25">
      <c r="A219">
        <v>20090423</v>
      </c>
      <c r="B219">
        <v>7438663.8721832102</v>
      </c>
      <c r="C219">
        <v>16747622.9705204</v>
      </c>
    </row>
    <row r="220" spans="1:3" x14ac:dyDescent="0.25">
      <c r="A220">
        <v>20090424</v>
      </c>
      <c r="B220">
        <v>-6230489.5422403496</v>
      </c>
      <c r="C220">
        <v>-2457174.7372393999</v>
      </c>
    </row>
    <row r="221" spans="1:3" x14ac:dyDescent="0.25">
      <c r="A221">
        <v>20090427</v>
      </c>
      <c r="B221">
        <v>-1824807.83962832</v>
      </c>
      <c r="C221">
        <v>-18795037.296886802</v>
      </c>
    </row>
    <row r="222" spans="1:3" x14ac:dyDescent="0.25">
      <c r="A222">
        <v>20090428</v>
      </c>
      <c r="B222">
        <v>-8249991.2592237797</v>
      </c>
      <c r="C222">
        <v>-18637606.294438601</v>
      </c>
    </row>
    <row r="223" spans="1:3" x14ac:dyDescent="0.25">
      <c r="A223">
        <v>20090429</v>
      </c>
      <c r="B223">
        <v>-15966607.8850607</v>
      </c>
      <c r="C223">
        <v>-27724394.786885802</v>
      </c>
    </row>
    <row r="224" spans="1:3" x14ac:dyDescent="0.25">
      <c r="A224">
        <v>20090430</v>
      </c>
      <c r="B224">
        <v>-15358125.1684609</v>
      </c>
      <c r="C224">
        <v>-32087445.391319599</v>
      </c>
    </row>
    <row r="225" spans="1:3" x14ac:dyDescent="0.25">
      <c r="A225">
        <v>20090501</v>
      </c>
      <c r="B225">
        <v>-4278462.0645167101</v>
      </c>
      <c r="C225">
        <v>-19084132.731246699</v>
      </c>
    </row>
    <row r="226" spans="1:3" x14ac:dyDescent="0.25">
      <c r="A226">
        <v>20090504</v>
      </c>
      <c r="B226">
        <v>-14862652.424088299</v>
      </c>
      <c r="C226">
        <v>-15364699.1755636</v>
      </c>
    </row>
    <row r="227" spans="1:3" x14ac:dyDescent="0.25">
      <c r="A227">
        <v>20090505</v>
      </c>
      <c r="B227">
        <v>-15883814.4598925</v>
      </c>
      <c r="C227">
        <v>-21250320.0002806</v>
      </c>
    </row>
    <row r="228" spans="1:3" x14ac:dyDescent="0.25">
      <c r="A228">
        <v>20090506</v>
      </c>
      <c r="B228">
        <v>-7599052.9977901503</v>
      </c>
      <c r="C228">
        <v>-10853811.1446565</v>
      </c>
    </row>
    <row r="229" spans="1:3" x14ac:dyDescent="0.25">
      <c r="A229">
        <v>20090507</v>
      </c>
      <c r="B229">
        <v>-15540326.9730691</v>
      </c>
      <c r="C229">
        <v>3450039.2013496701</v>
      </c>
    </row>
    <row r="230" spans="1:3" x14ac:dyDescent="0.25">
      <c r="A230">
        <v>20090508</v>
      </c>
      <c r="B230">
        <v>-11458071.1677885</v>
      </c>
      <c r="C230">
        <v>-10835095.260726601</v>
      </c>
    </row>
    <row r="231" spans="1:3" x14ac:dyDescent="0.25">
      <c r="A231">
        <v>20090511</v>
      </c>
      <c r="B231">
        <v>-14201106.144365299</v>
      </c>
      <c r="C231">
        <v>-6535519.0351299001</v>
      </c>
    </row>
    <row r="232" spans="1:3" x14ac:dyDescent="0.25">
      <c r="A232">
        <v>20090512</v>
      </c>
      <c r="B232">
        <v>-19560399.183436599</v>
      </c>
      <c r="C232">
        <v>-8183864.8408731399</v>
      </c>
    </row>
    <row r="233" spans="1:3" x14ac:dyDescent="0.25">
      <c r="A233">
        <v>20090513</v>
      </c>
      <c r="B233">
        <v>-22641382.966181502</v>
      </c>
      <c r="C233">
        <v>-9391711.4902202003</v>
      </c>
    </row>
    <row r="234" spans="1:3" x14ac:dyDescent="0.25">
      <c r="A234">
        <v>20090514</v>
      </c>
      <c r="B234">
        <v>-9655909.4429350495</v>
      </c>
      <c r="C234">
        <v>212641.38585514799</v>
      </c>
    </row>
    <row r="235" spans="1:3" x14ac:dyDescent="0.25">
      <c r="A235">
        <v>20090515</v>
      </c>
      <c r="B235">
        <v>-10693458.904896701</v>
      </c>
      <c r="C235">
        <v>8704437.5464921892</v>
      </c>
    </row>
    <row r="236" spans="1:3" x14ac:dyDescent="0.25">
      <c r="A236">
        <v>20090518</v>
      </c>
      <c r="B236">
        <v>671335.38360784505</v>
      </c>
      <c r="C236">
        <v>16695866.4332032</v>
      </c>
    </row>
    <row r="237" spans="1:3" x14ac:dyDescent="0.25">
      <c r="A237">
        <v>20090519</v>
      </c>
      <c r="B237">
        <v>-5230058.8171535404</v>
      </c>
      <c r="C237">
        <v>9550266.9289257899</v>
      </c>
    </row>
    <row r="238" spans="1:3" x14ac:dyDescent="0.25">
      <c r="A238">
        <v>20090520</v>
      </c>
      <c r="B238">
        <v>-11652385.2174413</v>
      </c>
      <c r="C238">
        <v>2622156.24488209</v>
      </c>
    </row>
    <row r="239" spans="1:3" x14ac:dyDescent="0.25">
      <c r="A239">
        <v>20090521</v>
      </c>
      <c r="B239">
        <v>-16075159.862347299</v>
      </c>
      <c r="C239">
        <v>-11160159.942341501</v>
      </c>
    </row>
    <row r="240" spans="1:3" x14ac:dyDescent="0.25">
      <c r="A240">
        <v>20090522</v>
      </c>
      <c r="B240">
        <v>-17942369.660807598</v>
      </c>
      <c r="C240">
        <v>-27579563.2921873</v>
      </c>
    </row>
    <row r="241" spans="1:3" x14ac:dyDescent="0.25">
      <c r="A241">
        <v>20090525</v>
      </c>
      <c r="B241">
        <v>-23958243.078621101</v>
      </c>
      <c r="C241">
        <v>-34179798.149259098</v>
      </c>
    </row>
    <row r="242" spans="1:3" x14ac:dyDescent="0.25">
      <c r="A242">
        <v>20090526</v>
      </c>
      <c r="B242">
        <v>-17761177.213975798</v>
      </c>
      <c r="C242">
        <v>-43370785.324083798</v>
      </c>
    </row>
    <row r="243" spans="1:3" x14ac:dyDescent="0.25">
      <c r="A243">
        <v>20090527</v>
      </c>
      <c r="B243">
        <v>-6285055.8667163197</v>
      </c>
      <c r="C243">
        <v>-47113591.8147934</v>
      </c>
    </row>
    <row r="244" spans="1:3" x14ac:dyDescent="0.25">
      <c r="A244">
        <v>20090528</v>
      </c>
      <c r="B244">
        <v>1288135.1170691501</v>
      </c>
      <c r="C244">
        <v>-41457314.600212999</v>
      </c>
    </row>
    <row r="245" spans="1:3" x14ac:dyDescent="0.25">
      <c r="A245">
        <v>20090529</v>
      </c>
      <c r="B245">
        <v>8873864.5978118405</v>
      </c>
      <c r="C245">
        <v>-30854260.436995499</v>
      </c>
    </row>
    <row r="246" spans="1:3" x14ac:dyDescent="0.25">
      <c r="A246">
        <v>20090601</v>
      </c>
      <c r="B246">
        <v>6503146.6553042596</v>
      </c>
      <c r="C246">
        <v>-36949434.880673297</v>
      </c>
    </row>
    <row r="247" spans="1:3" x14ac:dyDescent="0.25">
      <c r="A247">
        <v>20090602</v>
      </c>
      <c r="B247">
        <v>1926627.98123332</v>
      </c>
      <c r="C247">
        <v>-32755312.076872401</v>
      </c>
    </row>
    <row r="248" spans="1:3" x14ac:dyDescent="0.25">
      <c r="A248">
        <v>20090603</v>
      </c>
      <c r="B248">
        <v>4431268.8192163296</v>
      </c>
      <c r="C248">
        <v>-1324954.87489686</v>
      </c>
    </row>
    <row r="249" spans="1:3" x14ac:dyDescent="0.25">
      <c r="A249">
        <v>20090604</v>
      </c>
      <c r="B249">
        <v>-6590275.7420993298</v>
      </c>
      <c r="C249">
        <v>667898.021290067</v>
      </c>
    </row>
    <row r="250" spans="1:3" x14ac:dyDescent="0.25">
      <c r="A250">
        <v>20090605</v>
      </c>
      <c r="B250">
        <v>2144360.8293329398</v>
      </c>
      <c r="C250">
        <v>23278778.9011463</v>
      </c>
    </row>
    <row r="251" spans="1:3" x14ac:dyDescent="0.25">
      <c r="A251">
        <v>20090608</v>
      </c>
      <c r="B251">
        <v>9542700.7903631292</v>
      </c>
      <c r="C251">
        <v>29705439.391878098</v>
      </c>
    </row>
    <row r="252" spans="1:3" x14ac:dyDescent="0.25">
      <c r="A252">
        <v>20090609</v>
      </c>
      <c r="B252">
        <v>13033430.205736</v>
      </c>
      <c r="C252">
        <v>16515820.755299499</v>
      </c>
    </row>
    <row r="253" spans="1:3" x14ac:dyDescent="0.25">
      <c r="A253">
        <v>20090610</v>
      </c>
      <c r="B253">
        <v>9264925.9703888595</v>
      </c>
      <c r="C253">
        <v>1336876.8283955101</v>
      </c>
    </row>
    <row r="254" spans="1:3" x14ac:dyDescent="0.25">
      <c r="A254">
        <v>20090611</v>
      </c>
      <c r="B254">
        <v>13494305.6869669</v>
      </c>
      <c r="C254">
        <v>-20692920.1524348</v>
      </c>
    </row>
    <row r="255" spans="1:3" x14ac:dyDescent="0.25">
      <c r="A255">
        <v>20090612</v>
      </c>
      <c r="B255">
        <v>8368498.3319565002</v>
      </c>
      <c r="C255">
        <v>-11447959.438676599</v>
      </c>
    </row>
    <row r="256" spans="1:3" x14ac:dyDescent="0.25">
      <c r="A256">
        <v>20090615</v>
      </c>
      <c r="B256">
        <v>4137403.5695545501</v>
      </c>
      <c r="C256">
        <v>878559.22737744998</v>
      </c>
    </row>
    <row r="257" spans="1:3" x14ac:dyDescent="0.25">
      <c r="A257">
        <v>20090616</v>
      </c>
      <c r="B257">
        <v>7100161.8490193104</v>
      </c>
      <c r="C257">
        <v>21029429.834140599</v>
      </c>
    </row>
    <row r="258" spans="1:3" x14ac:dyDescent="0.25">
      <c r="A258">
        <v>20090617</v>
      </c>
      <c r="B258">
        <v>3264769.9575490602</v>
      </c>
      <c r="C258">
        <v>19677163.785514601</v>
      </c>
    </row>
    <row r="259" spans="1:3" x14ac:dyDescent="0.25">
      <c r="A259">
        <v>20090618</v>
      </c>
      <c r="B259">
        <v>-2540048.2087061899</v>
      </c>
      <c r="C259">
        <v>22577171.896627199</v>
      </c>
    </row>
    <row r="260" spans="1:3" x14ac:dyDescent="0.25">
      <c r="A260">
        <v>20090619</v>
      </c>
      <c r="B260">
        <v>-2615758.4263519701</v>
      </c>
      <c r="C260">
        <v>5828988.76929696</v>
      </c>
    </row>
    <row r="261" spans="1:3" x14ac:dyDescent="0.25">
      <c r="A261">
        <v>20090622</v>
      </c>
      <c r="B261">
        <v>-5843919.9826023104</v>
      </c>
      <c r="C261">
        <v>6896605.7061505299</v>
      </c>
    </row>
    <row r="262" spans="1:3" x14ac:dyDescent="0.25">
      <c r="A262">
        <v>20090623</v>
      </c>
      <c r="B262">
        <v>-9605484.97239854</v>
      </c>
      <c r="C262">
        <v>5817099.1699008401</v>
      </c>
    </row>
    <row r="263" spans="1:3" x14ac:dyDescent="0.25">
      <c r="A263">
        <v>20090624</v>
      </c>
      <c r="B263">
        <v>-6570969.7392840497</v>
      </c>
      <c r="C263">
        <v>648823.85967089899</v>
      </c>
    </row>
    <row r="264" spans="1:3" x14ac:dyDescent="0.25">
      <c r="A264">
        <v>20090625</v>
      </c>
      <c r="B264">
        <v>3739913.5482167602</v>
      </c>
      <c r="C264">
        <v>36738914.035150297</v>
      </c>
    </row>
    <row r="265" spans="1:3" x14ac:dyDescent="0.25">
      <c r="A265">
        <v>20090626</v>
      </c>
      <c r="B265">
        <v>-3261264.42819583</v>
      </c>
      <c r="C265">
        <v>26091013.576192901</v>
      </c>
    </row>
    <row r="266" spans="1:3" x14ac:dyDescent="0.25">
      <c r="A266">
        <v>20090629</v>
      </c>
      <c r="B266">
        <v>-2811965.29031786</v>
      </c>
      <c r="C266">
        <v>19363763.6646371</v>
      </c>
    </row>
    <row r="267" spans="1:3" x14ac:dyDescent="0.25">
      <c r="A267">
        <v>20090630</v>
      </c>
      <c r="B267">
        <v>4620810.6324696802</v>
      </c>
      <c r="C267">
        <v>27795403.336663399</v>
      </c>
    </row>
    <row r="268" spans="1:3" x14ac:dyDescent="0.25">
      <c r="A268">
        <v>20090701</v>
      </c>
      <c r="B268">
        <v>-2695322.5993935</v>
      </c>
      <c r="C268">
        <v>19006825.886426799</v>
      </c>
    </row>
    <row r="269" spans="1:3" x14ac:dyDescent="0.25">
      <c r="A269">
        <v>20090702</v>
      </c>
      <c r="B269">
        <v>-2823546.3464798699</v>
      </c>
      <c r="C269">
        <v>10907828.868207199</v>
      </c>
    </row>
    <row r="270" spans="1:3" x14ac:dyDescent="0.25">
      <c r="A270">
        <v>20090703</v>
      </c>
      <c r="B270">
        <v>2941706.8004794498</v>
      </c>
      <c r="C270">
        <v>13862881.575946299</v>
      </c>
    </row>
    <row r="271" spans="1:3" x14ac:dyDescent="0.25">
      <c r="A271">
        <v>20090706</v>
      </c>
      <c r="B271">
        <v>-1692343.7073375999</v>
      </c>
      <c r="C271">
        <v>-1863450.98615102</v>
      </c>
    </row>
    <row r="272" spans="1:3" x14ac:dyDescent="0.25">
      <c r="A272">
        <v>20090707</v>
      </c>
      <c r="B272">
        <v>-3784572.5020357301</v>
      </c>
      <c r="C272">
        <v>-10621611.5275738</v>
      </c>
    </row>
    <row r="273" spans="1:3" x14ac:dyDescent="0.25">
      <c r="A273">
        <v>20090708</v>
      </c>
      <c r="B273">
        <v>6435732.0104174102</v>
      </c>
      <c r="C273">
        <v>-3716245.8523222599</v>
      </c>
    </row>
    <row r="274" spans="1:3" x14ac:dyDescent="0.25">
      <c r="A274">
        <v>20090709</v>
      </c>
      <c r="B274">
        <v>-5694196.2151619699</v>
      </c>
      <c r="C274">
        <v>-13246595.812751699</v>
      </c>
    </row>
    <row r="275" spans="1:3" x14ac:dyDescent="0.25">
      <c r="A275">
        <v>20090710</v>
      </c>
      <c r="B275">
        <v>-1840176.88720817</v>
      </c>
      <c r="C275">
        <v>-10685314.6678418</v>
      </c>
    </row>
    <row r="276" spans="1:3" x14ac:dyDescent="0.25">
      <c r="A276">
        <v>20090713</v>
      </c>
      <c r="B276">
        <v>-7075291.8401979897</v>
      </c>
      <c r="C276">
        <v>-9632865.6947610397</v>
      </c>
    </row>
    <row r="277" spans="1:3" x14ac:dyDescent="0.25">
      <c r="A277">
        <v>20090714</v>
      </c>
      <c r="B277">
        <v>-5980625.6273982897</v>
      </c>
      <c r="C277">
        <v>-29162102.434168</v>
      </c>
    </row>
    <row r="278" spans="1:3" x14ac:dyDescent="0.25">
      <c r="A278">
        <v>20090715</v>
      </c>
      <c r="B278">
        <v>-12224706.949818101</v>
      </c>
      <c r="C278">
        <v>-41075153.755664699</v>
      </c>
    </row>
    <row r="279" spans="1:3" x14ac:dyDescent="0.25">
      <c r="A279">
        <v>20090716</v>
      </c>
      <c r="B279">
        <v>710233.40434858901</v>
      </c>
      <c r="C279">
        <v>-46020350.690631799</v>
      </c>
    </row>
    <row r="280" spans="1:3" x14ac:dyDescent="0.25">
      <c r="A280">
        <v>20090717</v>
      </c>
      <c r="B280">
        <v>-6360393.9424484298</v>
      </c>
      <c r="C280">
        <v>-51424663.737301901</v>
      </c>
    </row>
    <row r="281" spans="1:3" x14ac:dyDescent="0.25">
      <c r="A281">
        <v>20090720</v>
      </c>
      <c r="B281">
        <v>-10538703.1164618</v>
      </c>
      <c r="C281">
        <v>-44507240.277300499</v>
      </c>
    </row>
    <row r="282" spans="1:3" x14ac:dyDescent="0.25">
      <c r="A282">
        <v>20090721</v>
      </c>
      <c r="B282">
        <v>-4328710.0556039196</v>
      </c>
      <c r="C282">
        <v>-25998704.1252653</v>
      </c>
    </row>
    <row r="283" spans="1:3" x14ac:dyDescent="0.25">
      <c r="A283">
        <v>20090722</v>
      </c>
      <c r="B283">
        <v>-4841887.1737215202</v>
      </c>
      <c r="C283">
        <v>-9165403.0478423908</v>
      </c>
    </row>
    <row r="284" spans="1:3" x14ac:dyDescent="0.25">
      <c r="A284">
        <v>20090723</v>
      </c>
      <c r="B284">
        <v>-6952557.3091781503</v>
      </c>
      <c r="C284">
        <v>-14023731.187073</v>
      </c>
    </row>
    <row r="285" spans="1:3" x14ac:dyDescent="0.25">
      <c r="A285">
        <v>20090724</v>
      </c>
      <c r="B285">
        <v>-3512192.0789211299</v>
      </c>
      <c r="C285">
        <v>-20413015.357496001</v>
      </c>
    </row>
    <row r="286" spans="1:3" x14ac:dyDescent="0.25">
      <c r="A286">
        <v>20090727</v>
      </c>
      <c r="B286">
        <v>820847.07241172995</v>
      </c>
      <c r="C286">
        <v>-17938646.920450401</v>
      </c>
    </row>
    <row r="287" spans="1:3" x14ac:dyDescent="0.25">
      <c r="A287">
        <v>20090728</v>
      </c>
      <c r="B287">
        <v>6476647.1116610402</v>
      </c>
      <c r="C287">
        <v>-11296048.6000979</v>
      </c>
    </row>
    <row r="288" spans="1:3" x14ac:dyDescent="0.25">
      <c r="A288">
        <v>20090729</v>
      </c>
      <c r="B288">
        <v>21433898.580944899</v>
      </c>
      <c r="C288">
        <v>-12273718.9644353</v>
      </c>
    </row>
    <row r="289" spans="1:3" x14ac:dyDescent="0.25">
      <c r="A289">
        <v>20090730</v>
      </c>
      <c r="B289">
        <v>23863759.3687681</v>
      </c>
      <c r="C289">
        <v>-7889587.42209657</v>
      </c>
    </row>
    <row r="290" spans="1:3" x14ac:dyDescent="0.25">
      <c r="A290">
        <v>20090731</v>
      </c>
      <c r="B290">
        <v>16546267.512699001</v>
      </c>
      <c r="C290">
        <v>4722454.1308243005</v>
      </c>
    </row>
    <row r="291" spans="1:3" x14ac:dyDescent="0.25">
      <c r="A291">
        <v>20090803</v>
      </c>
      <c r="B291">
        <v>6951434.5415642401</v>
      </c>
      <c r="C291">
        <v>-8277484.3973204596</v>
      </c>
    </row>
    <row r="292" spans="1:3" x14ac:dyDescent="0.25">
      <c r="A292">
        <v>20090804</v>
      </c>
      <c r="B292">
        <v>-102406.474452874</v>
      </c>
      <c r="C292">
        <v>-9319051.1506965291</v>
      </c>
    </row>
    <row r="293" spans="1:3" x14ac:dyDescent="0.25">
      <c r="A293">
        <v>20090805</v>
      </c>
      <c r="B293">
        <v>-8344132.8471826399</v>
      </c>
      <c r="C293">
        <v>-7599533.3744538398</v>
      </c>
    </row>
    <row r="294" spans="1:3" x14ac:dyDescent="0.25">
      <c r="A294">
        <v>20090806</v>
      </c>
      <c r="B294">
        <v>-11384334.273226701</v>
      </c>
      <c r="C294">
        <v>-4421973.9626104701</v>
      </c>
    </row>
    <row r="295" spans="1:3" x14ac:dyDescent="0.25">
      <c r="A295">
        <v>20090807</v>
      </c>
      <c r="B295">
        <v>4371056.6771628801</v>
      </c>
      <c r="C295">
        <v>6876916.8108315803</v>
      </c>
    </row>
    <row r="296" spans="1:3" x14ac:dyDescent="0.25">
      <c r="A296">
        <v>20090810</v>
      </c>
      <c r="B296">
        <v>13099977.9194826</v>
      </c>
      <c r="C296">
        <v>10441372.7435927</v>
      </c>
    </row>
    <row r="297" spans="1:3" x14ac:dyDescent="0.25">
      <c r="A297">
        <v>20090811</v>
      </c>
      <c r="B297">
        <v>16385259.8684243</v>
      </c>
      <c r="C297">
        <v>21671830.1409299</v>
      </c>
    </row>
    <row r="298" spans="1:3" x14ac:dyDescent="0.25">
      <c r="A298">
        <v>20090812</v>
      </c>
      <c r="B298">
        <v>18440181.608040299</v>
      </c>
      <c r="C298">
        <v>6363511.6949531799</v>
      </c>
    </row>
    <row r="299" spans="1:3" x14ac:dyDescent="0.25">
      <c r="A299">
        <v>20090813</v>
      </c>
      <c r="B299">
        <v>13530323.255565399</v>
      </c>
      <c r="C299">
        <v>5457563.1756010596</v>
      </c>
    </row>
    <row r="300" spans="1:3" x14ac:dyDescent="0.25">
      <c r="A300">
        <v>20090814</v>
      </c>
      <c r="B300">
        <v>8698381.5471591298</v>
      </c>
      <c r="C300">
        <v>478160.11247745901</v>
      </c>
    </row>
    <row r="301" spans="1:3" x14ac:dyDescent="0.25">
      <c r="A301">
        <v>20090817</v>
      </c>
      <c r="B301">
        <v>17141536.376730502</v>
      </c>
      <c r="C301">
        <v>19894260.752000801</v>
      </c>
    </row>
    <row r="302" spans="1:3" x14ac:dyDescent="0.25">
      <c r="A302">
        <v>20090818</v>
      </c>
      <c r="B302">
        <v>13158935.5404287</v>
      </c>
      <c r="C302">
        <v>1921534.7012303199</v>
      </c>
    </row>
    <row r="303" spans="1:3" x14ac:dyDescent="0.25">
      <c r="A303">
        <v>20090819</v>
      </c>
      <c r="B303">
        <v>13516320.238270501</v>
      </c>
      <c r="C303">
        <v>14302668.3676291</v>
      </c>
    </row>
    <row r="304" spans="1:3" x14ac:dyDescent="0.25">
      <c r="A304">
        <v>20090820</v>
      </c>
      <c r="B304">
        <v>9069794.6342240199</v>
      </c>
      <c r="C304">
        <v>8851588.5398939308</v>
      </c>
    </row>
    <row r="305" spans="1:3" x14ac:dyDescent="0.25">
      <c r="A305">
        <v>20090821</v>
      </c>
      <c r="B305">
        <v>-2891352.9490581402</v>
      </c>
      <c r="C305">
        <v>-15154050.3240763</v>
      </c>
    </row>
    <row r="306" spans="1:3" x14ac:dyDescent="0.25">
      <c r="A306">
        <v>20090824</v>
      </c>
      <c r="B306">
        <v>-12798423.310101399</v>
      </c>
      <c r="C306">
        <v>-35421781.444657899</v>
      </c>
    </row>
    <row r="307" spans="1:3" x14ac:dyDescent="0.25">
      <c r="A307">
        <v>20090825</v>
      </c>
      <c r="B307">
        <v>-7241291.7912941603</v>
      </c>
      <c r="C307">
        <v>-25515714.179059401</v>
      </c>
    </row>
    <row r="308" spans="1:3" x14ac:dyDescent="0.25">
      <c r="A308">
        <v>20090826</v>
      </c>
      <c r="B308">
        <v>-5102331.07949779</v>
      </c>
      <c r="C308">
        <v>-5787133.8074514801</v>
      </c>
    </row>
    <row r="309" spans="1:3" x14ac:dyDescent="0.25">
      <c r="A309">
        <v>20090827</v>
      </c>
      <c r="B309">
        <v>-2476731.9780494198</v>
      </c>
      <c r="C309">
        <v>-2910304.0364466798</v>
      </c>
    </row>
    <row r="310" spans="1:3" x14ac:dyDescent="0.25">
      <c r="A310">
        <v>20090828</v>
      </c>
      <c r="B310">
        <v>7029900.8609012198</v>
      </c>
      <c r="C310">
        <v>-3072573.5203601602</v>
      </c>
    </row>
    <row r="311" spans="1:3" x14ac:dyDescent="0.25">
      <c r="A311">
        <v>20090831</v>
      </c>
      <c r="B311">
        <v>10578678.412473001</v>
      </c>
      <c r="C311">
        <v>21457777.407642301</v>
      </c>
    </row>
    <row r="312" spans="1:3" x14ac:dyDescent="0.25">
      <c r="A312">
        <v>20090901</v>
      </c>
      <c r="B312">
        <v>4536199.71452766</v>
      </c>
      <c r="C312">
        <v>8455435.8418979105</v>
      </c>
    </row>
    <row r="313" spans="1:3" x14ac:dyDescent="0.25">
      <c r="A313">
        <v>20090902</v>
      </c>
      <c r="B313">
        <v>8384469.8493329296</v>
      </c>
      <c r="C313">
        <v>-1500359.3127462701</v>
      </c>
    </row>
    <row r="314" spans="1:3" x14ac:dyDescent="0.25">
      <c r="A314">
        <v>20090903</v>
      </c>
      <c r="B314">
        <v>5299522.8294146899</v>
      </c>
      <c r="C314">
        <v>7445076.19562985</v>
      </c>
    </row>
    <row r="315" spans="1:3" x14ac:dyDescent="0.25">
      <c r="A315">
        <v>20090904</v>
      </c>
      <c r="B315">
        <v>9398333.7691054698</v>
      </c>
      <c r="C315">
        <v>7657570.2926842896</v>
      </c>
    </row>
    <row r="316" spans="1:3" x14ac:dyDescent="0.25">
      <c r="A316">
        <v>20090907</v>
      </c>
      <c r="B316">
        <v>-1344967.6155799599</v>
      </c>
      <c r="C316">
        <v>-18145644.484065801</v>
      </c>
    </row>
    <row r="317" spans="1:3" x14ac:dyDescent="0.25">
      <c r="A317">
        <v>20090908</v>
      </c>
      <c r="B317">
        <v>-15007497.987905901</v>
      </c>
      <c r="C317">
        <v>-11860408.754765199</v>
      </c>
    </row>
    <row r="318" spans="1:3" x14ac:dyDescent="0.25">
      <c r="A318">
        <v>20090909</v>
      </c>
      <c r="B318">
        <v>-21481150.871514201</v>
      </c>
      <c r="C318">
        <v>-15595574.6472735</v>
      </c>
    </row>
    <row r="319" spans="1:3" x14ac:dyDescent="0.25">
      <c r="A319">
        <v>20090910</v>
      </c>
      <c r="B319">
        <v>-16958634.937573299</v>
      </c>
      <c r="C319">
        <v>-18451238.057399899</v>
      </c>
    </row>
    <row r="320" spans="1:3" x14ac:dyDescent="0.25">
      <c r="A320">
        <v>20090911</v>
      </c>
      <c r="B320">
        <v>-15735443.9883621</v>
      </c>
      <c r="C320">
        <v>-7225287.9445483899</v>
      </c>
    </row>
    <row r="321" spans="1:3" x14ac:dyDescent="0.25">
      <c r="A321">
        <v>20090914</v>
      </c>
      <c r="B321">
        <v>-15260549.737867899</v>
      </c>
      <c r="C321">
        <v>16202151.0696104</v>
      </c>
    </row>
    <row r="322" spans="1:3" x14ac:dyDescent="0.25">
      <c r="A322">
        <v>20090915</v>
      </c>
      <c r="B322">
        <v>-3443850.5021192599</v>
      </c>
      <c r="C322">
        <v>15604564.9772608</v>
      </c>
    </row>
    <row r="323" spans="1:3" x14ac:dyDescent="0.25">
      <c r="A323">
        <v>20090916</v>
      </c>
      <c r="B323">
        <v>-1289093.01495202</v>
      </c>
      <c r="C323">
        <v>4503646.2313596597</v>
      </c>
    </row>
    <row r="324" spans="1:3" x14ac:dyDescent="0.25">
      <c r="A324">
        <v>20090917</v>
      </c>
      <c r="B324">
        <v>-3979126.3880078699</v>
      </c>
      <c r="C324">
        <v>-11006489.6621479</v>
      </c>
    </row>
    <row r="325" spans="1:3" x14ac:dyDescent="0.25">
      <c r="A325">
        <v>20090918</v>
      </c>
      <c r="B325">
        <v>-29685.006373435201</v>
      </c>
      <c r="C325">
        <v>4918084.8617656203</v>
      </c>
    </row>
    <row r="326" spans="1:3" x14ac:dyDescent="0.25">
      <c r="A326">
        <v>20090921</v>
      </c>
      <c r="B326">
        <v>2373461.3708546902</v>
      </c>
      <c r="C326">
        <v>2424930.5402652901</v>
      </c>
    </row>
    <row r="327" spans="1:3" x14ac:dyDescent="0.25">
      <c r="A327">
        <v>20090922</v>
      </c>
      <c r="B327">
        <v>-1035145.960488</v>
      </c>
      <c r="C327">
        <v>-8206581.5078311898</v>
      </c>
    </row>
    <row r="328" spans="1:3" x14ac:dyDescent="0.25">
      <c r="A328">
        <v>20090923</v>
      </c>
      <c r="B328">
        <v>6456816.8567131404</v>
      </c>
      <c r="C328">
        <v>1434847.7604584999</v>
      </c>
    </row>
    <row r="329" spans="1:3" x14ac:dyDescent="0.25">
      <c r="A329">
        <v>20090924</v>
      </c>
      <c r="B329">
        <v>6733639.73177981</v>
      </c>
      <c r="C329">
        <v>32878889.480720501</v>
      </c>
    </row>
    <row r="330" spans="1:3" x14ac:dyDescent="0.25">
      <c r="A330">
        <v>20090925</v>
      </c>
      <c r="B330">
        <v>4978043.2143610204</v>
      </c>
      <c r="C330">
        <v>23067564.8593603</v>
      </c>
    </row>
    <row r="331" spans="1:3" x14ac:dyDescent="0.25">
      <c r="A331">
        <v>20090928</v>
      </c>
      <c r="B331">
        <v>9541926.0062276702</v>
      </c>
      <c r="C331">
        <v>14999863.8591341</v>
      </c>
    </row>
    <row r="332" spans="1:3" x14ac:dyDescent="0.25">
      <c r="A332">
        <v>20090929</v>
      </c>
      <c r="B332">
        <v>18479155.388618201</v>
      </c>
      <c r="C332">
        <v>21900631.701609399</v>
      </c>
    </row>
    <row r="333" spans="1:3" x14ac:dyDescent="0.25">
      <c r="A333">
        <v>20090930</v>
      </c>
      <c r="B333">
        <v>13848483.035285201</v>
      </c>
      <c r="C333">
        <v>1244418.2902212599</v>
      </c>
    </row>
    <row r="334" spans="1:3" x14ac:dyDescent="0.25">
      <c r="A334">
        <v>20091001</v>
      </c>
      <c r="B334">
        <v>12737487.9636757</v>
      </c>
      <c r="C334">
        <v>-14414774.1485477</v>
      </c>
    </row>
    <row r="335" spans="1:3" x14ac:dyDescent="0.25">
      <c r="A335">
        <v>20091002</v>
      </c>
      <c r="B335">
        <v>27165333.479936302</v>
      </c>
      <c r="C335">
        <v>-6856644.1020336598</v>
      </c>
    </row>
    <row r="336" spans="1:3" x14ac:dyDescent="0.25">
      <c r="A336">
        <v>20091005</v>
      </c>
      <c r="B336">
        <v>23371786.193424899</v>
      </c>
      <c r="C336">
        <v>-11412351.334632101</v>
      </c>
    </row>
    <row r="337" spans="1:3" x14ac:dyDescent="0.25">
      <c r="A337">
        <v>20091006</v>
      </c>
      <c r="B337">
        <v>15045049.8417903</v>
      </c>
      <c r="C337">
        <v>-18451153.514681</v>
      </c>
    </row>
    <row r="338" spans="1:3" x14ac:dyDescent="0.25">
      <c r="A338">
        <v>20091007</v>
      </c>
      <c r="B338">
        <v>17250693.807848599</v>
      </c>
      <c r="C338">
        <v>1583478.6460502599</v>
      </c>
    </row>
    <row r="339" spans="1:3" x14ac:dyDescent="0.25">
      <c r="A339">
        <v>20091008</v>
      </c>
      <c r="B339">
        <v>13241491.965803999</v>
      </c>
      <c r="C339">
        <v>204219.299982836</v>
      </c>
    </row>
    <row r="340" spans="1:3" x14ac:dyDescent="0.25">
      <c r="A340">
        <v>20091009</v>
      </c>
      <c r="B340">
        <v>-7142306.7052172804</v>
      </c>
      <c r="C340">
        <v>-29972728.821410801</v>
      </c>
    </row>
    <row r="341" spans="1:3" x14ac:dyDescent="0.25">
      <c r="A341">
        <v>20091012</v>
      </c>
      <c r="B341">
        <v>-9589176.7655790597</v>
      </c>
      <c r="C341">
        <v>-39913342.082685001</v>
      </c>
    </row>
    <row r="342" spans="1:3" x14ac:dyDescent="0.25">
      <c r="A342">
        <v>20091013</v>
      </c>
      <c r="B342">
        <v>-7375875.6594656296</v>
      </c>
      <c r="C342">
        <v>-31709288.965718102</v>
      </c>
    </row>
    <row r="343" spans="1:3" x14ac:dyDescent="0.25">
      <c r="A343">
        <v>20091014</v>
      </c>
      <c r="B343">
        <v>-10283508.5459891</v>
      </c>
      <c r="C343">
        <v>-32238289.3375629</v>
      </c>
    </row>
    <row r="344" spans="1:3" x14ac:dyDescent="0.25">
      <c r="A344">
        <v>20091015</v>
      </c>
      <c r="B344">
        <v>-14582133.386208</v>
      </c>
      <c r="C344">
        <v>-32438300.652513199</v>
      </c>
    </row>
    <row r="345" spans="1:3" x14ac:dyDescent="0.25">
      <c r="A345">
        <v>20091016</v>
      </c>
      <c r="B345">
        <v>-5926332.3191406596</v>
      </c>
      <c r="C345">
        <v>-6586861.3667332698</v>
      </c>
    </row>
    <row r="346" spans="1:3" x14ac:dyDescent="0.25">
      <c r="A346">
        <v>20091019</v>
      </c>
      <c r="B346">
        <v>-6272034.0647486001</v>
      </c>
      <c r="C346">
        <v>91385.766338679707</v>
      </c>
    </row>
    <row r="347" spans="1:3" x14ac:dyDescent="0.25">
      <c r="A347">
        <v>20091020</v>
      </c>
      <c r="B347">
        <v>-6985062.2527148202</v>
      </c>
      <c r="C347">
        <v>20914079.356786501</v>
      </c>
    </row>
    <row r="348" spans="1:3" x14ac:dyDescent="0.25">
      <c r="A348">
        <v>20091021</v>
      </c>
      <c r="B348">
        <v>-6201745.8628546298</v>
      </c>
      <c r="C348">
        <v>11088976.412624899</v>
      </c>
    </row>
    <row r="349" spans="1:3" x14ac:dyDescent="0.25">
      <c r="A349">
        <v>20091022</v>
      </c>
      <c r="B349">
        <v>-2044725.2216449699</v>
      </c>
      <c r="C349">
        <v>6176368.6577411797</v>
      </c>
    </row>
    <row r="350" spans="1:3" x14ac:dyDescent="0.25">
      <c r="A350">
        <v>20091023</v>
      </c>
      <c r="B350">
        <v>-9234086.3620693609</v>
      </c>
      <c r="C350">
        <v>7834509.6623969004</v>
      </c>
    </row>
    <row r="351" spans="1:3" x14ac:dyDescent="0.25">
      <c r="A351">
        <v>20091026</v>
      </c>
      <c r="B351">
        <v>-3268690.2071581902</v>
      </c>
      <c r="C351">
        <v>21076333.135594901</v>
      </c>
    </row>
    <row r="352" spans="1:3" x14ac:dyDescent="0.25">
      <c r="A352">
        <v>20091027</v>
      </c>
      <c r="B352">
        <v>6121578.0566437896</v>
      </c>
      <c r="C352">
        <v>2807959.4884392102</v>
      </c>
    </row>
    <row r="353" spans="1:3" x14ac:dyDescent="0.25">
      <c r="A353">
        <v>20091028</v>
      </c>
      <c r="B353">
        <v>11040396.392586401</v>
      </c>
      <c r="C353">
        <v>16714568.5737452</v>
      </c>
    </row>
    <row r="354" spans="1:3" x14ac:dyDescent="0.25">
      <c r="A354">
        <v>20091029</v>
      </c>
      <c r="B354">
        <v>13241392.2753655</v>
      </c>
      <c r="C354">
        <v>20609134.303807698</v>
      </c>
    </row>
    <row r="355" spans="1:3" x14ac:dyDescent="0.25">
      <c r="A355">
        <v>20091030</v>
      </c>
      <c r="B355">
        <v>12698192.4837636</v>
      </c>
      <c r="C355">
        <v>22354754.928420398</v>
      </c>
    </row>
    <row r="356" spans="1:3" x14ac:dyDescent="0.25">
      <c r="A356">
        <v>20091102</v>
      </c>
      <c r="B356">
        <v>2725210.3898127498</v>
      </c>
      <c r="C356">
        <v>9529712.07490132</v>
      </c>
    </row>
    <row r="357" spans="1:3" x14ac:dyDescent="0.25">
      <c r="A357">
        <v>20091103</v>
      </c>
      <c r="B357">
        <v>-2639525.1373302299</v>
      </c>
      <c r="C357">
        <v>428389.24220674502</v>
      </c>
    </row>
    <row r="358" spans="1:3" x14ac:dyDescent="0.25">
      <c r="A358">
        <v>20091104</v>
      </c>
      <c r="B358">
        <v>-8879148.2176207695</v>
      </c>
      <c r="C358">
        <v>-6800283.1940752501</v>
      </c>
    </row>
    <row r="359" spans="1:3" x14ac:dyDescent="0.25">
      <c r="A359">
        <v>20091105</v>
      </c>
      <c r="B359">
        <v>-11059786.1126453</v>
      </c>
      <c r="C359">
        <v>-6152600.3418057403</v>
      </c>
    </row>
    <row r="360" spans="1:3" x14ac:dyDescent="0.25">
      <c r="A360">
        <v>20091106</v>
      </c>
      <c r="B360">
        <v>-7138849.8854268799</v>
      </c>
      <c r="C360">
        <v>-3781747.6117902999</v>
      </c>
    </row>
    <row r="361" spans="1:3" x14ac:dyDescent="0.25">
      <c r="A361">
        <v>20091109</v>
      </c>
      <c r="B361">
        <v>-4086888.1006628498</v>
      </c>
      <c r="C361">
        <v>-6222202.9560839897</v>
      </c>
    </row>
    <row r="362" spans="1:3" x14ac:dyDescent="0.25">
      <c r="A362">
        <v>20091110</v>
      </c>
      <c r="B362">
        <v>-6819647.3333598496</v>
      </c>
      <c r="C362">
        <v>-1391614.7155341499</v>
      </c>
    </row>
    <row r="363" spans="1:3" x14ac:dyDescent="0.25">
      <c r="A363">
        <v>20091111</v>
      </c>
      <c r="B363">
        <v>1276650.44699572</v>
      </c>
      <c r="C363">
        <v>-7167641.7353104604</v>
      </c>
    </row>
    <row r="364" spans="1:3" x14ac:dyDescent="0.25">
      <c r="A364">
        <v>20091112</v>
      </c>
      <c r="B364">
        <v>7637374.7749355501</v>
      </c>
      <c r="C364">
        <v>-7348774.2759852903</v>
      </c>
    </row>
    <row r="365" spans="1:3" x14ac:dyDescent="0.25">
      <c r="A365">
        <v>20091113</v>
      </c>
      <c r="B365">
        <v>-533913.91959156794</v>
      </c>
      <c r="C365">
        <v>-15208652.3708035</v>
      </c>
    </row>
    <row r="366" spans="1:3" x14ac:dyDescent="0.25">
      <c r="A366">
        <v>20091116</v>
      </c>
      <c r="B366">
        <v>2128969.7696557599</v>
      </c>
      <c r="C366">
        <v>-9820076.1724389903</v>
      </c>
    </row>
    <row r="367" spans="1:3" x14ac:dyDescent="0.25">
      <c r="A367">
        <v>20091117</v>
      </c>
      <c r="B367">
        <v>6391863.1413847804</v>
      </c>
      <c r="C367">
        <v>10890594.2822263</v>
      </c>
    </row>
    <row r="368" spans="1:3" x14ac:dyDescent="0.25">
      <c r="A368">
        <v>20091118</v>
      </c>
      <c r="B368">
        <v>4446544.8990296302</v>
      </c>
      <c r="C368">
        <v>7679737.94709126</v>
      </c>
    </row>
    <row r="369" spans="1:3" x14ac:dyDescent="0.25">
      <c r="A369">
        <v>20091119</v>
      </c>
      <c r="B369">
        <v>747380.49737643404</v>
      </c>
      <c r="C369">
        <v>22147420.531149302</v>
      </c>
    </row>
    <row r="370" spans="1:3" x14ac:dyDescent="0.25">
      <c r="A370">
        <v>20091120</v>
      </c>
      <c r="B370">
        <v>5994650.4419707702</v>
      </c>
      <c r="C370">
        <v>24843012.6372316</v>
      </c>
    </row>
    <row r="371" spans="1:3" x14ac:dyDescent="0.25">
      <c r="A371">
        <v>20091123</v>
      </c>
      <c r="B371">
        <v>3931474.4244375401</v>
      </c>
      <c r="C371">
        <v>11040249.054305701</v>
      </c>
    </row>
    <row r="372" spans="1:3" x14ac:dyDescent="0.25">
      <c r="A372">
        <v>20091124</v>
      </c>
      <c r="B372">
        <v>255847.64861229801</v>
      </c>
      <c r="C372">
        <v>3319031.1982432199</v>
      </c>
    </row>
    <row r="373" spans="1:3" x14ac:dyDescent="0.25">
      <c r="A373">
        <v>20091125</v>
      </c>
      <c r="B373">
        <v>233150.88108001</v>
      </c>
      <c r="C373">
        <v>5802582.7150508901</v>
      </c>
    </row>
    <row r="374" spans="1:3" x14ac:dyDescent="0.25">
      <c r="A374">
        <v>20091126</v>
      </c>
      <c r="B374">
        <v>1700996.1534540199</v>
      </c>
      <c r="C374">
        <v>-3547813.6899029301</v>
      </c>
    </row>
    <row r="375" spans="1:3" x14ac:dyDescent="0.25">
      <c r="A375">
        <v>20091127</v>
      </c>
      <c r="B375">
        <v>1714616.12884245</v>
      </c>
      <c r="C375">
        <v>-6524806.1733812802</v>
      </c>
    </row>
    <row r="376" spans="1:3" x14ac:dyDescent="0.25">
      <c r="A376">
        <v>20091130</v>
      </c>
      <c r="B376">
        <v>2500450.5371170901</v>
      </c>
      <c r="C376">
        <v>-4423755.8785892799</v>
      </c>
    </row>
    <row r="377" spans="1:3" x14ac:dyDescent="0.25">
      <c r="A377">
        <v>20091201</v>
      </c>
      <c r="B377">
        <v>-4998445.8058272097</v>
      </c>
      <c r="C377">
        <v>-18539428.902555499</v>
      </c>
    </row>
    <row r="378" spans="1:3" x14ac:dyDescent="0.25">
      <c r="A378">
        <v>20091202</v>
      </c>
      <c r="B378">
        <v>646624.19711846102</v>
      </c>
      <c r="C378">
        <v>-8251286.9858708298</v>
      </c>
    </row>
    <row r="379" spans="1:3" x14ac:dyDescent="0.25">
      <c r="A379">
        <v>20091203</v>
      </c>
      <c r="B379">
        <v>-6654560.1017243704</v>
      </c>
      <c r="C379">
        <v>555349.81206709996</v>
      </c>
    </row>
    <row r="380" spans="1:3" x14ac:dyDescent="0.25">
      <c r="A380">
        <v>20091204</v>
      </c>
      <c r="B380">
        <v>-2388449.08124835</v>
      </c>
      <c r="C380">
        <v>-13742927.9260603</v>
      </c>
    </row>
    <row r="381" spans="1:3" x14ac:dyDescent="0.25">
      <c r="A381">
        <v>20091207</v>
      </c>
      <c r="B381">
        <v>4749941.82042717</v>
      </c>
      <c r="C381">
        <v>-3401098.45470148</v>
      </c>
    </row>
    <row r="382" spans="1:3" x14ac:dyDescent="0.25">
      <c r="A382">
        <v>20091208</v>
      </c>
      <c r="B382">
        <v>15310295.4348474</v>
      </c>
      <c r="C382">
        <v>11335793.599578099</v>
      </c>
    </row>
    <row r="383" spans="1:3" x14ac:dyDescent="0.25">
      <c r="A383">
        <v>20091209</v>
      </c>
      <c r="B383">
        <v>14114728.674191801</v>
      </c>
      <c r="C383">
        <v>-2666903.1887873402</v>
      </c>
    </row>
    <row r="384" spans="1:3" x14ac:dyDescent="0.25">
      <c r="A384">
        <v>20091210</v>
      </c>
      <c r="B384">
        <v>13250288.5540433</v>
      </c>
      <c r="C384">
        <v>-18942248.3722325</v>
      </c>
    </row>
    <row r="385" spans="1:3" x14ac:dyDescent="0.25">
      <c r="A385">
        <v>20091211</v>
      </c>
      <c r="B385">
        <v>8958909.6190657299</v>
      </c>
      <c r="C385">
        <v>-4637429.3883068701</v>
      </c>
    </row>
    <row r="386" spans="1:3" x14ac:dyDescent="0.25">
      <c r="A386">
        <v>20091214</v>
      </c>
      <c r="B386">
        <v>2510755.4135798798</v>
      </c>
      <c r="C386">
        <v>3231591.7101853099</v>
      </c>
    </row>
    <row r="387" spans="1:3" x14ac:dyDescent="0.25">
      <c r="A387">
        <v>20091215</v>
      </c>
      <c r="B387">
        <v>3042199.0829867399</v>
      </c>
      <c r="C387">
        <v>-5914889.49118408</v>
      </c>
    </row>
    <row r="388" spans="1:3" x14ac:dyDescent="0.25">
      <c r="A388">
        <v>20091216</v>
      </c>
      <c r="B388">
        <v>2900909.9610921</v>
      </c>
      <c r="C388">
        <v>553612.15079933498</v>
      </c>
    </row>
    <row r="389" spans="1:3" x14ac:dyDescent="0.25">
      <c r="A389">
        <v>20091217</v>
      </c>
      <c r="B389">
        <v>23108790.284918498</v>
      </c>
      <c r="C389">
        <v>10325025.246522799</v>
      </c>
    </row>
    <row r="390" spans="1:3" x14ac:dyDescent="0.25">
      <c r="A390">
        <v>20091218</v>
      </c>
      <c r="B390">
        <v>24355476.480841901</v>
      </c>
      <c r="C390">
        <v>733634.464865949</v>
      </c>
    </row>
    <row r="391" spans="1:3" x14ac:dyDescent="0.25">
      <c r="A391">
        <v>20091221</v>
      </c>
      <c r="B391">
        <v>15392717.010898801</v>
      </c>
      <c r="C391">
        <v>-14418538.9780821</v>
      </c>
    </row>
    <row r="392" spans="1:3" x14ac:dyDescent="0.25">
      <c r="A392">
        <v>20091222</v>
      </c>
      <c r="B392">
        <v>16538865.051635699</v>
      </c>
      <c r="C392">
        <v>-8652880.97693252</v>
      </c>
    </row>
    <row r="393" spans="1:3" x14ac:dyDescent="0.25">
      <c r="A393">
        <v>20091223</v>
      </c>
      <c r="B393">
        <v>12654124.292732</v>
      </c>
      <c r="C393">
        <v>-14572527.8258624</v>
      </c>
    </row>
    <row r="394" spans="1:3" x14ac:dyDescent="0.25">
      <c r="A394">
        <v>20091224</v>
      </c>
      <c r="B394">
        <v>1727566.04641997</v>
      </c>
      <c r="C394">
        <v>-19085721.5222762</v>
      </c>
    </row>
    <row r="395" spans="1:3" x14ac:dyDescent="0.25">
      <c r="A395">
        <v>20091225</v>
      </c>
      <c r="B395">
        <v>-4544193.1696109399</v>
      </c>
      <c r="C395">
        <v>-12669676.519534601</v>
      </c>
    </row>
    <row r="396" spans="1:3" x14ac:dyDescent="0.25">
      <c r="A396">
        <v>20091228</v>
      </c>
      <c r="B396">
        <v>-3000214.6416399898</v>
      </c>
      <c r="C396">
        <v>-8268641.6622479102</v>
      </c>
    </row>
    <row r="397" spans="1:3" x14ac:dyDescent="0.25">
      <c r="A397">
        <v>20091229</v>
      </c>
      <c r="B397">
        <v>-9466918.2916057203</v>
      </c>
      <c r="C397">
        <v>-16251654.300165899</v>
      </c>
    </row>
    <row r="398" spans="1:3" x14ac:dyDescent="0.25">
      <c r="A398">
        <v>20091230</v>
      </c>
      <c r="B398">
        <v>3650804.2549732998</v>
      </c>
      <c r="C398">
        <v>4190857.5012272098</v>
      </c>
    </row>
    <row r="399" spans="1:3" x14ac:dyDescent="0.25">
      <c r="A399">
        <v>20091231</v>
      </c>
      <c r="B399">
        <v>4081077.8988009598</v>
      </c>
      <c r="C399">
        <v>2974262.4075807799</v>
      </c>
    </row>
    <row r="400" spans="1:3" x14ac:dyDescent="0.25">
      <c r="A400">
        <v>20100101</v>
      </c>
      <c r="B400">
        <v>4357776.41159424</v>
      </c>
      <c r="C400">
        <v>2850854.7464033901</v>
      </c>
    </row>
    <row r="401" spans="1:3" x14ac:dyDescent="0.25">
      <c r="A401">
        <v>20100104</v>
      </c>
      <c r="B401">
        <v>2524194.64794826</v>
      </c>
      <c r="C401">
        <v>-3378392.52019371</v>
      </c>
    </row>
    <row r="402" spans="1:3" x14ac:dyDescent="0.25">
      <c r="A402">
        <v>20100105</v>
      </c>
      <c r="B402">
        <v>10098899.872877199</v>
      </c>
      <c r="C402">
        <v>534905.45763300895</v>
      </c>
    </row>
    <row r="403" spans="1:3" x14ac:dyDescent="0.25">
      <c r="A403">
        <v>20100106</v>
      </c>
      <c r="B403">
        <v>-986107.59304563701</v>
      </c>
      <c r="C403">
        <v>-8322157.14265675</v>
      </c>
    </row>
    <row r="404" spans="1:3" x14ac:dyDescent="0.25">
      <c r="A404">
        <v>20100107</v>
      </c>
      <c r="B404">
        <v>5342229.4490919402</v>
      </c>
      <c r="C404">
        <v>-10380600.821942801</v>
      </c>
    </row>
    <row r="405" spans="1:3" x14ac:dyDescent="0.25">
      <c r="A405">
        <v>20100108</v>
      </c>
      <c r="B405">
        <v>169204.497541777</v>
      </c>
      <c r="C405">
        <v>-17131861.533499599</v>
      </c>
    </row>
    <row r="406" spans="1:3" x14ac:dyDescent="0.25">
      <c r="A406">
        <v>20100111</v>
      </c>
      <c r="B406">
        <v>-1707844.10234561</v>
      </c>
      <c r="C406">
        <v>-2746026.5122415</v>
      </c>
    </row>
    <row r="407" spans="1:3" x14ac:dyDescent="0.25">
      <c r="A407">
        <v>20100112</v>
      </c>
      <c r="B407">
        <v>339193.43753536697</v>
      </c>
      <c r="C407">
        <v>1156501.3956112899</v>
      </c>
    </row>
    <row r="408" spans="1:3" x14ac:dyDescent="0.25">
      <c r="A408">
        <v>20100113</v>
      </c>
      <c r="B408">
        <v>-428619.32332175202</v>
      </c>
      <c r="C408">
        <v>-3170571.2645809599</v>
      </c>
    </row>
    <row r="409" spans="1:3" x14ac:dyDescent="0.25">
      <c r="A409">
        <v>20100114</v>
      </c>
      <c r="B409">
        <v>-7604051.5988833597</v>
      </c>
      <c r="C409">
        <v>-6929304.5757172899</v>
      </c>
    </row>
    <row r="410" spans="1:3" x14ac:dyDescent="0.25">
      <c r="A410">
        <v>20100115</v>
      </c>
      <c r="B410">
        <v>-1011996.55045886</v>
      </c>
      <c r="C410">
        <v>-22987.749473199201</v>
      </c>
    </row>
    <row r="411" spans="1:3" x14ac:dyDescent="0.25">
      <c r="A411">
        <v>20100118</v>
      </c>
      <c r="B411">
        <v>6110226.1192858201</v>
      </c>
      <c r="C411">
        <v>-83016.551469219296</v>
      </c>
    </row>
    <row r="412" spans="1:3" x14ac:dyDescent="0.25">
      <c r="A412">
        <v>20100119</v>
      </c>
      <c r="B412">
        <v>6513173.1089517996</v>
      </c>
      <c r="C412">
        <v>-202714.07027205001</v>
      </c>
    </row>
    <row r="413" spans="1:3" x14ac:dyDescent="0.25">
      <c r="A413">
        <v>20100120</v>
      </c>
      <c r="B413">
        <v>15048140.7622594</v>
      </c>
      <c r="C413">
        <v>15148656.602229601</v>
      </c>
    </row>
    <row r="414" spans="1:3" x14ac:dyDescent="0.25">
      <c r="A414">
        <v>20100121</v>
      </c>
      <c r="B414">
        <v>17301862.333021801</v>
      </c>
      <c r="C414">
        <v>16329930.0029107</v>
      </c>
    </row>
    <row r="415" spans="1:3" x14ac:dyDescent="0.25">
      <c r="A415">
        <v>20100122</v>
      </c>
      <c r="B415">
        <v>13716766.905463001</v>
      </c>
      <c r="C415">
        <v>22004129.276144799</v>
      </c>
    </row>
    <row r="416" spans="1:3" x14ac:dyDescent="0.25">
      <c r="A416">
        <v>20100125</v>
      </c>
      <c r="B416">
        <v>11830162.2798819</v>
      </c>
      <c r="C416">
        <v>27610093.773994301</v>
      </c>
    </row>
    <row r="417" spans="1:3" x14ac:dyDescent="0.25">
      <c r="A417">
        <v>20100126</v>
      </c>
      <c r="B417">
        <v>14179043.321448199</v>
      </c>
      <c r="C417">
        <v>24457446.592494301</v>
      </c>
    </row>
    <row r="418" spans="1:3" x14ac:dyDescent="0.25">
      <c r="A418">
        <v>20100127</v>
      </c>
      <c r="B418">
        <v>5918827.56309871</v>
      </c>
      <c r="C418">
        <v>14580116.574117601</v>
      </c>
    </row>
    <row r="419" spans="1:3" x14ac:dyDescent="0.25">
      <c r="A419">
        <v>20100128</v>
      </c>
      <c r="B419">
        <v>4908903.8069887199</v>
      </c>
      <c r="C419">
        <v>10878298.6014977</v>
      </c>
    </row>
    <row r="420" spans="1:3" x14ac:dyDescent="0.25">
      <c r="A420">
        <v>20100129</v>
      </c>
      <c r="B420">
        <v>8520145.0965396296</v>
      </c>
      <c r="C420">
        <v>12739383.149216499</v>
      </c>
    </row>
    <row r="421" spans="1:3" x14ac:dyDescent="0.25">
      <c r="A421">
        <v>20100201</v>
      </c>
      <c r="B421">
        <v>12496159.7413103</v>
      </c>
      <c r="C421">
        <v>4870871.9474871</v>
      </c>
    </row>
    <row r="422" spans="1:3" x14ac:dyDescent="0.25">
      <c r="A422">
        <v>20100202</v>
      </c>
      <c r="B422">
        <v>-1703950.86614095</v>
      </c>
      <c r="C422">
        <v>-357453.83961834997</v>
      </c>
    </row>
    <row r="423" spans="1:3" x14ac:dyDescent="0.25">
      <c r="A423">
        <v>20100203</v>
      </c>
      <c r="B423">
        <v>-1074549.4184652099</v>
      </c>
      <c r="C423">
        <v>-1362309.2144973299</v>
      </c>
    </row>
    <row r="424" spans="1:3" x14ac:dyDescent="0.25">
      <c r="A424">
        <v>20100204</v>
      </c>
      <c r="B424">
        <v>1328726.9839277901</v>
      </c>
      <c r="C424">
        <v>6983212.5525302198</v>
      </c>
    </row>
    <row r="425" spans="1:3" x14ac:dyDescent="0.25">
      <c r="A425">
        <v>20100205</v>
      </c>
      <c r="B425">
        <v>1231531.5731893401</v>
      </c>
      <c r="C425">
        <v>-7651637.9229333997</v>
      </c>
    </row>
    <row r="426" spans="1:3" x14ac:dyDescent="0.25">
      <c r="A426">
        <v>20100208</v>
      </c>
      <c r="B426">
        <v>3327364.1273283302</v>
      </c>
      <c r="C426">
        <v>-7045456.7369820103</v>
      </c>
    </row>
    <row r="427" spans="1:3" x14ac:dyDescent="0.25">
      <c r="A427">
        <v>20100209</v>
      </c>
      <c r="B427">
        <v>12944665.0618157</v>
      </c>
      <c r="C427">
        <v>6189239.4161924301</v>
      </c>
    </row>
    <row r="428" spans="1:3" x14ac:dyDescent="0.25">
      <c r="A428">
        <v>20100210</v>
      </c>
      <c r="B428">
        <v>11922631.459986201</v>
      </c>
      <c r="C428">
        <v>-3109766.62514243</v>
      </c>
    </row>
    <row r="429" spans="1:3" x14ac:dyDescent="0.25">
      <c r="A429">
        <v>20100211</v>
      </c>
      <c r="B429">
        <v>13450253.5294462</v>
      </c>
      <c r="C429">
        <v>-18045187.514839299</v>
      </c>
    </row>
    <row r="430" spans="1:3" x14ac:dyDescent="0.25">
      <c r="A430">
        <v>20100212</v>
      </c>
      <c r="B430">
        <v>10901192.532376301</v>
      </c>
      <c r="C430">
        <v>-12916310.8142216</v>
      </c>
    </row>
    <row r="431" spans="1:3" x14ac:dyDescent="0.25">
      <c r="A431">
        <v>20100215</v>
      </c>
      <c r="B431">
        <v>9227429.5196954291</v>
      </c>
      <c r="C431">
        <v>-19828541.1994101</v>
      </c>
    </row>
    <row r="432" spans="1:3" x14ac:dyDescent="0.25">
      <c r="A432">
        <v>20100216</v>
      </c>
      <c r="B432">
        <v>-807531.18688134605</v>
      </c>
      <c r="C432">
        <v>-34236463.151533403</v>
      </c>
    </row>
    <row r="433" spans="1:3" x14ac:dyDescent="0.25">
      <c r="A433">
        <v>20100217</v>
      </c>
      <c r="B433">
        <v>-519178.24303649901</v>
      </c>
      <c r="C433">
        <v>-20686589.269121401</v>
      </c>
    </row>
    <row r="434" spans="1:3" x14ac:dyDescent="0.25">
      <c r="A434">
        <v>20100218</v>
      </c>
      <c r="B434">
        <v>-4586867.53534716</v>
      </c>
      <c r="C434">
        <v>-13617608.9786734</v>
      </c>
    </row>
    <row r="435" spans="1:3" x14ac:dyDescent="0.25">
      <c r="A435">
        <v>20100219</v>
      </c>
      <c r="B435">
        <v>-67287.018453076395</v>
      </c>
      <c r="C435">
        <v>-7797150.1260828003</v>
      </c>
    </row>
    <row r="436" spans="1:3" x14ac:dyDescent="0.25">
      <c r="A436">
        <v>20100222</v>
      </c>
      <c r="B436">
        <v>-4550500.6078959601</v>
      </c>
      <c r="C436">
        <v>-4060312.5653915298</v>
      </c>
    </row>
    <row r="437" spans="1:3" x14ac:dyDescent="0.25">
      <c r="A437">
        <v>20100223</v>
      </c>
      <c r="B437">
        <v>7112905.0468526399</v>
      </c>
      <c r="C437">
        <v>9624277.9165941793</v>
      </c>
    </row>
    <row r="438" spans="1:3" x14ac:dyDescent="0.25">
      <c r="A438">
        <v>20100224</v>
      </c>
      <c r="B438">
        <v>1349716.48095057</v>
      </c>
      <c r="C438">
        <v>6438433.7885171697</v>
      </c>
    </row>
    <row r="439" spans="1:3" x14ac:dyDescent="0.25">
      <c r="A439">
        <v>20100225</v>
      </c>
      <c r="B439">
        <v>5858094.2686011298</v>
      </c>
      <c r="C439">
        <v>26588510.580994502</v>
      </c>
    </row>
    <row r="440" spans="1:3" x14ac:dyDescent="0.25">
      <c r="A440">
        <v>20100226</v>
      </c>
      <c r="B440">
        <v>-3053888.5965471501</v>
      </c>
      <c r="C440">
        <v>17893906.757164199</v>
      </c>
    </row>
    <row r="441" spans="1:3" x14ac:dyDescent="0.25">
      <c r="A441">
        <v>20100301</v>
      </c>
      <c r="B441">
        <v>6825149.7005581995</v>
      </c>
      <c r="C441">
        <v>11823097.071288399</v>
      </c>
    </row>
    <row r="442" spans="1:3" x14ac:dyDescent="0.25">
      <c r="A442">
        <v>20100302</v>
      </c>
      <c r="B442">
        <v>-1850508.5462354</v>
      </c>
      <c r="C442">
        <v>-10850993.4137221</v>
      </c>
    </row>
    <row r="443" spans="1:3" x14ac:dyDescent="0.25">
      <c r="A443">
        <v>20100303</v>
      </c>
      <c r="B443">
        <v>-4465884.3937438102</v>
      </c>
      <c r="C443">
        <v>-16653024.6838322</v>
      </c>
    </row>
    <row r="444" spans="1:3" x14ac:dyDescent="0.25">
      <c r="A444">
        <v>20100304</v>
      </c>
      <c r="B444">
        <v>1068362.0122416799</v>
      </c>
      <c r="C444">
        <v>-27877009.687990502</v>
      </c>
    </row>
    <row r="445" spans="1:3" x14ac:dyDescent="0.25">
      <c r="A445">
        <v>20100305</v>
      </c>
      <c r="B445">
        <v>7394771.9745053304</v>
      </c>
      <c r="C445">
        <v>-25094976.353992499</v>
      </c>
    </row>
    <row r="446" spans="1:3" x14ac:dyDescent="0.25">
      <c r="A446">
        <v>20100308</v>
      </c>
      <c r="B446">
        <v>-4854520.3290039096</v>
      </c>
      <c r="C446">
        <v>-14060685.982724501</v>
      </c>
    </row>
    <row r="447" spans="1:3" x14ac:dyDescent="0.25">
      <c r="A447">
        <v>20100309</v>
      </c>
      <c r="B447">
        <v>1372210.82927504</v>
      </c>
      <c r="C447">
        <v>-3301654.3070867001</v>
      </c>
    </row>
    <row r="448" spans="1:3" x14ac:dyDescent="0.25">
      <c r="A448">
        <v>20100310</v>
      </c>
      <c r="B448">
        <v>4776086.5189485401</v>
      </c>
      <c r="C448">
        <v>-913120.17819297896</v>
      </c>
    </row>
    <row r="449" spans="1:3" x14ac:dyDescent="0.25">
      <c r="A449">
        <v>20100311</v>
      </c>
      <c r="B449">
        <v>-2133173.0117403301</v>
      </c>
      <c r="C449">
        <v>1593964.46672743</v>
      </c>
    </row>
    <row r="450" spans="1:3" x14ac:dyDescent="0.25">
      <c r="A450">
        <v>20100312</v>
      </c>
      <c r="B450">
        <v>-4822217.6403695</v>
      </c>
      <c r="C450">
        <v>-8187614.3829455497</v>
      </c>
    </row>
    <row r="451" spans="1:3" x14ac:dyDescent="0.25">
      <c r="A451">
        <v>20100315</v>
      </c>
      <c r="B451">
        <v>1027063.95124776</v>
      </c>
      <c r="C451">
        <v>-5002693.0475879498</v>
      </c>
    </row>
    <row r="452" spans="1:3" x14ac:dyDescent="0.25">
      <c r="A452">
        <v>20100316</v>
      </c>
      <c r="B452">
        <v>-4161487.0088965902</v>
      </c>
      <c r="C452">
        <v>-6562907.7006189302</v>
      </c>
    </row>
    <row r="453" spans="1:3" x14ac:dyDescent="0.25">
      <c r="A453">
        <v>20100317</v>
      </c>
      <c r="B453">
        <v>1281653.01261765</v>
      </c>
      <c r="C453">
        <v>-5835369.2497684499</v>
      </c>
    </row>
    <row r="454" spans="1:3" x14ac:dyDescent="0.25">
      <c r="A454">
        <v>20100318</v>
      </c>
      <c r="B454">
        <v>8234126.4975052504</v>
      </c>
      <c r="C454">
        <v>-8304779.3920129696</v>
      </c>
    </row>
    <row r="455" spans="1:3" x14ac:dyDescent="0.25">
      <c r="A455">
        <v>20100319</v>
      </c>
      <c r="B455">
        <v>13763979.637318499</v>
      </c>
      <c r="C455">
        <v>3968481.23772531</v>
      </c>
    </row>
    <row r="456" spans="1:3" x14ac:dyDescent="0.25">
      <c r="A456">
        <v>20100322</v>
      </c>
      <c r="B456">
        <v>8903654.5841863509</v>
      </c>
      <c r="C456">
        <v>-915169.000274327</v>
      </c>
    </row>
    <row r="457" spans="1:3" x14ac:dyDescent="0.25">
      <c r="A457">
        <v>20100323</v>
      </c>
      <c r="B457">
        <v>11279758.024672801</v>
      </c>
      <c r="C457">
        <v>5441663.7536012204</v>
      </c>
    </row>
    <row r="458" spans="1:3" x14ac:dyDescent="0.25">
      <c r="A458">
        <v>20100324</v>
      </c>
      <c r="B458">
        <v>15259433.9210601</v>
      </c>
      <c r="C458">
        <v>14276241.311044401</v>
      </c>
    </row>
    <row r="459" spans="1:3" x14ac:dyDescent="0.25">
      <c r="A459">
        <v>20100325</v>
      </c>
      <c r="B459">
        <v>13131473.4229024</v>
      </c>
      <c r="C459">
        <v>643155.94446275895</v>
      </c>
    </row>
    <row r="460" spans="1:3" x14ac:dyDescent="0.25">
      <c r="A460">
        <v>20100326</v>
      </c>
      <c r="B460">
        <v>6825227.4863083996</v>
      </c>
      <c r="C460">
        <v>13366884.1924119</v>
      </c>
    </row>
    <row r="461" spans="1:3" x14ac:dyDescent="0.25">
      <c r="A461">
        <v>20100329</v>
      </c>
      <c r="B461">
        <v>5610536.0317893196</v>
      </c>
      <c r="C461">
        <v>5009836.9392615501</v>
      </c>
    </row>
    <row r="462" spans="1:3" x14ac:dyDescent="0.25">
      <c r="A462">
        <v>20100330</v>
      </c>
      <c r="B462">
        <v>7952716.7476808699</v>
      </c>
      <c r="C462">
        <v>5657454.8220210103</v>
      </c>
    </row>
    <row r="463" spans="1:3" x14ac:dyDescent="0.25">
      <c r="A463">
        <v>20100331</v>
      </c>
      <c r="B463">
        <v>-5428990.7218631003</v>
      </c>
      <c r="C463">
        <v>-7697342.27263912</v>
      </c>
    </row>
    <row r="464" spans="1:3" x14ac:dyDescent="0.25">
      <c r="A464">
        <v>20100401</v>
      </c>
      <c r="B464">
        <v>-10959015.4323407</v>
      </c>
      <c r="C464">
        <v>170408.98535075801</v>
      </c>
    </row>
    <row r="465" spans="1:3" x14ac:dyDescent="0.25">
      <c r="A465">
        <v>20100402</v>
      </c>
      <c r="B465">
        <v>-6337321.3104867497</v>
      </c>
      <c r="C465">
        <v>-13706916.495163601</v>
      </c>
    </row>
    <row r="466" spans="1:3" x14ac:dyDescent="0.25">
      <c r="A466">
        <v>20100405</v>
      </c>
      <c r="B466">
        <v>-3363745.3404907198</v>
      </c>
      <c r="C466">
        <v>-8266688.47905277</v>
      </c>
    </row>
    <row r="467" spans="1:3" x14ac:dyDescent="0.25">
      <c r="A467">
        <v>20100406</v>
      </c>
      <c r="B467">
        <v>-1989842.1274936399</v>
      </c>
      <c r="C467">
        <v>-14463362.728719</v>
      </c>
    </row>
    <row r="468" spans="1:3" x14ac:dyDescent="0.25">
      <c r="A468">
        <v>20100407</v>
      </c>
      <c r="B468">
        <v>6080353.1311834697</v>
      </c>
      <c r="C468">
        <v>-6245379.2734480202</v>
      </c>
    </row>
    <row r="469" spans="1:3" x14ac:dyDescent="0.25">
      <c r="A469">
        <v>20100408</v>
      </c>
      <c r="B469">
        <v>7842333.3304856503</v>
      </c>
      <c r="C469">
        <v>314690.10256561002</v>
      </c>
    </row>
    <row r="470" spans="1:3" x14ac:dyDescent="0.25">
      <c r="A470">
        <v>20100409</v>
      </c>
      <c r="B470">
        <v>3651506.44282855</v>
      </c>
      <c r="C470">
        <v>478787.58562606003</v>
      </c>
    </row>
    <row r="471" spans="1:3" x14ac:dyDescent="0.25">
      <c r="A471">
        <v>20100412</v>
      </c>
      <c r="B471">
        <v>-5447100.1790911304</v>
      </c>
      <c r="C471">
        <v>642194.50006602902</v>
      </c>
    </row>
    <row r="472" spans="1:3" x14ac:dyDescent="0.25">
      <c r="A472">
        <v>20100413</v>
      </c>
      <c r="B472">
        <v>-4053383.12361247</v>
      </c>
      <c r="C472">
        <v>10263831.2250944</v>
      </c>
    </row>
    <row r="473" spans="1:3" x14ac:dyDescent="0.25">
      <c r="A473">
        <v>20100414</v>
      </c>
      <c r="B473">
        <v>-8171881.8922493998</v>
      </c>
      <c r="C473">
        <v>-3532020.2805327801</v>
      </c>
    </row>
    <row r="474" spans="1:3" x14ac:dyDescent="0.25">
      <c r="A474">
        <v>20100415</v>
      </c>
      <c r="B474">
        <v>-1745148.61301278</v>
      </c>
      <c r="C474">
        <v>-3114184.05115439</v>
      </c>
    </row>
    <row r="475" spans="1:3" x14ac:dyDescent="0.25">
      <c r="A475">
        <v>20100416</v>
      </c>
      <c r="B475">
        <v>4803731.9259510897</v>
      </c>
      <c r="C475">
        <v>13977749.1077179</v>
      </c>
    </row>
    <row r="476" spans="1:3" x14ac:dyDescent="0.25">
      <c r="A476">
        <v>20100419</v>
      </c>
      <c r="B476">
        <v>16112137.983101601</v>
      </c>
      <c r="C476">
        <v>12370598.2579314</v>
      </c>
    </row>
    <row r="477" spans="1:3" x14ac:dyDescent="0.25">
      <c r="A477">
        <v>20100420</v>
      </c>
      <c r="B477">
        <v>11660598.530017501</v>
      </c>
      <c r="C477">
        <v>-4313873.6307992302</v>
      </c>
    </row>
    <row r="478" spans="1:3" x14ac:dyDescent="0.25">
      <c r="A478">
        <v>20100421</v>
      </c>
      <c r="B478">
        <v>16337256.3088618</v>
      </c>
      <c r="C478">
        <v>735896.22678278596</v>
      </c>
    </row>
    <row r="479" spans="1:3" x14ac:dyDescent="0.25">
      <c r="A479">
        <v>20100422</v>
      </c>
      <c r="B479">
        <v>13337129.0511737</v>
      </c>
      <c r="C479">
        <v>-63719.239505771198</v>
      </c>
    </row>
    <row r="480" spans="1:3" x14ac:dyDescent="0.25">
      <c r="A480">
        <v>20100423</v>
      </c>
      <c r="B480">
        <v>9320797.8837431502</v>
      </c>
      <c r="C480">
        <v>-10650831.3368317</v>
      </c>
    </row>
    <row r="481" spans="1:3" x14ac:dyDescent="0.25">
      <c r="A481">
        <v>20100426</v>
      </c>
      <c r="B481">
        <v>6906246.6828689398</v>
      </c>
      <c r="C481">
        <v>-6948542.6993950903</v>
      </c>
    </row>
    <row r="482" spans="1:3" x14ac:dyDescent="0.25">
      <c r="A482">
        <v>20100427</v>
      </c>
      <c r="B482">
        <v>10459042.076252701</v>
      </c>
      <c r="C482">
        <v>8694239.7474221103</v>
      </c>
    </row>
    <row r="483" spans="1:3" x14ac:dyDescent="0.25">
      <c r="A483">
        <v>20100428</v>
      </c>
      <c r="B483">
        <v>14892833.6586168</v>
      </c>
      <c r="C483">
        <v>12428428.0143614</v>
      </c>
    </row>
    <row r="484" spans="1:3" x14ac:dyDescent="0.25">
      <c r="A484">
        <v>20100429</v>
      </c>
      <c r="B484">
        <v>14410370.2742971</v>
      </c>
      <c r="C484">
        <v>9219644.2011394296</v>
      </c>
    </row>
    <row r="485" spans="1:3" x14ac:dyDescent="0.25">
      <c r="A485">
        <v>20100430</v>
      </c>
      <c r="B485">
        <v>16734190.1760011</v>
      </c>
      <c r="C485">
        <v>16284022.9842651</v>
      </c>
    </row>
    <row r="486" spans="1:3" x14ac:dyDescent="0.25">
      <c r="A486">
        <v>20100503</v>
      </c>
      <c r="B486">
        <v>20992528.4933054</v>
      </c>
      <c r="C486">
        <v>14462350.594657499</v>
      </c>
    </row>
    <row r="487" spans="1:3" x14ac:dyDescent="0.25">
      <c r="A487">
        <v>20100504</v>
      </c>
      <c r="B487">
        <v>22693224.994465999</v>
      </c>
      <c r="C487">
        <v>14439992.8954383</v>
      </c>
    </row>
    <row r="488" spans="1:3" x14ac:dyDescent="0.25">
      <c r="A488">
        <v>20100505</v>
      </c>
      <c r="B488">
        <v>21096482.718594301</v>
      </c>
      <c r="C488">
        <v>11319014.89607</v>
      </c>
    </row>
    <row r="489" spans="1:3" x14ac:dyDescent="0.25">
      <c r="A489">
        <v>20100506</v>
      </c>
      <c r="B489">
        <v>33209063.710029598</v>
      </c>
      <c r="C489">
        <v>15945206.814907201</v>
      </c>
    </row>
    <row r="490" spans="1:3" x14ac:dyDescent="0.25">
      <c r="A490">
        <v>20100507</v>
      </c>
      <c r="B490">
        <v>38902781.537408702</v>
      </c>
      <c r="C490">
        <v>10818423.2018736</v>
      </c>
    </row>
    <row r="491" spans="1:3" x14ac:dyDescent="0.25">
      <c r="A491">
        <v>20100510</v>
      </c>
      <c r="B491">
        <v>25638444.463989999</v>
      </c>
      <c r="C491">
        <v>5382861.3613117104</v>
      </c>
    </row>
    <row r="492" spans="1:3" x14ac:dyDescent="0.25">
      <c r="A492">
        <v>20100511</v>
      </c>
      <c r="B492">
        <v>29103293.357996799</v>
      </c>
      <c r="C492">
        <v>-7398294.2547242502</v>
      </c>
    </row>
    <row r="493" spans="1:3" x14ac:dyDescent="0.25">
      <c r="A493">
        <v>20100512</v>
      </c>
      <c r="B493">
        <v>23632378.3038329</v>
      </c>
      <c r="C493">
        <v>-4032007.67689715</v>
      </c>
    </row>
    <row r="494" spans="1:3" x14ac:dyDescent="0.25">
      <c r="A494">
        <v>20100513</v>
      </c>
      <c r="B494">
        <v>15381625.517543299</v>
      </c>
      <c r="C494">
        <v>2841705.8145993701</v>
      </c>
    </row>
    <row r="495" spans="1:3" x14ac:dyDescent="0.25">
      <c r="A495">
        <v>20100514</v>
      </c>
      <c r="B495">
        <v>16441873.959250901</v>
      </c>
      <c r="C495">
        <v>5425560.2721402701</v>
      </c>
    </row>
    <row r="496" spans="1:3" x14ac:dyDescent="0.25">
      <c r="A496">
        <v>20100517</v>
      </c>
      <c r="B496">
        <v>31503110.308708798</v>
      </c>
      <c r="C496">
        <v>7736326.4446221599</v>
      </c>
    </row>
    <row r="497" spans="1:3" x14ac:dyDescent="0.25">
      <c r="A497">
        <v>20100518</v>
      </c>
      <c r="B497">
        <v>25691162.377814699</v>
      </c>
      <c r="C497">
        <v>14978841.3588663</v>
      </c>
    </row>
    <row r="498" spans="1:3" x14ac:dyDescent="0.25">
      <c r="A498">
        <v>20100519</v>
      </c>
      <c r="B498">
        <v>24941628.799589898</v>
      </c>
      <c r="C498">
        <v>21918054.773611099</v>
      </c>
    </row>
    <row r="499" spans="1:3" x14ac:dyDescent="0.25">
      <c r="A499">
        <v>20100520</v>
      </c>
      <c r="B499">
        <v>18293060.268831301</v>
      </c>
      <c r="C499">
        <v>29614333.276701201</v>
      </c>
    </row>
    <row r="500" spans="1:3" x14ac:dyDescent="0.25">
      <c r="A500">
        <v>20100521</v>
      </c>
      <c r="B500">
        <v>2113506.2098737299</v>
      </c>
      <c r="C500">
        <v>15019772.4910367</v>
      </c>
    </row>
    <row r="501" spans="1:3" x14ac:dyDescent="0.25">
      <c r="A501">
        <v>20100524</v>
      </c>
      <c r="B501">
        <v>1475567.7378183401</v>
      </c>
      <c r="C501">
        <v>17623944.991887201</v>
      </c>
    </row>
    <row r="502" spans="1:3" x14ac:dyDescent="0.25">
      <c r="A502">
        <v>20100525</v>
      </c>
      <c r="B502">
        <v>8014369.31438246</v>
      </c>
      <c r="C502">
        <v>31163622.8473862</v>
      </c>
    </row>
    <row r="503" spans="1:3" x14ac:dyDescent="0.25">
      <c r="A503">
        <v>20100526</v>
      </c>
      <c r="B503">
        <v>10797135.5509935</v>
      </c>
      <c r="C503">
        <v>13507676.118248001</v>
      </c>
    </row>
    <row r="504" spans="1:3" x14ac:dyDescent="0.25">
      <c r="A504">
        <v>20100527</v>
      </c>
      <c r="B504">
        <v>3572276.7920425301</v>
      </c>
      <c r="C504">
        <v>-12831258.623630401</v>
      </c>
    </row>
    <row r="505" spans="1:3" x14ac:dyDescent="0.25">
      <c r="A505">
        <v>20100528</v>
      </c>
      <c r="B505">
        <v>15128735.011735599</v>
      </c>
      <c r="C505">
        <v>-5384977.1094990196</v>
      </c>
    </row>
    <row r="506" spans="1:3" x14ac:dyDescent="0.25">
      <c r="A506">
        <v>20100531</v>
      </c>
      <c r="B506">
        <v>12423330.758584401</v>
      </c>
      <c r="C506">
        <v>-5695951.6566287298</v>
      </c>
    </row>
    <row r="507" spans="1:3" x14ac:dyDescent="0.25">
      <c r="A507">
        <v>20100601</v>
      </c>
      <c r="B507">
        <v>13231479.9523309</v>
      </c>
      <c r="C507">
        <v>-28213987.3589167</v>
      </c>
    </row>
    <row r="508" spans="1:3" x14ac:dyDescent="0.25">
      <c r="A508">
        <v>20100602</v>
      </c>
      <c r="B508">
        <v>9617712.2983988505</v>
      </c>
      <c r="C508">
        <v>-19287485.844142899</v>
      </c>
    </row>
    <row r="509" spans="1:3" x14ac:dyDescent="0.25">
      <c r="A509">
        <v>20100603</v>
      </c>
      <c r="B509">
        <v>16833885.089184899</v>
      </c>
      <c r="C509">
        <v>-11091211.9830861</v>
      </c>
    </row>
    <row r="510" spans="1:3" x14ac:dyDescent="0.25">
      <c r="A510">
        <v>20100604</v>
      </c>
      <c r="B510">
        <v>25741836.5001278</v>
      </c>
      <c r="C510">
        <v>-9629030.1747732293</v>
      </c>
    </row>
    <row r="511" spans="1:3" x14ac:dyDescent="0.25">
      <c r="A511">
        <v>20100607</v>
      </c>
      <c r="B511">
        <v>24567080.702087998</v>
      </c>
      <c r="C511">
        <v>-2004281.36260704</v>
      </c>
    </row>
    <row r="512" spans="1:3" x14ac:dyDescent="0.25">
      <c r="A512">
        <v>20100608</v>
      </c>
      <c r="B512">
        <v>20277289.566498902</v>
      </c>
      <c r="C512">
        <v>8095944.6956904996</v>
      </c>
    </row>
    <row r="513" spans="1:3" x14ac:dyDescent="0.25">
      <c r="A513">
        <v>20100609</v>
      </c>
      <c r="B513">
        <v>13539852.5021332</v>
      </c>
      <c r="C513">
        <v>-9095466.0432289001</v>
      </c>
    </row>
    <row r="514" spans="1:3" x14ac:dyDescent="0.25">
      <c r="A514">
        <v>20100610</v>
      </c>
      <c r="B514">
        <v>7300524.7397988504</v>
      </c>
      <c r="C514">
        <v>-13184149.6120199</v>
      </c>
    </row>
    <row r="515" spans="1:3" x14ac:dyDescent="0.25">
      <c r="A515">
        <v>20100611</v>
      </c>
      <c r="B515">
        <v>-130310.5237744</v>
      </c>
      <c r="C515">
        <v>-12176434.2330692</v>
      </c>
    </row>
    <row r="516" spans="1:3" x14ac:dyDescent="0.25">
      <c r="A516">
        <v>20100614</v>
      </c>
      <c r="B516">
        <v>-10214468.747245301</v>
      </c>
      <c r="C516">
        <v>-30471057.739343401</v>
      </c>
    </row>
    <row r="517" spans="1:3" x14ac:dyDescent="0.25">
      <c r="A517">
        <v>20100615</v>
      </c>
      <c r="B517">
        <v>-14624931.617633799</v>
      </c>
      <c r="C517">
        <v>-21008556.0824087</v>
      </c>
    </row>
    <row r="518" spans="1:3" x14ac:dyDescent="0.25">
      <c r="A518">
        <v>20100616</v>
      </c>
      <c r="B518">
        <v>-10710251.494358599</v>
      </c>
      <c r="C518">
        <v>-5893818.3824167298</v>
      </c>
    </row>
    <row r="519" spans="1:3" x14ac:dyDescent="0.25">
      <c r="A519">
        <v>20100617</v>
      </c>
      <c r="B519">
        <v>-9329351.2985066101</v>
      </c>
      <c r="C519">
        <v>8224233.8858355004</v>
      </c>
    </row>
    <row r="520" spans="1:3" x14ac:dyDescent="0.25">
      <c r="A520">
        <v>20100618</v>
      </c>
      <c r="B520">
        <v>-9363650.4149978496</v>
      </c>
      <c r="C520">
        <v>-1522736.1826193</v>
      </c>
    </row>
    <row r="521" spans="1:3" x14ac:dyDescent="0.25">
      <c r="A521">
        <v>20100621</v>
      </c>
      <c r="B521">
        <v>-217918.544930851</v>
      </c>
      <c r="C521">
        <v>14600569.6566447</v>
      </c>
    </row>
    <row r="522" spans="1:3" x14ac:dyDescent="0.25">
      <c r="A522">
        <v>20100622</v>
      </c>
      <c r="B522">
        <v>6844876.5530322101</v>
      </c>
      <c r="C522">
        <v>2077563.55284039</v>
      </c>
    </row>
    <row r="523" spans="1:3" x14ac:dyDescent="0.25">
      <c r="A523">
        <v>20100623</v>
      </c>
      <c r="B523">
        <v>9531340.8405462801</v>
      </c>
      <c r="C523">
        <v>31756451.898335598</v>
      </c>
    </row>
    <row r="524" spans="1:3" x14ac:dyDescent="0.25">
      <c r="A524">
        <v>20100624</v>
      </c>
      <c r="B524">
        <v>5163121.6651286799</v>
      </c>
      <c r="C524">
        <v>21361477.2213149</v>
      </c>
    </row>
    <row r="525" spans="1:3" x14ac:dyDescent="0.25">
      <c r="A525">
        <v>20100625</v>
      </c>
      <c r="B525">
        <v>2783149.1597619201</v>
      </c>
      <c r="C525">
        <v>20719521.891602099</v>
      </c>
    </row>
    <row r="526" spans="1:3" x14ac:dyDescent="0.25">
      <c r="A526">
        <v>20100628</v>
      </c>
      <c r="B526">
        <v>3653147.7251166399</v>
      </c>
      <c r="C526">
        <v>12399425.408296</v>
      </c>
    </row>
    <row r="527" spans="1:3" x14ac:dyDescent="0.25">
      <c r="A527">
        <v>20100629</v>
      </c>
      <c r="B527">
        <v>8252787.8982149903</v>
      </c>
      <c r="C527">
        <v>31045126.502872098</v>
      </c>
    </row>
    <row r="528" spans="1:3" x14ac:dyDescent="0.25">
      <c r="A528">
        <v>20100630</v>
      </c>
      <c r="B528">
        <v>2720572.2945699198</v>
      </c>
      <c r="C528">
        <v>21711020.847219501</v>
      </c>
    </row>
    <row r="529" spans="1:3" x14ac:dyDescent="0.25">
      <c r="A529">
        <v>20100701</v>
      </c>
      <c r="B529">
        <v>-3207035.5714485701</v>
      </c>
      <c r="C529">
        <v>24598584.7175618</v>
      </c>
    </row>
    <row r="530" spans="1:3" x14ac:dyDescent="0.25">
      <c r="A530">
        <v>20100702</v>
      </c>
      <c r="B530">
        <v>-14534184.824067</v>
      </c>
      <c r="C530">
        <v>34682730.472612403</v>
      </c>
    </row>
    <row r="531" spans="1:3" x14ac:dyDescent="0.25">
      <c r="A531">
        <v>20100705</v>
      </c>
      <c r="B531">
        <v>-12790272.9167026</v>
      </c>
      <c r="C531">
        <v>40689413.421261899</v>
      </c>
    </row>
    <row r="532" spans="1:3" x14ac:dyDescent="0.25">
      <c r="A532">
        <v>20100706</v>
      </c>
      <c r="B532">
        <v>-26159236.639159899</v>
      </c>
      <c r="C532">
        <v>6793341.2089422196</v>
      </c>
    </row>
    <row r="533" spans="1:3" x14ac:dyDescent="0.25">
      <c r="A533">
        <v>20100707</v>
      </c>
      <c r="B533">
        <v>-19498222.898811799</v>
      </c>
      <c r="C533">
        <v>-7021068.0521120699</v>
      </c>
    </row>
    <row r="534" spans="1:3" x14ac:dyDescent="0.25">
      <c r="A534">
        <v>20100708</v>
      </c>
      <c r="B534">
        <v>-11382132.6829804</v>
      </c>
      <c r="C534">
        <v>-19405131.2147769</v>
      </c>
    </row>
    <row r="535" spans="1:3" x14ac:dyDescent="0.25">
      <c r="A535">
        <v>20100709</v>
      </c>
      <c r="B535">
        <v>-2167139.2235743599</v>
      </c>
      <c r="C535">
        <v>-34734711.059771001</v>
      </c>
    </row>
    <row r="536" spans="1:3" x14ac:dyDescent="0.25">
      <c r="A536">
        <v>20100712</v>
      </c>
      <c r="B536">
        <v>-2374042.35816549</v>
      </c>
      <c r="C536">
        <v>-31529799.564254701</v>
      </c>
    </row>
    <row r="537" spans="1:3" x14ac:dyDescent="0.25">
      <c r="A537">
        <v>20100713</v>
      </c>
      <c r="B537">
        <v>-346437.90997709997</v>
      </c>
      <c r="C537">
        <v>-15582208.977989901</v>
      </c>
    </row>
    <row r="538" spans="1:3" x14ac:dyDescent="0.25">
      <c r="A538">
        <v>20100714</v>
      </c>
      <c r="B538">
        <v>-7106359.4810062796</v>
      </c>
      <c r="C538">
        <v>-15429272.671596801</v>
      </c>
    </row>
    <row r="539" spans="1:3" x14ac:dyDescent="0.25">
      <c r="A539">
        <v>20100715</v>
      </c>
      <c r="B539">
        <v>-11830943.5588942</v>
      </c>
      <c r="C539">
        <v>7462412.7033710899</v>
      </c>
    </row>
    <row r="540" spans="1:3" x14ac:dyDescent="0.25">
      <c r="A540">
        <v>20100716</v>
      </c>
      <c r="B540">
        <v>-16719328.583642</v>
      </c>
      <c r="C540">
        <v>30239919.6914193</v>
      </c>
    </row>
    <row r="541" spans="1:3" x14ac:dyDescent="0.25">
      <c r="A541">
        <v>20100719</v>
      </c>
      <c r="B541">
        <v>-25110613.1276072</v>
      </c>
      <c r="C541">
        <v>25398047.962687802</v>
      </c>
    </row>
    <row r="542" spans="1:3" x14ac:dyDescent="0.25">
      <c r="A542">
        <v>20100720</v>
      </c>
      <c r="B542">
        <v>-18479514.320627298</v>
      </c>
      <c r="C542">
        <v>28609585.711381398</v>
      </c>
    </row>
    <row r="543" spans="1:3" x14ac:dyDescent="0.25">
      <c r="A543">
        <v>20100721</v>
      </c>
      <c r="B543">
        <v>-9209223.1668730006</v>
      </c>
      <c r="C543">
        <v>10663817.807647301</v>
      </c>
    </row>
    <row r="544" spans="1:3" x14ac:dyDescent="0.25">
      <c r="A544">
        <v>20100722</v>
      </c>
      <c r="B544">
        <v>-6344522.6700990098</v>
      </c>
      <c r="C544">
        <v>-3336814.65829207</v>
      </c>
    </row>
    <row r="545" spans="1:3" x14ac:dyDescent="0.25">
      <c r="A545">
        <v>20100723</v>
      </c>
      <c r="B545">
        <v>3315330.8071527099</v>
      </c>
      <c r="C545">
        <v>-15965907.1860714</v>
      </c>
    </row>
    <row r="546" spans="1:3" x14ac:dyDescent="0.25">
      <c r="A546">
        <v>20100726</v>
      </c>
      <c r="B546">
        <v>2470041.8523466499</v>
      </c>
      <c r="C546">
        <v>-23321179.167266399</v>
      </c>
    </row>
    <row r="547" spans="1:3" x14ac:dyDescent="0.25">
      <c r="A547">
        <v>20100727</v>
      </c>
      <c r="B547">
        <v>-1510680.87854202</v>
      </c>
      <c r="C547">
        <v>-16280792.791732</v>
      </c>
    </row>
    <row r="548" spans="1:3" x14ac:dyDescent="0.25">
      <c r="A548">
        <v>20100728</v>
      </c>
      <c r="B548">
        <v>-10680326.2965235</v>
      </c>
      <c r="C548">
        <v>1883229.5097678499</v>
      </c>
    </row>
    <row r="549" spans="1:3" x14ac:dyDescent="0.25">
      <c r="A549">
        <v>20100729</v>
      </c>
      <c r="B549">
        <v>-11529191.308555</v>
      </c>
      <c r="C549">
        <v>1318964.70920698</v>
      </c>
    </row>
    <row r="550" spans="1:3" x14ac:dyDescent="0.25">
      <c r="A550">
        <v>20100730</v>
      </c>
      <c r="B550">
        <v>-11577561.381894</v>
      </c>
      <c r="C550">
        <v>-1748935.7666851799</v>
      </c>
    </row>
    <row r="551" spans="1:3" x14ac:dyDescent="0.25">
      <c r="A551">
        <v>20100802</v>
      </c>
      <c r="B551">
        <v>-11303460.4698494</v>
      </c>
      <c r="C551">
        <v>-2095447.4700753901</v>
      </c>
    </row>
    <row r="552" spans="1:3" x14ac:dyDescent="0.25">
      <c r="A552">
        <v>20100803</v>
      </c>
      <c r="B552">
        <v>-10270380.081258001</v>
      </c>
      <c r="C552">
        <v>-6212097.8472104501</v>
      </c>
    </row>
    <row r="553" spans="1:3" x14ac:dyDescent="0.25">
      <c r="A553">
        <v>20100804</v>
      </c>
      <c r="B553">
        <v>-4061301.2158009801</v>
      </c>
      <c r="C553">
        <v>-14210762.497014999</v>
      </c>
    </row>
    <row r="554" spans="1:3" x14ac:dyDescent="0.25">
      <c r="A554">
        <v>20100805</v>
      </c>
      <c r="B554">
        <v>165561.033610485</v>
      </c>
      <c r="C554">
        <v>-16750474.6803589</v>
      </c>
    </row>
    <row r="555" spans="1:3" x14ac:dyDescent="0.25">
      <c r="A555">
        <v>20100806</v>
      </c>
      <c r="B555">
        <v>-10260570.9946435</v>
      </c>
      <c r="C555">
        <v>4087943.0472170901</v>
      </c>
    </row>
    <row r="556" spans="1:3" x14ac:dyDescent="0.25">
      <c r="A556">
        <v>20100809</v>
      </c>
      <c r="B556">
        <v>-3075256.0394495102</v>
      </c>
      <c r="C556">
        <v>12473789.776675001</v>
      </c>
    </row>
    <row r="557" spans="1:3" x14ac:dyDescent="0.25">
      <c r="A557">
        <v>20100810</v>
      </c>
      <c r="B557">
        <v>2940098.2403501901</v>
      </c>
      <c r="C557">
        <v>17189669.2485594</v>
      </c>
    </row>
    <row r="558" spans="1:3" x14ac:dyDescent="0.25">
      <c r="A558">
        <v>20100811</v>
      </c>
      <c r="B558">
        <v>7368915.7832311904</v>
      </c>
      <c r="C558">
        <v>29405648.612337299</v>
      </c>
    </row>
    <row r="559" spans="1:3" x14ac:dyDescent="0.25">
      <c r="A559">
        <v>20100812</v>
      </c>
      <c r="B559">
        <v>9336196.5722050909</v>
      </c>
      <c r="C559">
        <v>36593587.601231404</v>
      </c>
    </row>
    <row r="560" spans="1:3" x14ac:dyDescent="0.25">
      <c r="A560">
        <v>20100813</v>
      </c>
      <c r="B560">
        <v>19049825.458737299</v>
      </c>
      <c r="C560">
        <v>6907291.8078938304</v>
      </c>
    </row>
    <row r="561" spans="1:3" x14ac:dyDescent="0.25">
      <c r="A561">
        <v>20100816</v>
      </c>
      <c r="B561">
        <v>14913285.803759299</v>
      </c>
      <c r="C561">
        <v>14170703.0084625</v>
      </c>
    </row>
    <row r="562" spans="1:3" x14ac:dyDescent="0.25">
      <c r="A562">
        <v>20100817</v>
      </c>
      <c r="B562">
        <v>3670212.8654761598</v>
      </c>
      <c r="C562">
        <v>-2192448.9546740898</v>
      </c>
    </row>
    <row r="563" spans="1:3" x14ac:dyDescent="0.25">
      <c r="A563">
        <v>20100818</v>
      </c>
      <c r="B563">
        <v>-6371786.7945821704</v>
      </c>
      <c r="C563">
        <v>-11945818.735097799</v>
      </c>
    </row>
    <row r="564" spans="1:3" x14ac:dyDescent="0.25">
      <c r="A564">
        <v>20100819</v>
      </c>
      <c r="B564">
        <v>-8211319.5886391103</v>
      </c>
      <c r="C564">
        <v>-7377910.5680859797</v>
      </c>
    </row>
    <row r="565" spans="1:3" x14ac:dyDescent="0.25">
      <c r="A565">
        <v>20100820</v>
      </c>
      <c r="B565">
        <v>-772886.67533169605</v>
      </c>
      <c r="C565">
        <v>18835965.605714999</v>
      </c>
    </row>
    <row r="566" spans="1:3" x14ac:dyDescent="0.25">
      <c r="A566">
        <v>20100823</v>
      </c>
      <c r="B566">
        <v>4626460.6863485798</v>
      </c>
      <c r="C566">
        <v>8859743.1640804298</v>
      </c>
    </row>
    <row r="567" spans="1:3" x14ac:dyDescent="0.25">
      <c r="A567">
        <v>20100824</v>
      </c>
      <c r="B567">
        <v>7615778.3881219001</v>
      </c>
      <c r="C567">
        <v>25092889.272299301</v>
      </c>
    </row>
    <row r="568" spans="1:3" x14ac:dyDescent="0.25">
      <c r="A568">
        <v>20100825</v>
      </c>
      <c r="B568">
        <v>15060999.4907235</v>
      </c>
      <c r="C568">
        <v>33548398.778476998</v>
      </c>
    </row>
    <row r="569" spans="1:3" x14ac:dyDescent="0.25">
      <c r="A569">
        <v>20100826</v>
      </c>
      <c r="B569">
        <v>10726645.233214799</v>
      </c>
      <c r="C569">
        <v>14869596.369596099</v>
      </c>
    </row>
    <row r="570" spans="1:3" x14ac:dyDescent="0.25">
      <c r="A570">
        <v>20100827</v>
      </c>
      <c r="B570">
        <v>-684551.72326760495</v>
      </c>
      <c r="C570">
        <v>8627294.0040406007</v>
      </c>
    </row>
    <row r="571" spans="1:3" x14ac:dyDescent="0.25">
      <c r="A571">
        <v>20100830</v>
      </c>
      <c r="B571">
        <v>-3922293.6570031801</v>
      </c>
      <c r="C571">
        <v>1403224.79072169</v>
      </c>
    </row>
    <row r="572" spans="1:3" x14ac:dyDescent="0.25">
      <c r="A572">
        <v>20100831</v>
      </c>
      <c r="B572">
        <v>-5048816.7862254996</v>
      </c>
      <c r="C572">
        <v>6107593.9146668296</v>
      </c>
    </row>
    <row r="573" spans="1:3" x14ac:dyDescent="0.25">
      <c r="A573">
        <v>20100901</v>
      </c>
      <c r="B573">
        <v>-12977529.8395344</v>
      </c>
      <c r="C573">
        <v>-15465178.842464801</v>
      </c>
    </row>
    <row r="574" spans="1:3" x14ac:dyDescent="0.25">
      <c r="A574">
        <v>20100902</v>
      </c>
      <c r="B574">
        <v>-12487952.076544199</v>
      </c>
      <c r="C574">
        <v>-860657.995112109</v>
      </c>
    </row>
    <row r="575" spans="1:3" x14ac:dyDescent="0.25">
      <c r="A575">
        <v>20100903</v>
      </c>
      <c r="B575">
        <v>-15032480.4921558</v>
      </c>
      <c r="C575">
        <v>-15406761.833464</v>
      </c>
    </row>
    <row r="576" spans="1:3" x14ac:dyDescent="0.25">
      <c r="A576">
        <v>20100906</v>
      </c>
      <c r="B576">
        <v>-14011679.0393121</v>
      </c>
      <c r="C576">
        <v>-16784485.383349098</v>
      </c>
    </row>
    <row r="577" spans="1:3" x14ac:dyDescent="0.25">
      <c r="A577">
        <v>20100907</v>
      </c>
      <c r="B577">
        <v>-3703699.09730571</v>
      </c>
      <c r="C577">
        <v>-20457319.647479199</v>
      </c>
    </row>
    <row r="578" spans="1:3" x14ac:dyDescent="0.25">
      <c r="A578">
        <v>20100908</v>
      </c>
      <c r="B578">
        <v>-3502810.3932905998</v>
      </c>
      <c r="C578">
        <v>-12527158.1008646</v>
      </c>
    </row>
    <row r="579" spans="1:3" x14ac:dyDescent="0.25">
      <c r="A579">
        <v>20100909</v>
      </c>
      <c r="B579">
        <v>3421091.7476620199</v>
      </c>
      <c r="C579">
        <v>-19194731.679689299</v>
      </c>
    </row>
    <row r="580" spans="1:3" x14ac:dyDescent="0.25">
      <c r="A580">
        <v>20100910</v>
      </c>
      <c r="B580">
        <v>5859605.2698842604</v>
      </c>
      <c r="C580">
        <v>-11116334.8113434</v>
      </c>
    </row>
    <row r="581" spans="1:3" x14ac:dyDescent="0.25">
      <c r="A581">
        <v>20100913</v>
      </c>
      <c r="B581">
        <v>-497146.35251581599</v>
      </c>
      <c r="C581">
        <v>-6828436.4771099202</v>
      </c>
    </row>
    <row r="582" spans="1:3" x14ac:dyDescent="0.25">
      <c r="A582">
        <v>20100914</v>
      </c>
      <c r="B582">
        <v>-14951920.379772101</v>
      </c>
      <c r="C582">
        <v>-13002816.492141699</v>
      </c>
    </row>
    <row r="583" spans="1:3" x14ac:dyDescent="0.25">
      <c r="A583">
        <v>20100915</v>
      </c>
      <c r="B583">
        <v>-13781973.843103301</v>
      </c>
      <c r="C583">
        <v>-5474014.3776564002</v>
      </c>
    </row>
    <row r="584" spans="1:3" x14ac:dyDescent="0.25">
      <c r="A584">
        <v>20100916</v>
      </c>
      <c r="B584">
        <v>-19202738.775233898</v>
      </c>
      <c r="C584">
        <v>-172800.40800226899</v>
      </c>
    </row>
    <row r="585" spans="1:3" x14ac:dyDescent="0.25">
      <c r="A585">
        <v>20100917</v>
      </c>
      <c r="B585">
        <v>-14655509.467763601</v>
      </c>
      <c r="C585">
        <v>5190825.7267712001</v>
      </c>
    </row>
    <row r="586" spans="1:3" x14ac:dyDescent="0.25">
      <c r="A586">
        <v>20100920</v>
      </c>
      <c r="B586">
        <v>-6957296.0270198695</v>
      </c>
      <c r="C586">
        <v>9957745.0258652195</v>
      </c>
    </row>
    <row r="587" spans="1:3" x14ac:dyDescent="0.25">
      <c r="A587">
        <v>20100921</v>
      </c>
      <c r="B587">
        <v>-4531070.8337646201</v>
      </c>
      <c r="C587">
        <v>10116349.238665</v>
      </c>
    </row>
    <row r="588" spans="1:3" x14ac:dyDescent="0.25">
      <c r="A588">
        <v>20100922</v>
      </c>
      <c r="B588">
        <v>-13037400.744630801</v>
      </c>
      <c r="C588">
        <v>13610297.0548569</v>
      </c>
    </row>
    <row r="589" spans="1:3" x14ac:dyDescent="0.25">
      <c r="A589">
        <v>20100923</v>
      </c>
      <c r="B589">
        <v>-5429093.2298318101</v>
      </c>
      <c r="C589">
        <v>19592435.809810702</v>
      </c>
    </row>
    <row r="590" spans="1:3" x14ac:dyDescent="0.25">
      <c r="A590">
        <v>20100924</v>
      </c>
      <c r="B590">
        <v>-15217599.864778301</v>
      </c>
      <c r="C590">
        <v>8296149.15037842</v>
      </c>
    </row>
    <row r="591" spans="1:3" x14ac:dyDescent="0.25">
      <c r="A591">
        <v>20100927</v>
      </c>
      <c r="B591">
        <v>-15056498.3718601</v>
      </c>
      <c r="C591">
        <v>14650938.7851105</v>
      </c>
    </row>
    <row r="592" spans="1:3" x14ac:dyDescent="0.25">
      <c r="A592">
        <v>20100928</v>
      </c>
      <c r="B592">
        <v>-15735445.6457719</v>
      </c>
      <c r="C592">
        <v>18067551.424608599</v>
      </c>
    </row>
    <row r="593" spans="1:3" x14ac:dyDescent="0.25">
      <c r="A593">
        <v>20100929</v>
      </c>
      <c r="B593">
        <v>-2835437.2787705399</v>
      </c>
      <c r="C593">
        <v>16207885.5257573</v>
      </c>
    </row>
    <row r="594" spans="1:3" x14ac:dyDescent="0.25">
      <c r="A594">
        <v>20100930</v>
      </c>
      <c r="B594">
        <v>-9734240.45439009</v>
      </c>
      <c r="C594">
        <v>4642219.8345493497</v>
      </c>
    </row>
    <row r="595" spans="1:3" x14ac:dyDescent="0.25">
      <c r="A595">
        <v>20101001</v>
      </c>
      <c r="B595">
        <v>-9697822.92160514</v>
      </c>
      <c r="C595">
        <v>9965799.1217908897</v>
      </c>
    </row>
    <row r="596" spans="1:3" x14ac:dyDescent="0.25">
      <c r="A596">
        <v>20101004</v>
      </c>
      <c r="B596">
        <v>-6860358.41244807</v>
      </c>
      <c r="C596">
        <v>858794.64219923003</v>
      </c>
    </row>
    <row r="597" spans="1:3" x14ac:dyDescent="0.25">
      <c r="A597">
        <v>20101005</v>
      </c>
      <c r="B597">
        <v>-9988227.2505917493</v>
      </c>
      <c r="C597">
        <v>-9506895.1540668402</v>
      </c>
    </row>
    <row r="598" spans="1:3" x14ac:dyDescent="0.25">
      <c r="A598">
        <v>20101006</v>
      </c>
      <c r="B598">
        <v>-11913403.855199</v>
      </c>
      <c r="C598">
        <v>-13406339.781137999</v>
      </c>
    </row>
    <row r="599" spans="1:3" x14ac:dyDescent="0.25">
      <c r="A599">
        <v>20101007</v>
      </c>
      <c r="B599">
        <v>-9609745.4396151006</v>
      </c>
      <c r="C599">
        <v>-2514588.8418304501</v>
      </c>
    </row>
    <row r="600" spans="1:3" x14ac:dyDescent="0.25">
      <c r="A600">
        <v>20101008</v>
      </c>
      <c r="B600">
        <v>-7861822.0519454498</v>
      </c>
      <c r="C600">
        <v>1094622.26110834</v>
      </c>
    </row>
    <row r="601" spans="1:3" x14ac:dyDescent="0.25">
      <c r="A601">
        <v>20101011</v>
      </c>
      <c r="B601">
        <v>-9593012.5624073297</v>
      </c>
      <c r="C601">
        <v>1621108.3969236901</v>
      </c>
    </row>
    <row r="602" spans="1:3" x14ac:dyDescent="0.25">
      <c r="A602">
        <v>20101012</v>
      </c>
      <c r="B602">
        <v>258026.945889428</v>
      </c>
      <c r="C602">
        <v>-1054955.6744783099</v>
      </c>
    </row>
    <row r="603" spans="1:3" x14ac:dyDescent="0.25">
      <c r="A603">
        <v>20101013</v>
      </c>
      <c r="B603">
        <v>-4484474.3439267501</v>
      </c>
      <c r="C603">
        <v>-5051977.4147595996</v>
      </c>
    </row>
    <row r="604" spans="1:3" x14ac:dyDescent="0.25">
      <c r="A604">
        <v>20101014</v>
      </c>
      <c r="B604">
        <v>-6225251.4945729896</v>
      </c>
      <c r="C604">
        <v>-5401599.9373075701</v>
      </c>
    </row>
    <row r="605" spans="1:3" x14ac:dyDescent="0.25">
      <c r="A605">
        <v>20101015</v>
      </c>
      <c r="B605">
        <v>-945061.12237241096</v>
      </c>
      <c r="C605">
        <v>-4729453.1953028496</v>
      </c>
    </row>
    <row r="606" spans="1:3" x14ac:dyDescent="0.25">
      <c r="A606">
        <v>20101018</v>
      </c>
      <c r="B606">
        <v>2649315.78523137</v>
      </c>
      <c r="C606">
        <v>605347.19793544605</v>
      </c>
    </row>
    <row r="607" spans="1:3" x14ac:dyDescent="0.25">
      <c r="A607">
        <v>20101019</v>
      </c>
      <c r="B607">
        <v>2364460.6173553299</v>
      </c>
      <c r="C607">
        <v>24355909.4378215</v>
      </c>
    </row>
    <row r="608" spans="1:3" x14ac:dyDescent="0.25">
      <c r="A608">
        <v>20101020</v>
      </c>
      <c r="B608">
        <v>-948350.57860835595</v>
      </c>
      <c r="C608">
        <v>15473782.4526545</v>
      </c>
    </row>
    <row r="609" spans="1:3" x14ac:dyDescent="0.25">
      <c r="A609">
        <v>20101021</v>
      </c>
      <c r="B609">
        <v>-1255473.7192003799</v>
      </c>
      <c r="C609">
        <v>3241324.5879609301</v>
      </c>
    </row>
    <row r="610" spans="1:3" x14ac:dyDescent="0.25">
      <c r="A610">
        <v>20101022</v>
      </c>
      <c r="B610">
        <v>-1103550.90665042</v>
      </c>
      <c r="C610">
        <v>-370857.50675777998</v>
      </c>
    </row>
    <row r="611" spans="1:3" x14ac:dyDescent="0.25">
      <c r="A611">
        <v>20101025</v>
      </c>
      <c r="B611">
        <v>-9214119.2575672101</v>
      </c>
      <c r="C611">
        <v>-8276192.7664705003</v>
      </c>
    </row>
    <row r="612" spans="1:3" x14ac:dyDescent="0.25">
      <c r="A612">
        <v>20101026</v>
      </c>
      <c r="B612">
        <v>-8107943.6900823098</v>
      </c>
      <c r="C612">
        <v>-23781238.803655699</v>
      </c>
    </row>
    <row r="613" spans="1:3" x14ac:dyDescent="0.25">
      <c r="A613">
        <v>20101027</v>
      </c>
      <c r="B613">
        <v>2996155.95676423</v>
      </c>
      <c r="C613">
        <v>-112526.69846241</v>
      </c>
    </row>
    <row r="614" spans="1:3" x14ac:dyDescent="0.25">
      <c r="A614">
        <v>20101028</v>
      </c>
      <c r="B614">
        <v>2858782.8308015401</v>
      </c>
      <c r="C614">
        <v>-6954296.4021258997</v>
      </c>
    </row>
    <row r="615" spans="1:3" x14ac:dyDescent="0.25">
      <c r="A615">
        <v>20101029</v>
      </c>
      <c r="B615">
        <v>788423.97731132398</v>
      </c>
      <c r="C615">
        <v>-11064996.6772121</v>
      </c>
    </row>
    <row r="616" spans="1:3" x14ac:dyDescent="0.25">
      <c r="A616">
        <v>20101101</v>
      </c>
      <c r="B616">
        <v>5549358.5269510103</v>
      </c>
      <c r="C616">
        <v>-12122228.0277091</v>
      </c>
    </row>
    <row r="617" spans="1:3" x14ac:dyDescent="0.25">
      <c r="A617">
        <v>20101102</v>
      </c>
      <c r="B617">
        <v>-7724012.1665732898</v>
      </c>
      <c r="C617">
        <v>-13489156.648659499</v>
      </c>
    </row>
    <row r="618" spans="1:3" x14ac:dyDescent="0.25">
      <c r="A618">
        <v>20101103</v>
      </c>
      <c r="B618">
        <v>-4851820.6201099996</v>
      </c>
      <c r="C618">
        <v>-23401221.315234199</v>
      </c>
    </row>
    <row r="619" spans="1:3" x14ac:dyDescent="0.25">
      <c r="A619">
        <v>20101104</v>
      </c>
      <c r="B619">
        <v>-10119652.983193099</v>
      </c>
      <c r="C619">
        <v>-15846786.8461861</v>
      </c>
    </row>
    <row r="620" spans="1:3" x14ac:dyDescent="0.25">
      <c r="A620">
        <v>20101105</v>
      </c>
      <c r="B620">
        <v>-4829288.6309661297</v>
      </c>
      <c r="C620">
        <v>-16135674.008083001</v>
      </c>
    </row>
    <row r="621" spans="1:3" x14ac:dyDescent="0.25">
      <c r="A621">
        <v>20101108</v>
      </c>
      <c r="B621">
        <v>-875520.68394821906</v>
      </c>
      <c r="C621">
        <v>-12206027.715728899</v>
      </c>
    </row>
    <row r="622" spans="1:3" x14ac:dyDescent="0.25">
      <c r="A622">
        <v>20101109</v>
      </c>
      <c r="B622">
        <v>3388946.8456468298</v>
      </c>
      <c r="C622">
        <v>-15780049.2448707</v>
      </c>
    </row>
    <row r="623" spans="1:3" x14ac:dyDescent="0.25">
      <c r="A623">
        <v>20101110</v>
      </c>
      <c r="B623">
        <v>10515310.5953306</v>
      </c>
      <c r="C623">
        <v>-12767210.6849712</v>
      </c>
    </row>
    <row r="624" spans="1:3" x14ac:dyDescent="0.25">
      <c r="A624">
        <v>20101111</v>
      </c>
      <c r="B624">
        <v>21199749.882507499</v>
      </c>
      <c r="C624">
        <v>-10481891.933567701</v>
      </c>
    </row>
    <row r="625" spans="1:3" x14ac:dyDescent="0.25">
      <c r="A625">
        <v>20101112</v>
      </c>
      <c r="B625">
        <v>13919856.453073399</v>
      </c>
      <c r="C625">
        <v>-5218483.5643142797</v>
      </c>
    </row>
    <row r="626" spans="1:3" x14ac:dyDescent="0.25">
      <c r="A626">
        <v>20101115</v>
      </c>
      <c r="B626">
        <v>11442586.5819127</v>
      </c>
      <c r="C626">
        <v>-10977868.682994699</v>
      </c>
    </row>
    <row r="627" spans="1:3" x14ac:dyDescent="0.25">
      <c r="A627">
        <v>20101116</v>
      </c>
      <c r="B627">
        <v>29830018.582617398</v>
      </c>
      <c r="C627">
        <v>6291214.1115218401</v>
      </c>
    </row>
    <row r="628" spans="1:3" x14ac:dyDescent="0.25">
      <c r="A628">
        <v>20101117</v>
      </c>
      <c r="B628">
        <v>14848918.4384526</v>
      </c>
      <c r="C628">
        <v>2916212.1282986398</v>
      </c>
    </row>
    <row r="629" spans="1:3" x14ac:dyDescent="0.25">
      <c r="A629">
        <v>20101118</v>
      </c>
      <c r="B629">
        <v>8491136.2362905703</v>
      </c>
      <c r="C629">
        <v>9305212.4205822498</v>
      </c>
    </row>
    <row r="630" spans="1:3" x14ac:dyDescent="0.25">
      <c r="A630">
        <v>20101119</v>
      </c>
      <c r="B630">
        <v>6632420.83716329</v>
      </c>
      <c r="C630">
        <v>8146583.4577936204</v>
      </c>
    </row>
    <row r="631" spans="1:3" x14ac:dyDescent="0.25">
      <c r="A631">
        <v>20101122</v>
      </c>
      <c r="B631">
        <v>9599555.2668685</v>
      </c>
      <c r="C631">
        <v>10306466.4780141</v>
      </c>
    </row>
    <row r="632" spans="1:3" x14ac:dyDescent="0.25">
      <c r="A632">
        <v>20101123</v>
      </c>
      <c r="B632">
        <v>4219196.8275710996</v>
      </c>
      <c r="C632">
        <v>-6508054.8033676296</v>
      </c>
    </row>
    <row r="633" spans="1:3" x14ac:dyDescent="0.25">
      <c r="A633">
        <v>20101124</v>
      </c>
      <c r="B633">
        <v>1628009.6534567699</v>
      </c>
      <c r="C633">
        <v>-20248231.886519801</v>
      </c>
    </row>
    <row r="634" spans="1:3" x14ac:dyDescent="0.25">
      <c r="A634">
        <v>20101125</v>
      </c>
      <c r="B634">
        <v>5827614.0395425204</v>
      </c>
      <c r="C634">
        <v>-25565339.895283099</v>
      </c>
    </row>
    <row r="635" spans="1:3" x14ac:dyDescent="0.25">
      <c r="A635">
        <v>20101126</v>
      </c>
      <c r="B635">
        <v>21433895.579279698</v>
      </c>
      <c r="C635">
        <v>-24021288.697932702</v>
      </c>
    </row>
    <row r="636" spans="1:3" x14ac:dyDescent="0.25">
      <c r="A636">
        <v>20101129</v>
      </c>
      <c r="B636">
        <v>20871267.635783501</v>
      </c>
      <c r="C636">
        <v>-14346140.7356591</v>
      </c>
    </row>
    <row r="637" spans="1:3" x14ac:dyDescent="0.25">
      <c r="A637">
        <v>20101130</v>
      </c>
      <c r="B637">
        <v>17904096.7249128</v>
      </c>
      <c r="C637">
        <v>-5117724.6922368398</v>
      </c>
    </row>
    <row r="638" spans="1:3" x14ac:dyDescent="0.25">
      <c r="A638">
        <v>20101201</v>
      </c>
      <c r="B638">
        <v>14656977.0361114</v>
      </c>
      <c r="C638">
        <v>7351330.4792588698</v>
      </c>
    </row>
    <row r="639" spans="1:3" x14ac:dyDescent="0.25">
      <c r="A639">
        <v>20101202</v>
      </c>
      <c r="B639">
        <v>14513386.9972691</v>
      </c>
      <c r="C639">
        <v>-7485698.2847308898</v>
      </c>
    </row>
    <row r="640" spans="1:3" x14ac:dyDescent="0.25">
      <c r="A640">
        <v>20101203</v>
      </c>
      <c r="B640">
        <v>-3552964.8954039002</v>
      </c>
      <c r="C640">
        <v>-8886069.2421487998</v>
      </c>
    </row>
    <row r="641" spans="1:3" x14ac:dyDescent="0.25">
      <c r="A641">
        <v>20101206</v>
      </c>
      <c r="B641">
        <v>-2838706.3936229902</v>
      </c>
      <c r="C641">
        <v>-4399505.6008243496</v>
      </c>
    </row>
    <row r="642" spans="1:3" x14ac:dyDescent="0.25">
      <c r="A642">
        <v>20101207</v>
      </c>
      <c r="B642">
        <v>-13306839.9823211</v>
      </c>
      <c r="C642">
        <v>-4357086.0385995004</v>
      </c>
    </row>
    <row r="643" spans="1:3" x14ac:dyDescent="0.25">
      <c r="A643">
        <v>20101208</v>
      </c>
      <c r="B643">
        <v>-6971674.4176843399</v>
      </c>
      <c r="C643">
        <v>-6507890.0452094199</v>
      </c>
    </row>
    <row r="644" spans="1:3" x14ac:dyDescent="0.25">
      <c r="A644">
        <v>20101209</v>
      </c>
      <c r="B644">
        <v>-1216324.20523615</v>
      </c>
      <c r="C644">
        <v>4235134.1233557099</v>
      </c>
    </row>
    <row r="645" spans="1:3" x14ac:dyDescent="0.25">
      <c r="A645">
        <v>20101210</v>
      </c>
      <c r="B645">
        <v>4586182.4708880298</v>
      </c>
      <c r="C645">
        <v>4367454.1882084301</v>
      </c>
    </row>
    <row r="646" spans="1:3" x14ac:dyDescent="0.25">
      <c r="A646">
        <v>20101213</v>
      </c>
      <c r="B646">
        <v>-6723984.9517860496</v>
      </c>
      <c r="C646">
        <v>-8960783.9560575001</v>
      </c>
    </row>
    <row r="647" spans="1:3" x14ac:dyDescent="0.25">
      <c r="A647">
        <v>20101214</v>
      </c>
      <c r="B647">
        <v>-5485640.6341667399</v>
      </c>
      <c r="C647">
        <v>-8746138.6375967097</v>
      </c>
    </row>
    <row r="648" spans="1:3" x14ac:dyDescent="0.25">
      <c r="A648">
        <v>20101215</v>
      </c>
      <c r="B648">
        <v>-7261647.4770949697</v>
      </c>
      <c r="C648">
        <v>-12502763.1133486</v>
      </c>
    </row>
    <row r="649" spans="1:3" x14ac:dyDescent="0.25">
      <c r="A649">
        <v>20101216</v>
      </c>
      <c r="B649">
        <v>-4124502.4018039401</v>
      </c>
      <c r="C649">
        <v>-5472606.8170968797</v>
      </c>
    </row>
    <row r="650" spans="1:3" x14ac:dyDescent="0.25">
      <c r="A650">
        <v>20101217</v>
      </c>
      <c r="B650">
        <v>1273873.77674089</v>
      </c>
      <c r="C650">
        <v>-793781.91109398101</v>
      </c>
    </row>
    <row r="651" spans="1:3" x14ac:dyDescent="0.25">
      <c r="A651">
        <v>20101220</v>
      </c>
      <c r="B651">
        <v>11730352.795674101</v>
      </c>
      <c r="C651">
        <v>14684292.5560719</v>
      </c>
    </row>
    <row r="652" spans="1:3" x14ac:dyDescent="0.25">
      <c r="A652">
        <v>20101221</v>
      </c>
      <c r="B652">
        <v>19235878.0165888</v>
      </c>
      <c r="C652">
        <v>10861283.490896599</v>
      </c>
    </row>
    <row r="653" spans="1:3" x14ac:dyDescent="0.25">
      <c r="A653">
        <v>20101222</v>
      </c>
      <c r="B653">
        <v>16918873.395907599</v>
      </c>
      <c r="C653">
        <v>18492406.601110298</v>
      </c>
    </row>
    <row r="654" spans="1:3" x14ac:dyDescent="0.25">
      <c r="A654">
        <v>20101223</v>
      </c>
      <c r="B654">
        <v>10424105.1222472</v>
      </c>
      <c r="C654">
        <v>11460311.3033091</v>
      </c>
    </row>
    <row r="655" spans="1:3" x14ac:dyDescent="0.25">
      <c r="A655">
        <v>20101224</v>
      </c>
      <c r="B655">
        <v>5596446.9082626598</v>
      </c>
      <c r="C655">
        <v>625490.64344520902</v>
      </c>
    </row>
    <row r="656" spans="1:3" x14ac:dyDescent="0.25">
      <c r="A656">
        <v>20101227</v>
      </c>
      <c r="B656">
        <v>1351941.8330204701</v>
      </c>
      <c r="C656">
        <v>-7248769.04184308</v>
      </c>
    </row>
    <row r="657" spans="1:3" x14ac:dyDescent="0.25">
      <c r="A657">
        <v>20101228</v>
      </c>
      <c r="B657">
        <v>3660902.6894671898</v>
      </c>
      <c r="C657">
        <v>-21690036.738167699</v>
      </c>
    </row>
    <row r="658" spans="1:3" x14ac:dyDescent="0.25">
      <c r="A658">
        <v>20101229</v>
      </c>
      <c r="B658">
        <v>3042849.4476282699</v>
      </c>
      <c r="C658">
        <v>-15742370.605203399</v>
      </c>
    </row>
    <row r="659" spans="1:3" x14ac:dyDescent="0.25">
      <c r="A659">
        <v>20101230</v>
      </c>
      <c r="B659">
        <v>-3551214.2443611501</v>
      </c>
      <c r="C659">
        <v>-4475638.7844873704</v>
      </c>
    </row>
    <row r="660" spans="1:3" x14ac:dyDescent="0.25">
      <c r="A660">
        <v>20101231</v>
      </c>
      <c r="B660">
        <v>-9082813.5829921495</v>
      </c>
      <c r="C660">
        <v>-3314674.0735868602</v>
      </c>
    </row>
    <row r="661" spans="1:3" x14ac:dyDescent="0.25">
      <c r="A661">
        <v>20110103</v>
      </c>
      <c r="B661">
        <v>-5613169.1801253203</v>
      </c>
      <c r="C661">
        <v>-9975025.2553230096</v>
      </c>
    </row>
    <row r="662" spans="1:3" x14ac:dyDescent="0.25">
      <c r="A662">
        <v>20110104</v>
      </c>
      <c r="B662">
        <v>-9281128.6148536503</v>
      </c>
      <c r="C662">
        <v>11120860.3882869</v>
      </c>
    </row>
    <row r="663" spans="1:3" x14ac:dyDescent="0.25">
      <c r="A663">
        <v>20110105</v>
      </c>
      <c r="B663">
        <v>-5165739.6624912396</v>
      </c>
      <c r="C663">
        <v>-3612606.2975434</v>
      </c>
    </row>
    <row r="664" spans="1:3" x14ac:dyDescent="0.25">
      <c r="A664">
        <v>20110106</v>
      </c>
      <c r="B664">
        <v>4427021.8624710301</v>
      </c>
      <c r="C664">
        <v>-11337580.163287099</v>
      </c>
    </row>
    <row r="665" spans="1:3" x14ac:dyDescent="0.25">
      <c r="A665">
        <v>20110107</v>
      </c>
      <c r="B665">
        <v>14545458.954024499</v>
      </c>
      <c r="C665">
        <v>-21527448.724799599</v>
      </c>
    </row>
    <row r="666" spans="1:3" x14ac:dyDescent="0.25">
      <c r="A666">
        <v>20110110</v>
      </c>
      <c r="B666">
        <v>14080504.098113799</v>
      </c>
      <c r="C666">
        <v>-18682827.717737898</v>
      </c>
    </row>
    <row r="667" spans="1:3" x14ac:dyDescent="0.25">
      <c r="A667">
        <v>20110111</v>
      </c>
      <c r="B667">
        <v>14808191.981495099</v>
      </c>
      <c r="C667">
        <v>-28792946.2708796</v>
      </c>
    </row>
    <row r="668" spans="1:3" x14ac:dyDescent="0.25">
      <c r="A668">
        <v>20110112</v>
      </c>
      <c r="B668">
        <v>3063364.9937777999</v>
      </c>
      <c r="C668">
        <v>-21732443.372404199</v>
      </c>
    </row>
    <row r="669" spans="1:3" x14ac:dyDescent="0.25">
      <c r="A669">
        <v>20110113</v>
      </c>
      <c r="B669">
        <v>-14237479.0226996</v>
      </c>
      <c r="C669">
        <v>-18443279.054285001</v>
      </c>
    </row>
    <row r="670" spans="1:3" x14ac:dyDescent="0.25">
      <c r="A670">
        <v>20110114</v>
      </c>
      <c r="B670">
        <v>-17786561.301523302</v>
      </c>
      <c r="C670">
        <v>-4054536.7021751702</v>
      </c>
    </row>
    <row r="671" spans="1:3" x14ac:dyDescent="0.25">
      <c r="A671">
        <v>20110117</v>
      </c>
      <c r="B671">
        <v>-14590825.874100599</v>
      </c>
      <c r="C671">
        <v>-11877261.011618899</v>
      </c>
    </row>
    <row r="672" spans="1:3" x14ac:dyDescent="0.25">
      <c r="A672">
        <v>20110118</v>
      </c>
      <c r="B672">
        <v>-18097213.0438122</v>
      </c>
      <c r="C672">
        <v>-554390.00190202799</v>
      </c>
    </row>
    <row r="673" spans="1:3" x14ac:dyDescent="0.25">
      <c r="A673">
        <v>20110119</v>
      </c>
      <c r="B673">
        <v>-15603786.181367399</v>
      </c>
      <c r="C673">
        <v>3903478.9402268198</v>
      </c>
    </row>
    <row r="674" spans="1:3" x14ac:dyDescent="0.25">
      <c r="A674">
        <v>20110120</v>
      </c>
      <c r="B674">
        <v>-861720.391539737</v>
      </c>
      <c r="C674">
        <v>7724096.7030612901</v>
      </c>
    </row>
    <row r="675" spans="1:3" x14ac:dyDescent="0.25">
      <c r="A675">
        <v>20110121</v>
      </c>
      <c r="B675">
        <v>-7877104.3066180898</v>
      </c>
      <c r="C675">
        <v>-8935437.2370255701</v>
      </c>
    </row>
    <row r="676" spans="1:3" x14ac:dyDescent="0.25">
      <c r="A676">
        <v>20110124</v>
      </c>
      <c r="B676">
        <v>-15230287.129925</v>
      </c>
      <c r="C676">
        <v>3666289.5981131</v>
      </c>
    </row>
    <row r="677" spans="1:3" x14ac:dyDescent="0.25">
      <c r="A677">
        <v>20110125</v>
      </c>
      <c r="B677">
        <v>-10329794.842041999</v>
      </c>
      <c r="C677">
        <v>-1790867.23842852</v>
      </c>
    </row>
    <row r="678" spans="1:3" x14ac:dyDescent="0.25">
      <c r="A678">
        <v>20110126</v>
      </c>
      <c r="B678">
        <v>-8693233.4224444907</v>
      </c>
      <c r="C678">
        <v>-4263446.3682537796</v>
      </c>
    </row>
    <row r="679" spans="1:3" x14ac:dyDescent="0.25">
      <c r="A679">
        <v>20110127</v>
      </c>
      <c r="B679">
        <v>-13191253.839294501</v>
      </c>
      <c r="C679">
        <v>-12486493.974826099</v>
      </c>
    </row>
    <row r="680" spans="1:3" x14ac:dyDescent="0.25">
      <c r="A680">
        <v>20110128</v>
      </c>
      <c r="B680">
        <v>-1097931.4132904001</v>
      </c>
      <c r="C680">
        <v>416513.82728958898</v>
      </c>
    </row>
    <row r="681" spans="1:3" x14ac:dyDescent="0.25">
      <c r="A681">
        <v>20110131</v>
      </c>
      <c r="B681">
        <v>-3179206.0719971601</v>
      </c>
      <c r="C681">
        <v>-991677.94338167901</v>
      </c>
    </row>
    <row r="682" spans="1:3" x14ac:dyDescent="0.25">
      <c r="A682">
        <v>20110201</v>
      </c>
      <c r="B682">
        <v>-10390531.5933901</v>
      </c>
      <c r="C682">
        <v>-8117954.9630450802</v>
      </c>
    </row>
    <row r="683" spans="1:3" x14ac:dyDescent="0.25">
      <c r="A683">
        <v>20110202</v>
      </c>
      <c r="B683">
        <v>-8847196.1836940199</v>
      </c>
      <c r="C683">
        <v>-10613052.2657451</v>
      </c>
    </row>
    <row r="684" spans="1:3" x14ac:dyDescent="0.25">
      <c r="A684">
        <v>20110203</v>
      </c>
      <c r="B684">
        <v>666212.74869781698</v>
      </c>
      <c r="C684">
        <v>-9558272.2373243496</v>
      </c>
    </row>
    <row r="685" spans="1:3" x14ac:dyDescent="0.25">
      <c r="A685">
        <v>20110204</v>
      </c>
      <c r="B685">
        <v>133414.48827655599</v>
      </c>
      <c r="C685">
        <v>-7057005.54034949</v>
      </c>
    </row>
    <row r="686" spans="1:3" x14ac:dyDescent="0.25">
      <c r="A686">
        <v>20110207</v>
      </c>
      <c r="B686">
        <v>5936976.7862941101</v>
      </c>
      <c r="C686">
        <v>-9610592.3185155299</v>
      </c>
    </row>
    <row r="687" spans="1:3" x14ac:dyDescent="0.25">
      <c r="A687">
        <v>20110208</v>
      </c>
      <c r="B687">
        <v>5548533.4295473201</v>
      </c>
      <c r="C687">
        <v>3149564.1870807698</v>
      </c>
    </row>
    <row r="688" spans="1:3" x14ac:dyDescent="0.25">
      <c r="A688">
        <v>20110209</v>
      </c>
      <c r="B688">
        <v>4775027.3777072197</v>
      </c>
      <c r="C688">
        <v>783747.31324271904</v>
      </c>
    </row>
    <row r="689" spans="1:3" x14ac:dyDescent="0.25">
      <c r="A689">
        <v>20110210</v>
      </c>
      <c r="B689">
        <v>1215249.46786959</v>
      </c>
      <c r="C689">
        <v>2348340.7982014902</v>
      </c>
    </row>
    <row r="690" spans="1:3" x14ac:dyDescent="0.25">
      <c r="A690">
        <v>20110211</v>
      </c>
      <c r="B690">
        <v>1662982.0512439001</v>
      </c>
      <c r="C690">
        <v>-4524862.5426740795</v>
      </c>
    </row>
    <row r="691" spans="1:3" x14ac:dyDescent="0.25">
      <c r="A691">
        <v>20110214</v>
      </c>
      <c r="B691">
        <v>1337236.7881092301</v>
      </c>
      <c r="C691">
        <v>-4556270.05735166</v>
      </c>
    </row>
    <row r="692" spans="1:3" x14ac:dyDescent="0.25">
      <c r="A692">
        <v>20110215</v>
      </c>
      <c r="B692">
        <v>7101113.6690547001</v>
      </c>
      <c r="C692">
        <v>-15811023.602828</v>
      </c>
    </row>
    <row r="693" spans="1:3" x14ac:dyDescent="0.25">
      <c r="A693">
        <v>20110216</v>
      </c>
      <c r="B693">
        <v>5306754.7026309501</v>
      </c>
      <c r="C693">
        <v>-10801962.5962833</v>
      </c>
    </row>
    <row r="694" spans="1:3" x14ac:dyDescent="0.25">
      <c r="A694">
        <v>20110217</v>
      </c>
      <c r="B694">
        <v>-491162.47253136302</v>
      </c>
      <c r="C694">
        <v>-11126918.091917001</v>
      </c>
    </row>
    <row r="695" spans="1:3" x14ac:dyDescent="0.25">
      <c r="A695">
        <v>20110218</v>
      </c>
      <c r="B695">
        <v>-2163214.3929030299</v>
      </c>
      <c r="C695">
        <v>-532067.31716386799</v>
      </c>
    </row>
    <row r="696" spans="1:3" x14ac:dyDescent="0.25">
      <c r="A696">
        <v>20110221</v>
      </c>
      <c r="B696">
        <v>-3999278.4097019499</v>
      </c>
      <c r="C696">
        <v>2258289.9582384699</v>
      </c>
    </row>
    <row r="697" spans="1:3" x14ac:dyDescent="0.25">
      <c r="A697">
        <v>20110222</v>
      </c>
      <c r="B697">
        <v>-3926026.63978627</v>
      </c>
      <c r="C697">
        <v>4953178.1651962996</v>
      </c>
    </row>
    <row r="698" spans="1:3" x14ac:dyDescent="0.25">
      <c r="A698">
        <v>20110223</v>
      </c>
      <c r="B698">
        <v>-3329450.6716793999</v>
      </c>
      <c r="C698">
        <v>15349352.2328665</v>
      </c>
    </row>
    <row r="699" spans="1:3" x14ac:dyDescent="0.25">
      <c r="A699">
        <v>20110224</v>
      </c>
      <c r="B699">
        <v>-7824352.0926224897</v>
      </c>
      <c r="C699">
        <v>1890779.4146680001</v>
      </c>
    </row>
    <row r="700" spans="1:3" x14ac:dyDescent="0.25">
      <c r="A700">
        <v>20110225</v>
      </c>
      <c r="B700">
        <v>-6303913.2761288099</v>
      </c>
      <c r="C700">
        <v>-2717704.86997366</v>
      </c>
    </row>
    <row r="701" spans="1:3" x14ac:dyDescent="0.25">
      <c r="A701">
        <v>20110228</v>
      </c>
      <c r="B701">
        <v>-10570420.0131818</v>
      </c>
      <c r="C701">
        <v>-6396212.4131754301</v>
      </c>
    </row>
    <row r="702" spans="1:3" x14ac:dyDescent="0.25">
      <c r="A702">
        <v>20110301</v>
      </c>
      <c r="B702">
        <v>-8614156.1356096696</v>
      </c>
      <c r="C702">
        <v>-8586435.3564160801</v>
      </c>
    </row>
    <row r="703" spans="1:3" x14ac:dyDescent="0.25">
      <c r="A703">
        <v>20110302</v>
      </c>
      <c r="B703">
        <v>-7276833.7368542701</v>
      </c>
      <c r="C703">
        <v>-19427702.393963601</v>
      </c>
    </row>
    <row r="704" spans="1:3" x14ac:dyDescent="0.25">
      <c r="A704">
        <v>20110303</v>
      </c>
      <c r="B704">
        <v>-5537381.8017243296</v>
      </c>
      <c r="C704">
        <v>-3849562.9074094901</v>
      </c>
    </row>
    <row r="705" spans="1:3" x14ac:dyDescent="0.25">
      <c r="A705">
        <v>20110304</v>
      </c>
      <c r="B705">
        <v>-12153371.609458201</v>
      </c>
      <c r="C705">
        <v>-3129488.80975078</v>
      </c>
    </row>
    <row r="706" spans="1:3" x14ac:dyDescent="0.25">
      <c r="A706">
        <v>20110307</v>
      </c>
      <c r="B706">
        <v>-9091043.4990043696</v>
      </c>
      <c r="C706">
        <v>1746781.6878921301</v>
      </c>
    </row>
    <row r="707" spans="1:3" x14ac:dyDescent="0.25">
      <c r="A707">
        <v>20110308</v>
      </c>
      <c r="B707">
        <v>3439623.4982085899</v>
      </c>
      <c r="C707">
        <v>6614337.2863945803</v>
      </c>
    </row>
    <row r="708" spans="1:3" x14ac:dyDescent="0.25">
      <c r="A708">
        <v>20110309</v>
      </c>
      <c r="B708">
        <v>7077090.3119730204</v>
      </c>
      <c r="C708">
        <v>6433724.1898001703</v>
      </c>
    </row>
    <row r="709" spans="1:3" x14ac:dyDescent="0.25">
      <c r="A709">
        <v>20110310</v>
      </c>
      <c r="B709">
        <v>11723593.211936699</v>
      </c>
      <c r="C709">
        <v>7906877.0011753701</v>
      </c>
    </row>
    <row r="710" spans="1:3" x14ac:dyDescent="0.25">
      <c r="A710">
        <v>20110311</v>
      </c>
      <c r="B710">
        <v>9691581.1029201094</v>
      </c>
      <c r="C710">
        <v>9690998.0353016201</v>
      </c>
    </row>
    <row r="711" spans="1:3" x14ac:dyDescent="0.25">
      <c r="A711">
        <v>20110314</v>
      </c>
      <c r="B711">
        <v>2576164.9509090101</v>
      </c>
      <c r="C711">
        <v>12013618.8337596</v>
      </c>
    </row>
    <row r="712" spans="1:3" x14ac:dyDescent="0.25">
      <c r="A712">
        <v>20110315</v>
      </c>
      <c r="B712">
        <v>-1016933.12211665</v>
      </c>
      <c r="C712">
        <v>14813688.9565927</v>
      </c>
    </row>
    <row r="713" spans="1:3" x14ac:dyDescent="0.25">
      <c r="A713">
        <v>20110316</v>
      </c>
      <c r="B713">
        <v>1357035.1836242301</v>
      </c>
      <c r="C713">
        <v>28224372.513931599</v>
      </c>
    </row>
    <row r="714" spans="1:3" x14ac:dyDescent="0.25">
      <c r="A714">
        <v>20110317</v>
      </c>
      <c r="B714">
        <v>-10417710.3020471</v>
      </c>
      <c r="C714">
        <v>19721693.628824402</v>
      </c>
    </row>
    <row r="715" spans="1:3" x14ac:dyDescent="0.25">
      <c r="A715">
        <v>20110318</v>
      </c>
      <c r="B715">
        <v>-9608525.5910370797</v>
      </c>
      <c r="C715">
        <v>13810705.924350001</v>
      </c>
    </row>
    <row r="716" spans="1:3" x14ac:dyDescent="0.25">
      <c r="A716">
        <v>20110321</v>
      </c>
      <c r="B716">
        <v>-1982603.00734358</v>
      </c>
      <c r="C716">
        <v>944759.77592156001</v>
      </c>
    </row>
    <row r="717" spans="1:3" x14ac:dyDescent="0.25">
      <c r="A717">
        <v>20110322</v>
      </c>
      <c r="B717">
        <v>-5409853.7194283903</v>
      </c>
      <c r="C717">
        <v>-3838462.1954494901</v>
      </c>
    </row>
    <row r="718" spans="1:3" x14ac:dyDescent="0.25">
      <c r="A718">
        <v>20110323</v>
      </c>
      <c r="B718">
        <v>-3736989.03663238</v>
      </c>
      <c r="C718">
        <v>-7192819.7494113604</v>
      </c>
    </row>
    <row r="719" spans="1:3" x14ac:dyDescent="0.25">
      <c r="A719">
        <v>20110324</v>
      </c>
      <c r="B719">
        <v>-3894035.3165266202</v>
      </c>
      <c r="C719">
        <v>-8644827.7373663895</v>
      </c>
    </row>
    <row r="720" spans="1:3" x14ac:dyDescent="0.25">
      <c r="A720">
        <v>20110325</v>
      </c>
      <c r="B720">
        <v>64911.651927843603</v>
      </c>
      <c r="C720">
        <v>1052156.6949504199</v>
      </c>
    </row>
    <row r="721" spans="1:3" x14ac:dyDescent="0.25">
      <c r="A721">
        <v>20110328</v>
      </c>
      <c r="B721">
        <v>2139671.06989103</v>
      </c>
      <c r="C721">
        <v>2906347.1619716501</v>
      </c>
    </row>
    <row r="722" spans="1:3" x14ac:dyDescent="0.25">
      <c r="A722">
        <v>20110329</v>
      </c>
      <c r="B722">
        <v>3212901.3003850402</v>
      </c>
      <c r="C722">
        <v>2886027.50276529</v>
      </c>
    </row>
    <row r="723" spans="1:3" x14ac:dyDescent="0.25">
      <c r="A723">
        <v>20110330</v>
      </c>
      <c r="B723">
        <v>-933569.14647874201</v>
      </c>
      <c r="C723">
        <v>-12170166.6273164</v>
      </c>
    </row>
    <row r="724" spans="1:3" x14ac:dyDescent="0.25">
      <c r="A724">
        <v>20110331</v>
      </c>
      <c r="B724">
        <v>-2943459.24027305</v>
      </c>
      <c r="C724">
        <v>739194.83887234097</v>
      </c>
    </row>
    <row r="725" spans="1:3" x14ac:dyDescent="0.25">
      <c r="A725">
        <v>20110401</v>
      </c>
      <c r="B725">
        <v>-2222125.4319334999</v>
      </c>
      <c r="C725">
        <v>-12548664.447358601</v>
      </c>
    </row>
    <row r="726" spans="1:3" x14ac:dyDescent="0.25">
      <c r="A726">
        <v>20110404</v>
      </c>
      <c r="B726">
        <v>-4896821.3865340203</v>
      </c>
      <c r="C726">
        <v>670050.53497881</v>
      </c>
    </row>
    <row r="727" spans="1:3" x14ac:dyDescent="0.25">
      <c r="A727">
        <v>20110405</v>
      </c>
      <c r="B727">
        <v>-3732161.00405569</v>
      </c>
      <c r="C727">
        <v>-1202890.3289010399</v>
      </c>
    </row>
    <row r="728" spans="1:3" x14ac:dyDescent="0.25">
      <c r="A728">
        <v>20110406</v>
      </c>
      <c r="B728">
        <v>-9186042.8003864698</v>
      </c>
      <c r="C728">
        <v>1700379.3723273301</v>
      </c>
    </row>
    <row r="729" spans="1:3" x14ac:dyDescent="0.25">
      <c r="A729">
        <v>20110407</v>
      </c>
      <c r="B729">
        <v>-1133071.42156183</v>
      </c>
      <c r="C729">
        <v>-2865746.93873752</v>
      </c>
    </row>
    <row r="730" spans="1:3" x14ac:dyDescent="0.25">
      <c r="A730">
        <v>20110408</v>
      </c>
      <c r="B730">
        <v>-9885402.81081146</v>
      </c>
      <c r="C730">
        <v>6862568.9420408802</v>
      </c>
    </row>
    <row r="731" spans="1:3" x14ac:dyDescent="0.25">
      <c r="A731">
        <v>20110411</v>
      </c>
      <c r="B731">
        <v>-9150884.7436137795</v>
      </c>
      <c r="C731">
        <v>-4706765.2190699596</v>
      </c>
    </row>
    <row r="732" spans="1:3" x14ac:dyDescent="0.25">
      <c r="A732">
        <v>20110412</v>
      </c>
      <c r="B732">
        <v>-11010812.9099687</v>
      </c>
      <c r="C732">
        <v>6936359.0775577398</v>
      </c>
    </row>
    <row r="733" spans="1:3" x14ac:dyDescent="0.25">
      <c r="A733">
        <v>20110413</v>
      </c>
      <c r="B733">
        <v>-5460023.37028124</v>
      </c>
      <c r="C733">
        <v>9279978.3550177906</v>
      </c>
    </row>
    <row r="734" spans="1:3" x14ac:dyDescent="0.25">
      <c r="A734">
        <v>20110414</v>
      </c>
      <c r="B734">
        <v>-8291255.5418429002</v>
      </c>
      <c r="C734">
        <v>5427036.31414322</v>
      </c>
    </row>
    <row r="735" spans="1:3" x14ac:dyDescent="0.25">
      <c r="A735">
        <v>20110415</v>
      </c>
      <c r="B735">
        <v>854100.240483328</v>
      </c>
      <c r="C735">
        <v>4602863.8927425798</v>
      </c>
    </row>
    <row r="736" spans="1:3" x14ac:dyDescent="0.25">
      <c r="A736">
        <v>20110418</v>
      </c>
      <c r="B736">
        <v>11645231.3182931</v>
      </c>
      <c r="C736">
        <v>14817546.8782185</v>
      </c>
    </row>
    <row r="737" spans="1:3" x14ac:dyDescent="0.25">
      <c r="A737">
        <v>20110419</v>
      </c>
      <c r="B737">
        <v>9241365.6357639506</v>
      </c>
      <c r="C737">
        <v>-11991578.060888199</v>
      </c>
    </row>
    <row r="738" spans="1:3" x14ac:dyDescent="0.25">
      <c r="A738">
        <v>20110420</v>
      </c>
      <c r="B738">
        <v>1142206.73192207</v>
      </c>
      <c r="C738">
        <v>-11269995.1394831</v>
      </c>
    </row>
    <row r="739" spans="1:3" x14ac:dyDescent="0.25">
      <c r="A739">
        <v>20110421</v>
      </c>
      <c r="B739">
        <v>285860.91140700801</v>
      </c>
      <c r="C739">
        <v>-9875712.1481885798</v>
      </c>
    </row>
    <row r="740" spans="1:3" x14ac:dyDescent="0.25">
      <c r="A740">
        <v>20110422</v>
      </c>
      <c r="B740">
        <v>-2287359.09071839</v>
      </c>
      <c r="C740">
        <v>-10718443.790028799</v>
      </c>
    </row>
    <row r="741" spans="1:3" x14ac:dyDescent="0.25">
      <c r="A741">
        <v>20110425</v>
      </c>
      <c r="B741">
        <v>-9583639.0919891</v>
      </c>
      <c r="C741">
        <v>-15005773.4849087</v>
      </c>
    </row>
    <row r="742" spans="1:3" x14ac:dyDescent="0.25">
      <c r="A742">
        <v>20110426</v>
      </c>
      <c r="B742">
        <v>-6482108.5236299196</v>
      </c>
      <c r="C742">
        <v>-2529975.4425124298</v>
      </c>
    </row>
    <row r="743" spans="1:3" x14ac:dyDescent="0.25">
      <c r="A743">
        <v>20110427</v>
      </c>
      <c r="B743">
        <v>-1108963.89988759</v>
      </c>
      <c r="C743">
        <v>7648839.1049698004</v>
      </c>
    </row>
    <row r="744" spans="1:3" x14ac:dyDescent="0.25">
      <c r="A744">
        <v>20110428</v>
      </c>
      <c r="B744">
        <v>-4734839.7164850896</v>
      </c>
      <c r="C744">
        <v>-441749.46504749899</v>
      </c>
    </row>
    <row r="745" spans="1:3" x14ac:dyDescent="0.25">
      <c r="A745">
        <v>20110429</v>
      </c>
      <c r="B745">
        <v>-5489272.9846722297</v>
      </c>
      <c r="C745">
        <v>2205252.6790325399</v>
      </c>
    </row>
    <row r="746" spans="1:3" x14ac:dyDescent="0.25">
      <c r="A746">
        <v>20110502</v>
      </c>
      <c r="B746">
        <v>-9746455.9655747693</v>
      </c>
      <c r="C746">
        <v>1253805.5263581499</v>
      </c>
    </row>
    <row r="747" spans="1:3" x14ac:dyDescent="0.25">
      <c r="A747">
        <v>20110503</v>
      </c>
      <c r="B747">
        <v>-8371037.0605784198</v>
      </c>
      <c r="C747">
        <v>2344371.5422577499</v>
      </c>
    </row>
    <row r="748" spans="1:3" x14ac:dyDescent="0.25">
      <c r="A748">
        <v>20110504</v>
      </c>
      <c r="B748">
        <v>-8487857.0479083098</v>
      </c>
      <c r="C748">
        <v>-1405206.35560681</v>
      </c>
    </row>
    <row r="749" spans="1:3" x14ac:dyDescent="0.25">
      <c r="A749">
        <v>20110505</v>
      </c>
      <c r="B749">
        <v>5651693.4042871799</v>
      </c>
      <c r="C749">
        <v>13850679.3962055</v>
      </c>
    </row>
    <row r="750" spans="1:3" x14ac:dyDescent="0.25">
      <c r="A750">
        <v>20110506</v>
      </c>
      <c r="B750">
        <v>13538308.483467201</v>
      </c>
      <c r="C750">
        <v>7627395.0862625102</v>
      </c>
    </row>
    <row r="751" spans="1:3" x14ac:dyDescent="0.25">
      <c r="A751">
        <v>20110509</v>
      </c>
      <c r="B751">
        <v>26338949.869427901</v>
      </c>
      <c r="C751">
        <v>13368662.4550275</v>
      </c>
    </row>
    <row r="752" spans="1:3" x14ac:dyDescent="0.25">
      <c r="A752">
        <v>20110510</v>
      </c>
      <c r="B752">
        <v>21886223.265078999</v>
      </c>
      <c r="C752">
        <v>6259464.7270539701</v>
      </c>
    </row>
    <row r="753" spans="1:3" x14ac:dyDescent="0.25">
      <c r="A753">
        <v>20110511</v>
      </c>
      <c r="B753">
        <v>26864425.7145482</v>
      </c>
      <c r="C753">
        <v>-6881356.1720671002</v>
      </c>
    </row>
    <row r="754" spans="1:3" x14ac:dyDescent="0.25">
      <c r="A754">
        <v>20110512</v>
      </c>
      <c r="B754">
        <v>17022295.810518101</v>
      </c>
      <c r="C754">
        <v>200173.623942329</v>
      </c>
    </row>
    <row r="755" spans="1:3" x14ac:dyDescent="0.25">
      <c r="A755">
        <v>20110513</v>
      </c>
      <c r="B755">
        <v>13136293.7321092</v>
      </c>
      <c r="C755">
        <v>1317734.0739048701</v>
      </c>
    </row>
    <row r="756" spans="1:3" x14ac:dyDescent="0.25">
      <c r="A756">
        <v>20110516</v>
      </c>
      <c r="B756">
        <v>4545193.1191315902</v>
      </c>
      <c r="C756">
        <v>-2689932.6563150901</v>
      </c>
    </row>
    <row r="757" spans="1:3" x14ac:dyDescent="0.25">
      <c r="A757">
        <v>20110517</v>
      </c>
      <c r="B757">
        <v>9598583.2878190298</v>
      </c>
      <c r="C757">
        <v>10855346.5087418</v>
      </c>
    </row>
    <row r="758" spans="1:3" x14ac:dyDescent="0.25">
      <c r="A758">
        <v>20110518</v>
      </c>
      <c r="B758">
        <v>1185629.77016649</v>
      </c>
      <c r="C758">
        <v>18284289.387518499</v>
      </c>
    </row>
    <row r="759" spans="1:3" x14ac:dyDescent="0.25">
      <c r="A759">
        <v>20110519</v>
      </c>
      <c r="B759">
        <v>2485803.1960334098</v>
      </c>
      <c r="C759">
        <v>1434853.95605044</v>
      </c>
    </row>
    <row r="760" spans="1:3" x14ac:dyDescent="0.25">
      <c r="A760">
        <v>20110520</v>
      </c>
      <c r="B760">
        <v>6892282.5572710698</v>
      </c>
      <c r="C760">
        <v>8606173.1399566699</v>
      </c>
    </row>
    <row r="761" spans="1:3" x14ac:dyDescent="0.25">
      <c r="A761">
        <v>20110523</v>
      </c>
      <c r="B761">
        <v>15373233.5238591</v>
      </c>
      <c r="C761">
        <v>8384332.0007525096</v>
      </c>
    </row>
    <row r="762" spans="1:3" x14ac:dyDescent="0.25">
      <c r="A762">
        <v>20110524</v>
      </c>
      <c r="B762">
        <v>7955196.2455512704</v>
      </c>
      <c r="C762">
        <v>3425007.1482674498</v>
      </c>
    </row>
    <row r="763" spans="1:3" x14ac:dyDescent="0.25">
      <c r="A763">
        <v>20110525</v>
      </c>
      <c r="B763">
        <v>14244776.2083665</v>
      </c>
      <c r="C763">
        <v>702526.55170322</v>
      </c>
    </row>
    <row r="764" spans="1:3" x14ac:dyDescent="0.25">
      <c r="A764">
        <v>20110526</v>
      </c>
      <c r="B764">
        <v>14476057.501483001</v>
      </c>
      <c r="C764">
        <v>9064911.51570067</v>
      </c>
    </row>
    <row r="765" spans="1:3" x14ac:dyDescent="0.25">
      <c r="A765">
        <v>20110527</v>
      </c>
      <c r="B765">
        <v>2365628.85168726</v>
      </c>
      <c r="C765">
        <v>4438556.6972556897</v>
      </c>
    </row>
    <row r="766" spans="1:3" x14ac:dyDescent="0.25">
      <c r="A766">
        <v>20110530</v>
      </c>
      <c r="B766">
        <v>-3774047.7426636098</v>
      </c>
      <c r="C766">
        <v>4911860.1034995904</v>
      </c>
    </row>
    <row r="767" spans="1:3" x14ac:dyDescent="0.25">
      <c r="A767">
        <v>20110531</v>
      </c>
      <c r="B767">
        <v>-8778394.6976966094</v>
      </c>
      <c r="C767">
        <v>-2460940.18435142</v>
      </c>
    </row>
    <row r="768" spans="1:3" x14ac:dyDescent="0.25">
      <c r="A768">
        <v>20110601</v>
      </c>
      <c r="B768">
        <v>-11636235.903421201</v>
      </c>
      <c r="C768">
        <v>9345005.8076185808</v>
      </c>
    </row>
    <row r="769" spans="1:3" x14ac:dyDescent="0.25">
      <c r="A769">
        <v>20110602</v>
      </c>
      <c r="B769">
        <v>-13048438.0868774</v>
      </c>
      <c r="C769">
        <v>15231349.184366399</v>
      </c>
    </row>
    <row r="770" spans="1:3" x14ac:dyDescent="0.25">
      <c r="A770">
        <v>20110603</v>
      </c>
      <c r="B770">
        <v>-14425209.8812683</v>
      </c>
      <c r="C770">
        <v>18323993.166384101</v>
      </c>
    </row>
    <row r="771" spans="1:3" x14ac:dyDescent="0.25">
      <c r="A771">
        <v>20110606</v>
      </c>
      <c r="B771">
        <v>-17364834.239409599</v>
      </c>
      <c r="C771">
        <v>16960646.049092501</v>
      </c>
    </row>
    <row r="772" spans="1:3" x14ac:dyDescent="0.25">
      <c r="A772">
        <v>20110607</v>
      </c>
      <c r="B772">
        <v>-14591602.820998499</v>
      </c>
      <c r="C772">
        <v>18485716.069109701</v>
      </c>
    </row>
    <row r="773" spans="1:3" x14ac:dyDescent="0.25">
      <c r="A773">
        <v>20110608</v>
      </c>
      <c r="B773">
        <v>-10892881.1912541</v>
      </c>
      <c r="C773">
        <v>14505852.591848699</v>
      </c>
    </row>
    <row r="774" spans="1:3" x14ac:dyDescent="0.25">
      <c r="A774">
        <v>20110609</v>
      </c>
      <c r="B774">
        <v>-4801936.9921407904</v>
      </c>
      <c r="C774">
        <v>-770751.18346987199</v>
      </c>
    </row>
    <row r="775" spans="1:3" x14ac:dyDescent="0.25">
      <c r="A775">
        <v>20110610</v>
      </c>
      <c r="B775">
        <v>7470036.99308341</v>
      </c>
      <c r="C775">
        <v>-5399551.69208958</v>
      </c>
    </row>
    <row r="776" spans="1:3" x14ac:dyDescent="0.25">
      <c r="A776">
        <v>20110613</v>
      </c>
      <c r="B776">
        <v>8085509.7911823597</v>
      </c>
      <c r="C776">
        <v>-5763487.7956853099</v>
      </c>
    </row>
    <row r="777" spans="1:3" x14ac:dyDescent="0.25">
      <c r="A777">
        <v>20110614</v>
      </c>
      <c r="B777">
        <v>4406192.2399712503</v>
      </c>
      <c r="C777">
        <v>-14450658.734304201</v>
      </c>
    </row>
    <row r="778" spans="1:3" x14ac:dyDescent="0.25">
      <c r="A778">
        <v>20110615</v>
      </c>
      <c r="B778">
        <v>11014636.3513103</v>
      </c>
      <c r="C778">
        <v>-20987510.590996802</v>
      </c>
    </row>
    <row r="779" spans="1:3" x14ac:dyDescent="0.25">
      <c r="A779">
        <v>20110616</v>
      </c>
      <c r="B779">
        <v>11806918.628736399</v>
      </c>
      <c r="C779">
        <v>-2888103.60101368</v>
      </c>
    </row>
    <row r="780" spans="1:3" x14ac:dyDescent="0.25">
      <c r="A780">
        <v>20110617</v>
      </c>
      <c r="B780">
        <v>-94615.079198352905</v>
      </c>
      <c r="C780">
        <v>-3337172.2964367098</v>
      </c>
    </row>
    <row r="781" spans="1:3" x14ac:dyDescent="0.25">
      <c r="A781">
        <v>20110620</v>
      </c>
      <c r="B781">
        <v>3839990.04543895</v>
      </c>
      <c r="C781">
        <v>-2774293.2329097302</v>
      </c>
    </row>
    <row r="782" spans="1:3" x14ac:dyDescent="0.25">
      <c r="A782">
        <v>20110621</v>
      </c>
      <c r="B782">
        <v>9702062.1608026307</v>
      </c>
      <c r="C782">
        <v>3731801.4764381601</v>
      </c>
    </row>
    <row r="783" spans="1:3" x14ac:dyDescent="0.25">
      <c r="A783">
        <v>20110622</v>
      </c>
      <c r="B783">
        <v>-1097788.2493994001</v>
      </c>
      <c r="C783">
        <v>3108421.18587723</v>
      </c>
    </row>
    <row r="784" spans="1:3" x14ac:dyDescent="0.25">
      <c r="A784">
        <v>20110623</v>
      </c>
      <c r="B784">
        <v>5756062.0562660303</v>
      </c>
      <c r="C784">
        <v>-7193417.00087782</v>
      </c>
    </row>
    <row r="785" spans="1:3" x14ac:dyDescent="0.25">
      <c r="A785">
        <v>20110624</v>
      </c>
      <c r="B785">
        <v>7906228.9942196095</v>
      </c>
      <c r="C785">
        <v>2476185.7960754102</v>
      </c>
    </row>
    <row r="786" spans="1:3" x14ac:dyDescent="0.25">
      <c r="A786">
        <v>20110627</v>
      </c>
      <c r="B786">
        <v>1706104.78734676</v>
      </c>
      <c r="C786">
        <v>4876057.7778855199</v>
      </c>
    </row>
    <row r="787" spans="1:3" x14ac:dyDescent="0.25">
      <c r="A787">
        <v>20110628</v>
      </c>
      <c r="B787">
        <v>1948357.13267562</v>
      </c>
      <c r="C787">
        <v>9287870.0081844907</v>
      </c>
    </row>
    <row r="788" spans="1:3" x14ac:dyDescent="0.25">
      <c r="A788">
        <v>20110629</v>
      </c>
      <c r="B788">
        <v>-295558.41036550701</v>
      </c>
      <c r="C788">
        <v>-4753298.6177974902</v>
      </c>
    </row>
    <row r="789" spans="1:3" x14ac:dyDescent="0.25">
      <c r="A789">
        <v>20110630</v>
      </c>
      <c r="B789">
        <v>-16118324.999129299</v>
      </c>
      <c r="C789">
        <v>-13706066.0359949</v>
      </c>
    </row>
    <row r="790" spans="1:3" x14ac:dyDescent="0.25">
      <c r="A790">
        <v>20110701</v>
      </c>
      <c r="B790">
        <v>-12667144.2750648</v>
      </c>
      <c r="C790">
        <v>-20686190.4622196</v>
      </c>
    </row>
    <row r="791" spans="1:3" x14ac:dyDescent="0.25">
      <c r="A791">
        <v>20110704</v>
      </c>
      <c r="B791">
        <v>-8426638.1064758301</v>
      </c>
      <c r="C791">
        <v>-23940524.664307799</v>
      </c>
    </row>
    <row r="792" spans="1:3" x14ac:dyDescent="0.25">
      <c r="A792">
        <v>20110705</v>
      </c>
      <c r="B792">
        <v>-1744282.07715551</v>
      </c>
      <c r="C792">
        <v>-21424946.325473301</v>
      </c>
    </row>
    <row r="793" spans="1:3" x14ac:dyDescent="0.25">
      <c r="A793">
        <v>20110706</v>
      </c>
      <c r="B793">
        <v>2537702.3773590098</v>
      </c>
      <c r="C793">
        <v>-1877394.23262086</v>
      </c>
    </row>
    <row r="794" spans="1:3" x14ac:dyDescent="0.25">
      <c r="A794">
        <v>20110707</v>
      </c>
      <c r="B794">
        <v>6746151.1816203902</v>
      </c>
      <c r="C794">
        <v>-4272019.0249833297</v>
      </c>
    </row>
    <row r="795" spans="1:3" x14ac:dyDescent="0.25">
      <c r="A795">
        <v>20110708</v>
      </c>
      <c r="B795">
        <v>10663036.3191978</v>
      </c>
      <c r="C795">
        <v>5083829.43790837</v>
      </c>
    </row>
    <row r="796" spans="1:3" x14ac:dyDescent="0.25">
      <c r="A796">
        <v>20110711</v>
      </c>
      <c r="B796">
        <v>25105629.885698799</v>
      </c>
      <c r="C796">
        <v>5128588.0758081004</v>
      </c>
    </row>
    <row r="797" spans="1:3" x14ac:dyDescent="0.25">
      <c r="A797">
        <v>20110712</v>
      </c>
      <c r="B797">
        <v>24944549.433524501</v>
      </c>
      <c r="C797">
        <v>5104407.2264019996</v>
      </c>
    </row>
    <row r="798" spans="1:3" x14ac:dyDescent="0.25">
      <c r="A798">
        <v>20110713</v>
      </c>
      <c r="B798">
        <v>10450576.524245</v>
      </c>
      <c r="C798">
        <v>-10991365.945592601</v>
      </c>
    </row>
    <row r="799" spans="1:3" x14ac:dyDescent="0.25">
      <c r="A799">
        <v>20110714</v>
      </c>
      <c r="B799">
        <v>12006714.2095966</v>
      </c>
      <c r="C799">
        <v>-1693232.94495505</v>
      </c>
    </row>
    <row r="800" spans="1:3" x14ac:dyDescent="0.25">
      <c r="A800">
        <v>20110715</v>
      </c>
      <c r="B800">
        <v>8230604.3732209196</v>
      </c>
      <c r="C800">
        <v>-15197469.3393651</v>
      </c>
    </row>
    <row r="801" spans="1:3" x14ac:dyDescent="0.25">
      <c r="A801">
        <v>20110718</v>
      </c>
      <c r="B801">
        <v>722512.32294404495</v>
      </c>
      <c r="C801">
        <v>-12080407.5149823</v>
      </c>
    </row>
    <row r="802" spans="1:3" x14ac:dyDescent="0.25">
      <c r="A802">
        <v>20110719</v>
      </c>
      <c r="B802">
        <v>-11103642.2816111</v>
      </c>
      <c r="C802">
        <v>-23790720.0772705</v>
      </c>
    </row>
    <row r="803" spans="1:3" x14ac:dyDescent="0.25">
      <c r="A803">
        <v>20110720</v>
      </c>
      <c r="B803">
        <v>-1182094.7498695999</v>
      </c>
      <c r="C803">
        <v>-15064932.2941337</v>
      </c>
    </row>
    <row r="804" spans="1:3" x14ac:dyDescent="0.25">
      <c r="A804">
        <v>20110721</v>
      </c>
      <c r="B804">
        <v>-8795993.3341793809</v>
      </c>
      <c r="C804">
        <v>-20679422.7413374</v>
      </c>
    </row>
    <row r="805" spans="1:3" x14ac:dyDescent="0.25">
      <c r="A805">
        <v>20110722</v>
      </c>
      <c r="B805">
        <v>-10329617.5145678</v>
      </c>
      <c r="C805">
        <v>-7597916.1572206998</v>
      </c>
    </row>
    <row r="806" spans="1:3" x14ac:dyDescent="0.25">
      <c r="A806">
        <v>20110725</v>
      </c>
      <c r="B806">
        <v>-11849978.9699164</v>
      </c>
      <c r="C806">
        <v>-18422515.166075401</v>
      </c>
    </row>
    <row r="807" spans="1:3" x14ac:dyDescent="0.25">
      <c r="A807">
        <v>20110726</v>
      </c>
      <c r="B807">
        <v>-10261361.597029001</v>
      </c>
      <c r="C807">
        <v>-5176198.8752904497</v>
      </c>
    </row>
    <row r="808" spans="1:3" x14ac:dyDescent="0.25">
      <c r="A808">
        <v>20110727</v>
      </c>
      <c r="B808">
        <v>-3651434.1936453199</v>
      </c>
      <c r="C808">
        <v>3216945.64954068</v>
      </c>
    </row>
    <row r="809" spans="1:3" x14ac:dyDescent="0.25">
      <c r="A809">
        <v>20110728</v>
      </c>
      <c r="B809">
        <v>8976191.8994641993</v>
      </c>
      <c r="C809">
        <v>9226367.5040665306</v>
      </c>
    </row>
    <row r="810" spans="1:3" x14ac:dyDescent="0.25">
      <c r="A810">
        <v>20110729</v>
      </c>
      <c r="B810">
        <v>5730710.3371865703</v>
      </c>
      <c r="C810">
        <v>8123165.8315121904</v>
      </c>
    </row>
    <row r="811" spans="1:3" x14ac:dyDescent="0.25">
      <c r="A811">
        <v>20110801</v>
      </c>
      <c r="B811">
        <v>10490602.6896453</v>
      </c>
      <c r="C811">
        <v>26330588.595257699</v>
      </c>
    </row>
    <row r="812" spans="1:3" x14ac:dyDescent="0.25">
      <c r="A812">
        <v>20110802</v>
      </c>
      <c r="B812">
        <v>18345636.6049347</v>
      </c>
      <c r="C812">
        <v>24300477.639301199</v>
      </c>
    </row>
    <row r="813" spans="1:3" x14ac:dyDescent="0.25">
      <c r="A813">
        <v>20110803</v>
      </c>
      <c r="B813">
        <v>10177316.145824799</v>
      </c>
      <c r="C813">
        <v>28766812.224953499</v>
      </c>
    </row>
    <row r="814" spans="1:3" x14ac:dyDescent="0.25">
      <c r="A814">
        <v>20110804</v>
      </c>
      <c r="B814">
        <v>13348896.084459299</v>
      </c>
      <c r="C814">
        <v>36277826.811702304</v>
      </c>
    </row>
    <row r="815" spans="1:3" x14ac:dyDescent="0.25">
      <c r="A815">
        <v>20110805</v>
      </c>
      <c r="B815">
        <v>9729198.8278687708</v>
      </c>
      <c r="C815">
        <v>38011197.564869002</v>
      </c>
    </row>
    <row r="816" spans="1:3" x14ac:dyDescent="0.25">
      <c r="A816">
        <v>20110808</v>
      </c>
      <c r="B816">
        <v>2096348.10604839</v>
      </c>
      <c r="C816">
        <v>34421567.575681597</v>
      </c>
    </row>
    <row r="817" spans="1:3" x14ac:dyDescent="0.25">
      <c r="A817">
        <v>20110809</v>
      </c>
      <c r="B817">
        <v>1008651.59022523</v>
      </c>
      <c r="C817">
        <v>31930432.035873801</v>
      </c>
    </row>
    <row r="818" spans="1:3" x14ac:dyDescent="0.25">
      <c r="A818">
        <v>20110810</v>
      </c>
      <c r="B818">
        <v>3952277.4230795498</v>
      </c>
      <c r="C818">
        <v>23846757.438576601</v>
      </c>
    </row>
    <row r="819" spans="1:3" x14ac:dyDescent="0.25">
      <c r="A819">
        <v>20110811</v>
      </c>
      <c r="B819">
        <v>-421580.03292135103</v>
      </c>
      <c r="C819">
        <v>17633667.9346762</v>
      </c>
    </row>
    <row r="820" spans="1:3" x14ac:dyDescent="0.25">
      <c r="A820">
        <v>20110812</v>
      </c>
      <c r="B820">
        <v>14419231.8552806</v>
      </c>
      <c r="C820">
        <v>8467510.0140354596</v>
      </c>
    </row>
    <row r="821" spans="1:3" x14ac:dyDescent="0.25">
      <c r="A821">
        <v>20110815</v>
      </c>
      <c r="B821">
        <v>5326661.78800504</v>
      </c>
      <c r="C821">
        <v>-3513486.5803314601</v>
      </c>
    </row>
    <row r="822" spans="1:3" x14ac:dyDescent="0.25">
      <c r="A822">
        <v>20110816</v>
      </c>
      <c r="B822">
        <v>5401688.6824368499</v>
      </c>
      <c r="C822">
        <v>-1946731.27350169</v>
      </c>
    </row>
    <row r="823" spans="1:3" x14ac:dyDescent="0.25">
      <c r="A823">
        <v>20110817</v>
      </c>
      <c r="B823">
        <v>3026531.1470056199</v>
      </c>
      <c r="C823">
        <v>-4483283.2886998598</v>
      </c>
    </row>
    <row r="824" spans="1:3" x14ac:dyDescent="0.25">
      <c r="A824">
        <v>20110818</v>
      </c>
      <c r="B824">
        <v>10243101.445271101</v>
      </c>
      <c r="C824">
        <v>5614125.5319723701</v>
      </c>
    </row>
    <row r="825" spans="1:3" x14ac:dyDescent="0.25">
      <c r="A825">
        <v>20110819</v>
      </c>
      <c r="B825">
        <v>-1183004.3142474</v>
      </c>
      <c r="C825">
        <v>-1069465.4936570399</v>
      </c>
    </row>
    <row r="826" spans="1:3" x14ac:dyDescent="0.25">
      <c r="A826">
        <v>20110822</v>
      </c>
      <c r="B826">
        <v>10126441.395628801</v>
      </c>
      <c r="C826">
        <v>5187208.4894550703</v>
      </c>
    </row>
    <row r="827" spans="1:3" x14ac:dyDescent="0.25">
      <c r="A827">
        <v>20110823</v>
      </c>
      <c r="B827">
        <v>6755375.8878100105</v>
      </c>
      <c r="C827">
        <v>12124356.765016699</v>
      </c>
    </row>
    <row r="828" spans="1:3" x14ac:dyDescent="0.25">
      <c r="A828">
        <v>20110824</v>
      </c>
      <c r="B828">
        <v>1265894.06555919</v>
      </c>
      <c r="C828">
        <v>8646499.4475906808</v>
      </c>
    </row>
    <row r="829" spans="1:3" x14ac:dyDescent="0.25">
      <c r="A829">
        <v>20110825</v>
      </c>
      <c r="B829">
        <v>-3892164.0510794199</v>
      </c>
      <c r="C829">
        <v>-11347289.800668901</v>
      </c>
    </row>
    <row r="830" spans="1:3" x14ac:dyDescent="0.25">
      <c r="A830">
        <v>20110826</v>
      </c>
      <c r="B830">
        <v>-60141.799822069697</v>
      </c>
      <c r="C830">
        <v>-3608091.02676736</v>
      </c>
    </row>
    <row r="831" spans="1:3" x14ac:dyDescent="0.25">
      <c r="A831">
        <v>20110829</v>
      </c>
      <c r="B831">
        <v>-4087765.1252741599</v>
      </c>
      <c r="C831">
        <v>-16517320.2983192</v>
      </c>
    </row>
    <row r="832" spans="1:3" x14ac:dyDescent="0.25">
      <c r="A832">
        <v>20110830</v>
      </c>
      <c r="B832">
        <v>3157971.0280446201</v>
      </c>
      <c r="C832">
        <v>-17532295.2053723</v>
      </c>
    </row>
    <row r="833" spans="1:3" x14ac:dyDescent="0.25">
      <c r="A833">
        <v>20110831</v>
      </c>
      <c r="B833">
        <v>9398729.0550406706</v>
      </c>
      <c r="C833">
        <v>-15677112.988093</v>
      </c>
    </row>
    <row r="834" spans="1:3" x14ac:dyDescent="0.25">
      <c r="A834">
        <v>20110901</v>
      </c>
      <c r="B834">
        <v>11888226.8216749</v>
      </c>
      <c r="C834">
        <v>-9297817.1493170802</v>
      </c>
    </row>
    <row r="835" spans="1:3" x14ac:dyDescent="0.25">
      <c r="A835">
        <v>20110902</v>
      </c>
      <c r="B835">
        <v>13996086.232192401</v>
      </c>
      <c r="C835">
        <v>-8177902.4451056197</v>
      </c>
    </row>
    <row r="836" spans="1:3" x14ac:dyDescent="0.25">
      <c r="A836">
        <v>20110905</v>
      </c>
      <c r="B836">
        <v>27369959.581022099</v>
      </c>
      <c r="C836">
        <v>16282527.614290399</v>
      </c>
    </row>
    <row r="837" spans="1:3" x14ac:dyDescent="0.25">
      <c r="A837">
        <v>20110906</v>
      </c>
      <c r="B837">
        <v>21696579.3619413</v>
      </c>
      <c r="C837">
        <v>12611593.5713048</v>
      </c>
    </row>
    <row r="838" spans="1:3" x14ac:dyDescent="0.25">
      <c r="A838">
        <v>20110907</v>
      </c>
      <c r="B838">
        <v>19794239.652470902</v>
      </c>
      <c r="C838">
        <v>9667161.7460324597</v>
      </c>
    </row>
    <row r="839" spans="1:3" x14ac:dyDescent="0.25">
      <c r="A839">
        <v>20110908</v>
      </c>
      <c r="B839">
        <v>16761896.6695008</v>
      </c>
      <c r="C839">
        <v>5443660.94075628</v>
      </c>
    </row>
    <row r="840" spans="1:3" x14ac:dyDescent="0.25">
      <c r="A840">
        <v>20110909</v>
      </c>
      <c r="B840">
        <v>25642893.323554199</v>
      </c>
      <c r="C840">
        <v>9777935.6128054895</v>
      </c>
    </row>
    <row r="841" spans="1:3" x14ac:dyDescent="0.25">
      <c r="A841">
        <v>20110912</v>
      </c>
      <c r="B841">
        <v>22549700.104572199</v>
      </c>
      <c r="C841">
        <v>-12030325.2410283</v>
      </c>
    </row>
    <row r="842" spans="1:3" x14ac:dyDescent="0.25">
      <c r="A842">
        <v>20110913</v>
      </c>
      <c r="B842">
        <v>18078638.894912001</v>
      </c>
      <c r="C842">
        <v>-23162324.1738065</v>
      </c>
    </row>
    <row r="843" spans="1:3" x14ac:dyDescent="0.25">
      <c r="A843">
        <v>20110914</v>
      </c>
      <c r="B843">
        <v>16728409.8172468</v>
      </c>
      <c r="C843">
        <v>-23002105.196659401</v>
      </c>
    </row>
    <row r="844" spans="1:3" x14ac:dyDescent="0.25">
      <c r="A844">
        <v>20110915</v>
      </c>
      <c r="B844">
        <v>6643112.8008895097</v>
      </c>
      <c r="C844">
        <v>-24821223.807860199</v>
      </c>
    </row>
    <row r="845" spans="1:3" x14ac:dyDescent="0.25">
      <c r="A845">
        <v>20110916</v>
      </c>
      <c r="B845">
        <v>-1822660.9960984299</v>
      </c>
      <c r="C845">
        <v>-34259517.409708403</v>
      </c>
    </row>
    <row r="846" spans="1:3" x14ac:dyDescent="0.25">
      <c r="A846">
        <v>20110919</v>
      </c>
      <c r="B846">
        <v>-198516.82050303501</v>
      </c>
      <c r="C846">
        <v>-31228430.330550302</v>
      </c>
    </row>
    <row r="847" spans="1:3" x14ac:dyDescent="0.25">
      <c r="A847">
        <v>20110920</v>
      </c>
      <c r="B847">
        <v>-2437676.90175677</v>
      </c>
      <c r="C847">
        <v>-18125762.058415402</v>
      </c>
    </row>
    <row r="848" spans="1:3" x14ac:dyDescent="0.25">
      <c r="A848">
        <v>20110921</v>
      </c>
      <c r="B848">
        <v>-692888.01038508106</v>
      </c>
      <c r="C848">
        <v>-17128710.578593001</v>
      </c>
    </row>
    <row r="849" spans="1:3" x14ac:dyDescent="0.25">
      <c r="A849">
        <v>20110922</v>
      </c>
      <c r="B849">
        <v>20764449.4842664</v>
      </c>
      <c r="C849">
        <v>10137546.529637599</v>
      </c>
    </row>
    <row r="850" spans="1:3" x14ac:dyDescent="0.25">
      <c r="A850">
        <v>20110923</v>
      </c>
      <c r="B850">
        <v>11962053.002031701</v>
      </c>
      <c r="C850">
        <v>12641441.3308917</v>
      </c>
    </row>
    <row r="851" spans="1:3" x14ac:dyDescent="0.25">
      <c r="A851">
        <v>20110926</v>
      </c>
      <c r="B851">
        <v>5789308.1923530502</v>
      </c>
      <c r="C851">
        <v>30569740.3436586</v>
      </c>
    </row>
    <row r="852" spans="1:3" x14ac:dyDescent="0.25">
      <c r="A852">
        <v>20110927</v>
      </c>
      <c r="B852">
        <v>5422500.0451983605</v>
      </c>
      <c r="C852">
        <v>17412625.716646001</v>
      </c>
    </row>
    <row r="853" spans="1:3" x14ac:dyDescent="0.25">
      <c r="A853">
        <v>20110928</v>
      </c>
      <c r="B853">
        <v>9809784.6308378708</v>
      </c>
      <c r="C853">
        <v>30046823.169227902</v>
      </c>
    </row>
    <row r="854" spans="1:3" x14ac:dyDescent="0.25">
      <c r="A854">
        <v>20110929</v>
      </c>
      <c r="B854">
        <v>-2178864.38517502</v>
      </c>
      <c r="C854">
        <v>17447471.1285851</v>
      </c>
    </row>
    <row r="855" spans="1:3" x14ac:dyDescent="0.25">
      <c r="A855">
        <v>20110930</v>
      </c>
      <c r="B855">
        <v>14243447.3244686</v>
      </c>
      <c r="C855">
        <v>26769382.430851799</v>
      </c>
    </row>
    <row r="856" spans="1:3" x14ac:dyDescent="0.25">
      <c r="A856">
        <v>20111003</v>
      </c>
      <c r="B856">
        <v>19482512.985711999</v>
      </c>
      <c r="C856">
        <v>14186621.233660599</v>
      </c>
    </row>
    <row r="857" spans="1:3" x14ac:dyDescent="0.25">
      <c r="A857">
        <v>20111004</v>
      </c>
      <c r="B857">
        <v>21787642.7480321</v>
      </c>
      <c r="C857">
        <v>38178919.894100003</v>
      </c>
    </row>
    <row r="858" spans="1:3" x14ac:dyDescent="0.25">
      <c r="A858">
        <v>20111005</v>
      </c>
      <c r="B858">
        <v>16552627.0951679</v>
      </c>
      <c r="C858">
        <v>21334013.840915501</v>
      </c>
    </row>
    <row r="859" spans="1:3" x14ac:dyDescent="0.25">
      <c r="A859">
        <v>20111006</v>
      </c>
      <c r="B859">
        <v>10798590.149215801</v>
      </c>
      <c r="C859">
        <v>13152990.5346583</v>
      </c>
    </row>
    <row r="860" spans="1:3" x14ac:dyDescent="0.25">
      <c r="A860">
        <v>20111007</v>
      </c>
      <c r="B860">
        <v>-4571183.5925824698</v>
      </c>
      <c r="C860">
        <v>-5291484.7565414496</v>
      </c>
    </row>
    <row r="861" spans="1:3" x14ac:dyDescent="0.25">
      <c r="A861">
        <v>20111010</v>
      </c>
      <c r="B861">
        <v>-16532553.2302517</v>
      </c>
      <c r="C861">
        <v>-1408179.6342602901</v>
      </c>
    </row>
    <row r="862" spans="1:3" x14ac:dyDescent="0.25">
      <c r="A862">
        <v>20111011</v>
      </c>
      <c r="B862">
        <v>-10051917.871972101</v>
      </c>
      <c r="C862">
        <v>-15077833.535346</v>
      </c>
    </row>
    <row r="863" spans="1:3" x14ac:dyDescent="0.25">
      <c r="A863">
        <v>20111012</v>
      </c>
      <c r="B863">
        <v>-15339337.846538</v>
      </c>
      <c r="C863">
        <v>-19307800.206636701</v>
      </c>
    </row>
    <row r="864" spans="1:3" x14ac:dyDescent="0.25">
      <c r="A864">
        <v>20111013</v>
      </c>
      <c r="B864">
        <v>-13190447.2290961</v>
      </c>
      <c r="C864">
        <v>-10036289.8529242</v>
      </c>
    </row>
    <row r="865" spans="1:3" x14ac:dyDescent="0.25">
      <c r="A865">
        <v>20111014</v>
      </c>
      <c r="B865">
        <v>-14823233.494337</v>
      </c>
      <c r="C865">
        <v>-13954136.090715701</v>
      </c>
    </row>
    <row r="866" spans="1:3" x14ac:dyDescent="0.25">
      <c r="A866">
        <v>20111017</v>
      </c>
      <c r="B866">
        <v>-3947741.5821268898</v>
      </c>
      <c r="C866">
        <v>-13003238.7931813</v>
      </c>
    </row>
    <row r="867" spans="1:3" x14ac:dyDescent="0.25">
      <c r="A867">
        <v>20111018</v>
      </c>
      <c r="B867">
        <v>-3061959.83959337</v>
      </c>
      <c r="C867">
        <v>-15355221.8201993</v>
      </c>
    </row>
    <row r="868" spans="1:3" x14ac:dyDescent="0.25">
      <c r="A868">
        <v>20111019</v>
      </c>
      <c r="B868">
        <v>3103113.0230187001</v>
      </c>
      <c r="C868">
        <v>-9081079.0846387297</v>
      </c>
    </row>
    <row r="869" spans="1:3" x14ac:dyDescent="0.25">
      <c r="A869">
        <v>20111020</v>
      </c>
      <c r="B869">
        <v>5616715.6878808802</v>
      </c>
      <c r="C869">
        <v>-19283744.141076799</v>
      </c>
    </row>
    <row r="870" spans="1:3" x14ac:dyDescent="0.25">
      <c r="A870">
        <v>20111021</v>
      </c>
      <c r="B870">
        <v>4887956.8158829501</v>
      </c>
      <c r="C870">
        <v>-21415703.276972398</v>
      </c>
    </row>
    <row r="871" spans="1:3" x14ac:dyDescent="0.25">
      <c r="A871">
        <v>20111024</v>
      </c>
      <c r="B871">
        <v>-841751.24316518498</v>
      </c>
      <c r="C871">
        <v>-25274325.353609599</v>
      </c>
    </row>
    <row r="872" spans="1:3" x14ac:dyDescent="0.25">
      <c r="A872">
        <v>20111025</v>
      </c>
      <c r="B872">
        <v>-5357211.0847184705</v>
      </c>
      <c r="C872">
        <v>-1379036.5892266</v>
      </c>
    </row>
    <row r="873" spans="1:3" x14ac:dyDescent="0.25">
      <c r="A873">
        <v>20111026</v>
      </c>
      <c r="B873">
        <v>654618.61933379597</v>
      </c>
      <c r="C873">
        <v>4654097.6614791602</v>
      </c>
    </row>
    <row r="874" spans="1:3" x14ac:dyDescent="0.25">
      <c r="A874">
        <v>20111027</v>
      </c>
      <c r="B874">
        <v>-18692357.608895399</v>
      </c>
      <c r="C874">
        <v>-10797704.5758454</v>
      </c>
    </row>
    <row r="875" spans="1:3" x14ac:dyDescent="0.25">
      <c r="A875">
        <v>20111028</v>
      </c>
      <c r="B875">
        <v>-3324753.2644013902</v>
      </c>
      <c r="C875">
        <v>9635546.4743410591</v>
      </c>
    </row>
    <row r="876" spans="1:3" x14ac:dyDescent="0.25">
      <c r="A876">
        <v>20111031</v>
      </c>
      <c r="B876">
        <v>-979252.95722394402</v>
      </c>
      <c r="C876">
        <v>5750607.00188113</v>
      </c>
    </row>
    <row r="877" spans="1:3" x14ac:dyDescent="0.25">
      <c r="A877">
        <v>20111101</v>
      </c>
      <c r="B877">
        <v>11768298.794895001</v>
      </c>
      <c r="C877">
        <v>3598609.15535628</v>
      </c>
    </row>
    <row r="878" spans="1:3" x14ac:dyDescent="0.25">
      <c r="A878">
        <v>20111102</v>
      </c>
      <c r="B878">
        <v>5256518.3776637204</v>
      </c>
      <c r="C878">
        <v>464829.74037940998</v>
      </c>
    </row>
    <row r="879" spans="1:3" x14ac:dyDescent="0.25">
      <c r="A879">
        <v>20111103</v>
      </c>
      <c r="B879">
        <v>19332878.534731701</v>
      </c>
      <c r="C879">
        <v>22187897.116193399</v>
      </c>
    </row>
    <row r="880" spans="1:3" x14ac:dyDescent="0.25">
      <c r="A880">
        <v>20111104</v>
      </c>
      <c r="B880">
        <v>20991377.1156043</v>
      </c>
      <c r="C880">
        <v>24291629.688934699</v>
      </c>
    </row>
    <row r="881" spans="1:3" x14ac:dyDescent="0.25">
      <c r="A881">
        <v>20111107</v>
      </c>
      <c r="B881">
        <v>11364166.0768007</v>
      </c>
      <c r="C881">
        <v>25965610.499080598</v>
      </c>
    </row>
    <row r="882" spans="1:3" x14ac:dyDescent="0.25">
      <c r="A882">
        <v>20111108</v>
      </c>
      <c r="B882">
        <v>-923161.80423556198</v>
      </c>
      <c r="C882">
        <v>4069179.6276047099</v>
      </c>
    </row>
    <row r="883" spans="1:3" x14ac:dyDescent="0.25">
      <c r="A883">
        <v>20111109</v>
      </c>
      <c r="B883">
        <v>9647677.1042644996</v>
      </c>
      <c r="C883">
        <v>7307262.9897429002</v>
      </c>
    </row>
    <row r="884" spans="1:3" x14ac:dyDescent="0.25">
      <c r="A884">
        <v>20111110</v>
      </c>
      <c r="B884">
        <v>9180035.6925961301</v>
      </c>
      <c r="C884">
        <v>5328249.6186074102</v>
      </c>
    </row>
    <row r="885" spans="1:3" x14ac:dyDescent="0.25">
      <c r="A885">
        <v>20111111</v>
      </c>
      <c r="B885">
        <v>2716060.5518123801</v>
      </c>
      <c r="C885">
        <v>-10801387.203944201</v>
      </c>
    </row>
    <row r="886" spans="1:3" x14ac:dyDescent="0.25">
      <c r="A886">
        <v>20111114</v>
      </c>
      <c r="B886">
        <v>4736011.9186094403</v>
      </c>
      <c r="C886">
        <v>-8000684.4182909802</v>
      </c>
    </row>
    <row r="887" spans="1:3" x14ac:dyDescent="0.25">
      <c r="A887">
        <v>20111115</v>
      </c>
      <c r="B887">
        <v>10269752.427100901</v>
      </c>
      <c r="C887">
        <v>-2401863.8216209998</v>
      </c>
    </row>
    <row r="888" spans="1:3" x14ac:dyDescent="0.25">
      <c r="A888">
        <v>20111116</v>
      </c>
      <c r="B888">
        <v>7220980.9223313397</v>
      </c>
      <c r="C888">
        <v>-5707126.8520860504</v>
      </c>
    </row>
    <row r="889" spans="1:3" x14ac:dyDescent="0.25">
      <c r="A889">
        <v>20111117</v>
      </c>
      <c r="B889">
        <v>7965700.27936396</v>
      </c>
      <c r="C889">
        <v>-6917679.6985068796</v>
      </c>
    </row>
    <row r="890" spans="1:3" x14ac:dyDescent="0.25">
      <c r="A890">
        <v>20111118</v>
      </c>
      <c r="B890">
        <v>14413126.2316461</v>
      </c>
      <c r="C890">
        <v>-2948844.6668266202</v>
      </c>
    </row>
    <row r="891" spans="1:3" x14ac:dyDescent="0.25">
      <c r="A891">
        <v>20111121</v>
      </c>
      <c r="B891">
        <v>12364808.514335399</v>
      </c>
      <c r="C891">
        <v>5514839.3768351302</v>
      </c>
    </row>
    <row r="892" spans="1:3" x14ac:dyDescent="0.25">
      <c r="A892">
        <v>20111122</v>
      </c>
      <c r="B892">
        <v>8126957.98417632</v>
      </c>
      <c r="C892">
        <v>-2225351.8215406602</v>
      </c>
    </row>
    <row r="893" spans="1:3" x14ac:dyDescent="0.25">
      <c r="A893">
        <v>20111123</v>
      </c>
      <c r="B893">
        <v>11536192.990865899</v>
      </c>
      <c r="C893">
        <v>9340454.3027296197</v>
      </c>
    </row>
    <row r="894" spans="1:3" x14ac:dyDescent="0.25">
      <c r="A894">
        <v>20111124</v>
      </c>
      <c r="B894">
        <v>11084240.246280599</v>
      </c>
      <c r="C894">
        <v>9624195.1675001103</v>
      </c>
    </row>
    <row r="895" spans="1:3" x14ac:dyDescent="0.25">
      <c r="A895">
        <v>20111125</v>
      </c>
      <c r="B895">
        <v>11581684.2166075</v>
      </c>
      <c r="C895">
        <v>9094953.5450514499</v>
      </c>
    </row>
    <row r="896" spans="1:3" x14ac:dyDescent="0.25">
      <c r="A896">
        <v>20111128</v>
      </c>
      <c r="B896">
        <v>7113839.7124784105</v>
      </c>
      <c r="C896">
        <v>-16996501.6221717</v>
      </c>
    </row>
    <row r="897" spans="1:3" x14ac:dyDescent="0.25">
      <c r="A897">
        <v>20111129</v>
      </c>
      <c r="B897">
        <v>4723644.1522583002</v>
      </c>
      <c r="C897">
        <v>-12568450.6955458</v>
      </c>
    </row>
    <row r="898" spans="1:3" x14ac:dyDescent="0.25">
      <c r="A898">
        <v>20111130</v>
      </c>
      <c r="B898">
        <v>-5147581.8789845798</v>
      </c>
      <c r="C898">
        <v>-22699034.453555301</v>
      </c>
    </row>
    <row r="899" spans="1:3" x14ac:dyDescent="0.25">
      <c r="A899">
        <v>20111201</v>
      </c>
      <c r="B899">
        <v>-7377096.9255757397</v>
      </c>
      <c r="C899">
        <v>-11911762.1131086</v>
      </c>
    </row>
    <row r="900" spans="1:3" x14ac:dyDescent="0.25">
      <c r="A900">
        <v>20111202</v>
      </c>
      <c r="B900">
        <v>-5342154.0292042699</v>
      </c>
      <c r="C900">
        <v>-3986260.5395760299</v>
      </c>
    </row>
    <row r="901" spans="1:3" x14ac:dyDescent="0.25">
      <c r="A901">
        <v>20111205</v>
      </c>
      <c r="B901">
        <v>-1386026.9956310701</v>
      </c>
      <c r="C901">
        <v>11275425.091483399</v>
      </c>
    </row>
    <row r="902" spans="1:3" x14ac:dyDescent="0.25">
      <c r="A902">
        <v>20111206</v>
      </c>
      <c r="B902">
        <v>4685770.8542249799</v>
      </c>
      <c r="C902">
        <v>7931632.6409013001</v>
      </c>
    </row>
    <row r="903" spans="1:3" x14ac:dyDescent="0.25">
      <c r="A903">
        <v>20111207</v>
      </c>
      <c r="B903">
        <v>8202506.6913876701</v>
      </c>
      <c r="C903">
        <v>6162327.8057073997</v>
      </c>
    </row>
    <row r="904" spans="1:3" x14ac:dyDescent="0.25">
      <c r="A904">
        <v>20111208</v>
      </c>
      <c r="B904">
        <v>9228157.5594278108</v>
      </c>
      <c r="C904">
        <v>-508334.80508393998</v>
      </c>
    </row>
    <row r="905" spans="1:3" x14ac:dyDescent="0.25">
      <c r="A905">
        <v>20111209</v>
      </c>
      <c r="B905">
        <v>4674201.7024904396</v>
      </c>
      <c r="C905">
        <v>-2260485.0042860401</v>
      </c>
    </row>
    <row r="906" spans="1:3" x14ac:dyDescent="0.25">
      <c r="A906">
        <v>20111212</v>
      </c>
      <c r="B906">
        <v>12524891.261049099</v>
      </c>
      <c r="C906">
        <v>-3733942.3854352999</v>
      </c>
    </row>
    <row r="907" spans="1:3" x14ac:dyDescent="0.25">
      <c r="A907">
        <v>20111213</v>
      </c>
      <c r="B907">
        <v>17339211.728558999</v>
      </c>
      <c r="C907">
        <v>-470595.62416171603</v>
      </c>
    </row>
    <row r="908" spans="1:3" x14ac:dyDescent="0.25">
      <c r="A908">
        <v>20111214</v>
      </c>
      <c r="B908">
        <v>32242725.488220301</v>
      </c>
      <c r="C908">
        <v>9311010.9040684998</v>
      </c>
    </row>
    <row r="909" spans="1:3" x14ac:dyDescent="0.25">
      <c r="A909">
        <v>20111215</v>
      </c>
      <c r="B909">
        <v>37885467.9629279</v>
      </c>
      <c r="C909">
        <v>-1577909.4545279499</v>
      </c>
    </row>
    <row r="910" spans="1:3" x14ac:dyDescent="0.25">
      <c r="A910">
        <v>20111216</v>
      </c>
      <c r="B910">
        <v>36552376.839237601</v>
      </c>
      <c r="C910">
        <v>11721174.7727169</v>
      </c>
    </row>
    <row r="911" spans="1:3" x14ac:dyDescent="0.25">
      <c r="A911">
        <v>20111219</v>
      </c>
      <c r="B911">
        <v>28004386.120711502</v>
      </c>
      <c r="C911">
        <v>14295623.381493799</v>
      </c>
    </row>
    <row r="912" spans="1:3" x14ac:dyDescent="0.25">
      <c r="A912">
        <v>20111220</v>
      </c>
      <c r="B912">
        <v>16146675.140244599</v>
      </c>
      <c r="C912">
        <v>8689654.3373913709</v>
      </c>
    </row>
    <row r="913" spans="1:3" x14ac:dyDescent="0.25">
      <c r="A913">
        <v>20111221</v>
      </c>
      <c r="B913">
        <v>5113718.8563044602</v>
      </c>
      <c r="C913">
        <v>4536502.1443047896</v>
      </c>
    </row>
    <row r="914" spans="1:3" x14ac:dyDescent="0.25">
      <c r="A914">
        <v>20111222</v>
      </c>
      <c r="B914">
        <v>-2055058.8531234299</v>
      </c>
      <c r="C914">
        <v>163861.81481289901</v>
      </c>
    </row>
    <row r="915" spans="1:3" x14ac:dyDescent="0.25">
      <c r="A915">
        <v>20111223</v>
      </c>
      <c r="B915">
        <v>4741066.4521637103</v>
      </c>
      <c r="C915">
        <v>-18132880.2932253</v>
      </c>
    </row>
    <row r="916" spans="1:3" x14ac:dyDescent="0.25">
      <c r="A916">
        <v>20111226</v>
      </c>
      <c r="B916">
        <v>6247832.6801751005</v>
      </c>
      <c r="C916">
        <v>-18189026.661544699</v>
      </c>
    </row>
    <row r="917" spans="1:3" x14ac:dyDescent="0.25">
      <c r="A917">
        <v>20111227</v>
      </c>
      <c r="B917">
        <v>5414563.5972526204</v>
      </c>
      <c r="C917">
        <v>-11121008.210172901</v>
      </c>
    </row>
    <row r="918" spans="1:3" x14ac:dyDescent="0.25">
      <c r="A918">
        <v>20111228</v>
      </c>
      <c r="B918">
        <v>-716704.57262422796</v>
      </c>
      <c r="C918">
        <v>-15121445.5837426</v>
      </c>
    </row>
    <row r="919" spans="1:3" x14ac:dyDescent="0.25">
      <c r="A919">
        <v>20111229</v>
      </c>
      <c r="B919">
        <v>-580473.87400361104</v>
      </c>
      <c r="C919">
        <v>-8158061.9886581302</v>
      </c>
    </row>
    <row r="920" spans="1:3" x14ac:dyDescent="0.25">
      <c r="A920">
        <v>20111230</v>
      </c>
      <c r="B920">
        <v>-4824092.0755584603</v>
      </c>
      <c r="C920">
        <v>-4608741.3382829102</v>
      </c>
    </row>
    <row r="921" spans="1:3" x14ac:dyDescent="0.25">
      <c r="A921">
        <v>20120102</v>
      </c>
      <c r="B921">
        <v>-6321586.3923780899</v>
      </c>
      <c r="C921">
        <v>-1072300.5100783</v>
      </c>
    </row>
    <row r="922" spans="1:3" x14ac:dyDescent="0.25">
      <c r="A922">
        <v>20120103</v>
      </c>
      <c r="B922">
        <v>-11097427.034122899</v>
      </c>
      <c r="C922">
        <v>-9049205.7553743701</v>
      </c>
    </row>
    <row r="923" spans="1:3" x14ac:dyDescent="0.25">
      <c r="A923">
        <v>20120104</v>
      </c>
      <c r="B923">
        <v>-1156940.96524372</v>
      </c>
      <c r="C923">
        <v>-1750541.0207024701</v>
      </c>
    </row>
    <row r="924" spans="1:3" x14ac:dyDescent="0.25">
      <c r="A924">
        <v>20120105</v>
      </c>
      <c r="B924">
        <v>14011285.418683499</v>
      </c>
      <c r="C924">
        <v>6001012.7381150704</v>
      </c>
    </row>
    <row r="925" spans="1:3" x14ac:dyDescent="0.25">
      <c r="A925">
        <v>20120106</v>
      </c>
      <c r="B925">
        <v>19211265.247563899</v>
      </c>
      <c r="C925">
        <v>11722172.8148451</v>
      </c>
    </row>
    <row r="926" spans="1:3" x14ac:dyDescent="0.25">
      <c r="A926">
        <v>20120109</v>
      </c>
      <c r="B926">
        <v>17393012.622240301</v>
      </c>
      <c r="C926">
        <v>12381691.771016</v>
      </c>
    </row>
    <row r="927" spans="1:3" x14ac:dyDescent="0.25">
      <c r="A927">
        <v>20120110</v>
      </c>
      <c r="B927">
        <v>19353402.520660501</v>
      </c>
      <c r="C927">
        <v>19962521.144114099</v>
      </c>
    </row>
    <row r="928" spans="1:3" x14ac:dyDescent="0.25">
      <c r="A928">
        <v>20120111</v>
      </c>
      <c r="B928">
        <v>14233805.9022376</v>
      </c>
      <c r="C928">
        <v>14523078.2176702</v>
      </c>
    </row>
    <row r="929" spans="1:3" x14ac:dyDescent="0.25">
      <c r="A929">
        <v>20120112</v>
      </c>
      <c r="B929">
        <v>-6613450.2140851701</v>
      </c>
      <c r="C929">
        <v>13534159.4475774</v>
      </c>
    </row>
    <row r="930" spans="1:3" x14ac:dyDescent="0.25">
      <c r="A930">
        <v>20120113</v>
      </c>
      <c r="B930">
        <v>421582.70336359699</v>
      </c>
      <c r="C930">
        <v>13133097.829495201</v>
      </c>
    </row>
    <row r="931" spans="1:3" x14ac:dyDescent="0.25">
      <c r="A931">
        <v>20120116</v>
      </c>
      <c r="B931">
        <v>6822241.9674572796</v>
      </c>
      <c r="C931">
        <v>4183377.6164720701</v>
      </c>
    </row>
    <row r="932" spans="1:3" x14ac:dyDescent="0.25">
      <c r="A932">
        <v>20120117</v>
      </c>
      <c r="B932">
        <v>-289333.88679691398</v>
      </c>
      <c r="C932">
        <v>5771293.2438450102</v>
      </c>
    </row>
    <row r="933" spans="1:3" x14ac:dyDescent="0.25">
      <c r="A933">
        <v>20120118</v>
      </c>
      <c r="B933">
        <v>-5420242.4032149296</v>
      </c>
      <c r="C933">
        <v>14054452.701779099</v>
      </c>
    </row>
    <row r="934" spans="1:3" x14ac:dyDescent="0.25">
      <c r="A934">
        <v>20120119</v>
      </c>
      <c r="B934">
        <v>-7540548.8063053302</v>
      </c>
      <c r="C934">
        <v>7622985.6519142799</v>
      </c>
    </row>
    <row r="935" spans="1:3" x14ac:dyDescent="0.25">
      <c r="A935">
        <v>20120120</v>
      </c>
      <c r="B935">
        <v>-20378697.389361899</v>
      </c>
      <c r="C935">
        <v>8566334.8799928408</v>
      </c>
    </row>
    <row r="936" spans="1:3" x14ac:dyDescent="0.25">
      <c r="A936">
        <v>20120123</v>
      </c>
      <c r="B936">
        <v>-28610158.6175742</v>
      </c>
      <c r="C936">
        <v>9157966.0470650196</v>
      </c>
    </row>
    <row r="937" spans="1:3" x14ac:dyDescent="0.25">
      <c r="A937">
        <v>20120124</v>
      </c>
      <c r="B937">
        <v>-18368522.692995202</v>
      </c>
      <c r="C937">
        <v>7009700.0531311799</v>
      </c>
    </row>
    <row r="938" spans="1:3" x14ac:dyDescent="0.25">
      <c r="A938">
        <v>20120125</v>
      </c>
      <c r="B938">
        <v>-18043660.633813199</v>
      </c>
      <c r="C938">
        <v>2251766.29275055</v>
      </c>
    </row>
    <row r="939" spans="1:3" x14ac:dyDescent="0.25">
      <c r="A939">
        <v>20120126</v>
      </c>
      <c r="B939">
        <v>-16325206.371010499</v>
      </c>
      <c r="C939">
        <v>-2782169.7811783901</v>
      </c>
    </row>
    <row r="940" spans="1:3" x14ac:dyDescent="0.25">
      <c r="A940">
        <v>20120127</v>
      </c>
      <c r="B940">
        <v>-10518859.826130399</v>
      </c>
      <c r="C940">
        <v>-1390722.6132348101</v>
      </c>
    </row>
    <row r="941" spans="1:3" x14ac:dyDescent="0.25">
      <c r="A941">
        <v>20120130</v>
      </c>
      <c r="B941">
        <v>-6159683.8285640702</v>
      </c>
      <c r="C941">
        <v>2932807.2501087599</v>
      </c>
    </row>
    <row r="942" spans="1:3" x14ac:dyDescent="0.25">
      <c r="A942">
        <v>20120131</v>
      </c>
      <c r="B942">
        <v>-4347416.4438346596</v>
      </c>
      <c r="C942">
        <v>5321483.3823811701</v>
      </c>
    </row>
    <row r="943" spans="1:3" x14ac:dyDescent="0.25">
      <c r="A943">
        <v>20120201</v>
      </c>
      <c r="B943">
        <v>-9223102.6689042691</v>
      </c>
      <c r="C943">
        <v>3252150.3279802101</v>
      </c>
    </row>
    <row r="944" spans="1:3" x14ac:dyDescent="0.25">
      <c r="A944">
        <v>20120202</v>
      </c>
      <c r="B944">
        <v>-2896929.7511988501</v>
      </c>
      <c r="C944">
        <v>13892353.610051399</v>
      </c>
    </row>
    <row r="945" spans="1:3" x14ac:dyDescent="0.25">
      <c r="A945">
        <v>20120203</v>
      </c>
      <c r="B945">
        <v>-4872636.9525811402</v>
      </c>
      <c r="C945">
        <v>6741578.5791462399</v>
      </c>
    </row>
    <row r="946" spans="1:3" x14ac:dyDescent="0.25">
      <c r="A946">
        <v>20120206</v>
      </c>
      <c r="B946">
        <v>-4042594.5158313601</v>
      </c>
      <c r="C946">
        <v>2523898.7147600702</v>
      </c>
    </row>
    <row r="947" spans="1:3" x14ac:dyDescent="0.25">
      <c r="A947">
        <v>20120207</v>
      </c>
      <c r="B947">
        <v>-15950430.888150901</v>
      </c>
      <c r="C947">
        <v>-546129.34452474001</v>
      </c>
    </row>
    <row r="948" spans="1:3" x14ac:dyDescent="0.25">
      <c r="A948">
        <v>20120208</v>
      </c>
      <c r="B948">
        <v>-12711146.1672685</v>
      </c>
      <c r="C948">
        <v>-521436.98934393999</v>
      </c>
    </row>
    <row r="949" spans="1:3" x14ac:dyDescent="0.25">
      <c r="A949">
        <v>20120209</v>
      </c>
      <c r="B949">
        <v>-15762908.3149011</v>
      </c>
      <c r="C949">
        <v>-10488946.0198291</v>
      </c>
    </row>
    <row r="950" spans="1:3" x14ac:dyDescent="0.25">
      <c r="A950">
        <v>20120210</v>
      </c>
      <c r="B950">
        <v>-9988306.5753533803</v>
      </c>
      <c r="C950">
        <v>-3335366.9147478198</v>
      </c>
    </row>
    <row r="951" spans="1:3" x14ac:dyDescent="0.25">
      <c r="A951">
        <v>20120213</v>
      </c>
      <c r="B951">
        <v>-15634986.06715</v>
      </c>
      <c r="C951">
        <v>1503640.32707543</v>
      </c>
    </row>
    <row r="952" spans="1:3" x14ac:dyDescent="0.25">
      <c r="A952">
        <v>20120214</v>
      </c>
      <c r="B952">
        <v>-1473445.1753426001</v>
      </c>
      <c r="C952">
        <v>3592770.1045230799</v>
      </c>
    </row>
    <row r="953" spans="1:3" x14ac:dyDescent="0.25">
      <c r="A953">
        <v>20120215</v>
      </c>
      <c r="B953">
        <v>4784150.5785544701</v>
      </c>
      <c r="C953">
        <v>-3665383.0558039402</v>
      </c>
    </row>
    <row r="954" spans="1:3" x14ac:dyDescent="0.25">
      <c r="A954">
        <v>20120216</v>
      </c>
      <c r="B954">
        <v>8953551.2737204693</v>
      </c>
      <c r="C954">
        <v>2023988.0717281899</v>
      </c>
    </row>
    <row r="955" spans="1:3" x14ac:dyDescent="0.25">
      <c r="A955">
        <v>20120217</v>
      </c>
      <c r="B955">
        <v>-2836017.5382460998</v>
      </c>
      <c r="C955">
        <v>-3355782.2010071399</v>
      </c>
    </row>
    <row r="956" spans="1:3" x14ac:dyDescent="0.25">
      <c r="A956">
        <v>20120220</v>
      </c>
      <c r="B956">
        <v>-2708289.6420210102</v>
      </c>
      <c r="C956">
        <v>-6110567.0267434698</v>
      </c>
    </row>
    <row r="957" spans="1:3" x14ac:dyDescent="0.25">
      <c r="A957">
        <v>20120221</v>
      </c>
      <c r="B957">
        <v>-10230283.771288799</v>
      </c>
      <c r="C957">
        <v>-5836126.7368281502</v>
      </c>
    </row>
    <row r="958" spans="1:3" x14ac:dyDescent="0.25">
      <c r="A958">
        <v>20120222</v>
      </c>
      <c r="B958">
        <v>-13121198.9816726</v>
      </c>
      <c r="C958">
        <v>4457472.5864851996</v>
      </c>
    </row>
    <row r="959" spans="1:3" x14ac:dyDescent="0.25">
      <c r="A959">
        <v>20120223</v>
      </c>
      <c r="B959">
        <v>-15318632.8107991</v>
      </c>
      <c r="C959">
        <v>1801330.9268096001</v>
      </c>
    </row>
    <row r="960" spans="1:3" x14ac:dyDescent="0.25">
      <c r="A960">
        <v>20120224</v>
      </c>
      <c r="B960">
        <v>-18039295.3330056</v>
      </c>
      <c r="C960">
        <v>987393.92265213898</v>
      </c>
    </row>
    <row r="961" spans="1:3" x14ac:dyDescent="0.25">
      <c r="A961">
        <v>20120227</v>
      </c>
      <c r="B961">
        <v>-11638890.873355901</v>
      </c>
      <c r="C961">
        <v>1042019.11897441</v>
      </c>
    </row>
    <row r="962" spans="1:3" x14ac:dyDescent="0.25">
      <c r="A962">
        <v>20120228</v>
      </c>
      <c r="B962">
        <v>-8456737.15433315</v>
      </c>
      <c r="C962">
        <v>-2524204.6396931</v>
      </c>
    </row>
    <row r="963" spans="1:3" x14ac:dyDescent="0.25">
      <c r="A963">
        <v>20120229</v>
      </c>
      <c r="B963">
        <v>-5944051.01802768</v>
      </c>
      <c r="C963">
        <v>-16613772.0875395</v>
      </c>
    </row>
    <row r="964" spans="1:3" x14ac:dyDescent="0.25">
      <c r="A964">
        <v>20120301</v>
      </c>
      <c r="B964">
        <v>-3654650.2108307001</v>
      </c>
      <c r="C964">
        <v>-14098147.8664054</v>
      </c>
    </row>
    <row r="965" spans="1:3" x14ac:dyDescent="0.25">
      <c r="A965">
        <v>20120302</v>
      </c>
      <c r="B965">
        <v>9474397.9819561802</v>
      </c>
      <c r="C965">
        <v>-19710948.969596501</v>
      </c>
    </row>
    <row r="966" spans="1:3" x14ac:dyDescent="0.25">
      <c r="A966">
        <v>20120305</v>
      </c>
      <c r="B966">
        <v>4005238.9533870099</v>
      </c>
      <c r="C966">
        <v>-14921757.6031525</v>
      </c>
    </row>
    <row r="967" spans="1:3" x14ac:dyDescent="0.25">
      <c r="A967">
        <v>20120306</v>
      </c>
      <c r="B967">
        <v>7698097.1935275802</v>
      </c>
      <c r="C967">
        <v>-8401096.0798305906</v>
      </c>
    </row>
    <row r="968" spans="1:3" x14ac:dyDescent="0.25">
      <c r="A968">
        <v>20120307</v>
      </c>
      <c r="B968">
        <v>5270682.9633943504</v>
      </c>
      <c r="C968">
        <v>2307178.6308731702</v>
      </c>
    </row>
    <row r="969" spans="1:3" x14ac:dyDescent="0.25">
      <c r="A969">
        <v>20120308</v>
      </c>
      <c r="B969">
        <v>-127699.01125349299</v>
      </c>
      <c r="C969">
        <v>-5467321.1982684499</v>
      </c>
    </row>
    <row r="970" spans="1:3" x14ac:dyDescent="0.25">
      <c r="A970">
        <v>20120309</v>
      </c>
      <c r="B970">
        <v>1896981.9973283601</v>
      </c>
      <c r="C970">
        <v>-3575697.29624375</v>
      </c>
    </row>
    <row r="971" spans="1:3" x14ac:dyDescent="0.25">
      <c r="A971">
        <v>20120312</v>
      </c>
      <c r="B971">
        <v>1829437.3712116401</v>
      </c>
      <c r="C971">
        <v>-6363310.9386023702</v>
      </c>
    </row>
    <row r="972" spans="1:3" x14ac:dyDescent="0.25">
      <c r="A972">
        <v>20120313</v>
      </c>
      <c r="B972">
        <v>-53382.773830979997</v>
      </c>
      <c r="C972">
        <v>-14616708.1943438</v>
      </c>
    </row>
    <row r="973" spans="1:3" x14ac:dyDescent="0.25">
      <c r="A973">
        <v>20120314</v>
      </c>
      <c r="B973">
        <v>2261619.5142330602</v>
      </c>
      <c r="C973">
        <v>-20833727.137297299</v>
      </c>
    </row>
    <row r="974" spans="1:3" x14ac:dyDescent="0.25">
      <c r="A974">
        <v>20120315</v>
      </c>
      <c r="B974">
        <v>6598385.87679544</v>
      </c>
      <c r="C974">
        <v>-10371893.458099199</v>
      </c>
    </row>
    <row r="975" spans="1:3" x14ac:dyDescent="0.25">
      <c r="A975">
        <v>20120316</v>
      </c>
      <c r="B975">
        <v>-7633228.8158424003</v>
      </c>
      <c r="C975">
        <v>-10417574.029211501</v>
      </c>
    </row>
    <row r="976" spans="1:3" x14ac:dyDescent="0.25">
      <c r="A976">
        <v>20120319</v>
      </c>
      <c r="B976">
        <v>-8734039.6061145607</v>
      </c>
      <c r="C976">
        <v>-13870237.950885</v>
      </c>
    </row>
    <row r="977" spans="1:3" x14ac:dyDescent="0.25">
      <c r="A977">
        <v>20120320</v>
      </c>
      <c r="B977">
        <v>-8486686.9048530106</v>
      </c>
      <c r="C977">
        <v>-9296792.4462756496</v>
      </c>
    </row>
    <row r="978" spans="1:3" x14ac:dyDescent="0.25">
      <c r="A978">
        <v>20120321</v>
      </c>
      <c r="B978">
        <v>-8809890.7070754003</v>
      </c>
      <c r="C978">
        <v>-3442988.7367183501</v>
      </c>
    </row>
    <row r="979" spans="1:3" x14ac:dyDescent="0.25">
      <c r="A979">
        <v>20120322</v>
      </c>
      <c r="B979">
        <v>-6615265.6342609404</v>
      </c>
      <c r="C979">
        <v>3365469.5629951302</v>
      </c>
    </row>
    <row r="980" spans="1:3" x14ac:dyDescent="0.25">
      <c r="A980">
        <v>20120323</v>
      </c>
      <c r="B980">
        <v>-191604.72966800601</v>
      </c>
      <c r="C980">
        <v>5488214.2614163002</v>
      </c>
    </row>
    <row r="981" spans="1:3" x14ac:dyDescent="0.25">
      <c r="A981">
        <v>20120326</v>
      </c>
      <c r="B981">
        <v>375829.19009391899</v>
      </c>
      <c r="C981">
        <v>-635396.43879078096</v>
      </c>
    </row>
    <row r="982" spans="1:3" x14ac:dyDescent="0.25">
      <c r="A982">
        <v>20120327</v>
      </c>
      <c r="B982">
        <v>-726705.67487928201</v>
      </c>
      <c r="C982">
        <v>3931583.44113742</v>
      </c>
    </row>
    <row r="983" spans="1:3" x14ac:dyDescent="0.25">
      <c r="A983">
        <v>20120328</v>
      </c>
      <c r="B983">
        <v>-1132808.5010382901</v>
      </c>
      <c r="C983">
        <v>5973066.88288638</v>
      </c>
    </row>
    <row r="984" spans="1:3" x14ac:dyDescent="0.25">
      <c r="A984">
        <v>20120329</v>
      </c>
      <c r="B984">
        <v>-787098.57999622799</v>
      </c>
      <c r="C984">
        <v>-4912077.7888524402</v>
      </c>
    </row>
    <row r="985" spans="1:3" x14ac:dyDescent="0.25">
      <c r="A985">
        <v>20120330</v>
      </c>
      <c r="B985">
        <v>-754302.44553331996</v>
      </c>
      <c r="C985">
        <v>1775873.11802003</v>
      </c>
    </row>
    <row r="986" spans="1:3" x14ac:dyDescent="0.25">
      <c r="A986">
        <v>20120402</v>
      </c>
      <c r="B986">
        <v>4974309.4056102699</v>
      </c>
      <c r="C986">
        <v>4871879.1492948299</v>
      </c>
    </row>
    <row r="987" spans="1:3" x14ac:dyDescent="0.25">
      <c r="A987">
        <v>20120403</v>
      </c>
      <c r="B987">
        <v>1304225.67995794</v>
      </c>
      <c r="C987">
        <v>-4266357.5567675596</v>
      </c>
    </row>
    <row r="988" spans="1:3" x14ac:dyDescent="0.25">
      <c r="A988">
        <v>20120404</v>
      </c>
      <c r="B988">
        <v>9280983.0511609092</v>
      </c>
      <c r="C988">
        <v>-3089235.1729054898</v>
      </c>
    </row>
    <row r="989" spans="1:3" x14ac:dyDescent="0.25">
      <c r="A989">
        <v>20120405</v>
      </c>
      <c r="B989">
        <v>7816686.1423124</v>
      </c>
      <c r="C989">
        <v>-11454225.803813299</v>
      </c>
    </row>
    <row r="990" spans="1:3" x14ac:dyDescent="0.25">
      <c r="A990">
        <v>20120406</v>
      </c>
      <c r="B990">
        <v>7757499.8236303404</v>
      </c>
      <c r="C990">
        <v>-17671951.9254274</v>
      </c>
    </row>
    <row r="991" spans="1:3" x14ac:dyDescent="0.25">
      <c r="A991">
        <v>20120409</v>
      </c>
      <c r="B991">
        <v>7490100.3540502796</v>
      </c>
      <c r="C991">
        <v>-3339760.1354841902</v>
      </c>
    </row>
    <row r="992" spans="1:3" x14ac:dyDescent="0.25">
      <c r="A992">
        <v>20120410</v>
      </c>
      <c r="B992">
        <v>10240503.969240099</v>
      </c>
      <c r="C992">
        <v>2859837.8008049098</v>
      </c>
    </row>
    <row r="993" spans="1:3" x14ac:dyDescent="0.25">
      <c r="A993">
        <v>20120411</v>
      </c>
      <c r="B993">
        <v>-869798.46422073198</v>
      </c>
      <c r="C993">
        <v>2214371.2235864601</v>
      </c>
    </row>
    <row r="994" spans="1:3" x14ac:dyDescent="0.25">
      <c r="A994">
        <v>20120412</v>
      </c>
      <c r="B994">
        <v>-5000607.9609857304</v>
      </c>
      <c r="C994">
        <v>6931284.4414834501</v>
      </c>
    </row>
    <row r="995" spans="1:3" x14ac:dyDescent="0.25">
      <c r="A995">
        <v>20120413</v>
      </c>
      <c r="B995">
        <v>718970.94377657701</v>
      </c>
      <c r="C995">
        <v>7328182.7995997304</v>
      </c>
    </row>
    <row r="996" spans="1:3" x14ac:dyDescent="0.25">
      <c r="A996">
        <v>20120416</v>
      </c>
      <c r="B996">
        <v>-721264.35454706103</v>
      </c>
      <c r="C996">
        <v>1441063.78432155</v>
      </c>
    </row>
    <row r="997" spans="1:3" x14ac:dyDescent="0.25">
      <c r="A997">
        <v>20120417</v>
      </c>
      <c r="B997">
        <v>-2350888.0250905999</v>
      </c>
      <c r="C997">
        <v>-11891762.1343127</v>
      </c>
    </row>
    <row r="998" spans="1:3" x14ac:dyDescent="0.25">
      <c r="A998">
        <v>20120418</v>
      </c>
      <c r="B998">
        <v>454502.40405236499</v>
      </c>
      <c r="C998">
        <v>-14795485.3214848</v>
      </c>
    </row>
    <row r="999" spans="1:3" x14ac:dyDescent="0.25">
      <c r="A999">
        <v>20120419</v>
      </c>
      <c r="B999">
        <v>3144088.5566622601</v>
      </c>
      <c r="C999">
        <v>-8526167.2635524701</v>
      </c>
    </row>
    <row r="1000" spans="1:3" x14ac:dyDescent="0.25">
      <c r="A1000">
        <v>20120420</v>
      </c>
      <c r="B1000">
        <v>-3103073.57969215</v>
      </c>
      <c r="C1000">
        <v>-12424359.945624201</v>
      </c>
    </row>
    <row r="1001" spans="1:3" x14ac:dyDescent="0.25">
      <c r="A1001">
        <v>20120423</v>
      </c>
      <c r="B1001">
        <v>1234820.9491912799</v>
      </c>
      <c r="C1001">
        <v>-14488977.5260057</v>
      </c>
    </row>
    <row r="1002" spans="1:3" x14ac:dyDescent="0.25">
      <c r="A1002">
        <v>20120424</v>
      </c>
      <c r="B1002">
        <v>-442441.61121747998</v>
      </c>
      <c r="C1002">
        <v>-9464482.0789863002</v>
      </c>
    </row>
    <row r="1003" spans="1:3" x14ac:dyDescent="0.25">
      <c r="A1003">
        <v>20120425</v>
      </c>
      <c r="B1003">
        <v>-2196488.6922748298</v>
      </c>
      <c r="C1003">
        <v>-13321827.210297899</v>
      </c>
    </row>
    <row r="1004" spans="1:3" x14ac:dyDescent="0.25">
      <c r="A1004">
        <v>20120426</v>
      </c>
      <c r="B1004">
        <v>-3808618.78890055</v>
      </c>
      <c r="C1004">
        <v>-15068630.3457202</v>
      </c>
    </row>
    <row r="1005" spans="1:3" x14ac:dyDescent="0.25">
      <c r="A1005">
        <v>20120427</v>
      </c>
      <c r="B1005">
        <v>-1629861.73192778</v>
      </c>
      <c r="C1005">
        <v>-15225350.996538799</v>
      </c>
    </row>
    <row r="1006" spans="1:3" x14ac:dyDescent="0.25">
      <c r="A1006">
        <v>20120430</v>
      </c>
      <c r="B1006">
        <v>-3517170.2421595799</v>
      </c>
      <c r="C1006">
        <v>-7394464.8559522601</v>
      </c>
    </row>
    <row r="1007" spans="1:3" x14ac:dyDescent="0.25">
      <c r="A1007">
        <v>20120501</v>
      </c>
      <c r="B1007">
        <v>-217131.427215181</v>
      </c>
      <c r="C1007">
        <v>-5990831.6883800495</v>
      </c>
    </row>
    <row r="1008" spans="1:3" x14ac:dyDescent="0.25">
      <c r="A1008">
        <v>20120502</v>
      </c>
      <c r="B1008">
        <v>3102354.2508729901</v>
      </c>
      <c r="C1008">
        <v>3627747.8312782599</v>
      </c>
    </row>
    <row r="1009" spans="1:3" x14ac:dyDescent="0.25">
      <c r="A1009">
        <v>20120503</v>
      </c>
      <c r="B1009">
        <v>3975291.5276892101</v>
      </c>
      <c r="C1009">
        <v>-1568684.1914176201</v>
      </c>
    </row>
    <row r="1010" spans="1:3" x14ac:dyDescent="0.25">
      <c r="A1010">
        <v>20120504</v>
      </c>
      <c r="B1010">
        <v>5634004.9386647698</v>
      </c>
      <c r="C1010">
        <v>9550255.0689182207</v>
      </c>
    </row>
    <row r="1011" spans="1:3" x14ac:dyDescent="0.25">
      <c r="A1011">
        <v>20120507</v>
      </c>
      <c r="B1011">
        <v>5237695.0528052002</v>
      </c>
      <c r="C1011">
        <v>6293639.8865184505</v>
      </c>
    </row>
    <row r="1012" spans="1:3" x14ac:dyDescent="0.25">
      <c r="A1012">
        <v>20120508</v>
      </c>
      <c r="B1012">
        <v>10086021.5706372</v>
      </c>
      <c r="C1012">
        <v>14622569.6960655</v>
      </c>
    </row>
    <row r="1013" spans="1:3" x14ac:dyDescent="0.25">
      <c r="A1013">
        <v>20120509</v>
      </c>
      <c r="B1013">
        <v>10187672.6222995</v>
      </c>
      <c r="C1013">
        <v>4942871.7924258001</v>
      </c>
    </row>
    <row r="1014" spans="1:3" x14ac:dyDescent="0.25">
      <c r="A1014">
        <v>20120510</v>
      </c>
      <c r="B1014">
        <v>9101212.8841257598</v>
      </c>
      <c r="C1014">
        <v>11815425.249420401</v>
      </c>
    </row>
    <row r="1015" spans="1:3" x14ac:dyDescent="0.25">
      <c r="A1015">
        <v>20120511</v>
      </c>
      <c r="B1015">
        <v>8905012.7443564404</v>
      </c>
      <c r="C1015">
        <v>-2764480.5083830501</v>
      </c>
    </row>
    <row r="1016" spans="1:3" x14ac:dyDescent="0.25">
      <c r="A1016">
        <v>20120514</v>
      </c>
      <c r="B1016">
        <v>12408141.4540863</v>
      </c>
      <c r="C1016">
        <v>-7816506.3460935</v>
      </c>
    </row>
    <row r="1017" spans="1:3" x14ac:dyDescent="0.25">
      <c r="A1017">
        <v>20120515</v>
      </c>
      <c r="B1017">
        <v>10167307.7096294</v>
      </c>
      <c r="C1017">
        <v>-8088787.0373814004</v>
      </c>
    </row>
    <row r="1018" spans="1:3" x14ac:dyDescent="0.25">
      <c r="A1018">
        <v>20120516</v>
      </c>
      <c r="B1018">
        <v>7850885.0848785201</v>
      </c>
      <c r="C1018">
        <v>-3590398.8189752498</v>
      </c>
    </row>
    <row r="1019" spans="1:3" x14ac:dyDescent="0.25">
      <c r="A1019">
        <v>20120517</v>
      </c>
      <c r="B1019">
        <v>11795571.4740391</v>
      </c>
      <c r="C1019">
        <v>5650382.6228904398</v>
      </c>
    </row>
    <row r="1020" spans="1:3" x14ac:dyDescent="0.25">
      <c r="A1020">
        <v>20120518</v>
      </c>
      <c r="B1020">
        <v>10905406.814768599</v>
      </c>
      <c r="C1020">
        <v>15358436.493852099</v>
      </c>
    </row>
    <row r="1021" spans="1:3" x14ac:dyDescent="0.25">
      <c r="A1021">
        <v>20120521</v>
      </c>
      <c r="B1021">
        <v>3397901.9245280898</v>
      </c>
      <c r="C1021">
        <v>16040525.841556501</v>
      </c>
    </row>
    <row r="1022" spans="1:3" x14ac:dyDescent="0.25">
      <c r="A1022">
        <v>20120522</v>
      </c>
      <c r="B1022">
        <v>754958.44645171205</v>
      </c>
      <c r="C1022">
        <v>4235445.6506068502</v>
      </c>
    </row>
    <row r="1023" spans="1:3" x14ac:dyDescent="0.25">
      <c r="A1023">
        <v>20120523</v>
      </c>
      <c r="B1023">
        <v>9642985.6861778796</v>
      </c>
      <c r="C1023">
        <v>6378097.6284438698</v>
      </c>
    </row>
    <row r="1024" spans="1:3" x14ac:dyDescent="0.25">
      <c r="A1024">
        <v>20120524</v>
      </c>
      <c r="B1024">
        <v>7874581.9435243905</v>
      </c>
      <c r="C1024">
        <v>3118387.5155335702</v>
      </c>
    </row>
    <row r="1025" spans="1:3" x14ac:dyDescent="0.25">
      <c r="A1025">
        <v>20120525</v>
      </c>
      <c r="B1025">
        <v>11362282.967703201</v>
      </c>
      <c r="C1025">
        <v>6051815.4327822197</v>
      </c>
    </row>
    <row r="1026" spans="1:3" x14ac:dyDescent="0.25">
      <c r="A1026">
        <v>20120528</v>
      </c>
      <c r="B1026">
        <v>12524192.890718199</v>
      </c>
      <c r="C1026">
        <v>3525216.33599436</v>
      </c>
    </row>
    <row r="1027" spans="1:3" x14ac:dyDescent="0.25">
      <c r="A1027">
        <v>20120529</v>
      </c>
      <c r="B1027">
        <v>14899306.7218129</v>
      </c>
      <c r="C1027">
        <v>4331605.3735376699</v>
      </c>
    </row>
    <row r="1028" spans="1:3" x14ac:dyDescent="0.25">
      <c r="A1028">
        <v>20120530</v>
      </c>
      <c r="B1028">
        <v>11253517.692240801</v>
      </c>
      <c r="C1028">
        <v>3613214.91032121</v>
      </c>
    </row>
    <row r="1029" spans="1:3" x14ac:dyDescent="0.25">
      <c r="A1029">
        <v>20120531</v>
      </c>
      <c r="B1029">
        <v>13852521.494309699</v>
      </c>
      <c r="C1029">
        <v>4639367.3743492505</v>
      </c>
    </row>
    <row r="1030" spans="1:3" x14ac:dyDescent="0.25">
      <c r="A1030">
        <v>20120601</v>
      </c>
      <c r="B1030">
        <v>8788880.3508131802</v>
      </c>
      <c r="C1030">
        <v>6833105.2946396098</v>
      </c>
    </row>
    <row r="1031" spans="1:3" x14ac:dyDescent="0.25">
      <c r="A1031">
        <v>20120604</v>
      </c>
      <c r="B1031">
        <v>8952013.2199281901</v>
      </c>
      <c r="C1031">
        <v>15497047.447357399</v>
      </c>
    </row>
    <row r="1032" spans="1:3" x14ac:dyDescent="0.25">
      <c r="A1032">
        <v>20120605</v>
      </c>
      <c r="B1032">
        <v>8538207.7138224095</v>
      </c>
      <c r="C1032">
        <v>21324703.779993899</v>
      </c>
    </row>
    <row r="1033" spans="1:3" x14ac:dyDescent="0.25">
      <c r="A1033">
        <v>20120606</v>
      </c>
      <c r="B1033">
        <v>3812075.1719200099</v>
      </c>
      <c r="C1033">
        <v>17333361.725499898</v>
      </c>
    </row>
    <row r="1034" spans="1:3" x14ac:dyDescent="0.25">
      <c r="A1034">
        <v>20120607</v>
      </c>
      <c r="B1034">
        <v>-3758651.6905597299</v>
      </c>
      <c r="C1034">
        <v>833805.71040411096</v>
      </c>
    </row>
    <row r="1035" spans="1:3" x14ac:dyDescent="0.25">
      <c r="A1035">
        <v>20120608</v>
      </c>
      <c r="B1035">
        <v>2840953.40115928</v>
      </c>
      <c r="C1035">
        <v>-102336.20520865</v>
      </c>
    </row>
    <row r="1036" spans="1:3" x14ac:dyDescent="0.25">
      <c r="A1036">
        <v>20120611</v>
      </c>
      <c r="B1036">
        <v>392203.54310949799</v>
      </c>
      <c r="C1036">
        <v>-11412063.2716315</v>
      </c>
    </row>
    <row r="1037" spans="1:3" x14ac:dyDescent="0.25">
      <c r="A1037">
        <v>20120612</v>
      </c>
      <c r="B1037">
        <v>-722070.82267320098</v>
      </c>
      <c r="C1037">
        <v>-10452600.5675014</v>
      </c>
    </row>
    <row r="1038" spans="1:3" x14ac:dyDescent="0.25">
      <c r="A1038">
        <v>20120613</v>
      </c>
      <c r="B1038">
        <v>-7300991.6362414202</v>
      </c>
      <c r="C1038">
        <v>-12020588.676660599</v>
      </c>
    </row>
    <row r="1039" spans="1:3" x14ac:dyDescent="0.25">
      <c r="A1039">
        <v>20120614</v>
      </c>
      <c r="B1039">
        <v>-4344976.2908826098</v>
      </c>
      <c r="C1039">
        <v>-6087051.2184116105</v>
      </c>
    </row>
    <row r="1040" spans="1:3" x14ac:dyDescent="0.25">
      <c r="A1040">
        <v>20120615</v>
      </c>
      <c r="B1040">
        <v>-8184903.5721934102</v>
      </c>
      <c r="C1040">
        <v>-10571436.0723409</v>
      </c>
    </row>
    <row r="1041" spans="1:3" x14ac:dyDescent="0.25">
      <c r="A1041">
        <v>20120618</v>
      </c>
      <c r="B1041">
        <v>-4597203.7507961299</v>
      </c>
      <c r="C1041">
        <v>-6206447.2908513602</v>
      </c>
    </row>
    <row r="1042" spans="1:3" x14ac:dyDescent="0.25">
      <c r="A1042">
        <v>20120619</v>
      </c>
      <c r="B1042">
        <v>-9047479.4188887309</v>
      </c>
      <c r="C1042">
        <v>-7864048.8801483205</v>
      </c>
    </row>
    <row r="1043" spans="1:3" x14ac:dyDescent="0.25">
      <c r="A1043">
        <v>20120620</v>
      </c>
      <c r="B1043">
        <v>-4290826.5399847701</v>
      </c>
      <c r="C1043">
        <v>131606.53513871101</v>
      </c>
    </row>
    <row r="1044" spans="1:3" x14ac:dyDescent="0.25">
      <c r="A1044">
        <v>20120621</v>
      </c>
      <c r="B1044">
        <v>2472953.40139195</v>
      </c>
      <c r="C1044">
        <v>3168793.9579002601</v>
      </c>
    </row>
    <row r="1045" spans="1:3" x14ac:dyDescent="0.25">
      <c r="A1045">
        <v>20120622</v>
      </c>
      <c r="B1045">
        <v>5075267.8145750295</v>
      </c>
      <c r="C1045">
        <v>-2776803.6818844201</v>
      </c>
    </row>
    <row r="1046" spans="1:3" x14ac:dyDescent="0.25">
      <c r="A1046">
        <v>20120625</v>
      </c>
      <c r="B1046">
        <v>9392166.0937820505</v>
      </c>
      <c r="C1046">
        <v>596270.62732586998</v>
      </c>
    </row>
    <row r="1047" spans="1:3" x14ac:dyDescent="0.25">
      <c r="A1047">
        <v>20120626</v>
      </c>
      <c r="B1047">
        <v>12325645.6253327</v>
      </c>
      <c r="C1047">
        <v>2168297.58782337</v>
      </c>
    </row>
    <row r="1048" spans="1:3" x14ac:dyDescent="0.25">
      <c r="A1048">
        <v>20120627</v>
      </c>
      <c r="B1048">
        <v>15006559.932902001</v>
      </c>
      <c r="C1048">
        <v>-2645488.3722494398</v>
      </c>
    </row>
    <row r="1049" spans="1:3" x14ac:dyDescent="0.25">
      <c r="A1049">
        <v>20120628</v>
      </c>
      <c r="B1049">
        <v>10042256.5728228</v>
      </c>
      <c r="C1049">
        <v>4990416.8206594503</v>
      </c>
    </row>
    <row r="1050" spans="1:3" x14ac:dyDescent="0.25">
      <c r="A1050">
        <v>20120629</v>
      </c>
      <c r="B1050">
        <v>-5045664.9659037804</v>
      </c>
      <c r="C1050">
        <v>9382889.9720143005</v>
      </c>
    </row>
    <row r="1051" spans="1:3" x14ac:dyDescent="0.25">
      <c r="A1051">
        <v>20120702</v>
      </c>
      <c r="B1051">
        <v>-4294651.0076042796</v>
      </c>
      <c r="C1051">
        <v>10183752.222923899</v>
      </c>
    </row>
    <row r="1052" spans="1:3" x14ac:dyDescent="0.25">
      <c r="A1052">
        <v>20120703</v>
      </c>
      <c r="B1052">
        <v>-3878624.8959266101</v>
      </c>
      <c r="C1052">
        <v>14999465.084145701</v>
      </c>
    </row>
    <row r="1053" spans="1:3" x14ac:dyDescent="0.25">
      <c r="A1053">
        <v>20120704</v>
      </c>
      <c r="B1053">
        <v>-366479.59348354401</v>
      </c>
      <c r="C1053">
        <v>14515757.571304999</v>
      </c>
    </row>
    <row r="1054" spans="1:3" x14ac:dyDescent="0.25">
      <c r="A1054">
        <v>20120705</v>
      </c>
      <c r="B1054">
        <v>5469641.1033894997</v>
      </c>
      <c r="C1054">
        <v>1677425.4483184</v>
      </c>
    </row>
    <row r="1055" spans="1:3" x14ac:dyDescent="0.25">
      <c r="A1055">
        <v>20120706</v>
      </c>
      <c r="B1055">
        <v>18692853.619228899</v>
      </c>
      <c r="C1055">
        <v>3176573.5927195498</v>
      </c>
    </row>
    <row r="1056" spans="1:3" x14ac:dyDescent="0.25">
      <c r="A1056">
        <v>20120709</v>
      </c>
      <c r="B1056">
        <v>15018980.135309201</v>
      </c>
      <c r="C1056">
        <v>-61579.386883880303</v>
      </c>
    </row>
    <row r="1057" spans="1:3" x14ac:dyDescent="0.25">
      <c r="A1057">
        <v>20120710</v>
      </c>
      <c r="B1057">
        <v>18980452.751030501</v>
      </c>
      <c r="C1057">
        <v>3397778.8130014301</v>
      </c>
    </row>
    <row r="1058" spans="1:3" x14ac:dyDescent="0.25">
      <c r="A1058">
        <v>20120711</v>
      </c>
      <c r="B1058">
        <v>12978718.498328101</v>
      </c>
      <c r="C1058">
        <v>5664331.8503555497</v>
      </c>
    </row>
    <row r="1059" spans="1:3" x14ac:dyDescent="0.25">
      <c r="A1059">
        <v>20120712</v>
      </c>
      <c r="B1059">
        <v>7618390.9586388702</v>
      </c>
      <c r="C1059">
        <v>9950193.6222051494</v>
      </c>
    </row>
    <row r="1060" spans="1:3" x14ac:dyDescent="0.25">
      <c r="A1060">
        <v>20120713</v>
      </c>
      <c r="B1060">
        <v>4328353.7923432104</v>
      </c>
      <c r="C1060">
        <v>1218206.26689829</v>
      </c>
    </row>
    <row r="1061" spans="1:3" x14ac:dyDescent="0.25">
      <c r="A1061">
        <v>20120716</v>
      </c>
      <c r="B1061">
        <v>5585588.6397728203</v>
      </c>
      <c r="C1061">
        <v>4075858.5673923902</v>
      </c>
    </row>
    <row r="1062" spans="1:3" x14ac:dyDescent="0.25">
      <c r="A1062">
        <v>20120717</v>
      </c>
      <c r="B1062">
        <v>4414498.5757090896</v>
      </c>
      <c r="C1062">
        <v>-413435.34252533899</v>
      </c>
    </row>
    <row r="1063" spans="1:3" x14ac:dyDescent="0.25">
      <c r="A1063">
        <v>20120718</v>
      </c>
      <c r="B1063">
        <v>2730199.4262070898</v>
      </c>
      <c r="C1063">
        <v>-6950925.7708366597</v>
      </c>
    </row>
    <row r="1064" spans="1:3" x14ac:dyDescent="0.25">
      <c r="A1064">
        <v>20120719</v>
      </c>
      <c r="B1064">
        <v>1266271.27391256</v>
      </c>
      <c r="C1064">
        <v>-9171164.8851348609</v>
      </c>
    </row>
    <row r="1065" spans="1:3" x14ac:dyDescent="0.25">
      <c r="A1065">
        <v>20120720</v>
      </c>
      <c r="B1065">
        <v>7665184.3546989895</v>
      </c>
      <c r="C1065">
        <v>-474283.35458884999</v>
      </c>
    </row>
    <row r="1066" spans="1:3" x14ac:dyDescent="0.25">
      <c r="A1066">
        <v>20120723</v>
      </c>
      <c r="B1066">
        <v>6213463.6255592303</v>
      </c>
      <c r="C1066">
        <v>-4568795.8470415203</v>
      </c>
    </row>
    <row r="1067" spans="1:3" x14ac:dyDescent="0.25">
      <c r="A1067">
        <v>20120724</v>
      </c>
      <c r="B1067">
        <v>6274654.4182626503</v>
      </c>
      <c r="C1067">
        <v>-7607343.8574162899</v>
      </c>
    </row>
    <row r="1068" spans="1:3" x14ac:dyDescent="0.25">
      <c r="A1068">
        <v>20120725</v>
      </c>
      <c r="B1068">
        <v>7525225.1436085701</v>
      </c>
      <c r="C1068">
        <v>-1976773.9359856001</v>
      </c>
    </row>
    <row r="1069" spans="1:3" x14ac:dyDescent="0.25">
      <c r="A1069">
        <v>20120726</v>
      </c>
      <c r="B1069">
        <v>-854891.60728045902</v>
      </c>
      <c r="C1069">
        <v>-3856211.9838633202</v>
      </c>
    </row>
    <row r="1070" spans="1:3" x14ac:dyDescent="0.25">
      <c r="A1070">
        <v>20120727</v>
      </c>
      <c r="B1070">
        <v>-9602208.8008077201</v>
      </c>
      <c r="C1070">
        <v>-7506433.2422750602</v>
      </c>
    </row>
    <row r="1071" spans="1:3" x14ac:dyDescent="0.25">
      <c r="A1071">
        <v>20120730</v>
      </c>
      <c r="B1071">
        <v>-1892472.25870946</v>
      </c>
      <c r="C1071">
        <v>-12151484.028982401</v>
      </c>
    </row>
    <row r="1072" spans="1:3" x14ac:dyDescent="0.25">
      <c r="A1072">
        <v>20120731</v>
      </c>
      <c r="B1072">
        <v>-6070144.3597740401</v>
      </c>
      <c r="C1072">
        <v>-13185396.209886201</v>
      </c>
    </row>
    <row r="1073" spans="1:3" x14ac:dyDescent="0.25">
      <c r="A1073">
        <v>20120801</v>
      </c>
      <c r="B1073">
        <v>-5972308.0843322799</v>
      </c>
      <c r="C1073">
        <v>-13582955.3885247</v>
      </c>
    </row>
    <row r="1074" spans="1:3" x14ac:dyDescent="0.25">
      <c r="A1074">
        <v>20120802</v>
      </c>
      <c r="B1074">
        <v>11286548.8529169</v>
      </c>
      <c r="C1074">
        <v>-10273220.3832363</v>
      </c>
    </row>
    <row r="1075" spans="1:3" x14ac:dyDescent="0.25">
      <c r="A1075">
        <v>20120803</v>
      </c>
      <c r="B1075">
        <v>2868785.4383086199</v>
      </c>
      <c r="C1075">
        <v>-8739888.0187116005</v>
      </c>
    </row>
    <row r="1076" spans="1:3" x14ac:dyDescent="0.25">
      <c r="A1076">
        <v>20120806</v>
      </c>
      <c r="B1076">
        <v>-13282865.2726532</v>
      </c>
      <c r="C1076">
        <v>-2352273.54585827</v>
      </c>
    </row>
    <row r="1077" spans="1:3" x14ac:dyDescent="0.25">
      <c r="A1077">
        <v>20120807</v>
      </c>
      <c r="B1077">
        <v>-12733345.866772</v>
      </c>
      <c r="C1077">
        <v>-3371633.8963733101</v>
      </c>
    </row>
    <row r="1078" spans="1:3" x14ac:dyDescent="0.25">
      <c r="A1078">
        <v>20120808</v>
      </c>
      <c r="B1078">
        <v>-9431407.4210856091</v>
      </c>
      <c r="C1078">
        <v>-6703124.3383172704</v>
      </c>
    </row>
    <row r="1079" spans="1:3" x14ac:dyDescent="0.25">
      <c r="A1079">
        <v>20120809</v>
      </c>
      <c r="B1079">
        <v>-20382310.903512798</v>
      </c>
      <c r="C1079">
        <v>-8656316.3112187907</v>
      </c>
    </row>
    <row r="1080" spans="1:3" x14ac:dyDescent="0.25">
      <c r="A1080">
        <v>20120810</v>
      </c>
      <c r="B1080">
        <v>-7792078.3996709101</v>
      </c>
      <c r="C1080">
        <v>-9743184.9658869896</v>
      </c>
    </row>
    <row r="1081" spans="1:3" x14ac:dyDescent="0.25">
      <c r="A1081">
        <v>20120813</v>
      </c>
      <c r="B1081">
        <v>-1538628.8852212499</v>
      </c>
      <c r="C1081">
        <v>-12599012.2624956</v>
      </c>
    </row>
    <row r="1082" spans="1:3" x14ac:dyDescent="0.25">
      <c r="A1082">
        <v>20120814</v>
      </c>
      <c r="B1082">
        <v>-820111.42952490703</v>
      </c>
      <c r="C1082">
        <v>-13176975.6728567</v>
      </c>
    </row>
    <row r="1083" spans="1:3" x14ac:dyDescent="0.25">
      <c r="A1083">
        <v>20120815</v>
      </c>
      <c r="B1083">
        <v>-1533340.82805331</v>
      </c>
      <c r="C1083">
        <v>-14955026.0496898</v>
      </c>
    </row>
    <row r="1084" spans="1:3" x14ac:dyDescent="0.25">
      <c r="A1084">
        <v>20120816</v>
      </c>
      <c r="B1084">
        <v>-2007067.3307331</v>
      </c>
      <c r="C1084">
        <v>-16835776.666570999</v>
      </c>
    </row>
    <row r="1085" spans="1:3" x14ac:dyDescent="0.25">
      <c r="A1085">
        <v>20120817</v>
      </c>
      <c r="B1085">
        <v>1194938.7359827801</v>
      </c>
      <c r="C1085">
        <v>-15416480.682015801</v>
      </c>
    </row>
    <row r="1086" spans="1:3" x14ac:dyDescent="0.25">
      <c r="A1086">
        <v>20120820</v>
      </c>
      <c r="B1086">
        <v>-883651.63098386605</v>
      </c>
      <c r="C1086">
        <v>-12328215.479297601</v>
      </c>
    </row>
    <row r="1087" spans="1:3" x14ac:dyDescent="0.25">
      <c r="A1087">
        <v>20120821</v>
      </c>
      <c r="B1087">
        <v>-7784442.4714492504</v>
      </c>
      <c r="C1087">
        <v>-11012475.4758635</v>
      </c>
    </row>
    <row r="1088" spans="1:3" x14ac:dyDescent="0.25">
      <c r="A1088">
        <v>20120822</v>
      </c>
      <c r="B1088">
        <v>-6660190.4742628401</v>
      </c>
      <c r="C1088">
        <v>1126851.6928752</v>
      </c>
    </row>
    <row r="1089" spans="1:3" x14ac:dyDescent="0.25">
      <c r="A1089">
        <v>20120823</v>
      </c>
      <c r="B1089">
        <v>-9419388.5099491701</v>
      </c>
      <c r="C1089">
        <v>5661817.81339591</v>
      </c>
    </row>
    <row r="1090" spans="1:3" x14ac:dyDescent="0.25">
      <c r="A1090">
        <v>20120824</v>
      </c>
      <c r="B1090">
        <v>-8715984.09681057</v>
      </c>
      <c r="C1090">
        <v>4295015.03718937</v>
      </c>
    </row>
    <row r="1091" spans="1:3" x14ac:dyDescent="0.25">
      <c r="A1091">
        <v>20120827</v>
      </c>
      <c r="B1091">
        <v>-4196569.7337534903</v>
      </c>
      <c r="C1091">
        <v>-147640.33667875</v>
      </c>
    </row>
    <row r="1092" spans="1:3" x14ac:dyDescent="0.25">
      <c r="A1092">
        <v>20120828</v>
      </c>
      <c r="B1092">
        <v>-381168.25748334802</v>
      </c>
      <c r="C1092">
        <v>-6543275.5526873898</v>
      </c>
    </row>
    <row r="1093" spans="1:3" x14ac:dyDescent="0.25">
      <c r="A1093">
        <v>20120829</v>
      </c>
      <c r="B1093">
        <v>-882364.33507873095</v>
      </c>
      <c r="C1093">
        <v>-10854355.325218299</v>
      </c>
    </row>
    <row r="1094" spans="1:3" x14ac:dyDescent="0.25">
      <c r="A1094">
        <v>20120830</v>
      </c>
      <c r="B1094">
        <v>5739056.9756805804</v>
      </c>
      <c r="C1094">
        <v>-6690614.6362021295</v>
      </c>
    </row>
    <row r="1095" spans="1:3" x14ac:dyDescent="0.25">
      <c r="A1095">
        <v>20120831</v>
      </c>
      <c r="B1095">
        <v>-3725264.0481013898</v>
      </c>
      <c r="C1095">
        <v>-11391843.097403999</v>
      </c>
    </row>
    <row r="1096" spans="1:3" x14ac:dyDescent="0.25">
      <c r="A1096">
        <v>20120903</v>
      </c>
      <c r="B1096">
        <v>-6415906.8895945996</v>
      </c>
      <c r="C1096">
        <v>-1998245.8935642701</v>
      </c>
    </row>
    <row r="1097" spans="1:3" x14ac:dyDescent="0.25">
      <c r="A1097">
        <v>20120904</v>
      </c>
      <c r="B1097">
        <v>-6617134.5791105898</v>
      </c>
      <c r="C1097">
        <v>2985521.82308598</v>
      </c>
    </row>
    <row r="1098" spans="1:3" x14ac:dyDescent="0.25">
      <c r="A1098">
        <v>20120905</v>
      </c>
      <c r="B1098">
        <v>-11856943.0973987</v>
      </c>
      <c r="C1098">
        <v>9026792.0500392392</v>
      </c>
    </row>
    <row r="1099" spans="1:3" x14ac:dyDescent="0.25">
      <c r="A1099">
        <v>20120906</v>
      </c>
      <c r="B1099">
        <v>-15359268.0470892</v>
      </c>
      <c r="C1099">
        <v>-3387431.95841937</v>
      </c>
    </row>
    <row r="1100" spans="1:3" x14ac:dyDescent="0.25">
      <c r="A1100">
        <v>20120907</v>
      </c>
      <c r="B1100">
        <v>-20745298.4260404</v>
      </c>
      <c r="C1100">
        <v>-1156396.8632606</v>
      </c>
    </row>
    <row r="1101" spans="1:3" x14ac:dyDescent="0.25">
      <c r="A1101">
        <v>20120910</v>
      </c>
      <c r="B1101">
        <v>-21736718.824340399</v>
      </c>
      <c r="C1101">
        <v>-8764311.3521217108</v>
      </c>
    </row>
    <row r="1102" spans="1:3" x14ac:dyDescent="0.25">
      <c r="A1102">
        <v>20120911</v>
      </c>
      <c r="B1102">
        <v>-19251876.880676601</v>
      </c>
      <c r="C1102">
        <v>-8359776.3983742204</v>
      </c>
    </row>
    <row r="1103" spans="1:3" x14ac:dyDescent="0.25">
      <c r="A1103">
        <v>20120912</v>
      </c>
      <c r="B1103">
        <v>-19492435.2463632</v>
      </c>
      <c r="C1103">
        <v>-16259850.9829705</v>
      </c>
    </row>
    <row r="1104" spans="1:3" x14ac:dyDescent="0.25">
      <c r="A1104">
        <v>20120913</v>
      </c>
      <c r="B1104">
        <v>-15779455.126844199</v>
      </c>
      <c r="C1104">
        <v>-9842706.9685999807</v>
      </c>
    </row>
    <row r="1105" spans="1:3" x14ac:dyDescent="0.25">
      <c r="A1105">
        <v>20120914</v>
      </c>
      <c r="B1105">
        <v>-22346804.539147299</v>
      </c>
      <c r="C1105">
        <v>-6097369.7587188501</v>
      </c>
    </row>
    <row r="1106" spans="1:3" x14ac:dyDescent="0.25">
      <c r="A1106">
        <v>20120917</v>
      </c>
      <c r="B1106">
        <v>-18832998.474778999</v>
      </c>
      <c r="C1106">
        <v>1315421.1145293</v>
      </c>
    </row>
    <row r="1107" spans="1:3" x14ac:dyDescent="0.25">
      <c r="A1107">
        <v>20120918</v>
      </c>
      <c r="B1107">
        <v>-13656872.227714401</v>
      </c>
      <c r="C1107">
        <v>8579195.0165810101</v>
      </c>
    </row>
    <row r="1108" spans="1:3" x14ac:dyDescent="0.25">
      <c r="A1108">
        <v>20120919</v>
      </c>
      <c r="B1108">
        <v>-10375540.268881099</v>
      </c>
      <c r="C1108">
        <v>9608359.0132649094</v>
      </c>
    </row>
    <row r="1109" spans="1:3" x14ac:dyDescent="0.25">
      <c r="A1109">
        <v>20120920</v>
      </c>
      <c r="B1109">
        <v>-1732943.03767695</v>
      </c>
      <c r="C1109">
        <v>11835439.857601499</v>
      </c>
    </row>
    <row r="1110" spans="1:3" x14ac:dyDescent="0.25">
      <c r="A1110">
        <v>20120921</v>
      </c>
      <c r="B1110">
        <v>11399012.811804101</v>
      </c>
      <c r="C1110">
        <v>15562368.6960719</v>
      </c>
    </row>
    <row r="1111" spans="1:3" x14ac:dyDescent="0.25">
      <c r="A1111">
        <v>20120924</v>
      </c>
      <c r="B1111">
        <v>13386965.3760945</v>
      </c>
      <c r="C1111">
        <v>12651749.831790799</v>
      </c>
    </row>
    <row r="1112" spans="1:3" x14ac:dyDescent="0.25">
      <c r="A1112">
        <v>20120925</v>
      </c>
      <c r="B1112">
        <v>6883349.6886962503</v>
      </c>
      <c r="C1112">
        <v>9201629.1757448297</v>
      </c>
    </row>
    <row r="1113" spans="1:3" x14ac:dyDescent="0.25">
      <c r="A1113">
        <v>20120926</v>
      </c>
      <c r="B1113">
        <v>15143536.0358175</v>
      </c>
      <c r="C1113">
        <v>17625915.581845999</v>
      </c>
    </row>
    <row r="1114" spans="1:3" x14ac:dyDescent="0.25">
      <c r="A1114">
        <v>20120927</v>
      </c>
      <c r="B1114">
        <v>7197540.97268405</v>
      </c>
      <c r="C1114">
        <v>18209668.9197645</v>
      </c>
    </row>
    <row r="1115" spans="1:3" x14ac:dyDescent="0.25">
      <c r="A1115">
        <v>20120928</v>
      </c>
      <c r="B1115">
        <v>7113206.7557036299</v>
      </c>
      <c r="C1115">
        <v>18745077.106572099</v>
      </c>
    </row>
    <row r="1116" spans="1:3" x14ac:dyDescent="0.25">
      <c r="A1116">
        <v>20121001</v>
      </c>
      <c r="B1116">
        <v>66146.197272287594</v>
      </c>
      <c r="C1116">
        <v>12705412.954121299</v>
      </c>
    </row>
    <row r="1117" spans="1:3" x14ac:dyDescent="0.25">
      <c r="A1117">
        <v>20121002</v>
      </c>
      <c r="B1117">
        <v>1563052.4737112401</v>
      </c>
      <c r="C1117">
        <v>16621181.9279844</v>
      </c>
    </row>
    <row r="1118" spans="1:3" x14ac:dyDescent="0.25">
      <c r="A1118">
        <v>20121003</v>
      </c>
      <c r="B1118">
        <v>-5163565.8203549003</v>
      </c>
      <c r="C1118">
        <v>14273414.7312291</v>
      </c>
    </row>
    <row r="1119" spans="1:3" x14ac:dyDescent="0.25">
      <c r="A1119">
        <v>20121004</v>
      </c>
      <c r="B1119">
        <v>-8801991.7294804007</v>
      </c>
      <c r="C1119">
        <v>7888210.9483240498</v>
      </c>
    </row>
    <row r="1120" spans="1:3" x14ac:dyDescent="0.25">
      <c r="A1120">
        <v>20121005</v>
      </c>
      <c r="B1120">
        <v>-10637549.8273842</v>
      </c>
      <c r="C1120">
        <v>-5420628.65026954</v>
      </c>
    </row>
    <row r="1121" spans="1:3" x14ac:dyDescent="0.25">
      <c r="A1121">
        <v>20121008</v>
      </c>
      <c r="B1121">
        <v>-2494775.0191975501</v>
      </c>
      <c r="C1121">
        <v>-9435286.0721665807</v>
      </c>
    </row>
    <row r="1122" spans="1:3" x14ac:dyDescent="0.25">
      <c r="A1122">
        <v>20121009</v>
      </c>
      <c r="B1122">
        <v>538164.07886707899</v>
      </c>
      <c r="C1122">
        <v>-13034704.3103224</v>
      </c>
    </row>
    <row r="1123" spans="1:3" x14ac:dyDescent="0.25">
      <c r="A1123">
        <v>20121010</v>
      </c>
      <c r="B1123">
        <v>-617284.23034362996</v>
      </c>
      <c r="C1123">
        <v>-22760241.1315929</v>
      </c>
    </row>
    <row r="1124" spans="1:3" x14ac:dyDescent="0.25">
      <c r="A1124">
        <v>20121011</v>
      </c>
      <c r="B1124">
        <v>2386415.3183911401</v>
      </c>
      <c r="C1124">
        <v>-15171113.530629501</v>
      </c>
    </row>
    <row r="1125" spans="1:3" x14ac:dyDescent="0.25">
      <c r="A1125">
        <v>20121012</v>
      </c>
      <c r="B1125">
        <v>4897214.0921714902</v>
      </c>
      <c r="C1125">
        <v>-4030902.3179998701</v>
      </c>
    </row>
    <row r="1126" spans="1:3" x14ac:dyDescent="0.25">
      <c r="A1126">
        <v>20121015</v>
      </c>
      <c r="B1126">
        <v>253865.96707398299</v>
      </c>
      <c r="C1126">
        <v>5106362.0332552698</v>
      </c>
    </row>
    <row r="1127" spans="1:3" x14ac:dyDescent="0.25">
      <c r="A1127">
        <v>20121016</v>
      </c>
      <c r="B1127">
        <v>-4608132.8313174304</v>
      </c>
      <c r="C1127">
        <v>13619284.174853999</v>
      </c>
    </row>
    <row r="1128" spans="1:3" x14ac:dyDescent="0.25">
      <c r="A1128">
        <v>20121017</v>
      </c>
      <c r="B1128">
        <v>-12565543.600547301</v>
      </c>
      <c r="C1128">
        <v>12486283.7355242</v>
      </c>
    </row>
    <row r="1129" spans="1:3" x14ac:dyDescent="0.25">
      <c r="A1129">
        <v>20121018</v>
      </c>
      <c r="B1129">
        <v>-9490566.9995804802</v>
      </c>
      <c r="C1129">
        <v>10149203.539852001</v>
      </c>
    </row>
    <row r="1130" spans="1:3" x14ac:dyDescent="0.25">
      <c r="A1130">
        <v>20121019</v>
      </c>
      <c r="B1130">
        <v>-4644284.1709896196</v>
      </c>
      <c r="C1130">
        <v>15066019.9106037</v>
      </c>
    </row>
    <row r="1131" spans="1:3" x14ac:dyDescent="0.25">
      <c r="A1131">
        <v>20121022</v>
      </c>
      <c r="B1131">
        <v>-10221758.1824925</v>
      </c>
      <c r="C1131">
        <v>19184265.119704001</v>
      </c>
    </row>
    <row r="1132" spans="1:3" x14ac:dyDescent="0.25">
      <c r="A1132">
        <v>20121023</v>
      </c>
      <c r="B1132">
        <v>-1668528.1420972601</v>
      </c>
      <c r="C1132">
        <v>4674711.9313236596</v>
      </c>
    </row>
    <row r="1133" spans="1:3" x14ac:dyDescent="0.25">
      <c r="A1133">
        <v>20121024</v>
      </c>
      <c r="B1133">
        <v>3869707.6684641899</v>
      </c>
      <c r="C1133">
        <v>6655988.4739545397</v>
      </c>
    </row>
    <row r="1134" spans="1:3" x14ac:dyDescent="0.25">
      <c r="A1134">
        <v>20121025</v>
      </c>
      <c r="B1134">
        <v>4029675.2027567802</v>
      </c>
      <c r="C1134">
        <v>11212454.929123901</v>
      </c>
    </row>
    <row r="1135" spans="1:3" x14ac:dyDescent="0.25">
      <c r="A1135">
        <v>20121026</v>
      </c>
      <c r="B1135">
        <v>4326885.1407202901</v>
      </c>
      <c r="C1135">
        <v>7746605.2036712598</v>
      </c>
    </row>
    <row r="1136" spans="1:3" x14ac:dyDescent="0.25">
      <c r="A1136">
        <v>20121029</v>
      </c>
      <c r="B1136">
        <v>12023282.0535676</v>
      </c>
      <c r="C1136">
        <v>2628593.2424944802</v>
      </c>
    </row>
    <row r="1137" spans="1:3" x14ac:dyDescent="0.25">
      <c r="A1137">
        <v>20121030</v>
      </c>
      <c r="B1137">
        <v>2543755.3193927002</v>
      </c>
      <c r="C1137">
        <v>6975972.5307612903</v>
      </c>
    </row>
    <row r="1138" spans="1:3" x14ac:dyDescent="0.25">
      <c r="A1138">
        <v>20121031</v>
      </c>
      <c r="B1138">
        <v>8179594.74178351</v>
      </c>
      <c r="C1138">
        <v>10114231.7779794</v>
      </c>
    </row>
    <row r="1139" spans="1:3" x14ac:dyDescent="0.25">
      <c r="A1139">
        <v>20121101</v>
      </c>
      <c r="B1139">
        <v>7047154.2498089597</v>
      </c>
      <c r="C1139">
        <v>2309154.9068287401</v>
      </c>
    </row>
    <row r="1140" spans="1:3" x14ac:dyDescent="0.25">
      <c r="A1140">
        <v>20121102</v>
      </c>
      <c r="B1140">
        <v>5710081.6286430396</v>
      </c>
      <c r="C1140">
        <v>-3533468.2940635202</v>
      </c>
    </row>
    <row r="1141" spans="1:3" x14ac:dyDescent="0.25">
      <c r="A1141">
        <v>20121105</v>
      </c>
      <c r="B1141">
        <v>6041130.9889634801</v>
      </c>
      <c r="C1141">
        <v>-9424377.2109949198</v>
      </c>
    </row>
    <row r="1142" spans="1:3" x14ac:dyDescent="0.25">
      <c r="A1142">
        <v>20121106</v>
      </c>
      <c r="B1142">
        <v>9666023.8110705093</v>
      </c>
      <c r="C1142">
        <v>-8002333.5606793398</v>
      </c>
    </row>
    <row r="1143" spans="1:3" x14ac:dyDescent="0.25">
      <c r="A1143">
        <v>20121107</v>
      </c>
      <c r="B1143">
        <v>10409123.4545583</v>
      </c>
      <c r="C1143">
        <v>-6876665.9366837395</v>
      </c>
    </row>
    <row r="1144" spans="1:3" x14ac:dyDescent="0.25">
      <c r="A1144">
        <v>20121108</v>
      </c>
      <c r="B1144">
        <v>14357990.5169493</v>
      </c>
      <c r="C1144">
        <v>-4294405.1490792502</v>
      </c>
    </row>
    <row r="1145" spans="1:3" x14ac:dyDescent="0.25">
      <c r="A1145">
        <v>20121109</v>
      </c>
      <c r="B1145">
        <v>11625634.826591</v>
      </c>
      <c r="C1145">
        <v>159139.19402912899</v>
      </c>
    </row>
    <row r="1146" spans="1:3" x14ac:dyDescent="0.25">
      <c r="A1146">
        <v>20121112</v>
      </c>
      <c r="B1146">
        <v>8451016.3919576108</v>
      </c>
      <c r="C1146">
        <v>3793183.53262045</v>
      </c>
    </row>
    <row r="1147" spans="1:3" x14ac:dyDescent="0.25">
      <c r="A1147">
        <v>20121113</v>
      </c>
      <c r="B1147">
        <v>10145441.6209743</v>
      </c>
      <c r="C1147">
        <v>2333678.4032258</v>
      </c>
    </row>
    <row r="1148" spans="1:3" x14ac:dyDescent="0.25">
      <c r="A1148">
        <v>20121114</v>
      </c>
      <c r="B1148">
        <v>4679268.14670718</v>
      </c>
      <c r="C1148">
        <v>1554078.89971636</v>
      </c>
    </row>
    <row r="1149" spans="1:3" x14ac:dyDescent="0.25">
      <c r="A1149">
        <v>20121115</v>
      </c>
      <c r="B1149">
        <v>-910345.58120018605</v>
      </c>
      <c r="C1149">
        <v>1738998.8255819201</v>
      </c>
    </row>
    <row r="1150" spans="1:3" x14ac:dyDescent="0.25">
      <c r="A1150">
        <v>20121116</v>
      </c>
      <c r="B1150">
        <v>3453348.98683056</v>
      </c>
      <c r="C1150">
        <v>-2577773.8010934801</v>
      </c>
    </row>
    <row r="1151" spans="1:3" x14ac:dyDescent="0.25">
      <c r="A1151">
        <v>20121119</v>
      </c>
      <c r="B1151">
        <v>-1718429.2126782499</v>
      </c>
      <c r="C1151">
        <v>-7742388.0414650701</v>
      </c>
    </row>
    <row r="1152" spans="1:3" x14ac:dyDescent="0.25">
      <c r="A1152">
        <v>20121120</v>
      </c>
      <c r="B1152">
        <v>-3255748.5491253599</v>
      </c>
      <c r="C1152">
        <v>-4812129.4725642903</v>
      </c>
    </row>
    <row r="1153" spans="1:3" x14ac:dyDescent="0.25">
      <c r="A1153">
        <v>20121121</v>
      </c>
      <c r="B1153">
        <v>-4238464.5838713702</v>
      </c>
      <c r="C1153">
        <v>-9852236.3602536209</v>
      </c>
    </row>
    <row r="1154" spans="1:3" x14ac:dyDescent="0.25">
      <c r="A1154">
        <v>20121122</v>
      </c>
      <c r="B1154">
        <v>-4944424.4967503902</v>
      </c>
      <c r="C1154">
        <v>-9976823.0206144191</v>
      </c>
    </row>
    <row r="1155" spans="1:3" x14ac:dyDescent="0.25">
      <c r="A1155">
        <v>20121123</v>
      </c>
      <c r="B1155">
        <v>-12941679.513328301</v>
      </c>
      <c r="C1155">
        <v>-15997726.074856799</v>
      </c>
    </row>
    <row r="1156" spans="1:3" x14ac:dyDescent="0.25">
      <c r="A1156">
        <v>20121126</v>
      </c>
      <c r="B1156">
        <v>-8220321.5649877004</v>
      </c>
      <c r="C1156">
        <v>-4799185.6092335498</v>
      </c>
    </row>
    <row r="1157" spans="1:3" x14ac:dyDescent="0.25">
      <c r="A1157">
        <v>20121127</v>
      </c>
      <c r="B1157">
        <v>-217375.956080167</v>
      </c>
      <c r="C1157">
        <v>-6919947.1000526501</v>
      </c>
    </row>
    <row r="1158" spans="1:3" x14ac:dyDescent="0.25">
      <c r="A1158">
        <v>20121128</v>
      </c>
      <c r="B1158">
        <v>3521566.4243217702</v>
      </c>
      <c r="C1158">
        <v>-5993468.5966337398</v>
      </c>
    </row>
    <row r="1159" spans="1:3" x14ac:dyDescent="0.25">
      <c r="A1159">
        <v>20121129</v>
      </c>
      <c r="B1159">
        <v>3407942.5537534999</v>
      </c>
      <c r="C1159">
        <v>-3635784.3083663401</v>
      </c>
    </row>
    <row r="1160" spans="1:3" x14ac:dyDescent="0.25">
      <c r="A1160">
        <v>20121130</v>
      </c>
      <c r="B1160">
        <v>4667420.3450352997</v>
      </c>
      <c r="C1160">
        <v>8694402.7020401694</v>
      </c>
    </row>
    <row r="1161" spans="1:3" x14ac:dyDescent="0.25">
      <c r="A1161">
        <v>20121203</v>
      </c>
      <c r="B1161">
        <v>3360804.3458665898</v>
      </c>
      <c r="C1161">
        <v>3764178.17000663</v>
      </c>
    </row>
    <row r="1162" spans="1:3" x14ac:dyDescent="0.25">
      <c r="A1162">
        <v>20121204</v>
      </c>
      <c r="B1162">
        <v>-6673934.9035430504</v>
      </c>
      <c r="C1162">
        <v>5357730.7720125401</v>
      </c>
    </row>
    <row r="1163" spans="1:3" x14ac:dyDescent="0.25">
      <c r="A1163">
        <v>20121205</v>
      </c>
      <c r="B1163">
        <v>-8851051.8609141205</v>
      </c>
      <c r="C1163">
        <v>7877039.4007457104</v>
      </c>
    </row>
    <row r="1164" spans="1:3" x14ac:dyDescent="0.25">
      <c r="A1164">
        <v>20121206</v>
      </c>
      <c r="B1164">
        <v>-1374884.11701861</v>
      </c>
      <c r="C1164">
        <v>7536184.6367605804</v>
      </c>
    </row>
    <row r="1165" spans="1:3" x14ac:dyDescent="0.25">
      <c r="A1165">
        <v>20121207</v>
      </c>
      <c r="B1165">
        <v>793036.54565262003</v>
      </c>
      <c r="C1165">
        <v>82900.413192210195</v>
      </c>
    </row>
    <row r="1166" spans="1:3" x14ac:dyDescent="0.25">
      <c r="A1166">
        <v>20121210</v>
      </c>
      <c r="B1166">
        <v>2362690.5341361701</v>
      </c>
      <c r="C1166">
        <v>-4679238.0232944097</v>
      </c>
    </row>
    <row r="1167" spans="1:3" x14ac:dyDescent="0.25">
      <c r="A1167">
        <v>20121211</v>
      </c>
      <c r="B1167">
        <v>1805642.4242022899</v>
      </c>
      <c r="C1167">
        <v>-4700881.5609044796</v>
      </c>
    </row>
    <row r="1168" spans="1:3" x14ac:dyDescent="0.25">
      <c r="A1168">
        <v>20121212</v>
      </c>
      <c r="B1168">
        <v>1837977.0505104701</v>
      </c>
      <c r="C1168">
        <v>-6475512.1964215897</v>
      </c>
    </row>
    <row r="1169" spans="1:3" x14ac:dyDescent="0.25">
      <c r="A1169">
        <v>20121213</v>
      </c>
      <c r="B1169">
        <v>-5981824.5480631301</v>
      </c>
      <c r="C1169">
        <v>-8631917.1603487004</v>
      </c>
    </row>
    <row r="1170" spans="1:3" x14ac:dyDescent="0.25">
      <c r="A1170">
        <v>20121214</v>
      </c>
      <c r="B1170">
        <v>-7340667.0596430497</v>
      </c>
      <c r="C1170">
        <v>-3962094.9005812998</v>
      </c>
    </row>
    <row r="1171" spans="1:3" x14ac:dyDescent="0.25">
      <c r="A1171">
        <v>20121217</v>
      </c>
      <c r="B1171">
        <v>-10130472.3373423</v>
      </c>
      <c r="C1171">
        <v>150606.54818771899</v>
      </c>
    </row>
    <row r="1172" spans="1:3" x14ac:dyDescent="0.25">
      <c r="A1172">
        <v>20121218</v>
      </c>
      <c r="B1172">
        <v>-10727579.359035499</v>
      </c>
      <c r="C1172">
        <v>-3452881.2733905199</v>
      </c>
    </row>
    <row r="1173" spans="1:3" x14ac:dyDescent="0.25">
      <c r="A1173">
        <v>20121219</v>
      </c>
      <c r="B1173">
        <v>-10993837.16316</v>
      </c>
      <c r="C1173">
        <v>4014072.08226773</v>
      </c>
    </row>
    <row r="1174" spans="1:3" x14ac:dyDescent="0.25">
      <c r="A1174">
        <v>20121220</v>
      </c>
      <c r="B1174">
        <v>-1297009.10017714</v>
      </c>
      <c r="C1174">
        <v>5609518.1986562498</v>
      </c>
    </row>
    <row r="1175" spans="1:3" x14ac:dyDescent="0.25">
      <c r="A1175">
        <v>20121221</v>
      </c>
      <c r="B1175">
        <v>1424121.4193492201</v>
      </c>
      <c r="C1175">
        <v>8519427.6082429998</v>
      </c>
    </row>
    <row r="1176" spans="1:3" x14ac:dyDescent="0.25">
      <c r="A1176">
        <v>20121224</v>
      </c>
      <c r="B1176">
        <v>1974442.31594106</v>
      </c>
      <c r="C1176">
        <v>6729742.15445391</v>
      </c>
    </row>
    <row r="1177" spans="1:3" x14ac:dyDescent="0.25">
      <c r="A1177">
        <v>20121225</v>
      </c>
      <c r="B1177">
        <v>3370974.5189934601</v>
      </c>
      <c r="C1177">
        <v>8170586.9729520902</v>
      </c>
    </row>
    <row r="1178" spans="1:3" x14ac:dyDescent="0.25">
      <c r="A1178">
        <v>20121226</v>
      </c>
      <c r="B1178">
        <v>3079290.7975156601</v>
      </c>
      <c r="C1178">
        <v>7699191.8277851399</v>
      </c>
    </row>
    <row r="1179" spans="1:3" x14ac:dyDescent="0.25">
      <c r="A1179">
        <v>20121227</v>
      </c>
      <c r="B1179">
        <v>125821.257900718</v>
      </c>
      <c r="C1179">
        <v>5932853.7571492</v>
      </c>
    </row>
    <row r="1180" spans="1:3" x14ac:dyDescent="0.25">
      <c r="A1180">
        <v>20121228</v>
      </c>
      <c r="B1180">
        <v>-8025344.7626711801</v>
      </c>
      <c r="C1180">
        <v>6481443.1873344202</v>
      </c>
    </row>
    <row r="1181" spans="1:3" x14ac:dyDescent="0.25">
      <c r="A1181">
        <v>20121231</v>
      </c>
      <c r="B1181">
        <v>-6227294.7167431302</v>
      </c>
      <c r="C1181">
        <v>10606314.6267698</v>
      </c>
    </row>
    <row r="1182" spans="1:3" x14ac:dyDescent="0.25">
      <c r="A1182">
        <v>20130101</v>
      </c>
      <c r="B1182">
        <v>-4397438.6990452996</v>
      </c>
      <c r="C1182">
        <v>11146858.067504199</v>
      </c>
    </row>
    <row r="1183" spans="1:3" x14ac:dyDescent="0.25">
      <c r="A1183">
        <v>20130102</v>
      </c>
      <c r="B1183">
        <v>-5205867.0972830998</v>
      </c>
      <c r="C1183">
        <v>-4857794.7180337301</v>
      </c>
    </row>
    <row r="1184" spans="1:3" x14ac:dyDescent="0.25">
      <c r="A1184">
        <v>20130103</v>
      </c>
      <c r="B1184">
        <v>-4838821.7549279695</v>
      </c>
      <c r="C1184">
        <v>-4572896.9107314199</v>
      </c>
    </row>
    <row r="1185" spans="1:3" x14ac:dyDescent="0.25">
      <c r="A1185">
        <v>20130104</v>
      </c>
      <c r="B1185">
        <v>3087189.5716382102</v>
      </c>
      <c r="C1185">
        <v>-16837523.803459398</v>
      </c>
    </row>
    <row r="1186" spans="1:3" x14ac:dyDescent="0.25">
      <c r="A1186">
        <v>20130107</v>
      </c>
      <c r="B1186">
        <v>1563389.1099367801</v>
      </c>
      <c r="C1186">
        <v>-15060520.293559199</v>
      </c>
    </row>
    <row r="1187" spans="1:3" x14ac:dyDescent="0.25">
      <c r="A1187">
        <v>20130108</v>
      </c>
      <c r="B1187">
        <v>2083762.8762803001</v>
      </c>
      <c r="C1187">
        <v>-12370238.420226701</v>
      </c>
    </row>
    <row r="1188" spans="1:3" x14ac:dyDescent="0.25">
      <c r="A1188">
        <v>20130109</v>
      </c>
      <c r="B1188">
        <v>7598063.8128076904</v>
      </c>
      <c r="C1188">
        <v>-134874.70143726599</v>
      </c>
    </row>
    <row r="1189" spans="1:3" x14ac:dyDescent="0.25">
      <c r="A1189">
        <v>20130110</v>
      </c>
      <c r="B1189">
        <v>-6256608.0242817104</v>
      </c>
      <c r="C1189">
        <v>1831950.9325925501</v>
      </c>
    </row>
    <row r="1190" spans="1:3" x14ac:dyDescent="0.25">
      <c r="A1190">
        <v>20130111</v>
      </c>
      <c r="B1190">
        <v>-12871267.385141701</v>
      </c>
      <c r="C1190">
        <v>4403340.6440053899</v>
      </c>
    </row>
    <row r="1191" spans="1:3" x14ac:dyDescent="0.25">
      <c r="A1191">
        <v>20130114</v>
      </c>
      <c r="B1191">
        <v>-13088398.0362297</v>
      </c>
      <c r="C1191">
        <v>7162450.6494267397</v>
      </c>
    </row>
    <row r="1192" spans="1:3" x14ac:dyDescent="0.25">
      <c r="A1192">
        <v>20130115</v>
      </c>
      <c r="B1192">
        <v>-14503277.0483036</v>
      </c>
      <c r="C1192">
        <v>-957152.09747398004</v>
      </c>
    </row>
    <row r="1193" spans="1:3" x14ac:dyDescent="0.25">
      <c r="A1193">
        <v>20130116</v>
      </c>
      <c r="B1193">
        <v>-12661731.3335083</v>
      </c>
      <c r="C1193">
        <v>-2146253.0758986399</v>
      </c>
    </row>
    <row r="1194" spans="1:3" x14ac:dyDescent="0.25">
      <c r="A1194">
        <v>20130117</v>
      </c>
      <c r="B1194">
        <v>-7448015.0811019205</v>
      </c>
      <c r="C1194">
        <v>1537757.1938044899</v>
      </c>
    </row>
    <row r="1195" spans="1:3" x14ac:dyDescent="0.25">
      <c r="A1195">
        <v>20130118</v>
      </c>
      <c r="B1195">
        <v>-521107.816322267</v>
      </c>
      <c r="C1195">
        <v>19389855.529230699</v>
      </c>
    </row>
    <row r="1196" spans="1:3" x14ac:dyDescent="0.25">
      <c r="A1196">
        <v>20130121</v>
      </c>
      <c r="B1196">
        <v>-33269.707073418402</v>
      </c>
      <c r="C1196">
        <v>15163670.733021099</v>
      </c>
    </row>
    <row r="1197" spans="1:3" x14ac:dyDescent="0.25">
      <c r="A1197">
        <v>20130122</v>
      </c>
      <c r="B1197">
        <v>4249908.47353811</v>
      </c>
      <c r="C1197">
        <v>19029959.549678698</v>
      </c>
    </row>
    <row r="1198" spans="1:3" x14ac:dyDescent="0.25">
      <c r="A1198">
        <v>20130123</v>
      </c>
      <c r="B1198">
        <v>-3275469.54630053</v>
      </c>
      <c r="C1198">
        <v>24984406.825599201</v>
      </c>
    </row>
    <row r="1199" spans="1:3" x14ac:dyDescent="0.25">
      <c r="A1199">
        <v>20130124</v>
      </c>
      <c r="B1199">
        <v>-2768373.7203341201</v>
      </c>
      <c r="C1199">
        <v>26604339.420201801</v>
      </c>
    </row>
    <row r="1200" spans="1:3" x14ac:dyDescent="0.25">
      <c r="A1200">
        <v>20130125</v>
      </c>
      <c r="B1200">
        <v>-11710294.774386801</v>
      </c>
      <c r="C1200">
        <v>19638151.204197701</v>
      </c>
    </row>
    <row r="1201" spans="1:3" x14ac:dyDescent="0.25">
      <c r="A1201">
        <v>20130128</v>
      </c>
      <c r="B1201">
        <v>-9708178.0584465694</v>
      </c>
      <c r="C1201">
        <v>15236318.577170299</v>
      </c>
    </row>
    <row r="1202" spans="1:3" x14ac:dyDescent="0.25">
      <c r="A1202">
        <v>20130129</v>
      </c>
      <c r="B1202">
        <v>-15628495.426455799</v>
      </c>
      <c r="C1202">
        <v>13290672.6681394</v>
      </c>
    </row>
    <row r="1203" spans="1:3" x14ac:dyDescent="0.25">
      <c r="A1203">
        <v>20130130</v>
      </c>
      <c r="B1203">
        <v>-17592708.834104098</v>
      </c>
      <c r="C1203">
        <v>3693755.7052270998</v>
      </c>
    </row>
    <row r="1204" spans="1:3" x14ac:dyDescent="0.25">
      <c r="A1204">
        <v>20130131</v>
      </c>
      <c r="B1204">
        <v>-14889757.890120801</v>
      </c>
      <c r="C1204">
        <v>-4576125.732295</v>
      </c>
    </row>
    <row r="1205" spans="1:3" x14ac:dyDescent="0.25">
      <c r="A1205">
        <v>20130201</v>
      </c>
      <c r="B1205">
        <v>-12667869.4225302</v>
      </c>
      <c r="C1205">
        <v>-8599196.9280763492</v>
      </c>
    </row>
    <row r="1206" spans="1:3" x14ac:dyDescent="0.25">
      <c r="A1206">
        <v>20130204</v>
      </c>
      <c r="B1206">
        <v>-5318765.1306052404</v>
      </c>
      <c r="C1206">
        <v>-8838456.4386711307</v>
      </c>
    </row>
    <row r="1207" spans="1:3" x14ac:dyDescent="0.25">
      <c r="A1207">
        <v>20130205</v>
      </c>
      <c r="B1207">
        <v>-2093410.47394263</v>
      </c>
      <c r="C1207">
        <v>-4627629.1791371498</v>
      </c>
    </row>
    <row r="1208" spans="1:3" x14ac:dyDescent="0.25">
      <c r="A1208">
        <v>20130206</v>
      </c>
      <c r="B1208">
        <v>522859.64002535801</v>
      </c>
      <c r="C1208">
        <v>-5050182.7971006101</v>
      </c>
    </row>
    <row r="1209" spans="1:3" x14ac:dyDescent="0.25">
      <c r="A1209">
        <v>20130207</v>
      </c>
      <c r="B1209">
        <v>7528185.8556167996</v>
      </c>
      <c r="C1209">
        <v>-1011724.22640117</v>
      </c>
    </row>
    <row r="1210" spans="1:3" x14ac:dyDescent="0.25">
      <c r="A1210">
        <v>20130208</v>
      </c>
      <c r="B1210">
        <v>12827476.3615906</v>
      </c>
      <c r="C1210">
        <v>1766573.8131670801</v>
      </c>
    </row>
    <row r="1211" spans="1:3" x14ac:dyDescent="0.25">
      <c r="A1211">
        <v>20130211</v>
      </c>
      <c r="B1211">
        <v>5222104.1729589598</v>
      </c>
      <c r="C1211">
        <v>9436063.9789649509</v>
      </c>
    </row>
    <row r="1212" spans="1:3" x14ac:dyDescent="0.25">
      <c r="A1212">
        <v>20130212</v>
      </c>
      <c r="B1212">
        <v>449077.22093302303</v>
      </c>
      <c r="C1212">
        <v>1833218.69027288</v>
      </c>
    </row>
    <row r="1213" spans="1:3" x14ac:dyDescent="0.25">
      <c r="A1213">
        <v>20130213</v>
      </c>
      <c r="B1213">
        <v>2856071.9524894198</v>
      </c>
      <c r="C1213">
        <v>7733038.3136216896</v>
      </c>
    </row>
    <row r="1214" spans="1:3" x14ac:dyDescent="0.25">
      <c r="A1214">
        <v>20130214</v>
      </c>
      <c r="B1214">
        <v>1364001.3624282801</v>
      </c>
      <c r="C1214">
        <v>3105257.2014503502</v>
      </c>
    </row>
    <row r="1215" spans="1:3" x14ac:dyDescent="0.25">
      <c r="A1215">
        <v>20130215</v>
      </c>
      <c r="B1215">
        <v>854075.61065588798</v>
      </c>
      <c r="C1215">
        <v>2808703.6486438201</v>
      </c>
    </row>
    <row r="1216" spans="1:3" x14ac:dyDescent="0.25">
      <c r="A1216">
        <v>20130218</v>
      </c>
      <c r="B1216">
        <v>343611.85476368602</v>
      </c>
      <c r="C1216">
        <v>1459912.7161270401</v>
      </c>
    </row>
    <row r="1217" spans="1:3" x14ac:dyDescent="0.25">
      <c r="A1217">
        <v>20130219</v>
      </c>
      <c r="B1217">
        <v>4879978.9968945496</v>
      </c>
      <c r="C1217">
        <v>9760044.6238803696</v>
      </c>
    </row>
    <row r="1218" spans="1:3" x14ac:dyDescent="0.25">
      <c r="A1218">
        <v>20130220</v>
      </c>
      <c r="B1218">
        <v>2514521.6193992398</v>
      </c>
      <c r="C1218">
        <v>14551063.2792018</v>
      </c>
    </row>
    <row r="1219" spans="1:3" x14ac:dyDescent="0.25">
      <c r="A1219">
        <v>20130221</v>
      </c>
      <c r="B1219">
        <v>4955128.1350457696</v>
      </c>
      <c r="C1219">
        <v>16598417.719078301</v>
      </c>
    </row>
    <row r="1220" spans="1:3" x14ac:dyDescent="0.25">
      <c r="A1220">
        <v>20130222</v>
      </c>
      <c r="B1220">
        <v>8608897.97517097</v>
      </c>
      <c r="C1220">
        <v>19788168.275676701</v>
      </c>
    </row>
    <row r="1221" spans="1:3" x14ac:dyDescent="0.25">
      <c r="A1221">
        <v>20130225</v>
      </c>
      <c r="B1221">
        <v>9632447.3985311296</v>
      </c>
      <c r="C1221">
        <v>22814860.734837402</v>
      </c>
    </row>
    <row r="1222" spans="1:3" x14ac:dyDescent="0.25">
      <c r="A1222">
        <v>20130226</v>
      </c>
      <c r="B1222">
        <v>15059673.9219427</v>
      </c>
      <c r="C1222">
        <v>21051782.569522601</v>
      </c>
    </row>
    <row r="1223" spans="1:3" x14ac:dyDescent="0.25">
      <c r="A1223">
        <v>20130227</v>
      </c>
      <c r="B1223">
        <v>14555924.556762099</v>
      </c>
      <c r="C1223">
        <v>15782904.730575301</v>
      </c>
    </row>
    <row r="1224" spans="1:3" x14ac:dyDescent="0.25">
      <c r="A1224">
        <v>20130228</v>
      </c>
      <c r="B1224">
        <v>7697303.8649901003</v>
      </c>
      <c r="C1224">
        <v>11879029.512014801</v>
      </c>
    </row>
    <row r="1225" spans="1:3" x14ac:dyDescent="0.25">
      <c r="A1225">
        <v>20130301</v>
      </c>
      <c r="B1225">
        <v>8727662.3516186401</v>
      </c>
      <c r="C1225">
        <v>-894922.46160375001</v>
      </c>
    </row>
    <row r="1226" spans="1:3" x14ac:dyDescent="0.25">
      <c r="A1226">
        <v>20130304</v>
      </c>
      <c r="B1226">
        <v>8874647.5693898909</v>
      </c>
      <c r="C1226">
        <v>-4339849.9727239897</v>
      </c>
    </row>
    <row r="1227" spans="1:3" x14ac:dyDescent="0.25">
      <c r="A1227">
        <v>20130305</v>
      </c>
      <c r="B1227">
        <v>1596330.8576324601</v>
      </c>
      <c r="C1227">
        <v>-1259619.29791774</v>
      </c>
    </row>
    <row r="1228" spans="1:3" x14ac:dyDescent="0.25">
      <c r="A1228">
        <v>20130306</v>
      </c>
      <c r="B1228">
        <v>3935148.7396250698</v>
      </c>
      <c r="C1228">
        <v>-771743.82134141901</v>
      </c>
    </row>
    <row r="1229" spans="1:3" x14ac:dyDescent="0.25">
      <c r="A1229">
        <v>20130307</v>
      </c>
      <c r="B1229">
        <v>-502948.37809044099</v>
      </c>
      <c r="C1229">
        <v>3289448.0337131</v>
      </c>
    </row>
    <row r="1230" spans="1:3" x14ac:dyDescent="0.25">
      <c r="A1230">
        <v>20130308</v>
      </c>
      <c r="B1230">
        <v>194064.049982503</v>
      </c>
      <c r="C1230">
        <v>5921291.7116583101</v>
      </c>
    </row>
    <row r="1231" spans="1:3" x14ac:dyDescent="0.25">
      <c r="A1231">
        <v>20130311</v>
      </c>
      <c r="B1231">
        <v>-1913736.9979705799</v>
      </c>
      <c r="C1231">
        <v>1970395.5691104601</v>
      </c>
    </row>
    <row r="1232" spans="1:3" x14ac:dyDescent="0.25">
      <c r="A1232">
        <v>20130312</v>
      </c>
      <c r="B1232">
        <v>1361181.66974974</v>
      </c>
      <c r="C1232">
        <v>-2008329.68719978</v>
      </c>
    </row>
    <row r="1233" spans="1:3" x14ac:dyDescent="0.25">
      <c r="A1233">
        <v>20130313</v>
      </c>
      <c r="B1233">
        <v>3312019.3919043201</v>
      </c>
      <c r="C1233">
        <v>-3366006.6192485299</v>
      </c>
    </row>
    <row r="1234" spans="1:3" x14ac:dyDescent="0.25">
      <c r="A1234">
        <v>20130314</v>
      </c>
      <c r="B1234">
        <v>7297755.3158026403</v>
      </c>
      <c r="C1234">
        <v>-5481005.2219813</v>
      </c>
    </row>
    <row r="1235" spans="1:3" x14ac:dyDescent="0.25">
      <c r="A1235">
        <v>20130315</v>
      </c>
      <c r="B1235">
        <v>-1265546.0322742099</v>
      </c>
      <c r="C1235">
        <v>-10680753.209731201</v>
      </c>
    </row>
    <row r="1236" spans="1:3" x14ac:dyDescent="0.25">
      <c r="A1236">
        <v>20130318</v>
      </c>
      <c r="B1236">
        <v>7361233.9330035299</v>
      </c>
      <c r="C1236">
        <v>-8151445.2643833999</v>
      </c>
    </row>
    <row r="1237" spans="1:3" x14ac:dyDescent="0.25">
      <c r="A1237">
        <v>20130319</v>
      </c>
      <c r="B1237">
        <v>10637737.0911706</v>
      </c>
      <c r="C1237">
        <v>-2808988.9102163701</v>
      </c>
    </row>
    <row r="1238" spans="1:3" x14ac:dyDescent="0.25">
      <c r="A1238">
        <v>20130320</v>
      </c>
      <c r="B1238">
        <v>2820064.4937086599</v>
      </c>
      <c r="C1238">
        <v>-4700532.6133543802</v>
      </c>
    </row>
    <row r="1239" spans="1:3" x14ac:dyDescent="0.25">
      <c r="A1239">
        <v>20130321</v>
      </c>
      <c r="B1239">
        <v>4756407.7004360398</v>
      </c>
      <c r="C1239">
        <v>-7488812.9659372997</v>
      </c>
    </row>
    <row r="1240" spans="1:3" x14ac:dyDescent="0.25">
      <c r="A1240">
        <v>20130322</v>
      </c>
      <c r="B1240">
        <v>4032726.6075396901</v>
      </c>
      <c r="C1240">
        <v>-3668518.2390096099</v>
      </c>
    </row>
    <row r="1241" spans="1:3" x14ac:dyDescent="0.25">
      <c r="A1241">
        <v>20130325</v>
      </c>
      <c r="B1241">
        <v>1585524.8142424901</v>
      </c>
      <c r="C1241">
        <v>-4932173.1932679703</v>
      </c>
    </row>
    <row r="1242" spans="1:3" x14ac:dyDescent="0.25">
      <c r="A1242">
        <v>20130326</v>
      </c>
      <c r="B1242">
        <v>-675104.76675750397</v>
      </c>
      <c r="C1242">
        <v>-16558002.824334299</v>
      </c>
    </row>
    <row r="1243" spans="1:3" x14ac:dyDescent="0.25">
      <c r="A1243">
        <v>20130327</v>
      </c>
      <c r="B1243">
        <v>7789450.3023548499</v>
      </c>
      <c r="C1243">
        <v>-17001052.899058402</v>
      </c>
    </row>
    <row r="1244" spans="1:3" x14ac:dyDescent="0.25">
      <c r="A1244">
        <v>20130328</v>
      </c>
      <c r="B1244">
        <v>4739458.0066142399</v>
      </c>
      <c r="C1244">
        <v>-11206046.1375132</v>
      </c>
    </row>
    <row r="1245" spans="1:3" x14ac:dyDescent="0.25">
      <c r="A1245">
        <v>20130329</v>
      </c>
      <c r="B1245">
        <v>9027205.1138974596</v>
      </c>
      <c r="C1245">
        <v>-7088056.4224345302</v>
      </c>
    </row>
    <row r="1246" spans="1:3" x14ac:dyDescent="0.25">
      <c r="A1246">
        <v>20130401</v>
      </c>
      <c r="B1246">
        <v>4996225.6534239603</v>
      </c>
      <c r="C1246">
        <v>-5747049.8521185396</v>
      </c>
    </row>
    <row r="1247" spans="1:3" x14ac:dyDescent="0.25">
      <c r="A1247">
        <v>20130402</v>
      </c>
      <c r="B1247">
        <v>3379499.46555589</v>
      </c>
      <c r="C1247">
        <v>1489132.1108391399</v>
      </c>
    </row>
    <row r="1248" spans="1:3" x14ac:dyDescent="0.25">
      <c r="A1248">
        <v>20130403</v>
      </c>
      <c r="B1248">
        <v>274945.11898486299</v>
      </c>
      <c r="C1248">
        <v>-1631346.6075709001</v>
      </c>
    </row>
    <row r="1249" spans="1:3" x14ac:dyDescent="0.25">
      <c r="A1249">
        <v>20130404</v>
      </c>
      <c r="B1249">
        <v>934889.92772524804</v>
      </c>
      <c r="C1249">
        <v>-1872498.9146553001</v>
      </c>
    </row>
    <row r="1250" spans="1:3" x14ac:dyDescent="0.25">
      <c r="A1250">
        <v>20130405</v>
      </c>
      <c r="B1250">
        <v>-6043007.2820240697</v>
      </c>
      <c r="C1250">
        <v>10271622.426092099</v>
      </c>
    </row>
    <row r="1251" spans="1:3" x14ac:dyDescent="0.25">
      <c r="A1251">
        <v>20130408</v>
      </c>
      <c r="B1251">
        <v>-6173805.4091683198</v>
      </c>
      <c r="C1251">
        <v>13904450.649961701</v>
      </c>
    </row>
    <row r="1252" spans="1:3" x14ac:dyDescent="0.25">
      <c r="A1252">
        <v>20130409</v>
      </c>
      <c r="B1252">
        <v>-10244299.547312399</v>
      </c>
      <c r="C1252">
        <v>12532166.8141343</v>
      </c>
    </row>
    <row r="1253" spans="1:3" x14ac:dyDescent="0.25">
      <c r="A1253">
        <v>20130410</v>
      </c>
      <c r="B1253">
        <v>-11378517.4876804</v>
      </c>
      <c r="C1253">
        <v>17324287.9160887</v>
      </c>
    </row>
    <row r="1254" spans="1:3" x14ac:dyDescent="0.25">
      <c r="A1254">
        <v>20130411</v>
      </c>
      <c r="B1254">
        <v>-12911642.048275299</v>
      </c>
      <c r="C1254">
        <v>11893797.621257899</v>
      </c>
    </row>
    <row r="1255" spans="1:3" x14ac:dyDescent="0.25">
      <c r="A1255">
        <v>20130412</v>
      </c>
      <c r="B1255">
        <v>-5348347.3026536303</v>
      </c>
      <c r="C1255">
        <v>2084234.60498372</v>
      </c>
    </row>
    <row r="1256" spans="1:3" x14ac:dyDescent="0.25">
      <c r="A1256">
        <v>20130415</v>
      </c>
      <c r="B1256">
        <v>-2365165.7179617202</v>
      </c>
      <c r="C1256">
        <v>6980386.8749716599</v>
      </c>
    </row>
    <row r="1257" spans="1:3" x14ac:dyDescent="0.25">
      <c r="A1257">
        <v>20130416</v>
      </c>
      <c r="B1257">
        <v>-3895266.3340522801</v>
      </c>
      <c r="C1257">
        <v>14163573.3375703</v>
      </c>
    </row>
    <row r="1258" spans="1:3" x14ac:dyDescent="0.25">
      <c r="A1258">
        <v>20130417</v>
      </c>
      <c r="B1258">
        <v>1162070.4473653</v>
      </c>
      <c r="C1258">
        <v>22099436.952162199</v>
      </c>
    </row>
    <row r="1259" spans="1:3" x14ac:dyDescent="0.25">
      <c r="A1259">
        <v>20130418</v>
      </c>
      <c r="B1259">
        <v>2689549.04544255</v>
      </c>
      <c r="C1259">
        <v>20728971.474045899</v>
      </c>
    </row>
    <row r="1260" spans="1:3" x14ac:dyDescent="0.25">
      <c r="A1260">
        <v>20130419</v>
      </c>
      <c r="B1260">
        <v>591479.52554723201</v>
      </c>
      <c r="C1260">
        <v>20354295.3962011</v>
      </c>
    </row>
    <row r="1261" spans="1:3" x14ac:dyDescent="0.25">
      <c r="A1261">
        <v>20130422</v>
      </c>
      <c r="B1261">
        <v>-238192.50910532201</v>
      </c>
      <c r="C1261">
        <v>9360554.6115482301</v>
      </c>
    </row>
    <row r="1262" spans="1:3" x14ac:dyDescent="0.25">
      <c r="A1262">
        <v>20130423</v>
      </c>
      <c r="B1262">
        <v>4988816.8853838705</v>
      </c>
      <c r="C1262">
        <v>3910628.0601911601</v>
      </c>
    </row>
    <row r="1263" spans="1:3" x14ac:dyDescent="0.25">
      <c r="A1263">
        <v>20130424</v>
      </c>
      <c r="B1263">
        <v>871850.73960939702</v>
      </c>
      <c r="C1263">
        <v>-5162934.5539042698</v>
      </c>
    </row>
    <row r="1264" spans="1:3" x14ac:dyDescent="0.25">
      <c r="A1264">
        <v>20130425</v>
      </c>
      <c r="B1264">
        <v>2313177.4250012101</v>
      </c>
      <c r="C1264">
        <v>-4299225.0751163997</v>
      </c>
    </row>
    <row r="1265" spans="1:3" x14ac:dyDescent="0.25">
      <c r="A1265">
        <v>20130426</v>
      </c>
      <c r="B1265">
        <v>3558048.4410725599</v>
      </c>
      <c r="C1265">
        <v>-9579397.4867285192</v>
      </c>
    </row>
    <row r="1266" spans="1:3" x14ac:dyDescent="0.25">
      <c r="A1266">
        <v>20130429</v>
      </c>
      <c r="B1266">
        <v>-1150471.07428515</v>
      </c>
      <c r="C1266">
        <v>-9916394.4935874008</v>
      </c>
    </row>
    <row r="1267" spans="1:3" x14ac:dyDescent="0.25">
      <c r="A1267">
        <v>20130430</v>
      </c>
      <c r="B1267">
        <v>-5945326.2855599904</v>
      </c>
      <c r="C1267">
        <v>-17768260.655576602</v>
      </c>
    </row>
    <row r="1268" spans="1:3" x14ac:dyDescent="0.25">
      <c r="A1268">
        <v>20130501</v>
      </c>
      <c r="B1268">
        <v>-6497706.0736120297</v>
      </c>
      <c r="C1268">
        <v>-14661106.5086833</v>
      </c>
    </row>
    <row r="1269" spans="1:3" x14ac:dyDescent="0.25">
      <c r="A1269">
        <v>20130502</v>
      </c>
      <c r="B1269">
        <v>-2753490.93552456</v>
      </c>
      <c r="C1269">
        <v>-6331855.8744022101</v>
      </c>
    </row>
    <row r="1270" spans="1:3" x14ac:dyDescent="0.25">
      <c r="A1270">
        <v>20130503</v>
      </c>
      <c r="B1270">
        <v>-5237623.28338084</v>
      </c>
      <c r="C1270">
        <v>-4088983.0470317099</v>
      </c>
    </row>
    <row r="1271" spans="1:3" x14ac:dyDescent="0.25">
      <c r="A1271">
        <v>20130506</v>
      </c>
      <c r="B1271">
        <v>-1636715.25547202</v>
      </c>
      <c r="C1271">
        <v>-6241721.7214233</v>
      </c>
    </row>
    <row r="1272" spans="1:3" x14ac:dyDescent="0.25">
      <c r="A1272">
        <v>20130507</v>
      </c>
      <c r="B1272">
        <v>-754543.38200121303</v>
      </c>
      <c r="C1272">
        <v>-559306.75346683001</v>
      </c>
    </row>
    <row r="1273" spans="1:3" x14ac:dyDescent="0.25">
      <c r="A1273">
        <v>20130508</v>
      </c>
      <c r="B1273">
        <v>-4497312.4921649797</v>
      </c>
      <c r="C1273">
        <v>-921340.022541121</v>
      </c>
    </row>
    <row r="1274" spans="1:3" x14ac:dyDescent="0.25">
      <c r="A1274">
        <v>20130509</v>
      </c>
      <c r="B1274">
        <v>-5353773.3215762004</v>
      </c>
      <c r="C1274">
        <v>-3310505.60214765</v>
      </c>
    </row>
    <row r="1275" spans="1:3" x14ac:dyDescent="0.25">
      <c r="A1275">
        <v>20130510</v>
      </c>
      <c r="B1275">
        <v>-207741.618252441</v>
      </c>
      <c r="C1275">
        <v>1487424.51173382</v>
      </c>
    </row>
    <row r="1276" spans="1:3" x14ac:dyDescent="0.25">
      <c r="A1276">
        <v>20130513</v>
      </c>
      <c r="B1276">
        <v>-2609097.6046837401</v>
      </c>
      <c r="C1276">
        <v>370551.91854095203</v>
      </c>
    </row>
    <row r="1277" spans="1:3" x14ac:dyDescent="0.25">
      <c r="A1277">
        <v>20130514</v>
      </c>
      <c r="B1277">
        <v>-27003.438775606399</v>
      </c>
      <c r="C1277">
        <v>12237143.8855386</v>
      </c>
    </row>
    <row r="1278" spans="1:3" x14ac:dyDescent="0.25">
      <c r="A1278">
        <v>20130515</v>
      </c>
      <c r="B1278">
        <v>8221587.9985616701</v>
      </c>
      <c r="C1278">
        <v>8194577.0568533503</v>
      </c>
    </row>
    <row r="1279" spans="1:3" x14ac:dyDescent="0.25">
      <c r="A1279">
        <v>20130516</v>
      </c>
      <c r="B1279">
        <v>3861395.5951854601</v>
      </c>
      <c r="C1279">
        <v>6063998.2087879404</v>
      </c>
    </row>
    <row r="1280" spans="1:3" x14ac:dyDescent="0.25">
      <c r="A1280">
        <v>20130517</v>
      </c>
      <c r="B1280">
        <v>4441698.0701984596</v>
      </c>
      <c r="C1280">
        <v>13098991.410457499</v>
      </c>
    </row>
    <row r="1281" spans="1:3" x14ac:dyDescent="0.25">
      <c r="A1281">
        <v>20130520</v>
      </c>
      <c r="B1281">
        <v>3411144.6782555101</v>
      </c>
      <c r="C1281">
        <v>17393935.391637702</v>
      </c>
    </row>
    <row r="1282" spans="1:3" x14ac:dyDescent="0.25">
      <c r="A1282">
        <v>20130521</v>
      </c>
      <c r="B1282">
        <v>1947335.46529615</v>
      </c>
      <c r="C1282">
        <v>6720228.2181511801</v>
      </c>
    </row>
    <row r="1283" spans="1:3" x14ac:dyDescent="0.25">
      <c r="A1283">
        <v>20130522</v>
      </c>
      <c r="B1283">
        <v>-4104045.7483191602</v>
      </c>
      <c r="C1283">
        <v>11720503.2827166</v>
      </c>
    </row>
    <row r="1284" spans="1:3" x14ac:dyDescent="0.25">
      <c r="A1284">
        <v>20130523</v>
      </c>
      <c r="B1284">
        <v>-5276184.3265643399</v>
      </c>
      <c r="C1284">
        <v>10532409.851091599</v>
      </c>
    </row>
    <row r="1285" spans="1:3" x14ac:dyDescent="0.25">
      <c r="A1285">
        <v>20130524</v>
      </c>
      <c r="B1285">
        <v>-10112686.884765999</v>
      </c>
      <c r="C1285">
        <v>-3394743.4020570102</v>
      </c>
    </row>
    <row r="1286" spans="1:3" x14ac:dyDescent="0.25">
      <c r="A1286">
        <v>20130527</v>
      </c>
      <c r="B1286">
        <v>-8970164.7292557508</v>
      </c>
      <c r="C1286">
        <v>-3431858.36979486</v>
      </c>
    </row>
    <row r="1287" spans="1:3" x14ac:dyDescent="0.25">
      <c r="A1287">
        <v>20130528</v>
      </c>
      <c r="B1287">
        <v>-5726825.53451165</v>
      </c>
      <c r="C1287">
        <v>-786231.948895838</v>
      </c>
    </row>
    <row r="1288" spans="1:3" x14ac:dyDescent="0.25">
      <c r="A1288">
        <v>20130529</v>
      </c>
      <c r="B1288">
        <v>-8180921.8364907503</v>
      </c>
      <c r="C1288">
        <v>-9655421.8473913409</v>
      </c>
    </row>
    <row r="1289" spans="1:3" x14ac:dyDescent="0.25">
      <c r="A1289">
        <v>20130530</v>
      </c>
      <c r="B1289">
        <v>-9381236.49558888</v>
      </c>
      <c r="C1289">
        <v>-27227539.625643902</v>
      </c>
    </row>
    <row r="1290" spans="1:3" x14ac:dyDescent="0.25">
      <c r="A1290">
        <v>20130531</v>
      </c>
      <c r="B1290">
        <v>-4754112.5203184104</v>
      </c>
      <c r="C1290">
        <v>-23481620.471607599</v>
      </c>
    </row>
    <row r="1291" spans="1:3" x14ac:dyDescent="0.25">
      <c r="A1291">
        <v>20130603</v>
      </c>
      <c r="B1291">
        <v>-4556209.7431749599</v>
      </c>
      <c r="C1291">
        <v>-22520251.1024579</v>
      </c>
    </row>
    <row r="1292" spans="1:3" x14ac:dyDescent="0.25">
      <c r="A1292">
        <v>20130604</v>
      </c>
      <c r="B1292">
        <v>-9399970.6608161908</v>
      </c>
      <c r="C1292">
        <v>-18349430.219638102</v>
      </c>
    </row>
    <row r="1293" spans="1:3" x14ac:dyDescent="0.25">
      <c r="A1293">
        <v>20130605</v>
      </c>
      <c r="B1293">
        <v>-5394536.5427424898</v>
      </c>
      <c r="C1293">
        <v>-16913936.263118599</v>
      </c>
    </row>
    <row r="1294" spans="1:3" x14ac:dyDescent="0.25">
      <c r="A1294">
        <v>20130606</v>
      </c>
      <c r="B1294">
        <v>-4969880.2434819499</v>
      </c>
      <c r="C1294">
        <v>-6381364.1286444599</v>
      </c>
    </row>
    <row r="1295" spans="1:3" x14ac:dyDescent="0.25">
      <c r="A1295">
        <v>20130607</v>
      </c>
      <c r="B1295">
        <v>-8894023.9368177801</v>
      </c>
      <c r="C1295">
        <v>-21355088.555066001</v>
      </c>
    </row>
    <row r="1296" spans="1:3" x14ac:dyDescent="0.25">
      <c r="A1296">
        <v>20130610</v>
      </c>
      <c r="B1296">
        <v>-7411913.8737905603</v>
      </c>
      <c r="C1296">
        <v>-38193119.312446497</v>
      </c>
    </row>
    <row r="1297" spans="1:3" x14ac:dyDescent="0.25">
      <c r="A1297">
        <v>20130611</v>
      </c>
      <c r="B1297">
        <v>-8406436.3306101896</v>
      </c>
      <c r="C1297">
        <v>-48906281.033742897</v>
      </c>
    </row>
    <row r="1298" spans="1:3" x14ac:dyDescent="0.25">
      <c r="A1298">
        <v>20130612</v>
      </c>
      <c r="B1298">
        <v>-9455063.3913367298</v>
      </c>
      <c r="C1298">
        <v>-38809698.206932202</v>
      </c>
    </row>
    <row r="1299" spans="1:3" x14ac:dyDescent="0.25">
      <c r="A1299">
        <v>20130613</v>
      </c>
      <c r="B1299">
        <v>-719817.27335546096</v>
      </c>
      <c r="C1299">
        <v>-30651914.892537698</v>
      </c>
    </row>
    <row r="1300" spans="1:3" x14ac:dyDescent="0.25">
      <c r="A1300">
        <v>20130614</v>
      </c>
      <c r="B1300">
        <v>-1942896.49003238</v>
      </c>
      <c r="C1300">
        <v>-11541671.794460701</v>
      </c>
    </row>
    <row r="1301" spans="1:3" x14ac:dyDescent="0.25">
      <c r="A1301">
        <v>20130617</v>
      </c>
      <c r="B1301">
        <v>-3509049.3326765099</v>
      </c>
      <c r="C1301">
        <v>2259116.2307250402</v>
      </c>
    </row>
    <row r="1302" spans="1:3" x14ac:dyDescent="0.25">
      <c r="A1302">
        <v>20130618</v>
      </c>
      <c r="B1302">
        <v>-3320335.1028845902</v>
      </c>
      <c r="C1302">
        <v>-2307033.33832687</v>
      </c>
    </row>
    <row r="1303" spans="1:3" x14ac:dyDescent="0.25">
      <c r="A1303">
        <v>20130619</v>
      </c>
      <c r="B1303">
        <v>-2545945.71937708</v>
      </c>
      <c r="C1303">
        <v>-14999582.5971858</v>
      </c>
    </row>
    <row r="1304" spans="1:3" x14ac:dyDescent="0.25">
      <c r="A1304">
        <v>20130620</v>
      </c>
      <c r="B1304">
        <v>-514665.45807701303</v>
      </c>
      <c r="C1304">
        <v>-28402681.844880398</v>
      </c>
    </row>
    <row r="1305" spans="1:3" x14ac:dyDescent="0.25">
      <c r="A1305">
        <v>20130621</v>
      </c>
      <c r="B1305">
        <v>3010473.1367360302</v>
      </c>
      <c r="C1305">
        <v>-12646057.378447499</v>
      </c>
    </row>
    <row r="1306" spans="1:3" x14ac:dyDescent="0.25">
      <c r="A1306">
        <v>20130624</v>
      </c>
      <c r="B1306">
        <v>7312180.7695307396</v>
      </c>
      <c r="C1306">
        <v>-9538988.4695950206</v>
      </c>
    </row>
    <row r="1307" spans="1:3" x14ac:dyDescent="0.25">
      <c r="A1307">
        <v>20130625</v>
      </c>
      <c r="B1307">
        <v>14474934.287210699</v>
      </c>
      <c r="C1307">
        <v>8328444.6517289598</v>
      </c>
    </row>
    <row r="1308" spans="1:3" x14ac:dyDescent="0.25">
      <c r="A1308">
        <v>20130626</v>
      </c>
      <c r="B1308">
        <v>16436105.5077102</v>
      </c>
      <c r="C1308">
        <v>5479467.7147307098</v>
      </c>
    </row>
    <row r="1309" spans="1:3" x14ac:dyDescent="0.25">
      <c r="A1309">
        <v>20130627</v>
      </c>
      <c r="B1309">
        <v>11710959.456380101</v>
      </c>
      <c r="C1309">
        <v>32435745.100954201</v>
      </c>
    </row>
    <row r="1310" spans="1:3" x14ac:dyDescent="0.25">
      <c r="A1310">
        <v>20130628</v>
      </c>
      <c r="B1310">
        <v>9139326.3993421998</v>
      </c>
      <c r="C1310">
        <v>22436354.2754412</v>
      </c>
    </row>
    <row r="1311" spans="1:3" x14ac:dyDescent="0.25">
      <c r="A1311">
        <v>20130701</v>
      </c>
      <c r="B1311">
        <v>5113500.6915758699</v>
      </c>
      <c r="C1311">
        <v>17595457.478812799</v>
      </c>
    </row>
    <row r="1312" spans="1:3" x14ac:dyDescent="0.25">
      <c r="A1312">
        <v>20130702</v>
      </c>
      <c r="B1312">
        <v>-449642.66558314802</v>
      </c>
      <c r="C1312">
        <v>12870503.337406199</v>
      </c>
    </row>
    <row r="1313" spans="1:3" x14ac:dyDescent="0.25">
      <c r="A1313">
        <v>20130703</v>
      </c>
      <c r="B1313">
        <v>560589.183910697</v>
      </c>
      <c r="C1313">
        <v>10019956.5449226</v>
      </c>
    </row>
    <row r="1314" spans="1:3" x14ac:dyDescent="0.25">
      <c r="A1314">
        <v>20130704</v>
      </c>
      <c r="B1314">
        <v>1214812.4036799299</v>
      </c>
      <c r="C1314">
        <v>3010215.0281485501</v>
      </c>
    </row>
    <row r="1315" spans="1:3" x14ac:dyDescent="0.25">
      <c r="A1315">
        <v>20130705</v>
      </c>
      <c r="B1315">
        <v>2215617.8983632801</v>
      </c>
      <c r="C1315">
        <v>-9366786.7881719097</v>
      </c>
    </row>
    <row r="1316" spans="1:3" x14ac:dyDescent="0.25">
      <c r="A1316">
        <v>20130708</v>
      </c>
      <c r="B1316">
        <v>4822018.89275965</v>
      </c>
      <c r="C1316">
        <v>-12042700.863127001</v>
      </c>
    </row>
    <row r="1317" spans="1:3" x14ac:dyDescent="0.25">
      <c r="A1317">
        <v>20130709</v>
      </c>
      <c r="B1317">
        <v>10523259.7631643</v>
      </c>
      <c r="C1317">
        <v>-15389250.1932298</v>
      </c>
    </row>
    <row r="1318" spans="1:3" x14ac:dyDescent="0.25">
      <c r="A1318">
        <v>20130710</v>
      </c>
      <c r="B1318">
        <v>5350130.9734426504</v>
      </c>
      <c r="C1318">
        <v>-7049250.43945463</v>
      </c>
    </row>
    <row r="1319" spans="1:3" x14ac:dyDescent="0.25">
      <c r="A1319">
        <v>20130711</v>
      </c>
      <c r="B1319">
        <v>-8514237.2468589209</v>
      </c>
      <c r="C1319">
        <v>-23321340.985660199</v>
      </c>
    </row>
    <row r="1320" spans="1:3" x14ac:dyDescent="0.25">
      <c r="A1320">
        <v>20130712</v>
      </c>
      <c r="B1320">
        <v>-8087715.4981803801</v>
      </c>
      <c r="C1320">
        <v>-26600379.481474601</v>
      </c>
    </row>
    <row r="1321" spans="1:3" x14ac:dyDescent="0.25">
      <c r="A1321">
        <v>20130715</v>
      </c>
      <c r="B1321">
        <v>-10084436.2546746</v>
      </c>
      <c r="C1321">
        <v>-13629125.0366247</v>
      </c>
    </row>
    <row r="1322" spans="1:3" x14ac:dyDescent="0.25">
      <c r="A1322">
        <v>20130716</v>
      </c>
      <c r="B1322">
        <v>-17673629.212965999</v>
      </c>
      <c r="C1322">
        <v>-18150944.122912299</v>
      </c>
    </row>
    <row r="1323" spans="1:3" x14ac:dyDescent="0.25">
      <c r="A1323">
        <v>20130717</v>
      </c>
      <c r="B1323">
        <v>-10317687.882970501</v>
      </c>
      <c r="C1323">
        <v>-9889050.9074469898</v>
      </c>
    </row>
    <row r="1324" spans="1:3" x14ac:dyDescent="0.25">
      <c r="A1324">
        <v>20130718</v>
      </c>
      <c r="B1324">
        <v>-938362.77976312395</v>
      </c>
      <c r="C1324">
        <v>-1354009.0497419599</v>
      </c>
    </row>
    <row r="1325" spans="1:3" x14ac:dyDescent="0.25">
      <c r="A1325">
        <v>20130719</v>
      </c>
      <c r="B1325">
        <v>-190828.50530703299</v>
      </c>
      <c r="C1325">
        <v>2419103.0543085001</v>
      </c>
    </row>
    <row r="1326" spans="1:3" x14ac:dyDescent="0.25">
      <c r="A1326">
        <v>20130722</v>
      </c>
      <c r="B1326">
        <v>-3066671.5461837901</v>
      </c>
      <c r="C1326">
        <v>-9737298.0924302693</v>
      </c>
    </row>
    <row r="1327" spans="1:3" x14ac:dyDescent="0.25">
      <c r="A1327">
        <v>20130723</v>
      </c>
      <c r="B1327">
        <v>-3214789.64885038</v>
      </c>
      <c r="C1327">
        <v>-15568623.153326301</v>
      </c>
    </row>
    <row r="1328" spans="1:3" x14ac:dyDescent="0.25">
      <c r="A1328">
        <v>20130724</v>
      </c>
      <c r="B1328">
        <v>-10706598.3746935</v>
      </c>
      <c r="C1328">
        <v>-25473196.535634901</v>
      </c>
    </row>
    <row r="1329" spans="1:3" x14ac:dyDescent="0.25">
      <c r="A1329">
        <v>20130725</v>
      </c>
      <c r="B1329">
        <v>-8074399.3663593801</v>
      </c>
      <c r="C1329">
        <v>-23127589.410800401</v>
      </c>
    </row>
    <row r="1330" spans="1:3" x14ac:dyDescent="0.25">
      <c r="A1330">
        <v>20130726</v>
      </c>
      <c r="B1330">
        <v>-9793220.7547508199</v>
      </c>
      <c r="C1330">
        <v>-20806283.6342186</v>
      </c>
    </row>
    <row r="1331" spans="1:3" x14ac:dyDescent="0.25">
      <c r="A1331">
        <v>20130729</v>
      </c>
      <c r="B1331">
        <v>-5170103.0814298196</v>
      </c>
      <c r="C1331">
        <v>-21660562.627888899</v>
      </c>
    </row>
    <row r="1332" spans="1:3" x14ac:dyDescent="0.25">
      <c r="A1332">
        <v>20130730</v>
      </c>
      <c r="B1332">
        <v>-2889584.60367405</v>
      </c>
      <c r="C1332">
        <v>-17621065.927733298</v>
      </c>
    </row>
    <row r="1333" spans="1:3" x14ac:dyDescent="0.25">
      <c r="A1333">
        <v>20130731</v>
      </c>
      <c r="B1333">
        <v>-1298414.8860685099</v>
      </c>
      <c r="C1333">
        <v>-13923299.928801401</v>
      </c>
    </row>
    <row r="1334" spans="1:3" x14ac:dyDescent="0.25">
      <c r="A1334">
        <v>20130801</v>
      </c>
      <c r="B1334">
        <v>-3478464.1102675502</v>
      </c>
      <c r="C1334">
        <v>-1959519.2608125701</v>
      </c>
    </row>
    <row r="1335" spans="1:3" x14ac:dyDescent="0.25">
      <c r="A1335">
        <v>20130802</v>
      </c>
      <c r="B1335">
        <v>-3427897.0484249801</v>
      </c>
      <c r="C1335">
        <v>-2248486.3505019001</v>
      </c>
    </row>
    <row r="1336" spans="1:3" x14ac:dyDescent="0.25">
      <c r="A1336">
        <v>20130805</v>
      </c>
      <c r="B1336">
        <v>-4669891.9401938003</v>
      </c>
      <c r="C1336">
        <v>11776123.436163399</v>
      </c>
    </row>
    <row r="1337" spans="1:3" x14ac:dyDescent="0.25">
      <c r="A1337">
        <v>20130806</v>
      </c>
      <c r="B1337">
        <v>-6899620.5948556997</v>
      </c>
      <c r="C1337">
        <v>11397568.3192933</v>
      </c>
    </row>
    <row r="1338" spans="1:3" x14ac:dyDescent="0.25">
      <c r="A1338">
        <v>20130807</v>
      </c>
      <c r="B1338">
        <v>-3804036.9545267201</v>
      </c>
      <c r="C1338">
        <v>20940655.3669741</v>
      </c>
    </row>
    <row r="1339" spans="1:3" x14ac:dyDescent="0.25">
      <c r="A1339">
        <v>20130808</v>
      </c>
      <c r="B1339">
        <v>-5981014.6889837198</v>
      </c>
      <c r="C1339">
        <v>7696490.9064504197</v>
      </c>
    </row>
    <row r="1340" spans="1:3" x14ac:dyDescent="0.25">
      <c r="A1340">
        <v>20130809</v>
      </c>
      <c r="B1340">
        <v>-2330965.0921900598</v>
      </c>
      <c r="C1340">
        <v>-1798922.09144127</v>
      </c>
    </row>
    <row r="1341" spans="1:3" x14ac:dyDescent="0.25">
      <c r="A1341">
        <v>20130812</v>
      </c>
      <c r="B1341">
        <v>-5532255.0035762303</v>
      </c>
      <c r="C1341">
        <v>-15839268.9154939</v>
      </c>
    </row>
    <row r="1342" spans="1:3" x14ac:dyDescent="0.25">
      <c r="A1342">
        <v>20130813</v>
      </c>
      <c r="B1342">
        <v>-1391530.4608451801</v>
      </c>
      <c r="C1342">
        <v>-14209191.0785251</v>
      </c>
    </row>
    <row r="1343" spans="1:3" x14ac:dyDescent="0.25">
      <c r="A1343">
        <v>20130814</v>
      </c>
      <c r="B1343">
        <v>-2899806.4845453398</v>
      </c>
      <c r="C1343">
        <v>-29555664.9034376</v>
      </c>
    </row>
    <row r="1344" spans="1:3" x14ac:dyDescent="0.25">
      <c r="A1344">
        <v>20130815</v>
      </c>
      <c r="B1344">
        <v>-907404.90477931499</v>
      </c>
      <c r="C1344">
        <v>-30058479.175994899</v>
      </c>
    </row>
    <row r="1345" spans="1:3" x14ac:dyDescent="0.25">
      <c r="A1345">
        <v>20130816</v>
      </c>
      <c r="B1345">
        <v>-5514163.6280114604</v>
      </c>
      <c r="C1345">
        <v>-31438061.711199202</v>
      </c>
    </row>
    <row r="1346" spans="1:3" x14ac:dyDescent="0.25">
      <c r="A1346">
        <v>20130819</v>
      </c>
      <c r="B1346">
        <v>-5227413.8961265497</v>
      </c>
      <c r="C1346">
        <v>-47613998.067409799</v>
      </c>
    </row>
    <row r="1347" spans="1:3" x14ac:dyDescent="0.25">
      <c r="A1347">
        <v>20130820</v>
      </c>
      <c r="B1347">
        <v>-9568349.7321666405</v>
      </c>
      <c r="C1347">
        <v>-35730622.314211696</v>
      </c>
    </row>
    <row r="1348" spans="1:3" x14ac:dyDescent="0.25">
      <c r="A1348">
        <v>20130821</v>
      </c>
      <c r="B1348">
        <v>-8839675.0615511797</v>
      </c>
      <c r="C1348">
        <v>-20272390.201092102</v>
      </c>
    </row>
    <row r="1349" spans="1:3" x14ac:dyDescent="0.25">
      <c r="A1349">
        <v>20130822</v>
      </c>
      <c r="B1349">
        <v>-7620102.8367809895</v>
      </c>
      <c r="C1349">
        <v>-13093263.373699499</v>
      </c>
    </row>
    <row r="1350" spans="1:3" x14ac:dyDescent="0.25">
      <c r="A1350">
        <v>20130823</v>
      </c>
      <c r="B1350">
        <v>-5898322.7307149097</v>
      </c>
      <c r="C1350">
        <v>7203396.6497200299</v>
      </c>
    </row>
    <row r="1351" spans="1:3" x14ac:dyDescent="0.25">
      <c r="A1351">
        <v>20130826</v>
      </c>
      <c r="B1351">
        <v>-3600930.8020219598</v>
      </c>
      <c r="C1351">
        <v>26287424.317232501</v>
      </c>
    </row>
    <row r="1352" spans="1:3" x14ac:dyDescent="0.25">
      <c r="A1352">
        <v>20130827</v>
      </c>
      <c r="B1352">
        <v>-1812587.1013365099</v>
      </c>
      <c r="C1352">
        <v>-4608127.5867233397</v>
      </c>
    </row>
    <row r="1353" spans="1:3" x14ac:dyDescent="0.25">
      <c r="A1353">
        <v>20130828</v>
      </c>
      <c r="B1353">
        <v>-351603.95960705099</v>
      </c>
      <c r="C1353">
        <v>-25714049.043056801</v>
      </c>
    </row>
    <row r="1354" spans="1:3" x14ac:dyDescent="0.25">
      <c r="A1354">
        <v>20130829</v>
      </c>
      <c r="B1354">
        <v>4753414.20585893</v>
      </c>
      <c r="C1354">
        <v>-19346224.9551639</v>
      </c>
    </row>
    <row r="1355" spans="1:3" x14ac:dyDescent="0.25">
      <c r="A1355">
        <v>20130830</v>
      </c>
      <c r="B1355">
        <v>6847390.9793586899</v>
      </c>
      <c r="C1355">
        <v>-19763045.835849501</v>
      </c>
    </row>
    <row r="1356" spans="1:3" x14ac:dyDescent="0.25">
      <c r="A1356">
        <v>20130902</v>
      </c>
      <c r="B1356">
        <v>7222636.9695077799</v>
      </c>
      <c r="C1356">
        <v>-11345609.7538839</v>
      </c>
    </row>
    <row r="1357" spans="1:3" x14ac:dyDescent="0.25">
      <c r="A1357">
        <v>20130903</v>
      </c>
      <c r="B1357">
        <v>9999881.8021682799</v>
      </c>
      <c r="C1357">
        <v>-6531139.24677247</v>
      </c>
    </row>
    <row r="1358" spans="1:3" x14ac:dyDescent="0.25">
      <c r="A1358">
        <v>20130904</v>
      </c>
      <c r="B1358">
        <v>7110218.4990880499</v>
      </c>
      <c r="C1358">
        <v>11890076.4838608</v>
      </c>
    </row>
    <row r="1359" spans="1:3" x14ac:dyDescent="0.25">
      <c r="A1359">
        <v>20130905</v>
      </c>
      <c r="B1359">
        <v>5235232.9702549502</v>
      </c>
      <c r="C1359">
        <v>6599538.2559729097</v>
      </c>
    </row>
    <row r="1360" spans="1:3" x14ac:dyDescent="0.25">
      <c r="A1360">
        <v>20130906</v>
      </c>
      <c r="B1360">
        <v>7308977.1515197596</v>
      </c>
      <c r="C1360">
        <v>-14488624.5122524</v>
      </c>
    </row>
    <row r="1361" spans="1:3" x14ac:dyDescent="0.25">
      <c r="A1361">
        <v>20130909</v>
      </c>
      <c r="B1361">
        <v>-2427747.9766558101</v>
      </c>
      <c r="C1361">
        <v>-15386260.320608299</v>
      </c>
    </row>
    <row r="1362" spans="1:3" x14ac:dyDescent="0.25">
      <c r="A1362">
        <v>20130910</v>
      </c>
      <c r="B1362">
        <v>-4504568.3631758997</v>
      </c>
      <c r="C1362">
        <v>10137512.5315156</v>
      </c>
    </row>
    <row r="1363" spans="1:3" x14ac:dyDescent="0.25">
      <c r="A1363">
        <v>20130911</v>
      </c>
      <c r="B1363">
        <v>-2545667.4628419699</v>
      </c>
      <c r="C1363">
        <v>4960229.2565618902</v>
      </c>
    </row>
    <row r="1364" spans="1:3" x14ac:dyDescent="0.25">
      <c r="A1364">
        <v>20130912</v>
      </c>
      <c r="B1364">
        <v>-6848343.2605489399</v>
      </c>
      <c r="C1364">
        <v>-3342934.3802609402</v>
      </c>
    </row>
    <row r="1365" spans="1:3" x14ac:dyDescent="0.25">
      <c r="A1365">
        <v>20130913</v>
      </c>
      <c r="B1365">
        <v>-3593805.0746213198</v>
      </c>
      <c r="C1365">
        <v>11913110.819893301</v>
      </c>
    </row>
    <row r="1366" spans="1:3" x14ac:dyDescent="0.25">
      <c r="A1366">
        <v>20130916</v>
      </c>
      <c r="B1366">
        <v>-332917.69657422602</v>
      </c>
      <c r="C1366">
        <v>18891689.3087391</v>
      </c>
    </row>
    <row r="1367" spans="1:3" x14ac:dyDescent="0.25">
      <c r="A1367">
        <v>20130917</v>
      </c>
      <c r="B1367">
        <v>274605.41698145802</v>
      </c>
      <c r="C1367">
        <v>5094562.54880004</v>
      </c>
    </row>
    <row r="1368" spans="1:3" x14ac:dyDescent="0.25">
      <c r="A1368">
        <v>20130918</v>
      </c>
      <c r="B1368">
        <v>2215605.35078935</v>
      </c>
      <c r="C1368">
        <v>13106707.343245201</v>
      </c>
    </row>
    <row r="1369" spans="1:3" x14ac:dyDescent="0.25">
      <c r="A1369">
        <v>20130919</v>
      </c>
      <c r="B1369">
        <v>-4131955.0020704302</v>
      </c>
      <c r="C1369">
        <v>28136074.843756098</v>
      </c>
    </row>
    <row r="1370" spans="1:3" x14ac:dyDescent="0.25">
      <c r="A1370">
        <v>20130920</v>
      </c>
      <c r="B1370">
        <v>-6037505.0715463599</v>
      </c>
      <c r="C1370">
        <v>19210728.174470201</v>
      </c>
    </row>
    <row r="1371" spans="1:3" x14ac:dyDescent="0.25">
      <c r="A1371">
        <v>20130923</v>
      </c>
      <c r="B1371">
        <v>-4295925.6591756102</v>
      </c>
      <c r="C1371">
        <v>4272861.7192018004</v>
      </c>
    </row>
    <row r="1372" spans="1:3" x14ac:dyDescent="0.25">
      <c r="A1372">
        <v>20130924</v>
      </c>
      <c r="B1372">
        <v>-4466137.6946011903</v>
      </c>
      <c r="C1372">
        <v>9659561.5665347204</v>
      </c>
    </row>
    <row r="1373" spans="1:3" x14ac:dyDescent="0.25">
      <c r="A1373">
        <v>20130925</v>
      </c>
      <c r="B1373">
        <v>-6271210.6508194702</v>
      </c>
      <c r="C1373">
        <v>1041171.68102323</v>
      </c>
    </row>
    <row r="1374" spans="1:3" x14ac:dyDescent="0.25">
      <c r="A1374">
        <v>20130926</v>
      </c>
      <c r="B1374">
        <v>6638379.1414152198</v>
      </c>
      <c r="C1374">
        <v>-6968454.8296577996</v>
      </c>
    </row>
    <row r="1375" spans="1:3" x14ac:dyDescent="0.25">
      <c r="A1375">
        <v>20130927</v>
      </c>
      <c r="B1375">
        <v>807363.63183279301</v>
      </c>
      <c r="C1375">
        <v>-13501042.213926399</v>
      </c>
    </row>
    <row r="1376" spans="1:3" x14ac:dyDescent="0.25">
      <c r="A1376">
        <v>20130930</v>
      </c>
      <c r="B1376">
        <v>2004217.44076464</v>
      </c>
      <c r="C1376">
        <v>-12035825.2819335</v>
      </c>
    </row>
    <row r="1377" spans="1:3" x14ac:dyDescent="0.25">
      <c r="A1377">
        <v>20131001</v>
      </c>
      <c r="B1377">
        <v>3231677.77546586</v>
      </c>
      <c r="C1377">
        <v>-456179.84130015998</v>
      </c>
    </row>
    <row r="1378" spans="1:3" x14ac:dyDescent="0.25">
      <c r="A1378">
        <v>20131002</v>
      </c>
      <c r="B1378">
        <v>581493.24300088803</v>
      </c>
      <c r="C1378">
        <v>4438973.2725147996</v>
      </c>
    </row>
    <row r="1379" spans="1:3" x14ac:dyDescent="0.25">
      <c r="A1379">
        <v>20131003</v>
      </c>
      <c r="B1379">
        <v>-8056477.2891145898</v>
      </c>
      <c r="C1379">
        <v>1410764.7414375001</v>
      </c>
    </row>
    <row r="1380" spans="1:3" x14ac:dyDescent="0.25">
      <c r="A1380">
        <v>20131004</v>
      </c>
      <c r="B1380">
        <v>-2794721.9739489402</v>
      </c>
      <c r="C1380">
        <v>12920909.291454799</v>
      </c>
    </row>
    <row r="1381" spans="1:3" x14ac:dyDescent="0.25">
      <c r="A1381">
        <v>20131007</v>
      </c>
      <c r="B1381">
        <v>-2150712.0130384802</v>
      </c>
      <c r="C1381">
        <v>15837883.4689731</v>
      </c>
    </row>
    <row r="1382" spans="1:3" x14ac:dyDescent="0.25">
      <c r="A1382">
        <v>20131008</v>
      </c>
      <c r="B1382">
        <v>-4887741.9472235003</v>
      </c>
      <c r="C1382">
        <v>11571704.0174248</v>
      </c>
    </row>
    <row r="1383" spans="1:3" x14ac:dyDescent="0.25">
      <c r="A1383">
        <v>20131009</v>
      </c>
      <c r="B1383">
        <v>1033787.1138033899</v>
      </c>
      <c r="C1383">
        <v>16389522.023133401</v>
      </c>
    </row>
    <row r="1384" spans="1:3" x14ac:dyDescent="0.25">
      <c r="A1384">
        <v>20131010</v>
      </c>
      <c r="B1384">
        <v>2362867.4662602898</v>
      </c>
      <c r="C1384">
        <v>19605838.859668799</v>
      </c>
    </row>
    <row r="1385" spans="1:3" x14ac:dyDescent="0.25">
      <c r="A1385">
        <v>20131011</v>
      </c>
      <c r="B1385">
        <v>-2101191.7136756098</v>
      </c>
      <c r="C1385">
        <v>23804730.997103602</v>
      </c>
    </row>
    <row r="1386" spans="1:3" x14ac:dyDescent="0.25">
      <c r="A1386">
        <v>20131014</v>
      </c>
      <c r="B1386">
        <v>-5099408.4417216601</v>
      </c>
      <c r="C1386">
        <v>16029690.863022</v>
      </c>
    </row>
    <row r="1387" spans="1:3" x14ac:dyDescent="0.25">
      <c r="A1387">
        <v>20131015</v>
      </c>
      <c r="B1387">
        <v>545709.36218269099</v>
      </c>
      <c r="C1387">
        <v>8755975.96270849</v>
      </c>
    </row>
    <row r="1388" spans="1:3" x14ac:dyDescent="0.25">
      <c r="A1388">
        <v>20131016</v>
      </c>
      <c r="B1388">
        <v>-772819.635906482</v>
      </c>
      <c r="C1388">
        <v>3005845.8438577801</v>
      </c>
    </row>
    <row r="1389" spans="1:3" x14ac:dyDescent="0.25">
      <c r="A1389">
        <v>20131017</v>
      </c>
      <c r="B1389">
        <v>-4330836.5625265501</v>
      </c>
      <c r="C1389">
        <v>-539351.95296367002</v>
      </c>
    </row>
    <row r="1390" spans="1:3" x14ac:dyDescent="0.25">
      <c r="A1390">
        <v>20131018</v>
      </c>
      <c r="B1390">
        <v>-1065592.1741057299</v>
      </c>
      <c r="C1390">
        <v>-4964323.9590344001</v>
      </c>
    </row>
    <row r="1391" spans="1:3" x14ac:dyDescent="0.25">
      <c r="A1391">
        <v>20131021</v>
      </c>
      <c r="B1391">
        <v>135418.66473616601</v>
      </c>
      <c r="C1391">
        <v>1462105.7222245701</v>
      </c>
    </row>
    <row r="1392" spans="1:3" x14ac:dyDescent="0.25">
      <c r="A1392">
        <v>20131022</v>
      </c>
      <c r="B1392">
        <v>-5995612.0843241001</v>
      </c>
      <c r="C1392">
        <v>2625451.7929436001</v>
      </c>
    </row>
    <row r="1393" spans="1:3" x14ac:dyDescent="0.25">
      <c r="A1393">
        <v>20131023</v>
      </c>
      <c r="B1393">
        <v>-8223174.5738053098</v>
      </c>
      <c r="C1393">
        <v>14151241.759030901</v>
      </c>
    </row>
    <row r="1394" spans="1:3" x14ac:dyDescent="0.25">
      <c r="A1394">
        <v>20131024</v>
      </c>
      <c r="B1394">
        <v>-3502664.6854872401</v>
      </c>
      <c r="C1394">
        <v>18954324.436136499</v>
      </c>
    </row>
    <row r="1395" spans="1:3" x14ac:dyDescent="0.25">
      <c r="A1395">
        <v>20131025</v>
      </c>
      <c r="B1395">
        <v>-877002.81601777603</v>
      </c>
      <c r="C1395">
        <v>24626439.743998099</v>
      </c>
    </row>
    <row r="1396" spans="1:3" x14ac:dyDescent="0.25">
      <c r="A1396">
        <v>20131028</v>
      </c>
      <c r="B1396">
        <v>296822.95230614301</v>
      </c>
      <c r="C1396">
        <v>23709072.438468501</v>
      </c>
    </row>
    <row r="1397" spans="1:3" x14ac:dyDescent="0.25">
      <c r="A1397">
        <v>20131029</v>
      </c>
      <c r="B1397">
        <v>4121497.47569978</v>
      </c>
      <c r="C1397">
        <v>22089309.0746333</v>
      </c>
    </row>
    <row r="1398" spans="1:3" x14ac:dyDescent="0.25">
      <c r="A1398">
        <v>20131030</v>
      </c>
      <c r="B1398">
        <v>2488581.5756396698</v>
      </c>
      <c r="C1398">
        <v>4528844.0617065104</v>
      </c>
    </row>
    <row r="1399" spans="1:3" x14ac:dyDescent="0.25">
      <c r="A1399">
        <v>20131031</v>
      </c>
      <c r="B1399">
        <v>10220040.8907324</v>
      </c>
      <c r="C1399">
        <v>-12139880.8716357</v>
      </c>
    </row>
    <row r="1400" spans="1:3" x14ac:dyDescent="0.25">
      <c r="A1400">
        <v>20131101</v>
      </c>
      <c r="B1400">
        <v>11498478.315219499</v>
      </c>
      <c r="C1400">
        <v>-28868962.718813799</v>
      </c>
    </row>
    <row r="1401" spans="1:3" x14ac:dyDescent="0.25">
      <c r="A1401">
        <v>20131104</v>
      </c>
      <c r="B1401">
        <v>9280058.1573525891</v>
      </c>
      <c r="C1401">
        <v>-28400699.543080799</v>
      </c>
    </row>
    <row r="1402" spans="1:3" x14ac:dyDescent="0.25">
      <c r="A1402">
        <v>20131105</v>
      </c>
      <c r="B1402">
        <v>8631703.3221574407</v>
      </c>
      <c r="C1402">
        <v>-29708045.4622702</v>
      </c>
    </row>
    <row r="1403" spans="1:3" x14ac:dyDescent="0.25">
      <c r="A1403">
        <v>20131106</v>
      </c>
      <c r="B1403">
        <v>8031546.5957458802</v>
      </c>
      <c r="C1403">
        <v>-34804844.017166801</v>
      </c>
    </row>
    <row r="1404" spans="1:3" x14ac:dyDescent="0.25">
      <c r="A1404">
        <v>20131107</v>
      </c>
      <c r="B1404">
        <v>6175233.6523532998</v>
      </c>
      <c r="C1404">
        <v>-26941571.1435281</v>
      </c>
    </row>
    <row r="1405" spans="1:3" x14ac:dyDescent="0.25">
      <c r="A1405">
        <v>20131108</v>
      </c>
      <c r="B1405">
        <v>3107075.4851845498</v>
      </c>
      <c r="C1405">
        <v>-20364238.838314202</v>
      </c>
    </row>
    <row r="1406" spans="1:3" x14ac:dyDescent="0.25">
      <c r="A1406">
        <v>20131111</v>
      </c>
      <c r="B1406">
        <v>1350010.3367912499</v>
      </c>
      <c r="C1406">
        <v>-28309339.777199</v>
      </c>
    </row>
    <row r="1407" spans="1:3" x14ac:dyDescent="0.25">
      <c r="A1407">
        <v>20131112</v>
      </c>
      <c r="B1407">
        <v>-1260502.6879081901</v>
      </c>
      <c r="C1407">
        <v>-27557039.3751566</v>
      </c>
    </row>
    <row r="1408" spans="1:3" x14ac:dyDescent="0.25">
      <c r="A1408">
        <v>20131113</v>
      </c>
      <c r="B1408">
        <v>3431139.3885205998</v>
      </c>
      <c r="C1408">
        <v>-16398687.4935355</v>
      </c>
    </row>
    <row r="1409" spans="1:3" x14ac:dyDescent="0.25">
      <c r="A1409">
        <v>20131114</v>
      </c>
      <c r="B1409">
        <v>-4197134.3331522299</v>
      </c>
      <c r="C1409">
        <v>-7603694.3746562498</v>
      </c>
    </row>
    <row r="1410" spans="1:3" x14ac:dyDescent="0.25">
      <c r="A1410">
        <v>20131115</v>
      </c>
      <c r="B1410">
        <v>-6872154.9346172204</v>
      </c>
      <c r="C1410">
        <v>-8641593.8695583697</v>
      </c>
    </row>
    <row r="1411" spans="1:3" x14ac:dyDescent="0.25">
      <c r="A1411">
        <v>20131118</v>
      </c>
      <c r="B1411">
        <v>-6185124.0250653401</v>
      </c>
      <c r="C1411">
        <v>6942608.8121414296</v>
      </c>
    </row>
    <row r="1412" spans="1:3" x14ac:dyDescent="0.25">
      <c r="A1412">
        <v>20131119</v>
      </c>
      <c r="B1412">
        <v>-2132044.5140849701</v>
      </c>
      <c r="C1412">
        <v>11300973.460113799</v>
      </c>
    </row>
    <row r="1413" spans="1:3" x14ac:dyDescent="0.25">
      <c r="A1413">
        <v>20131120</v>
      </c>
      <c r="B1413">
        <v>-5591812.4630725896</v>
      </c>
      <c r="C1413">
        <v>5051585.17621578</v>
      </c>
    </row>
    <row r="1414" spans="1:3" x14ac:dyDescent="0.25">
      <c r="A1414">
        <v>20131121</v>
      </c>
      <c r="B1414">
        <v>-4492346.3778676102</v>
      </c>
      <c r="C1414">
        <v>-1561857.6698087701</v>
      </c>
    </row>
    <row r="1415" spans="1:3" x14ac:dyDescent="0.25">
      <c r="A1415">
        <v>20131122</v>
      </c>
      <c r="B1415">
        <v>-5392573.4753537904</v>
      </c>
      <c r="C1415">
        <v>8101162.5188137302</v>
      </c>
    </row>
    <row r="1416" spans="1:3" x14ac:dyDescent="0.25">
      <c r="A1416">
        <v>20131125</v>
      </c>
      <c r="B1416">
        <v>-1284666.01115938</v>
      </c>
      <c r="C1416">
        <v>10258190.5011399</v>
      </c>
    </row>
    <row r="1417" spans="1:3" x14ac:dyDescent="0.25">
      <c r="A1417">
        <v>20131126</v>
      </c>
      <c r="B1417">
        <v>-3887668.9580735699</v>
      </c>
      <c r="C1417">
        <v>2391167.7924267398</v>
      </c>
    </row>
    <row r="1418" spans="1:3" x14ac:dyDescent="0.25">
      <c r="A1418">
        <v>20131127</v>
      </c>
      <c r="B1418">
        <v>-4626627.9589969302</v>
      </c>
      <c r="C1418">
        <v>12963511.40136</v>
      </c>
    </row>
    <row r="1419" spans="1:3" x14ac:dyDescent="0.25">
      <c r="A1419">
        <v>20131128</v>
      </c>
      <c r="B1419">
        <v>-5083114.0846885704</v>
      </c>
      <c r="C1419">
        <v>9512941.68770748</v>
      </c>
    </row>
    <row r="1420" spans="1:3" x14ac:dyDescent="0.25">
      <c r="A1420">
        <v>20131129</v>
      </c>
      <c r="B1420">
        <v>-3240918.9090823201</v>
      </c>
      <c r="C1420">
        <v>3244803.1831822</v>
      </c>
    </row>
    <row r="1421" spans="1:3" x14ac:dyDescent="0.25">
      <c r="A1421">
        <v>20131202</v>
      </c>
      <c r="B1421">
        <v>-308439.05072953901</v>
      </c>
      <c r="C1421">
        <v>1800951.5436046999</v>
      </c>
    </row>
    <row r="1422" spans="1:3" x14ac:dyDescent="0.25">
      <c r="A1422">
        <v>20131203</v>
      </c>
      <c r="B1422">
        <v>109075.69845687599</v>
      </c>
      <c r="C1422">
        <v>3645881.7472692998</v>
      </c>
    </row>
    <row r="1423" spans="1:3" x14ac:dyDescent="0.25">
      <c r="A1423">
        <v>20131204</v>
      </c>
      <c r="B1423">
        <v>-1493614.3836987801</v>
      </c>
      <c r="C1423">
        <v>-742217.37891710899</v>
      </c>
    </row>
    <row r="1424" spans="1:3" x14ac:dyDescent="0.25">
      <c r="A1424">
        <v>20131205</v>
      </c>
      <c r="B1424">
        <v>-5455120.1484411601</v>
      </c>
      <c r="C1424">
        <v>69737.048538495597</v>
      </c>
    </row>
    <row r="1425" spans="1:3" x14ac:dyDescent="0.25">
      <c r="A1425">
        <v>20131206</v>
      </c>
      <c r="B1425">
        <v>-4742704.6106953304</v>
      </c>
      <c r="C1425">
        <v>1383712.7107247901</v>
      </c>
    </row>
    <row r="1426" spans="1:3" x14ac:dyDescent="0.25">
      <c r="A1426">
        <v>20131209</v>
      </c>
      <c r="B1426">
        <v>-10764700.888105599</v>
      </c>
      <c r="C1426">
        <v>7644730.9861340299</v>
      </c>
    </row>
    <row r="1427" spans="1:3" x14ac:dyDescent="0.25">
      <c r="A1427">
        <v>20131210</v>
      </c>
      <c r="B1427">
        <v>-10914416.129106499</v>
      </c>
      <c r="C1427">
        <v>8441450.5297525506</v>
      </c>
    </row>
    <row r="1428" spans="1:3" x14ac:dyDescent="0.25">
      <c r="A1428">
        <v>20131211</v>
      </c>
      <c r="B1428">
        <v>-10757660.4909642</v>
      </c>
      <c r="C1428">
        <v>1701429.286353</v>
      </c>
    </row>
    <row r="1429" spans="1:3" x14ac:dyDescent="0.25">
      <c r="A1429">
        <v>20131212</v>
      </c>
      <c r="B1429">
        <v>-4489944.0675196098</v>
      </c>
      <c r="C1429">
        <v>5315377.82170102</v>
      </c>
    </row>
    <row r="1430" spans="1:3" x14ac:dyDescent="0.25">
      <c r="A1430">
        <v>20131213</v>
      </c>
      <c r="B1430">
        <v>-2277736.9830210698</v>
      </c>
      <c r="C1430">
        <v>1375497.0169516599</v>
      </c>
    </row>
    <row r="1431" spans="1:3" x14ac:dyDescent="0.25">
      <c r="A1431">
        <v>20131216</v>
      </c>
      <c r="B1431">
        <v>-242555.954549491</v>
      </c>
      <c r="C1431">
        <v>-11690521.8691733</v>
      </c>
    </row>
    <row r="1432" spans="1:3" x14ac:dyDescent="0.25">
      <c r="A1432">
        <v>20131217</v>
      </c>
      <c r="B1432">
        <v>2448043.7290154598</v>
      </c>
      <c r="C1432">
        <v>-9123772.6726992</v>
      </c>
    </row>
    <row r="1433" spans="1:3" x14ac:dyDescent="0.25">
      <c r="A1433">
        <v>20131218</v>
      </c>
      <c r="B1433">
        <v>2234382.5392586701</v>
      </c>
      <c r="C1433">
        <v>2306873.3404435399</v>
      </c>
    </row>
    <row r="1434" spans="1:3" x14ac:dyDescent="0.25">
      <c r="A1434">
        <v>20131219</v>
      </c>
      <c r="B1434">
        <v>4783974.89039216</v>
      </c>
      <c r="C1434">
        <v>-505745.52750705002</v>
      </c>
    </row>
    <row r="1435" spans="1:3" x14ac:dyDescent="0.25">
      <c r="A1435">
        <v>20131220</v>
      </c>
      <c r="B1435">
        <v>1767227.15911502</v>
      </c>
      <c r="C1435">
        <v>-1162656.0531971799</v>
      </c>
    </row>
    <row r="1436" spans="1:3" x14ac:dyDescent="0.25">
      <c r="A1436">
        <v>20131223</v>
      </c>
      <c r="B1436">
        <v>2607860.51486754</v>
      </c>
      <c r="C1436">
        <v>-8584939.9977770206</v>
      </c>
    </row>
    <row r="1437" spans="1:3" x14ac:dyDescent="0.25">
      <c r="A1437">
        <v>20131224</v>
      </c>
      <c r="B1437">
        <v>2251285.7458912102</v>
      </c>
      <c r="C1437">
        <v>-4264944.0163428597</v>
      </c>
    </row>
    <row r="1438" spans="1:3" x14ac:dyDescent="0.25">
      <c r="A1438">
        <v>20131225</v>
      </c>
      <c r="B1438">
        <v>1948883.7828206699</v>
      </c>
      <c r="C1438">
        <v>-12018156.4846857</v>
      </c>
    </row>
    <row r="1439" spans="1:3" x14ac:dyDescent="0.25">
      <c r="A1439">
        <v>20131226</v>
      </c>
      <c r="B1439">
        <v>-2209934.6557183699</v>
      </c>
      <c r="C1439">
        <v>-10667493.8212907</v>
      </c>
    </row>
    <row r="1440" spans="1:3" x14ac:dyDescent="0.25">
      <c r="A1440">
        <v>20131227</v>
      </c>
      <c r="B1440">
        <v>-5486669.8424463198</v>
      </c>
      <c r="C1440">
        <v>-2407796.89375216</v>
      </c>
    </row>
    <row r="1441" spans="1:3" x14ac:dyDescent="0.25">
      <c r="A1441">
        <v>20131230</v>
      </c>
      <c r="B1441">
        <v>-8806951.4725628607</v>
      </c>
      <c r="C1441">
        <v>6546415.153895</v>
      </c>
    </row>
    <row r="1442" spans="1:3" x14ac:dyDescent="0.25">
      <c r="A1442">
        <v>20131231</v>
      </c>
      <c r="B1442">
        <v>-7345595.7794332802</v>
      </c>
      <c r="C1442">
        <v>-4599168.0771294599</v>
      </c>
    </row>
    <row r="1443" spans="1:3" x14ac:dyDescent="0.25">
      <c r="A1443">
        <v>20140101</v>
      </c>
      <c r="B1443">
        <v>-6245788.61667307</v>
      </c>
      <c r="C1443">
        <v>-4321714.9538467396</v>
      </c>
    </row>
    <row r="1444" spans="1:3" x14ac:dyDescent="0.25">
      <c r="A1444">
        <v>20140102</v>
      </c>
      <c r="B1444">
        <v>-782155.50983766001</v>
      </c>
      <c r="C1444">
        <v>-9994856.2526141703</v>
      </c>
    </row>
    <row r="1445" spans="1:3" x14ac:dyDescent="0.25">
      <c r="A1445">
        <v>20140103</v>
      </c>
      <c r="B1445">
        <v>5698041.8100100197</v>
      </c>
      <c r="C1445">
        <v>-17607537.225217301</v>
      </c>
    </row>
    <row r="1446" spans="1:3" x14ac:dyDescent="0.25">
      <c r="A1446">
        <v>20140106</v>
      </c>
      <c r="B1446">
        <v>8647810.6630372908</v>
      </c>
      <c r="C1446">
        <v>-11154718.7688148</v>
      </c>
    </row>
    <row r="1447" spans="1:3" x14ac:dyDescent="0.25">
      <c r="A1447">
        <v>20140107</v>
      </c>
      <c r="B1447">
        <v>8541972.5981042404</v>
      </c>
      <c r="C1447">
        <v>10812616.325839801</v>
      </c>
    </row>
    <row r="1448" spans="1:3" x14ac:dyDescent="0.25">
      <c r="A1448">
        <v>20140108</v>
      </c>
      <c r="B1448">
        <v>8761550.2633517291</v>
      </c>
      <c r="C1448">
        <v>16072278.2153867</v>
      </c>
    </row>
    <row r="1449" spans="1:3" x14ac:dyDescent="0.25">
      <c r="A1449">
        <v>20140109</v>
      </c>
      <c r="B1449">
        <v>5080152.86265177</v>
      </c>
      <c r="C1449">
        <v>27846242.626255699</v>
      </c>
    </row>
    <row r="1450" spans="1:3" x14ac:dyDescent="0.25">
      <c r="A1450">
        <v>20140110</v>
      </c>
      <c r="B1450">
        <v>4265233.6514760498</v>
      </c>
      <c r="C1450">
        <v>47152681.995364502</v>
      </c>
    </row>
    <row r="1451" spans="1:3" x14ac:dyDescent="0.25">
      <c r="A1451">
        <v>20140113</v>
      </c>
      <c r="B1451">
        <v>7979300.8993258197</v>
      </c>
      <c r="C1451">
        <v>40869177.8236105</v>
      </c>
    </row>
    <row r="1452" spans="1:3" x14ac:dyDescent="0.25">
      <c r="A1452">
        <v>20140114</v>
      </c>
      <c r="B1452">
        <v>5524908.0228245798</v>
      </c>
      <c r="C1452">
        <v>31923110.394799601</v>
      </c>
    </row>
    <row r="1453" spans="1:3" x14ac:dyDescent="0.25">
      <c r="A1453">
        <v>20140115</v>
      </c>
      <c r="B1453">
        <v>7270096.0144205</v>
      </c>
      <c r="C1453">
        <v>27522621.287238698</v>
      </c>
    </row>
    <row r="1454" spans="1:3" x14ac:dyDescent="0.25">
      <c r="A1454">
        <v>20140116</v>
      </c>
      <c r="B1454">
        <v>5569398.3184492104</v>
      </c>
      <c r="C1454">
        <v>16482621.2467694</v>
      </c>
    </row>
    <row r="1455" spans="1:3" x14ac:dyDescent="0.25">
      <c r="A1455">
        <v>20140117</v>
      </c>
      <c r="B1455">
        <v>7268475.7768994998</v>
      </c>
      <c r="C1455">
        <v>5631536.7295925496</v>
      </c>
    </row>
    <row r="1456" spans="1:3" x14ac:dyDescent="0.25">
      <c r="A1456">
        <v>20140120</v>
      </c>
      <c r="B1456">
        <v>3705214.4416502099</v>
      </c>
      <c r="C1456">
        <v>10186465.5135049</v>
      </c>
    </row>
    <row r="1457" spans="1:3" x14ac:dyDescent="0.25">
      <c r="A1457">
        <v>20140121</v>
      </c>
      <c r="B1457">
        <v>3199908.1711936402</v>
      </c>
      <c r="C1457">
        <v>78017.406371629797</v>
      </c>
    </row>
    <row r="1458" spans="1:3" x14ac:dyDescent="0.25">
      <c r="A1458">
        <v>20140122</v>
      </c>
      <c r="B1458">
        <v>-1552927.3656299401</v>
      </c>
      <c r="C1458">
        <v>6996000.9443565002</v>
      </c>
    </row>
    <row r="1459" spans="1:3" x14ac:dyDescent="0.25">
      <c r="A1459">
        <v>20140123</v>
      </c>
      <c r="B1459">
        <v>-6947365.1876839204</v>
      </c>
      <c r="C1459">
        <v>15656427.889704101</v>
      </c>
    </row>
    <row r="1460" spans="1:3" x14ac:dyDescent="0.25">
      <c r="A1460">
        <v>20140124</v>
      </c>
      <c r="B1460">
        <v>-11969620.684848901</v>
      </c>
      <c r="C1460">
        <v>-3646094.6961480998</v>
      </c>
    </row>
    <row r="1461" spans="1:3" x14ac:dyDescent="0.25">
      <c r="A1461">
        <v>20140127</v>
      </c>
      <c r="B1461">
        <v>-12009842.008996701</v>
      </c>
      <c r="C1461">
        <v>-14128175.962594699</v>
      </c>
    </row>
    <row r="1462" spans="1:3" x14ac:dyDescent="0.25">
      <c r="A1462">
        <v>20140128</v>
      </c>
      <c r="B1462">
        <v>-7247482.97821711</v>
      </c>
      <c r="C1462">
        <v>6568093.7342713699</v>
      </c>
    </row>
    <row r="1463" spans="1:3" x14ac:dyDescent="0.25">
      <c r="A1463">
        <v>20140129</v>
      </c>
      <c r="B1463">
        <v>-3982000.9980246201</v>
      </c>
      <c r="C1463">
        <v>-4418759.5938641904</v>
      </c>
    </row>
    <row r="1464" spans="1:3" x14ac:dyDescent="0.25">
      <c r="A1464">
        <v>20140130</v>
      </c>
      <c r="B1464">
        <v>5868085.8545635603</v>
      </c>
      <c r="C1464">
        <v>-6569718.9308333304</v>
      </c>
    </row>
    <row r="1465" spans="1:3" x14ac:dyDescent="0.25">
      <c r="A1465">
        <v>20140131</v>
      </c>
      <c r="B1465">
        <v>10793236.196234301</v>
      </c>
      <c r="C1465">
        <v>3394598.7312833699</v>
      </c>
    </row>
    <row r="1466" spans="1:3" x14ac:dyDescent="0.25">
      <c r="A1466">
        <v>20140203</v>
      </c>
      <c r="B1466">
        <v>8405152.0113944393</v>
      </c>
      <c r="C1466">
        <v>-2022170.48180954</v>
      </c>
    </row>
    <row r="1467" spans="1:3" x14ac:dyDescent="0.25">
      <c r="A1467">
        <v>20140204</v>
      </c>
      <c r="B1467">
        <v>6515385.2452281602</v>
      </c>
      <c r="C1467">
        <v>-12067497.214794699</v>
      </c>
    </row>
    <row r="1468" spans="1:3" x14ac:dyDescent="0.25">
      <c r="A1468">
        <v>20140205</v>
      </c>
      <c r="B1468">
        <v>5754270.7044954002</v>
      </c>
      <c r="C1468">
        <v>-4155700.4246775801</v>
      </c>
    </row>
    <row r="1469" spans="1:3" x14ac:dyDescent="0.25">
      <c r="A1469">
        <v>20140206</v>
      </c>
      <c r="B1469">
        <v>-1733100.0880882</v>
      </c>
      <c r="C1469">
        <v>-5050959.18666582</v>
      </c>
    </row>
    <row r="1470" spans="1:3" x14ac:dyDescent="0.25">
      <c r="A1470">
        <v>20140207</v>
      </c>
      <c r="B1470">
        <v>-7340672.8416951597</v>
      </c>
      <c r="C1470">
        <v>-5670966.0136115504</v>
      </c>
    </row>
    <row r="1471" spans="1:3" x14ac:dyDescent="0.25">
      <c r="A1471">
        <v>20140210</v>
      </c>
      <c r="B1471">
        <v>-7897506.9450507201</v>
      </c>
      <c r="C1471">
        <v>9692472.0388625897</v>
      </c>
    </row>
    <row r="1472" spans="1:3" x14ac:dyDescent="0.25">
      <c r="A1472">
        <v>20140211</v>
      </c>
      <c r="B1472">
        <v>-8843066.7199255694</v>
      </c>
      <c r="C1472">
        <v>1948851.0194653401</v>
      </c>
    </row>
    <row r="1473" spans="1:3" x14ac:dyDescent="0.25">
      <c r="A1473">
        <v>20140212</v>
      </c>
      <c r="B1473">
        <v>-4830975.8351592999</v>
      </c>
      <c r="C1473">
        <v>-6723753.2640137998</v>
      </c>
    </row>
    <row r="1474" spans="1:3" x14ac:dyDescent="0.25">
      <c r="A1474">
        <v>20140213</v>
      </c>
      <c r="B1474">
        <v>-3850239.68890044</v>
      </c>
      <c r="C1474">
        <v>-8527575.7367653195</v>
      </c>
    </row>
    <row r="1475" spans="1:3" x14ac:dyDescent="0.25">
      <c r="A1475">
        <v>20140214</v>
      </c>
      <c r="B1475">
        <v>-3356415.26217794</v>
      </c>
      <c r="C1475">
        <v>6012999.32703094</v>
      </c>
    </row>
    <row r="1476" spans="1:3" x14ac:dyDescent="0.25">
      <c r="A1476">
        <v>20140217</v>
      </c>
      <c r="B1476">
        <v>-3005466.8530181898</v>
      </c>
      <c r="C1476">
        <v>4223414.1019539004</v>
      </c>
    </row>
    <row r="1477" spans="1:3" x14ac:dyDescent="0.25">
      <c r="A1477">
        <v>20140218</v>
      </c>
      <c r="B1477">
        <v>-3602543.8688739301</v>
      </c>
      <c r="C1477">
        <v>-909128.80730835896</v>
      </c>
    </row>
    <row r="1478" spans="1:3" x14ac:dyDescent="0.25">
      <c r="A1478">
        <v>20140219</v>
      </c>
      <c r="B1478">
        <v>-8733132.3235136401</v>
      </c>
      <c r="C1478">
        <v>12651302.514097299</v>
      </c>
    </row>
    <row r="1479" spans="1:3" x14ac:dyDescent="0.25">
      <c r="A1479">
        <v>20140220</v>
      </c>
      <c r="B1479">
        <v>-3719651.34876379</v>
      </c>
      <c r="C1479">
        <v>15867367.041314701</v>
      </c>
    </row>
    <row r="1480" spans="1:3" x14ac:dyDescent="0.25">
      <c r="A1480">
        <v>20140221</v>
      </c>
      <c r="B1480">
        <v>-2194413.1748353699</v>
      </c>
      <c r="C1480">
        <v>19456243.9497656</v>
      </c>
    </row>
    <row r="1481" spans="1:3" x14ac:dyDescent="0.25">
      <c r="A1481">
        <v>20140224</v>
      </c>
      <c r="B1481">
        <v>778569.84030166396</v>
      </c>
      <c r="C1481">
        <v>13218925.403380999</v>
      </c>
    </row>
    <row r="1482" spans="1:3" x14ac:dyDescent="0.25">
      <c r="A1482">
        <v>20140225</v>
      </c>
      <c r="B1482">
        <v>3931737.9910207801</v>
      </c>
      <c r="C1482">
        <v>18550962.782865901</v>
      </c>
    </row>
    <row r="1483" spans="1:3" x14ac:dyDescent="0.25">
      <c r="A1483">
        <v>20140226</v>
      </c>
      <c r="B1483">
        <v>8570173.5380942803</v>
      </c>
      <c r="C1483">
        <v>11015117.3610499</v>
      </c>
    </row>
    <row r="1484" spans="1:3" x14ac:dyDescent="0.25">
      <c r="A1484">
        <v>20140227</v>
      </c>
      <c r="B1484">
        <v>6218951.0978161804</v>
      </c>
      <c r="C1484">
        <v>17650694.8656356</v>
      </c>
    </row>
    <row r="1485" spans="1:3" x14ac:dyDescent="0.25">
      <c r="A1485">
        <v>20140228</v>
      </c>
      <c r="B1485">
        <v>-410346.583925321</v>
      </c>
      <c r="C1485">
        <v>-2762168.3361897101</v>
      </c>
    </row>
    <row r="1486" spans="1:3" x14ac:dyDescent="0.25">
      <c r="A1486">
        <v>20140303</v>
      </c>
      <c r="B1486">
        <v>584749.48772858805</v>
      </c>
      <c r="C1486">
        <v>767006.31276787003</v>
      </c>
    </row>
    <row r="1487" spans="1:3" x14ac:dyDescent="0.25">
      <c r="A1487">
        <v>20140304</v>
      </c>
      <c r="B1487">
        <v>-623928.16774643201</v>
      </c>
      <c r="C1487">
        <v>5428773.2727734204</v>
      </c>
    </row>
    <row r="1488" spans="1:3" x14ac:dyDescent="0.25">
      <c r="A1488">
        <v>20140305</v>
      </c>
      <c r="B1488">
        <v>-3572675.04295329</v>
      </c>
      <c r="C1488">
        <v>1365844.5801079101</v>
      </c>
    </row>
    <row r="1489" spans="1:3" x14ac:dyDescent="0.25">
      <c r="A1489">
        <v>20140306</v>
      </c>
      <c r="B1489">
        <v>-8317576.72890935</v>
      </c>
      <c r="C1489">
        <v>-9035122.6992573291</v>
      </c>
    </row>
    <row r="1490" spans="1:3" x14ac:dyDescent="0.25">
      <c r="A1490">
        <v>20140307</v>
      </c>
      <c r="B1490">
        <v>-3530271.19283868</v>
      </c>
      <c r="C1490">
        <v>8644955.8762600105</v>
      </c>
    </row>
    <row r="1491" spans="1:3" x14ac:dyDescent="0.25">
      <c r="A1491">
        <v>20140310</v>
      </c>
      <c r="B1491">
        <v>-5452079.8009005403</v>
      </c>
      <c r="C1491">
        <v>14716139.0141571</v>
      </c>
    </row>
    <row r="1492" spans="1:3" x14ac:dyDescent="0.25">
      <c r="A1492">
        <v>20140311</v>
      </c>
      <c r="B1492">
        <v>-5456242.0693088202</v>
      </c>
      <c r="C1492">
        <v>8529981.1327238306</v>
      </c>
    </row>
    <row r="1493" spans="1:3" x14ac:dyDescent="0.25">
      <c r="A1493">
        <v>20140312</v>
      </c>
      <c r="B1493">
        <v>-7741296.0218693996</v>
      </c>
      <c r="C1493">
        <v>14105081.957026299</v>
      </c>
    </row>
    <row r="1494" spans="1:3" x14ac:dyDescent="0.25">
      <c r="A1494">
        <v>20140313</v>
      </c>
      <c r="B1494">
        <v>-2504403.24929165</v>
      </c>
      <c r="C1494">
        <v>10173886.5075144</v>
      </c>
    </row>
    <row r="1495" spans="1:3" x14ac:dyDescent="0.25">
      <c r="A1495">
        <v>20140314</v>
      </c>
      <c r="B1495">
        <v>648352.17809674097</v>
      </c>
      <c r="C1495">
        <v>3986091.8266309202</v>
      </c>
    </row>
    <row r="1496" spans="1:3" x14ac:dyDescent="0.25">
      <c r="A1496">
        <v>20140317</v>
      </c>
      <c r="B1496">
        <v>-1084146.7193673099</v>
      </c>
      <c r="C1496">
        <v>-4817816.4512037504</v>
      </c>
    </row>
    <row r="1497" spans="1:3" x14ac:dyDescent="0.25">
      <c r="A1497">
        <v>20140318</v>
      </c>
      <c r="B1497">
        <v>-809396.40827485104</v>
      </c>
      <c r="C1497">
        <v>-2307497.1831039102</v>
      </c>
    </row>
    <row r="1498" spans="1:3" x14ac:dyDescent="0.25">
      <c r="A1498">
        <v>20140319</v>
      </c>
      <c r="B1498">
        <v>569537.98493437795</v>
      </c>
      <c r="C1498">
        <v>5335725.6030833796</v>
      </c>
    </row>
    <row r="1499" spans="1:3" x14ac:dyDescent="0.25">
      <c r="A1499">
        <v>20140320</v>
      </c>
      <c r="B1499">
        <v>7772197.5329836104</v>
      </c>
      <c r="C1499">
        <v>11023406.6275154</v>
      </c>
    </row>
    <row r="1500" spans="1:3" x14ac:dyDescent="0.25">
      <c r="A1500">
        <v>20140321</v>
      </c>
      <c r="B1500">
        <v>6073009.0186373498</v>
      </c>
      <c r="C1500">
        <v>5575009.4874393996</v>
      </c>
    </row>
    <row r="1501" spans="1:3" x14ac:dyDescent="0.25">
      <c r="A1501">
        <v>20140324</v>
      </c>
      <c r="B1501">
        <v>8749944.2661334109</v>
      </c>
      <c r="C1501">
        <v>16923718.056612499</v>
      </c>
    </row>
    <row r="1502" spans="1:3" x14ac:dyDescent="0.25">
      <c r="A1502">
        <v>20140325</v>
      </c>
      <c r="B1502">
        <v>7047843.6162623297</v>
      </c>
      <c r="C1502">
        <v>12192890.254961399</v>
      </c>
    </row>
    <row r="1503" spans="1:3" x14ac:dyDescent="0.25">
      <c r="A1503">
        <v>20140326</v>
      </c>
      <c r="B1503">
        <v>8263755.18744817</v>
      </c>
      <c r="C1503">
        <v>1158813.3412602299</v>
      </c>
    </row>
    <row r="1504" spans="1:3" x14ac:dyDescent="0.25">
      <c r="A1504">
        <v>20140327</v>
      </c>
      <c r="B1504">
        <v>4945022.99506451</v>
      </c>
      <c r="C1504">
        <v>-4614336.3070884896</v>
      </c>
    </row>
    <row r="1505" spans="1:3" x14ac:dyDescent="0.25">
      <c r="A1505">
        <v>20140328</v>
      </c>
      <c r="B1505">
        <v>6868575.3127144696</v>
      </c>
      <c r="C1505">
        <v>3146651.2833304</v>
      </c>
    </row>
    <row r="1506" spans="1:3" x14ac:dyDescent="0.25">
      <c r="A1506">
        <v>20140331</v>
      </c>
      <c r="B1506">
        <v>7153424.4349320102</v>
      </c>
      <c r="C1506">
        <v>-4925066.7412042599</v>
      </c>
    </row>
    <row r="1507" spans="1:3" x14ac:dyDescent="0.25">
      <c r="A1507">
        <v>20140401</v>
      </c>
      <c r="B1507">
        <v>4036377.1873432002</v>
      </c>
      <c r="C1507">
        <v>-3285105.1963815</v>
      </c>
    </row>
    <row r="1508" spans="1:3" x14ac:dyDescent="0.25">
      <c r="A1508">
        <v>20140402</v>
      </c>
      <c r="B1508">
        <v>6624693.6365264496</v>
      </c>
      <c r="C1508">
        <v>-6128402.9581283797</v>
      </c>
    </row>
    <row r="1509" spans="1:3" x14ac:dyDescent="0.25">
      <c r="A1509">
        <v>20140403</v>
      </c>
      <c r="B1509">
        <v>2082633.366932</v>
      </c>
      <c r="C1509">
        <v>-5361002.3405066598</v>
      </c>
    </row>
    <row r="1510" spans="1:3" x14ac:dyDescent="0.25">
      <c r="A1510">
        <v>20140404</v>
      </c>
      <c r="B1510">
        <v>3377270.9647504701</v>
      </c>
      <c r="C1510">
        <v>-13223468.181309501</v>
      </c>
    </row>
    <row r="1511" spans="1:3" x14ac:dyDescent="0.25">
      <c r="A1511">
        <v>20140407</v>
      </c>
      <c r="B1511">
        <v>-828307.18948439497</v>
      </c>
      <c r="C1511">
        <v>-9836191.5118316393</v>
      </c>
    </row>
    <row r="1512" spans="1:3" x14ac:dyDescent="0.25">
      <c r="A1512">
        <v>20140408</v>
      </c>
      <c r="B1512">
        <v>659084.78623289603</v>
      </c>
      <c r="C1512">
        <v>-7028664.7519043498</v>
      </c>
    </row>
    <row r="1513" spans="1:3" x14ac:dyDescent="0.25">
      <c r="A1513">
        <v>20140409</v>
      </c>
      <c r="B1513">
        <v>274943.99444498803</v>
      </c>
      <c r="C1513">
        <v>-7701093.3655014699</v>
      </c>
    </row>
    <row r="1514" spans="1:3" x14ac:dyDescent="0.25">
      <c r="A1514">
        <v>20140410</v>
      </c>
      <c r="B1514">
        <v>-5741735.79828759</v>
      </c>
      <c r="C1514">
        <v>-465909.36983053898</v>
      </c>
    </row>
    <row r="1515" spans="1:3" x14ac:dyDescent="0.25">
      <c r="A1515">
        <v>20140411</v>
      </c>
      <c r="B1515">
        <v>-8535078.6873620301</v>
      </c>
      <c r="C1515">
        <v>5870858.6318800403</v>
      </c>
    </row>
    <row r="1516" spans="1:3" x14ac:dyDescent="0.25">
      <c r="A1516">
        <v>20140414</v>
      </c>
      <c r="B1516">
        <v>-3016061.98669243</v>
      </c>
      <c r="C1516">
        <v>869902.200625789</v>
      </c>
    </row>
    <row r="1517" spans="1:3" x14ac:dyDescent="0.25">
      <c r="A1517">
        <v>20140415</v>
      </c>
      <c r="B1517">
        <v>-923581.66155362804</v>
      </c>
      <c r="C1517">
        <v>1664088.8791616899</v>
      </c>
    </row>
    <row r="1518" spans="1:3" x14ac:dyDescent="0.25">
      <c r="A1518">
        <v>20140416</v>
      </c>
      <c r="B1518">
        <v>-500267.0754572</v>
      </c>
      <c r="C1518">
        <v>5346117.3287105802</v>
      </c>
    </row>
    <row r="1519" spans="1:3" x14ac:dyDescent="0.25">
      <c r="A1519">
        <v>20140417</v>
      </c>
      <c r="B1519">
        <v>1718243.47628792</v>
      </c>
      <c r="C1519">
        <v>9905731.1555483602</v>
      </c>
    </row>
    <row r="1520" spans="1:3" x14ac:dyDescent="0.25">
      <c r="A1520">
        <v>20140418</v>
      </c>
      <c r="B1520">
        <v>1103460.40013615</v>
      </c>
      <c r="C1520">
        <v>7381619.3929100595</v>
      </c>
    </row>
    <row r="1521" spans="1:3" x14ac:dyDescent="0.25">
      <c r="A1521">
        <v>20140421</v>
      </c>
      <c r="B1521">
        <v>1286965.02116474</v>
      </c>
      <c r="C1521">
        <v>11453000.828348899</v>
      </c>
    </row>
    <row r="1522" spans="1:3" x14ac:dyDescent="0.25">
      <c r="A1522">
        <v>20140422</v>
      </c>
      <c r="B1522">
        <v>2429811.2144420301</v>
      </c>
      <c r="C1522">
        <v>5811196.2478602799</v>
      </c>
    </row>
    <row r="1523" spans="1:3" x14ac:dyDescent="0.25">
      <c r="A1523">
        <v>20140423</v>
      </c>
      <c r="B1523">
        <v>-101409.83068092899</v>
      </c>
      <c r="C1523">
        <v>4079448.7170781</v>
      </c>
    </row>
    <row r="1524" spans="1:3" x14ac:dyDescent="0.25">
      <c r="A1524">
        <v>20140424</v>
      </c>
      <c r="B1524">
        <v>2856506.4073255202</v>
      </c>
      <c r="C1524">
        <v>-2530063.56090562</v>
      </c>
    </row>
    <row r="1525" spans="1:3" x14ac:dyDescent="0.25">
      <c r="A1525">
        <v>20140425</v>
      </c>
      <c r="B1525">
        <v>4447301.6004501097</v>
      </c>
      <c r="C1525">
        <v>-3530172.9700187598</v>
      </c>
    </row>
    <row r="1526" spans="1:3" x14ac:dyDescent="0.25">
      <c r="A1526">
        <v>20140428</v>
      </c>
      <c r="B1526">
        <v>2496735.10497283</v>
      </c>
      <c r="C1526">
        <v>-4917030.6818106398</v>
      </c>
    </row>
    <row r="1527" spans="1:3" x14ac:dyDescent="0.25">
      <c r="A1527">
        <v>20140429</v>
      </c>
      <c r="B1527">
        <v>1450813.6162491599</v>
      </c>
      <c r="C1527">
        <v>-5845269.2651744196</v>
      </c>
    </row>
    <row r="1528" spans="1:3" x14ac:dyDescent="0.25">
      <c r="A1528">
        <v>20140430</v>
      </c>
      <c r="B1528">
        <v>1076091.10156365</v>
      </c>
      <c r="C1528">
        <v>-1243269.2741930401</v>
      </c>
    </row>
    <row r="1529" spans="1:3" x14ac:dyDescent="0.25">
      <c r="A1529">
        <v>20140501</v>
      </c>
      <c r="B1529">
        <v>1069313.7431729699</v>
      </c>
      <c r="C1529">
        <v>383913.10794784903</v>
      </c>
    </row>
    <row r="1530" spans="1:3" x14ac:dyDescent="0.25">
      <c r="A1530">
        <v>20140502</v>
      </c>
      <c r="B1530">
        <v>-770512.23630518396</v>
      </c>
      <c r="C1530">
        <v>1985329.35734708</v>
      </c>
    </row>
    <row r="1531" spans="1:3" x14ac:dyDescent="0.25">
      <c r="A1531">
        <v>20140505</v>
      </c>
      <c r="B1531">
        <v>-3952576.2472480498</v>
      </c>
      <c r="C1531">
        <v>6503214.1020640396</v>
      </c>
    </row>
    <row r="1532" spans="1:3" x14ac:dyDescent="0.25">
      <c r="A1532">
        <v>20140506</v>
      </c>
      <c r="B1532">
        <v>-6492511.9234187799</v>
      </c>
      <c r="C1532">
        <v>5595628.0872306703</v>
      </c>
    </row>
    <row r="1533" spans="1:3" x14ac:dyDescent="0.25">
      <c r="A1533">
        <v>20140507</v>
      </c>
      <c r="B1533">
        <v>-3168922.5721187298</v>
      </c>
      <c r="C1533">
        <v>149744.15639146999</v>
      </c>
    </row>
    <row r="1534" spans="1:3" x14ac:dyDescent="0.25">
      <c r="A1534">
        <v>20140508</v>
      </c>
      <c r="B1534">
        <v>-915354.56713842903</v>
      </c>
      <c r="C1534">
        <v>1529435.1796444899</v>
      </c>
    </row>
    <row r="1535" spans="1:3" x14ac:dyDescent="0.25">
      <c r="A1535">
        <v>20140509</v>
      </c>
      <c r="B1535">
        <v>3911150.3085263902</v>
      </c>
      <c r="C1535">
        <v>6788822.3236096902</v>
      </c>
    </row>
    <row r="1536" spans="1:3" x14ac:dyDescent="0.25">
      <c r="A1536">
        <v>20140512</v>
      </c>
      <c r="B1536">
        <v>5316887.3775398498</v>
      </c>
      <c r="C1536">
        <v>-1868462.2974308301</v>
      </c>
    </row>
    <row r="1537" spans="1:3" x14ac:dyDescent="0.25">
      <c r="A1537">
        <v>20140513</v>
      </c>
      <c r="B1537">
        <v>10213723.629911801</v>
      </c>
      <c r="C1537">
        <v>5444865.0585184796</v>
      </c>
    </row>
    <row r="1538" spans="1:3" x14ac:dyDescent="0.25">
      <c r="A1538">
        <v>20140514</v>
      </c>
      <c r="B1538">
        <v>9436614.8764966</v>
      </c>
      <c r="C1538">
        <v>9767549.2698652595</v>
      </c>
    </row>
    <row r="1539" spans="1:3" x14ac:dyDescent="0.25">
      <c r="A1539">
        <v>20140515</v>
      </c>
      <c r="B1539">
        <v>9843262.0136211198</v>
      </c>
      <c r="C1539">
        <v>4595744.5400677295</v>
      </c>
    </row>
    <row r="1540" spans="1:3" x14ac:dyDescent="0.25">
      <c r="A1540">
        <v>20140516</v>
      </c>
      <c r="B1540">
        <v>4893145.6249018498</v>
      </c>
      <c r="C1540">
        <v>-2472428.4754029601</v>
      </c>
    </row>
    <row r="1541" spans="1:3" x14ac:dyDescent="0.25">
      <c r="A1541">
        <v>20140519</v>
      </c>
      <c r="B1541">
        <v>5487282.5550416196</v>
      </c>
      <c r="C1541">
        <v>1630266.1411203099</v>
      </c>
    </row>
    <row r="1542" spans="1:3" x14ac:dyDescent="0.25">
      <c r="A1542">
        <v>20140520</v>
      </c>
      <c r="B1542">
        <v>3251891.6430402799</v>
      </c>
      <c r="C1542">
        <v>21131.579467210398</v>
      </c>
    </row>
    <row r="1543" spans="1:3" x14ac:dyDescent="0.25">
      <c r="A1543">
        <v>20140521</v>
      </c>
      <c r="B1543">
        <v>2753955.6551925899</v>
      </c>
      <c r="C1543">
        <v>5441942.5978085501</v>
      </c>
    </row>
    <row r="1544" spans="1:3" x14ac:dyDescent="0.25">
      <c r="A1544">
        <v>20140522</v>
      </c>
      <c r="B1544">
        <v>1364868.92861193</v>
      </c>
      <c r="C1544">
        <v>10640986.5602486</v>
      </c>
    </row>
    <row r="1545" spans="1:3" x14ac:dyDescent="0.25">
      <c r="A1545">
        <v>20140523</v>
      </c>
      <c r="B1545">
        <v>712520.92453968502</v>
      </c>
      <c r="C1545">
        <v>8314823.4034814704</v>
      </c>
    </row>
    <row r="1546" spans="1:3" x14ac:dyDescent="0.25">
      <c r="A1546">
        <v>20140526</v>
      </c>
      <c r="B1546">
        <v>-785227.47837428097</v>
      </c>
      <c r="C1546">
        <v>1979749.18188138</v>
      </c>
    </row>
    <row r="1547" spans="1:3" x14ac:dyDescent="0.25">
      <c r="A1547">
        <v>20140527</v>
      </c>
      <c r="B1547">
        <v>3029636.0291224099</v>
      </c>
      <c r="C1547">
        <v>-188581.75009813</v>
      </c>
    </row>
    <row r="1548" spans="1:3" x14ac:dyDescent="0.25">
      <c r="A1548">
        <v>20140528</v>
      </c>
      <c r="B1548">
        <v>3900601.0332200299</v>
      </c>
      <c r="C1548">
        <v>-7935543.94545615</v>
      </c>
    </row>
    <row r="1549" spans="1:3" x14ac:dyDescent="0.25">
      <c r="A1549">
        <v>20140529</v>
      </c>
      <c r="B1549">
        <v>2277527.1633808999</v>
      </c>
      <c r="C1549">
        <v>-9545993.7859361898</v>
      </c>
    </row>
    <row r="1550" spans="1:3" x14ac:dyDescent="0.25">
      <c r="A1550">
        <v>20140530</v>
      </c>
      <c r="B1550">
        <v>1482349.68842119</v>
      </c>
      <c r="C1550">
        <v>-8129548.6621153196</v>
      </c>
    </row>
    <row r="1551" spans="1:3" x14ac:dyDescent="0.25">
      <c r="A1551">
        <v>20140602</v>
      </c>
      <c r="B1551">
        <v>4689047.8886601999</v>
      </c>
      <c r="C1551">
        <v>-1943149.5812707101</v>
      </c>
    </row>
    <row r="1552" spans="1:3" x14ac:dyDescent="0.25">
      <c r="A1552">
        <v>20140603</v>
      </c>
      <c r="B1552">
        <v>-988193.49254690099</v>
      </c>
      <c r="C1552">
        <v>2005120.9096562101</v>
      </c>
    </row>
    <row r="1553" spans="1:3" x14ac:dyDescent="0.25">
      <c r="A1553">
        <v>20140604</v>
      </c>
      <c r="B1553">
        <v>-2448840.1208767002</v>
      </c>
      <c r="C1553">
        <v>5158238.2235145597</v>
      </c>
    </row>
    <row r="1554" spans="1:3" x14ac:dyDescent="0.25">
      <c r="A1554">
        <v>20140605</v>
      </c>
      <c r="B1554">
        <v>-4652448.6125131398</v>
      </c>
      <c r="C1554">
        <v>7333698.8541433299</v>
      </c>
    </row>
    <row r="1555" spans="1:3" x14ac:dyDescent="0.25">
      <c r="A1555">
        <v>20140606</v>
      </c>
      <c r="B1555">
        <v>-2917468.5740394401</v>
      </c>
      <c r="C1555">
        <v>13281050.5939977</v>
      </c>
    </row>
    <row r="1556" spans="1:3" x14ac:dyDescent="0.25">
      <c r="A1556">
        <v>20140609</v>
      </c>
      <c r="B1556">
        <v>-1811963.7894723599</v>
      </c>
      <c r="C1556">
        <v>8567614.6433470305</v>
      </c>
    </row>
    <row r="1557" spans="1:3" x14ac:dyDescent="0.25">
      <c r="A1557">
        <v>20140610</v>
      </c>
      <c r="B1557">
        <v>-750606.67227395496</v>
      </c>
      <c r="C1557">
        <v>6101637.6711450703</v>
      </c>
    </row>
    <row r="1558" spans="1:3" x14ac:dyDescent="0.25">
      <c r="A1558">
        <v>20140611</v>
      </c>
      <c r="B1558">
        <v>-1187982.3391952501</v>
      </c>
      <c r="C1558">
        <v>-1721623.68352558</v>
      </c>
    </row>
    <row r="1559" spans="1:3" x14ac:dyDescent="0.25">
      <c r="A1559">
        <v>20140612</v>
      </c>
      <c r="B1559">
        <v>1995522.1763261999</v>
      </c>
      <c r="C1559">
        <v>-6118820.6796889603</v>
      </c>
    </row>
    <row r="1560" spans="1:3" x14ac:dyDescent="0.25">
      <c r="A1560">
        <v>20140613</v>
      </c>
      <c r="B1560">
        <v>3716742.2595271901</v>
      </c>
      <c r="C1560">
        <v>-13975041.7987238</v>
      </c>
    </row>
    <row r="1561" spans="1:3" x14ac:dyDescent="0.25">
      <c r="A1561">
        <v>20140616</v>
      </c>
      <c r="B1561">
        <v>-1931901.9660074399</v>
      </c>
      <c r="C1561">
        <v>-14151533.922656501</v>
      </c>
    </row>
    <row r="1562" spans="1:3" x14ac:dyDescent="0.25">
      <c r="A1562">
        <v>20140617</v>
      </c>
      <c r="B1562">
        <v>-1042627.22783798</v>
      </c>
      <c r="C1562">
        <v>-17466546.8582175</v>
      </c>
    </row>
    <row r="1563" spans="1:3" x14ac:dyDescent="0.25">
      <c r="A1563">
        <v>20140618</v>
      </c>
      <c r="B1563">
        <v>-6446335.4237386798</v>
      </c>
      <c r="C1563">
        <v>-14227146.139771</v>
      </c>
    </row>
    <row r="1564" spans="1:3" x14ac:dyDescent="0.25">
      <c r="A1564">
        <v>20140619</v>
      </c>
      <c r="B1564">
        <v>-313360.36902576301</v>
      </c>
      <c r="C1564">
        <v>-11683886.3337343</v>
      </c>
    </row>
    <row r="1565" spans="1:3" x14ac:dyDescent="0.25">
      <c r="A1565">
        <v>20140620</v>
      </c>
      <c r="B1565">
        <v>-820557.88707721897</v>
      </c>
      <c r="C1565">
        <v>-19197729.200666402</v>
      </c>
    </row>
    <row r="1566" spans="1:3" x14ac:dyDescent="0.25">
      <c r="A1566">
        <v>20140623</v>
      </c>
      <c r="B1566">
        <v>451119.98782639502</v>
      </c>
      <c r="C1566">
        <v>-19023301.427386001</v>
      </c>
    </row>
    <row r="1567" spans="1:3" x14ac:dyDescent="0.25">
      <c r="A1567">
        <v>20140624</v>
      </c>
      <c r="B1567">
        <v>-881015.33921477199</v>
      </c>
      <c r="C1567">
        <v>-12750440.7480944</v>
      </c>
    </row>
    <row r="1568" spans="1:3" x14ac:dyDescent="0.25">
      <c r="A1568">
        <v>20140625</v>
      </c>
      <c r="B1568">
        <v>6291751.3914262997</v>
      </c>
      <c r="C1568">
        <v>-15122162.4484265</v>
      </c>
    </row>
    <row r="1569" spans="1:3" x14ac:dyDescent="0.25">
      <c r="A1569">
        <v>20140626</v>
      </c>
      <c r="B1569">
        <v>1080080.9577317999</v>
      </c>
      <c r="C1569">
        <v>-18485231.295605399</v>
      </c>
    </row>
    <row r="1570" spans="1:3" x14ac:dyDescent="0.25">
      <c r="A1570">
        <v>20140627</v>
      </c>
      <c r="B1570">
        <v>-2634972.4610800501</v>
      </c>
      <c r="C1570">
        <v>-9436916.7475256398</v>
      </c>
    </row>
    <row r="1571" spans="1:3" x14ac:dyDescent="0.25">
      <c r="A1571">
        <v>20140630</v>
      </c>
      <c r="B1571">
        <v>-2853882.1419756501</v>
      </c>
      <c r="C1571">
        <v>-8064250.9853463899</v>
      </c>
    </row>
    <row r="1572" spans="1:3" x14ac:dyDescent="0.25">
      <c r="A1572">
        <v>20140701</v>
      </c>
      <c r="B1572">
        <v>-2329492.7596432799</v>
      </c>
      <c r="C1572">
        <v>-12462537.239643101</v>
      </c>
    </row>
    <row r="1573" spans="1:3" x14ac:dyDescent="0.25">
      <c r="A1573">
        <v>20140702</v>
      </c>
      <c r="B1573">
        <v>-3465411.8097795299</v>
      </c>
      <c r="C1573">
        <v>-4171317.0619062702</v>
      </c>
    </row>
    <row r="1574" spans="1:3" x14ac:dyDescent="0.25">
      <c r="A1574">
        <v>20140703</v>
      </c>
      <c r="B1574">
        <v>-3024851.7961351499</v>
      </c>
      <c r="C1574">
        <v>-6830054.5629465003</v>
      </c>
    </row>
    <row r="1575" spans="1:3" x14ac:dyDescent="0.25">
      <c r="A1575">
        <v>20140704</v>
      </c>
      <c r="B1575">
        <v>745488.03054434794</v>
      </c>
      <c r="C1575">
        <v>-6580383.7558259498</v>
      </c>
    </row>
    <row r="1576" spans="1:3" x14ac:dyDescent="0.25">
      <c r="A1576">
        <v>20140707</v>
      </c>
      <c r="B1576">
        <v>2046885.5618195101</v>
      </c>
      <c r="C1576">
        <v>2190790.4712642101</v>
      </c>
    </row>
    <row r="1577" spans="1:3" x14ac:dyDescent="0.25">
      <c r="A1577">
        <v>20140708</v>
      </c>
      <c r="B1577">
        <v>2831910.7532571</v>
      </c>
      <c r="C1577">
        <v>6837418.3958598198</v>
      </c>
    </row>
    <row r="1578" spans="1:3" x14ac:dyDescent="0.25">
      <c r="A1578">
        <v>20140709</v>
      </c>
      <c r="B1578">
        <v>3147491.02668887</v>
      </c>
      <c r="C1578">
        <v>87788.407894390097</v>
      </c>
    </row>
    <row r="1579" spans="1:3" x14ac:dyDescent="0.25">
      <c r="A1579">
        <v>20140710</v>
      </c>
      <c r="B1579">
        <v>3068393.23384583</v>
      </c>
      <c r="C1579">
        <v>4051366.2793440502</v>
      </c>
    </row>
    <row r="1580" spans="1:3" x14ac:dyDescent="0.25">
      <c r="A1580">
        <v>20140711</v>
      </c>
      <c r="B1580">
        <v>2936671.8612593799</v>
      </c>
      <c r="C1580">
        <v>11475517.4985091</v>
      </c>
    </row>
    <row r="1581" spans="1:3" x14ac:dyDescent="0.25">
      <c r="A1581">
        <v>20140714</v>
      </c>
      <c r="B1581">
        <v>782882.05561900802</v>
      </c>
      <c r="C1581">
        <v>6642197.3451020001</v>
      </c>
    </row>
    <row r="1582" spans="1:3" x14ac:dyDescent="0.25">
      <c r="A1582">
        <v>20140715</v>
      </c>
      <c r="B1582">
        <v>1987703.3740540601</v>
      </c>
      <c r="C1582">
        <v>6504305.2550509702</v>
      </c>
    </row>
    <row r="1583" spans="1:3" x14ac:dyDescent="0.25">
      <c r="A1583">
        <v>20140716</v>
      </c>
      <c r="B1583">
        <v>3716928.68542977</v>
      </c>
      <c r="C1583">
        <v>10991645.996024501</v>
      </c>
    </row>
    <row r="1584" spans="1:3" x14ac:dyDescent="0.25">
      <c r="A1584">
        <v>20140717</v>
      </c>
      <c r="B1584">
        <v>5632197.1035545301</v>
      </c>
      <c r="C1584">
        <v>6864397.8751067603</v>
      </c>
    </row>
    <row r="1585" spans="1:3" x14ac:dyDescent="0.25">
      <c r="A1585">
        <v>20140718</v>
      </c>
      <c r="B1585">
        <v>4008186.47014086</v>
      </c>
      <c r="C1585">
        <v>-723258.45285457897</v>
      </c>
    </row>
    <row r="1586" spans="1:3" x14ac:dyDescent="0.25">
      <c r="A1586">
        <v>20140721</v>
      </c>
      <c r="B1586">
        <v>6439067.0433411403</v>
      </c>
      <c r="C1586">
        <v>2111505.9349552998</v>
      </c>
    </row>
    <row r="1587" spans="1:3" x14ac:dyDescent="0.25">
      <c r="A1587">
        <v>20140722</v>
      </c>
      <c r="B1587">
        <v>7136269.5890631396</v>
      </c>
      <c r="C1587">
        <v>3487845.5717695202</v>
      </c>
    </row>
    <row r="1588" spans="1:3" x14ac:dyDescent="0.25">
      <c r="A1588">
        <v>20140723</v>
      </c>
      <c r="B1588">
        <v>8164973.0883017601</v>
      </c>
      <c r="C1588">
        <v>3755170.5579734999</v>
      </c>
    </row>
    <row r="1589" spans="1:3" x14ac:dyDescent="0.25">
      <c r="A1589">
        <v>20140724</v>
      </c>
      <c r="B1589">
        <v>2749693.0935993199</v>
      </c>
      <c r="C1589">
        <v>10486412.605035299</v>
      </c>
    </row>
    <row r="1590" spans="1:3" x14ac:dyDescent="0.25">
      <c r="A1590">
        <v>20140725</v>
      </c>
      <c r="B1590">
        <v>4811069.2197866803</v>
      </c>
      <c r="C1590">
        <v>15828657.446879899</v>
      </c>
    </row>
    <row r="1591" spans="1:3" x14ac:dyDescent="0.25">
      <c r="A1591">
        <v>20140728</v>
      </c>
      <c r="B1591">
        <v>3829113.9363911501</v>
      </c>
      <c r="C1591">
        <v>12916292.1605919</v>
      </c>
    </row>
    <row r="1592" spans="1:3" x14ac:dyDescent="0.25">
      <c r="A1592">
        <v>20140729</v>
      </c>
      <c r="B1592">
        <v>2077333.47721261</v>
      </c>
      <c r="C1592">
        <v>12432361.57471</v>
      </c>
    </row>
    <row r="1593" spans="1:3" x14ac:dyDescent="0.25">
      <c r="A1593">
        <v>20140730</v>
      </c>
      <c r="B1593">
        <v>225905.749024927</v>
      </c>
      <c r="C1593">
        <v>13866647.261863301</v>
      </c>
    </row>
    <row r="1594" spans="1:3" x14ac:dyDescent="0.25">
      <c r="A1594">
        <v>20140731</v>
      </c>
      <c r="B1594">
        <v>2478755.8739748602</v>
      </c>
      <c r="C1594">
        <v>4413380.0287921298</v>
      </c>
    </row>
    <row r="1595" spans="1:3" x14ac:dyDescent="0.25">
      <c r="A1595">
        <v>20140801</v>
      </c>
      <c r="B1595">
        <v>-1152401.46046622</v>
      </c>
      <c r="C1595">
        <v>1194387.3390144201</v>
      </c>
    </row>
    <row r="1596" spans="1:3" x14ac:dyDescent="0.25">
      <c r="A1596">
        <v>20140804</v>
      </c>
      <c r="B1596">
        <v>87866.760439322301</v>
      </c>
      <c r="C1596">
        <v>471123.86254975002</v>
      </c>
    </row>
    <row r="1597" spans="1:3" x14ac:dyDescent="0.25">
      <c r="A1597">
        <v>20140805</v>
      </c>
      <c r="B1597">
        <v>-103591.143104348</v>
      </c>
      <c r="C1597">
        <v>-2853181.90337663</v>
      </c>
    </row>
    <row r="1598" spans="1:3" x14ac:dyDescent="0.25">
      <c r="A1598">
        <v>20140806</v>
      </c>
      <c r="B1598">
        <v>-266133.80283249897</v>
      </c>
      <c r="C1598">
        <v>-11901155.2493893</v>
      </c>
    </row>
    <row r="1599" spans="1:3" x14ac:dyDescent="0.25">
      <c r="A1599">
        <v>20140807</v>
      </c>
      <c r="B1599">
        <v>1566815.4539113599</v>
      </c>
      <c r="C1599">
        <v>-4145834.6448323801</v>
      </c>
    </row>
    <row r="1600" spans="1:3" x14ac:dyDescent="0.25">
      <c r="A1600">
        <v>20140808</v>
      </c>
      <c r="B1600">
        <v>-69315.570994120004</v>
      </c>
      <c r="C1600">
        <v>2581793.3645000602</v>
      </c>
    </row>
    <row r="1601" spans="1:3" x14ac:dyDescent="0.25">
      <c r="A1601">
        <v>20140811</v>
      </c>
      <c r="B1601">
        <v>1041326.12421152</v>
      </c>
      <c r="C1601">
        <v>3676797.3492570301</v>
      </c>
    </row>
    <row r="1602" spans="1:3" x14ac:dyDescent="0.25">
      <c r="A1602">
        <v>20140812</v>
      </c>
      <c r="B1602">
        <v>-1165750.45871464</v>
      </c>
      <c r="C1602">
        <v>1034527.49228379</v>
      </c>
    </row>
    <row r="1603" spans="1:3" x14ac:dyDescent="0.25">
      <c r="A1603">
        <v>20140813</v>
      </c>
      <c r="B1603">
        <v>-1931720.5985079799</v>
      </c>
      <c r="C1603">
        <v>8042652.60685624</v>
      </c>
    </row>
    <row r="1604" spans="1:3" x14ac:dyDescent="0.25">
      <c r="A1604">
        <v>20140814</v>
      </c>
      <c r="B1604">
        <v>-1979570.7011661001</v>
      </c>
      <c r="C1604">
        <v>13549823.720787</v>
      </c>
    </row>
    <row r="1605" spans="1:3" x14ac:dyDescent="0.25">
      <c r="A1605">
        <v>20140815</v>
      </c>
      <c r="B1605">
        <v>1925700.4322392901</v>
      </c>
      <c r="C1605">
        <v>5788549.8443841301</v>
      </c>
    </row>
    <row r="1606" spans="1:3" x14ac:dyDescent="0.25">
      <c r="A1606">
        <v>20140818</v>
      </c>
      <c r="B1606">
        <v>-227435.51079108499</v>
      </c>
      <c r="C1606">
        <v>2865617.4531902401</v>
      </c>
    </row>
    <row r="1607" spans="1:3" x14ac:dyDescent="0.25">
      <c r="A1607">
        <v>20140819</v>
      </c>
      <c r="B1607">
        <v>1732885.9023176101</v>
      </c>
      <c r="C1607">
        <v>11072637.189858399</v>
      </c>
    </row>
    <row r="1608" spans="1:3" x14ac:dyDescent="0.25">
      <c r="A1608">
        <v>20140820</v>
      </c>
      <c r="B1608">
        <v>3184787.02312975</v>
      </c>
      <c r="C1608">
        <v>12310840.8066661</v>
      </c>
    </row>
    <row r="1609" spans="1:3" x14ac:dyDescent="0.25">
      <c r="A1609">
        <v>20140821</v>
      </c>
      <c r="B1609">
        <v>3091021.6466737902</v>
      </c>
      <c r="C1609">
        <v>5310101.3563781697</v>
      </c>
    </row>
    <row r="1610" spans="1:3" x14ac:dyDescent="0.25">
      <c r="A1610">
        <v>20140822</v>
      </c>
      <c r="B1610">
        <v>4313234.3092860701</v>
      </c>
      <c r="C1610">
        <v>5799371.8876855001</v>
      </c>
    </row>
    <row r="1611" spans="1:3" x14ac:dyDescent="0.25">
      <c r="A1611">
        <v>20140825</v>
      </c>
      <c r="B1611">
        <v>7516655.5516676996</v>
      </c>
      <c r="C1611">
        <v>9061469.2337053791</v>
      </c>
    </row>
    <row r="1612" spans="1:3" x14ac:dyDescent="0.25">
      <c r="A1612">
        <v>20140826</v>
      </c>
      <c r="B1612">
        <v>7736726.2565030102</v>
      </c>
      <c r="C1612">
        <v>3957003.0637396402</v>
      </c>
    </row>
    <row r="1613" spans="1:3" x14ac:dyDescent="0.25">
      <c r="A1613">
        <v>20140827</v>
      </c>
      <c r="B1613">
        <v>8401655.9167839102</v>
      </c>
      <c r="C1613">
        <v>-520714.844012819</v>
      </c>
    </row>
    <row r="1614" spans="1:3" x14ac:dyDescent="0.25">
      <c r="A1614">
        <v>20140828</v>
      </c>
      <c r="B1614">
        <v>8727068.6510985997</v>
      </c>
      <c r="C1614">
        <v>-6155813.3429647004</v>
      </c>
    </row>
    <row r="1615" spans="1:3" x14ac:dyDescent="0.25">
      <c r="A1615">
        <v>20140829</v>
      </c>
      <c r="B1615">
        <v>5728061.5287418002</v>
      </c>
      <c r="C1615">
        <v>-4701627.4952681595</v>
      </c>
    </row>
    <row r="1616" spans="1:3" x14ac:dyDescent="0.25">
      <c r="A1616">
        <v>20140901</v>
      </c>
      <c r="B1616">
        <v>4378205.9543167604</v>
      </c>
      <c r="C1616">
        <v>-3884386.1466202401</v>
      </c>
    </row>
    <row r="1617" spans="1:3" x14ac:dyDescent="0.25">
      <c r="A1617">
        <v>20140902</v>
      </c>
      <c r="B1617">
        <v>1974514.6296611801</v>
      </c>
      <c r="C1617">
        <v>-1242099.41616136</v>
      </c>
    </row>
    <row r="1618" spans="1:3" x14ac:dyDescent="0.25">
      <c r="A1618">
        <v>20140903</v>
      </c>
      <c r="B1618">
        <v>-1338432.28204879</v>
      </c>
      <c r="C1618">
        <v>-752114.96338895999</v>
      </c>
    </row>
    <row r="1619" spans="1:3" x14ac:dyDescent="0.25">
      <c r="A1619">
        <v>20140904</v>
      </c>
      <c r="B1619">
        <v>2798184.4143873099</v>
      </c>
      <c r="C1619">
        <v>-542722.46612490097</v>
      </c>
    </row>
    <row r="1620" spans="1:3" x14ac:dyDescent="0.25">
      <c r="A1620">
        <v>20140905</v>
      </c>
      <c r="B1620">
        <v>4052867.1381418798</v>
      </c>
      <c r="C1620">
        <v>3717865.5936612599</v>
      </c>
    </row>
    <row r="1621" spans="1:3" x14ac:dyDescent="0.25">
      <c r="A1621">
        <v>20140908</v>
      </c>
      <c r="B1621">
        <v>2441348.3861740502</v>
      </c>
      <c r="C1621">
        <v>3796855.5787511799</v>
      </c>
    </row>
    <row r="1622" spans="1:3" x14ac:dyDescent="0.25">
      <c r="A1622">
        <v>20140909</v>
      </c>
      <c r="B1622">
        <v>4506869.9125918103</v>
      </c>
      <c r="C1622">
        <v>2702719.1102943299</v>
      </c>
    </row>
    <row r="1623" spans="1:3" x14ac:dyDescent="0.25">
      <c r="A1623">
        <v>20140910</v>
      </c>
      <c r="B1623">
        <v>3189965.9070866401</v>
      </c>
      <c r="C1623">
        <v>-4115559.0110855298</v>
      </c>
    </row>
    <row r="1624" spans="1:3" x14ac:dyDescent="0.25">
      <c r="A1624">
        <v>20140911</v>
      </c>
      <c r="B1624">
        <v>-1995170.31505531</v>
      </c>
      <c r="C1624">
        <v>9811950.6420351192</v>
      </c>
    </row>
    <row r="1625" spans="1:3" x14ac:dyDescent="0.25">
      <c r="A1625">
        <v>20140912</v>
      </c>
      <c r="B1625">
        <v>-3041069.9850693299</v>
      </c>
      <c r="C1625">
        <v>6338170.02238099</v>
      </c>
    </row>
    <row r="1626" spans="1:3" x14ac:dyDescent="0.25">
      <c r="A1626">
        <v>20140915</v>
      </c>
      <c r="B1626">
        <v>-2356707.6538691702</v>
      </c>
      <c r="C1626">
        <v>-356569.51823376899</v>
      </c>
    </row>
    <row r="1627" spans="1:3" x14ac:dyDescent="0.25">
      <c r="A1627">
        <v>20140916</v>
      </c>
      <c r="B1627">
        <v>-2554298.8061853601</v>
      </c>
      <c r="C1627">
        <v>-6682608.5370780397</v>
      </c>
    </row>
    <row r="1628" spans="1:3" x14ac:dyDescent="0.25">
      <c r="A1628">
        <v>20140917</v>
      </c>
      <c r="B1628">
        <v>-2760854.8034914499</v>
      </c>
      <c r="C1628">
        <v>-2355889.1642642701</v>
      </c>
    </row>
    <row r="1629" spans="1:3" x14ac:dyDescent="0.25">
      <c r="A1629">
        <v>20140918</v>
      </c>
      <c r="B1629">
        <v>-1328296.84313995</v>
      </c>
      <c r="C1629">
        <v>-11170086.492918599</v>
      </c>
    </row>
    <row r="1630" spans="1:3" x14ac:dyDescent="0.25">
      <c r="A1630">
        <v>20140919</v>
      </c>
      <c r="B1630">
        <v>3228620.9245561799</v>
      </c>
      <c r="C1630">
        <v>-14270108.720438199</v>
      </c>
    </row>
    <row r="1631" spans="1:3" x14ac:dyDescent="0.25">
      <c r="A1631">
        <v>20140922</v>
      </c>
      <c r="B1631">
        <v>5581259.7499525798</v>
      </c>
      <c r="C1631">
        <v>-3832902.58019866</v>
      </c>
    </row>
    <row r="1632" spans="1:3" x14ac:dyDescent="0.25">
      <c r="A1632">
        <v>20140923</v>
      </c>
      <c r="B1632">
        <v>1284112.5108280899</v>
      </c>
      <c r="C1632">
        <v>3977272.9255575198</v>
      </c>
    </row>
    <row r="1633" spans="1:3" x14ac:dyDescent="0.25">
      <c r="A1633">
        <v>20140924</v>
      </c>
      <c r="B1633">
        <v>6256977.3574247202</v>
      </c>
      <c r="C1633">
        <v>10945194.008961299</v>
      </c>
    </row>
    <row r="1634" spans="1:3" x14ac:dyDescent="0.25">
      <c r="A1634">
        <v>20140925</v>
      </c>
      <c r="B1634">
        <v>7945003.6030262103</v>
      </c>
      <c r="C1634">
        <v>8472422.6958066598</v>
      </c>
    </row>
    <row r="1635" spans="1:3" x14ac:dyDescent="0.25">
      <c r="A1635">
        <v>20140926</v>
      </c>
      <c r="B1635">
        <v>6036550.4535562498</v>
      </c>
      <c r="C1635">
        <v>15688743.719908901</v>
      </c>
    </row>
    <row r="1636" spans="1:3" x14ac:dyDescent="0.25">
      <c r="A1636">
        <v>20140929</v>
      </c>
      <c r="B1636">
        <v>3109614.9024936999</v>
      </c>
      <c r="C1636">
        <v>2028148.48228074</v>
      </c>
    </row>
    <row r="1637" spans="1:3" x14ac:dyDescent="0.25">
      <c r="A1637">
        <v>20140930</v>
      </c>
      <c r="B1637">
        <v>9059672.2480315603</v>
      </c>
      <c r="C1637">
        <v>-911941.57277276902</v>
      </c>
    </row>
    <row r="1638" spans="1:3" x14ac:dyDescent="0.25">
      <c r="A1638">
        <v>20141001</v>
      </c>
      <c r="B1638">
        <v>8169682.8003818002</v>
      </c>
      <c r="C1638">
        <v>-832465.77161848103</v>
      </c>
    </row>
    <row r="1639" spans="1:3" x14ac:dyDescent="0.25">
      <c r="A1639">
        <v>20141002</v>
      </c>
      <c r="B1639">
        <v>2673772.49583958</v>
      </c>
      <c r="C1639">
        <v>711709.54083425796</v>
      </c>
    </row>
    <row r="1640" spans="1:3" x14ac:dyDescent="0.25">
      <c r="A1640">
        <v>20141003</v>
      </c>
      <c r="B1640">
        <v>6469298.2769127097</v>
      </c>
      <c r="C1640">
        <v>3082056.6773670102</v>
      </c>
    </row>
    <row r="1641" spans="1:3" x14ac:dyDescent="0.25">
      <c r="A1641">
        <v>20141006</v>
      </c>
      <c r="B1641">
        <v>5542829.4131668499</v>
      </c>
      <c r="C1641">
        <v>7722680.0794986598</v>
      </c>
    </row>
    <row r="1642" spans="1:3" x14ac:dyDescent="0.25">
      <c r="A1642">
        <v>20141007</v>
      </c>
      <c r="B1642">
        <v>1701070.80872967</v>
      </c>
      <c r="C1642">
        <v>9369023.2764398698</v>
      </c>
    </row>
    <row r="1643" spans="1:3" x14ac:dyDescent="0.25">
      <c r="A1643">
        <v>20141008</v>
      </c>
      <c r="B1643">
        <v>-3427974.9146074099</v>
      </c>
      <c r="C1643">
        <v>9325426.31182863</v>
      </c>
    </row>
    <row r="1644" spans="1:3" x14ac:dyDescent="0.25">
      <c r="A1644">
        <v>20141009</v>
      </c>
      <c r="B1644">
        <v>-2248602.29086057</v>
      </c>
      <c r="C1644">
        <v>7622453.18349557</v>
      </c>
    </row>
    <row r="1645" spans="1:3" x14ac:dyDescent="0.25">
      <c r="A1645">
        <v>20141010</v>
      </c>
      <c r="B1645">
        <v>-3345161.6253085202</v>
      </c>
      <c r="C1645">
        <v>2444399.8412819798</v>
      </c>
    </row>
    <row r="1646" spans="1:3" x14ac:dyDescent="0.25">
      <c r="A1646">
        <v>20141013</v>
      </c>
      <c r="B1646">
        <v>-5343302.58083768</v>
      </c>
      <c r="C1646">
        <v>12500874.523401599</v>
      </c>
    </row>
    <row r="1647" spans="1:3" x14ac:dyDescent="0.25">
      <c r="A1647">
        <v>20141014</v>
      </c>
      <c r="B1647">
        <v>-2971959.7784873899</v>
      </c>
      <c r="C1647">
        <v>14306056.006478</v>
      </c>
    </row>
    <row r="1648" spans="1:3" x14ac:dyDescent="0.25">
      <c r="A1648">
        <v>20141015</v>
      </c>
      <c r="B1648">
        <v>-3556124.6301961802</v>
      </c>
      <c r="C1648">
        <v>22151743.235865399</v>
      </c>
    </row>
    <row r="1649" spans="1:3" x14ac:dyDescent="0.25">
      <c r="A1649">
        <v>20141016</v>
      </c>
      <c r="B1649">
        <v>-3400023.40316677</v>
      </c>
      <c r="C1649">
        <v>15659984.502258699</v>
      </c>
    </row>
    <row r="1650" spans="1:3" x14ac:dyDescent="0.25">
      <c r="A1650">
        <v>20141017</v>
      </c>
      <c r="B1650">
        <v>-4848786.3686019499</v>
      </c>
      <c r="C1650">
        <v>14452216.6221116</v>
      </c>
    </row>
    <row r="1651" spans="1:3" x14ac:dyDescent="0.25">
      <c r="A1651">
        <v>20141020</v>
      </c>
      <c r="B1651">
        <v>-1649333.4877885899</v>
      </c>
      <c r="C1651">
        <v>12555227.668328401</v>
      </c>
    </row>
    <row r="1652" spans="1:3" x14ac:dyDescent="0.25">
      <c r="A1652">
        <v>20141021</v>
      </c>
      <c r="B1652">
        <v>-443631.94834146998</v>
      </c>
      <c r="C1652">
        <v>4427575.59494216</v>
      </c>
    </row>
    <row r="1653" spans="1:3" x14ac:dyDescent="0.25">
      <c r="A1653">
        <v>20141022</v>
      </c>
      <c r="B1653">
        <v>7504971.3703254899</v>
      </c>
      <c r="C1653">
        <v>-10339055.682734</v>
      </c>
    </row>
    <row r="1654" spans="1:3" x14ac:dyDescent="0.25">
      <c r="A1654">
        <v>20141023</v>
      </c>
      <c r="B1654">
        <v>9545705.0966929998</v>
      </c>
      <c r="C1654">
        <v>1985604.2266029001</v>
      </c>
    </row>
    <row r="1655" spans="1:3" x14ac:dyDescent="0.25">
      <c r="A1655">
        <v>20141024</v>
      </c>
      <c r="B1655">
        <v>5609546.3848228799</v>
      </c>
      <c r="C1655">
        <v>643686.57172667899</v>
      </c>
    </row>
    <row r="1656" spans="1:3" x14ac:dyDescent="0.25">
      <c r="A1656">
        <v>20141027</v>
      </c>
      <c r="B1656">
        <v>3863301.3103723298</v>
      </c>
      <c r="C1656">
        <v>-6759227.6812778097</v>
      </c>
    </row>
    <row r="1657" spans="1:3" x14ac:dyDescent="0.25">
      <c r="A1657">
        <v>20141028</v>
      </c>
      <c r="B1657">
        <v>-2072686.96731557</v>
      </c>
      <c r="C1657">
        <v>-5469253.3028536905</v>
      </c>
    </row>
    <row r="1658" spans="1:3" x14ac:dyDescent="0.25">
      <c r="A1658">
        <v>20141029</v>
      </c>
      <c r="B1658">
        <v>-5981508.9942220999</v>
      </c>
      <c r="C1658">
        <v>-2290155.9007399501</v>
      </c>
    </row>
    <row r="1659" spans="1:3" x14ac:dyDescent="0.25">
      <c r="A1659">
        <v>20141030</v>
      </c>
      <c r="B1659">
        <v>-646147.139303367</v>
      </c>
      <c r="C1659">
        <v>818678.05767589901</v>
      </c>
    </row>
    <row r="1660" spans="1:3" x14ac:dyDescent="0.25">
      <c r="A1660">
        <v>20141031</v>
      </c>
      <c r="B1660">
        <v>4438809.7749977903</v>
      </c>
      <c r="C1660">
        <v>6341315.7038336601</v>
      </c>
    </row>
    <row r="1661" spans="1:3" x14ac:dyDescent="0.25">
      <c r="A1661">
        <v>20141103</v>
      </c>
      <c r="B1661">
        <v>7315677.0074350704</v>
      </c>
      <c r="C1661">
        <v>8908290.2016641404</v>
      </c>
    </row>
    <row r="1662" spans="1:3" x14ac:dyDescent="0.25">
      <c r="A1662">
        <v>20141104</v>
      </c>
      <c r="B1662">
        <v>6242668.3737090202</v>
      </c>
      <c r="C1662">
        <v>22802502.902424902</v>
      </c>
    </row>
    <row r="1663" spans="1:3" x14ac:dyDescent="0.25">
      <c r="A1663">
        <v>20141105</v>
      </c>
      <c r="B1663">
        <v>8623788.7381181698</v>
      </c>
      <c r="C1663">
        <v>22939451.3893697</v>
      </c>
    </row>
    <row r="1664" spans="1:3" x14ac:dyDescent="0.25">
      <c r="A1664">
        <v>20141106</v>
      </c>
      <c r="B1664">
        <v>4374550.7321300702</v>
      </c>
      <c r="C1664">
        <v>18182106.567704301</v>
      </c>
    </row>
    <row r="1665" spans="1:3" x14ac:dyDescent="0.25">
      <c r="A1665">
        <v>20141107</v>
      </c>
      <c r="B1665">
        <v>2213489.8050070801</v>
      </c>
      <c r="C1665">
        <v>460198.73789380898</v>
      </c>
    </row>
    <row r="1666" spans="1:3" x14ac:dyDescent="0.25">
      <c r="A1666">
        <v>20141110</v>
      </c>
      <c r="B1666">
        <v>2087111.2097147999</v>
      </c>
      <c r="C1666">
        <v>1005499.1899067099</v>
      </c>
    </row>
    <row r="1667" spans="1:3" x14ac:dyDescent="0.25">
      <c r="A1667">
        <v>20141111</v>
      </c>
      <c r="B1667">
        <v>7125368.1848145602</v>
      </c>
      <c r="C1667">
        <v>-12525251.512258399</v>
      </c>
    </row>
    <row r="1668" spans="1:3" x14ac:dyDescent="0.25">
      <c r="A1668">
        <v>20141112</v>
      </c>
      <c r="B1668">
        <v>3959863.7975426698</v>
      </c>
      <c r="C1668">
        <v>-13096490.103843801</v>
      </c>
    </row>
    <row r="1669" spans="1:3" x14ac:dyDescent="0.25">
      <c r="A1669">
        <v>20141113</v>
      </c>
      <c r="B1669">
        <v>2370777.0345639</v>
      </c>
      <c r="C1669">
        <v>-11870607.2413384</v>
      </c>
    </row>
    <row r="1670" spans="1:3" x14ac:dyDescent="0.25">
      <c r="A1670">
        <v>20141114</v>
      </c>
      <c r="B1670">
        <v>573566.98494340095</v>
      </c>
      <c r="C1670">
        <v>-6938930.3845814001</v>
      </c>
    </row>
    <row r="1671" spans="1:3" x14ac:dyDescent="0.25">
      <c r="A1671">
        <v>20141117</v>
      </c>
      <c r="B1671">
        <v>2326873.57619164</v>
      </c>
      <c r="C1671">
        <v>-7063294.0778596699</v>
      </c>
    </row>
    <row r="1672" spans="1:3" x14ac:dyDescent="0.25">
      <c r="A1672">
        <v>20141118</v>
      </c>
      <c r="B1672">
        <v>-3791151.78459393</v>
      </c>
      <c r="C1672">
        <v>-3874483.5752749401</v>
      </c>
    </row>
    <row r="1673" spans="1:3" x14ac:dyDescent="0.25">
      <c r="A1673">
        <v>20141119</v>
      </c>
      <c r="B1673">
        <v>-5257759.9549312703</v>
      </c>
      <c r="C1673">
        <v>587582.50598855002</v>
      </c>
    </row>
    <row r="1674" spans="1:3" x14ac:dyDescent="0.25">
      <c r="A1674">
        <v>20141120</v>
      </c>
      <c r="B1674">
        <v>-3744663.7945829001</v>
      </c>
      <c r="C1674">
        <v>-3281094.2407402801</v>
      </c>
    </row>
    <row r="1675" spans="1:3" x14ac:dyDescent="0.25">
      <c r="A1675">
        <v>20141121</v>
      </c>
      <c r="B1675">
        <v>3066294.64065006</v>
      </c>
      <c r="C1675">
        <v>-1100032.72780993</v>
      </c>
    </row>
    <row r="1676" spans="1:3" x14ac:dyDescent="0.25">
      <c r="A1676">
        <v>20141124</v>
      </c>
      <c r="B1676">
        <v>1182606.3905925499</v>
      </c>
      <c r="C1676">
        <v>5042836.8544815304</v>
      </c>
    </row>
    <row r="1677" spans="1:3" x14ac:dyDescent="0.25">
      <c r="A1677">
        <v>20141125</v>
      </c>
      <c r="B1677">
        <v>224977.52485252899</v>
      </c>
      <c r="C1677">
        <v>4675509.1311437301</v>
      </c>
    </row>
    <row r="1678" spans="1:3" x14ac:dyDescent="0.25">
      <c r="A1678">
        <v>20141126</v>
      </c>
      <c r="B1678">
        <v>1247998.86391687</v>
      </c>
      <c r="C1678">
        <v>973853.71249901003</v>
      </c>
    </row>
    <row r="1679" spans="1:3" x14ac:dyDescent="0.25">
      <c r="A1679">
        <v>20141127</v>
      </c>
      <c r="B1679">
        <v>1759254.32414823</v>
      </c>
      <c r="C1679">
        <v>15514551.4644513</v>
      </c>
    </row>
    <row r="1680" spans="1:3" x14ac:dyDescent="0.25">
      <c r="A1680">
        <v>20141128</v>
      </c>
      <c r="B1680">
        <v>-6878110.1861066502</v>
      </c>
      <c r="C1680">
        <v>21752949.668237198</v>
      </c>
    </row>
    <row r="1681" spans="1:3" x14ac:dyDescent="0.25">
      <c r="A1681">
        <v>20141201</v>
      </c>
      <c r="B1681">
        <v>-5767073.4436658705</v>
      </c>
      <c r="C1681">
        <v>10125231.94839</v>
      </c>
    </row>
    <row r="1682" spans="1:3" x14ac:dyDescent="0.25">
      <c r="A1682">
        <v>20141202</v>
      </c>
      <c r="B1682">
        <v>1495760.9909157499</v>
      </c>
      <c r="C1682">
        <v>9544752.4588003401</v>
      </c>
    </row>
    <row r="1683" spans="1:3" x14ac:dyDescent="0.25">
      <c r="A1683">
        <v>20141203</v>
      </c>
      <c r="B1683">
        <v>6556030.5061330898</v>
      </c>
      <c r="C1683">
        <v>1562688.8892282201</v>
      </c>
    </row>
    <row r="1684" spans="1:3" x14ac:dyDescent="0.25">
      <c r="A1684">
        <v>20141204</v>
      </c>
      <c r="B1684">
        <v>-4169245.4190556402</v>
      </c>
      <c r="C1684">
        <v>-10177547.720754899</v>
      </c>
    </row>
    <row r="1685" spans="1:3" x14ac:dyDescent="0.25">
      <c r="A1685">
        <v>20141205</v>
      </c>
      <c r="B1685">
        <v>4618024.9017246002</v>
      </c>
      <c r="C1685">
        <v>-13829724.754919499</v>
      </c>
    </row>
    <row r="1686" spans="1:3" x14ac:dyDescent="0.25">
      <c r="A1686">
        <v>20141208</v>
      </c>
      <c r="B1686">
        <v>7339983.5660133203</v>
      </c>
      <c r="C1686">
        <v>-13179356.9724147</v>
      </c>
    </row>
    <row r="1687" spans="1:3" x14ac:dyDescent="0.25">
      <c r="A1687">
        <v>20141209</v>
      </c>
      <c r="B1687">
        <v>3151639.7076258399</v>
      </c>
      <c r="C1687">
        <v>-19461650.325962599</v>
      </c>
    </row>
    <row r="1688" spans="1:3" x14ac:dyDescent="0.25">
      <c r="A1688">
        <v>20141210</v>
      </c>
      <c r="B1688">
        <v>-4326705.0862012599</v>
      </c>
      <c r="C1688">
        <v>-6816304.4927647896</v>
      </c>
    </row>
    <row r="1689" spans="1:3" x14ac:dyDescent="0.25">
      <c r="A1689">
        <v>20141211</v>
      </c>
      <c r="B1689">
        <v>7341660.4636781299</v>
      </c>
      <c r="C1689">
        <v>-4768585.9792070696</v>
      </c>
    </row>
    <row r="1690" spans="1:3" x14ac:dyDescent="0.25">
      <c r="A1690">
        <v>20141212</v>
      </c>
      <c r="B1690">
        <v>-4914307.6542585297</v>
      </c>
      <c r="C1690">
        <v>-7448356.1042796401</v>
      </c>
    </row>
    <row r="1691" spans="1:3" x14ac:dyDescent="0.25">
      <c r="A1691">
        <v>20141215</v>
      </c>
      <c r="B1691">
        <v>-6396527.2087455597</v>
      </c>
      <c r="C1691">
        <v>-5268179.1953251902</v>
      </c>
    </row>
    <row r="1692" spans="1:3" x14ac:dyDescent="0.25">
      <c r="A1692">
        <v>20141216</v>
      </c>
      <c r="B1692">
        <v>-8761004.3214724604</v>
      </c>
      <c r="C1692">
        <v>-7632864.9734643903</v>
      </c>
    </row>
    <row r="1693" spans="1:3" x14ac:dyDescent="0.25">
      <c r="A1693">
        <v>20141217</v>
      </c>
      <c r="B1693">
        <v>2928492.1739599402</v>
      </c>
      <c r="C1693">
        <v>-4248557.0625238204</v>
      </c>
    </row>
    <row r="1694" spans="1:3" x14ac:dyDescent="0.25">
      <c r="A1694">
        <v>20141218</v>
      </c>
      <c r="B1694">
        <v>3545659.5617066198</v>
      </c>
      <c r="C1694">
        <v>-3371247.8231336302</v>
      </c>
    </row>
    <row r="1695" spans="1:3" x14ac:dyDescent="0.25">
      <c r="A1695">
        <v>20141219</v>
      </c>
      <c r="B1695">
        <v>10282366.175835401</v>
      </c>
      <c r="C1695">
        <v>-872367.55694502895</v>
      </c>
    </row>
    <row r="1696" spans="1:3" x14ac:dyDescent="0.25">
      <c r="A1696">
        <v>20141222</v>
      </c>
      <c r="B1696">
        <v>11714286.212920099</v>
      </c>
      <c r="C1696">
        <v>7280882.9269626504</v>
      </c>
    </row>
    <row r="1697" spans="1:3" x14ac:dyDescent="0.25">
      <c r="A1697">
        <v>20141223</v>
      </c>
      <c r="B1697">
        <v>18081869.664291799</v>
      </c>
      <c r="C1697">
        <v>11056053.8114326</v>
      </c>
    </row>
    <row r="1698" spans="1:3" x14ac:dyDescent="0.25">
      <c r="A1698">
        <v>20141224</v>
      </c>
      <c r="B1698">
        <v>10851445.528885501</v>
      </c>
      <c r="C1698">
        <v>844485.10008488898</v>
      </c>
    </row>
    <row r="1699" spans="1:3" x14ac:dyDescent="0.25">
      <c r="A1699">
        <v>20141225</v>
      </c>
      <c r="B1699">
        <v>3598502.1335955602</v>
      </c>
      <c r="C1699">
        <v>-3207731.3610164002</v>
      </c>
    </row>
    <row r="1700" spans="1:3" x14ac:dyDescent="0.25">
      <c r="A1700">
        <v>20141226</v>
      </c>
      <c r="B1700">
        <v>3100181.1725568702</v>
      </c>
      <c r="C1700">
        <v>-1813778.7401813699</v>
      </c>
    </row>
    <row r="1701" spans="1:3" x14ac:dyDescent="0.25">
      <c r="A1701">
        <v>20141229</v>
      </c>
      <c r="B1701">
        <v>4140667.6773179802</v>
      </c>
      <c r="C1701">
        <v>-7809559.59234579</v>
      </c>
    </row>
    <row r="1702" spans="1:3" x14ac:dyDescent="0.25">
      <c r="A1702">
        <v>20141230</v>
      </c>
      <c r="B1702">
        <v>3832327.6688703699</v>
      </c>
      <c r="C1702">
        <v>-657941.46617430495</v>
      </c>
    </row>
    <row r="1703" spans="1:3" x14ac:dyDescent="0.25">
      <c r="A1703">
        <v>20141231</v>
      </c>
      <c r="B1703">
        <v>7671356.71898132</v>
      </c>
      <c r="C1703">
        <v>760699.240035119</v>
      </c>
    </row>
    <row r="1704" spans="1:3" x14ac:dyDescent="0.25">
      <c r="A1704">
        <v>20150101</v>
      </c>
      <c r="B1704">
        <v>9110459.7439419404</v>
      </c>
      <c r="C1704">
        <v>1474805.52088483</v>
      </c>
    </row>
    <row r="1705" spans="1:3" x14ac:dyDescent="0.25">
      <c r="A1705">
        <v>20150102</v>
      </c>
      <c r="B1705">
        <v>11920990.782634901</v>
      </c>
      <c r="C1705">
        <v>10796540.3665062</v>
      </c>
    </row>
    <row r="1706" spans="1:3" x14ac:dyDescent="0.25">
      <c r="A1706">
        <v>20150105</v>
      </c>
      <c r="B1706">
        <v>12462575.461407101</v>
      </c>
      <c r="C1706">
        <v>16035352.225621101</v>
      </c>
    </row>
    <row r="1707" spans="1:3" x14ac:dyDescent="0.25">
      <c r="A1707">
        <v>20150106</v>
      </c>
      <c r="B1707">
        <v>11596227.289932201</v>
      </c>
      <c r="C1707">
        <v>14838309.3888932</v>
      </c>
    </row>
    <row r="1708" spans="1:3" x14ac:dyDescent="0.25">
      <c r="A1708">
        <v>20150107</v>
      </c>
      <c r="B1708">
        <v>15444762.2162729</v>
      </c>
      <c r="C1708">
        <v>26114741.031648401</v>
      </c>
    </row>
    <row r="1709" spans="1:3" x14ac:dyDescent="0.25">
      <c r="A1709">
        <v>20150108</v>
      </c>
      <c r="B1709">
        <v>16657139.619147601</v>
      </c>
      <c r="C1709">
        <v>31681011.797272101</v>
      </c>
    </row>
    <row r="1710" spans="1:3" x14ac:dyDescent="0.25">
      <c r="A1710">
        <v>20150109</v>
      </c>
      <c r="B1710">
        <v>11346356.9431531</v>
      </c>
      <c r="C1710">
        <v>31599303.009300198</v>
      </c>
    </row>
    <row r="1711" spans="1:3" x14ac:dyDescent="0.25">
      <c r="A1711">
        <v>20150112</v>
      </c>
      <c r="B1711">
        <v>10376102.0327086</v>
      </c>
      <c r="C1711">
        <v>35885910.6792292</v>
      </c>
    </row>
    <row r="1712" spans="1:3" x14ac:dyDescent="0.25">
      <c r="A1712">
        <v>20150113</v>
      </c>
      <c r="B1712">
        <v>8765220.1145810708</v>
      </c>
      <c r="C1712">
        <v>41503516.345170699</v>
      </c>
    </row>
    <row r="1713" spans="1:3" x14ac:dyDescent="0.25">
      <c r="A1713">
        <v>20150114</v>
      </c>
      <c r="B1713">
        <v>6532508.3419066202</v>
      </c>
      <c r="C1713">
        <v>36923774.294997297</v>
      </c>
    </row>
    <row r="1714" spans="1:3" x14ac:dyDescent="0.25">
      <c r="A1714">
        <v>20150115</v>
      </c>
      <c r="B1714">
        <v>14100487.913811401</v>
      </c>
      <c r="C1714">
        <v>28163939.626186199</v>
      </c>
    </row>
    <row r="1715" spans="1:3" x14ac:dyDescent="0.25">
      <c r="A1715">
        <v>20150116</v>
      </c>
      <c r="B1715">
        <v>19059694.721908402</v>
      </c>
      <c r="C1715">
        <v>23499811.011844601</v>
      </c>
    </row>
    <row r="1716" spans="1:3" x14ac:dyDescent="0.25">
      <c r="A1716">
        <v>20150119</v>
      </c>
      <c r="B1716">
        <v>11133261.5741644</v>
      </c>
      <c r="C1716">
        <v>9873980.50397484</v>
      </c>
    </row>
    <row r="1717" spans="1:3" x14ac:dyDescent="0.25">
      <c r="A1717">
        <v>20150120</v>
      </c>
      <c r="B1717">
        <v>11889780.334858701</v>
      </c>
      <c r="C1717">
        <v>22193743.1536556</v>
      </c>
    </row>
    <row r="1718" spans="1:3" x14ac:dyDescent="0.25">
      <c r="A1718">
        <v>20150121</v>
      </c>
      <c r="B1718">
        <v>1792037.2927615701</v>
      </c>
      <c r="C1718">
        <v>45544078.274277397</v>
      </c>
    </row>
    <row r="1719" spans="1:3" x14ac:dyDescent="0.25">
      <c r="A1719">
        <v>20150122</v>
      </c>
      <c r="B1719">
        <v>1136406.25585492</v>
      </c>
      <c r="C1719">
        <v>55547847.943422899</v>
      </c>
    </row>
    <row r="1720" spans="1:3" x14ac:dyDescent="0.25">
      <c r="A1720">
        <v>20150123</v>
      </c>
      <c r="B1720">
        <v>7647078.01491547</v>
      </c>
      <c r="C1720">
        <v>56702139.246504098</v>
      </c>
    </row>
    <row r="1721" spans="1:3" x14ac:dyDescent="0.25">
      <c r="A1721">
        <v>20150126</v>
      </c>
      <c r="B1721">
        <v>12825569.295224501</v>
      </c>
      <c r="C1721">
        <v>60406061.023782499</v>
      </c>
    </row>
    <row r="1722" spans="1:3" x14ac:dyDescent="0.25">
      <c r="A1722">
        <v>20150127</v>
      </c>
      <c r="B1722">
        <v>5351938.1050164299</v>
      </c>
      <c r="C1722">
        <v>40036805.757046103</v>
      </c>
    </row>
    <row r="1723" spans="1:3" x14ac:dyDescent="0.25">
      <c r="A1723">
        <v>20150128</v>
      </c>
      <c r="B1723">
        <v>18066612.273496501</v>
      </c>
      <c r="C1723">
        <v>13735368.421566</v>
      </c>
    </row>
    <row r="1724" spans="1:3" x14ac:dyDescent="0.25">
      <c r="A1724">
        <v>20150129</v>
      </c>
      <c r="B1724">
        <v>6799498.9642248899</v>
      </c>
      <c r="C1724">
        <v>14302963.3600538</v>
      </c>
    </row>
    <row r="1725" spans="1:3" x14ac:dyDescent="0.25">
      <c r="A1725">
        <v>20150130</v>
      </c>
      <c r="B1725">
        <v>2071036.6272422001</v>
      </c>
      <c r="C1725">
        <v>11254910.5691044</v>
      </c>
    </row>
    <row r="1726" spans="1:3" x14ac:dyDescent="0.25">
      <c r="A1726">
        <v>20150202</v>
      </c>
      <c r="B1726">
        <v>-698681.69903870602</v>
      </c>
      <c r="C1726">
        <v>4681164.76581275</v>
      </c>
    </row>
    <row r="1727" spans="1:3" x14ac:dyDescent="0.25">
      <c r="A1727">
        <v>20150203</v>
      </c>
      <c r="B1727">
        <v>-1205583.2008168499</v>
      </c>
      <c r="C1727">
        <v>-1190546.26516026</v>
      </c>
    </row>
    <row r="1728" spans="1:3" x14ac:dyDescent="0.25">
      <c r="A1728">
        <v>20150204</v>
      </c>
      <c r="B1728">
        <v>-3080095.29545849</v>
      </c>
      <c r="C1728">
        <v>713126.55038398202</v>
      </c>
    </row>
    <row r="1729" spans="1:3" x14ac:dyDescent="0.25">
      <c r="A1729">
        <v>20150205</v>
      </c>
      <c r="B1729">
        <v>-1201709.48773919</v>
      </c>
      <c r="C1729">
        <v>-19656957.0396064</v>
      </c>
    </row>
    <row r="1730" spans="1:3" x14ac:dyDescent="0.25">
      <c r="A1730">
        <v>20150206</v>
      </c>
      <c r="B1730">
        <v>-1959300.16889549</v>
      </c>
      <c r="C1730">
        <v>-21010598.537325699</v>
      </c>
    </row>
    <row r="1731" spans="1:3" x14ac:dyDescent="0.25">
      <c r="A1731">
        <v>20150209</v>
      </c>
      <c r="B1731">
        <v>1688307.3089042599</v>
      </c>
      <c r="C1731">
        <v>-22292884.110943399</v>
      </c>
    </row>
    <row r="1732" spans="1:3" x14ac:dyDescent="0.25">
      <c r="A1732">
        <v>20150210</v>
      </c>
      <c r="B1732">
        <v>9659789.4538828209</v>
      </c>
      <c r="C1732">
        <v>-12574364.165581999</v>
      </c>
    </row>
    <row r="1733" spans="1:3" x14ac:dyDescent="0.25">
      <c r="A1733">
        <v>20150211</v>
      </c>
      <c r="B1733">
        <v>5313212.31191127</v>
      </c>
      <c r="C1733">
        <v>-10719030.027720699</v>
      </c>
    </row>
    <row r="1734" spans="1:3" x14ac:dyDescent="0.25">
      <c r="A1734">
        <v>20150212</v>
      </c>
      <c r="B1734">
        <v>4069576.81095772</v>
      </c>
      <c r="C1734">
        <v>-8713186.0079214908</v>
      </c>
    </row>
    <row r="1735" spans="1:3" x14ac:dyDescent="0.25">
      <c r="A1735">
        <v>20150213</v>
      </c>
      <c r="B1735">
        <v>-3898427.22360681</v>
      </c>
      <c r="C1735">
        <v>-10847801.5489644</v>
      </c>
    </row>
    <row r="1736" spans="1:3" x14ac:dyDescent="0.25">
      <c r="A1736">
        <v>20150216</v>
      </c>
      <c r="B1736">
        <v>-5979485.84873104</v>
      </c>
      <c r="C1736">
        <v>-1207217.56834182</v>
      </c>
    </row>
    <row r="1737" spans="1:3" x14ac:dyDescent="0.25">
      <c r="A1737">
        <v>20150217</v>
      </c>
      <c r="B1737">
        <v>-5414119.8109797603</v>
      </c>
      <c r="C1737">
        <v>-10396893.319942201</v>
      </c>
    </row>
    <row r="1738" spans="1:3" x14ac:dyDescent="0.25">
      <c r="A1738">
        <v>20150218</v>
      </c>
      <c r="B1738">
        <v>-3340502.0723780398</v>
      </c>
      <c r="C1738">
        <v>-19138004.569884501</v>
      </c>
    </row>
    <row r="1739" spans="1:3" x14ac:dyDescent="0.25">
      <c r="A1739">
        <v>20150219</v>
      </c>
      <c r="B1739">
        <v>-1594003.5828553201</v>
      </c>
      <c r="C1739">
        <v>1453029.82321472</v>
      </c>
    </row>
    <row r="1740" spans="1:3" x14ac:dyDescent="0.25">
      <c r="A1740">
        <v>20150220</v>
      </c>
      <c r="B1740">
        <v>1603720.5933504801</v>
      </c>
      <c r="C1740">
        <v>557155.25944602897</v>
      </c>
    </row>
    <row r="1741" spans="1:3" x14ac:dyDescent="0.25">
      <c r="A1741">
        <v>20150223</v>
      </c>
      <c r="B1741">
        <v>1656012.5513742501</v>
      </c>
      <c r="C1741">
        <v>5181377.9914010298</v>
      </c>
    </row>
    <row r="1742" spans="1:3" x14ac:dyDescent="0.25">
      <c r="A1742">
        <v>20150224</v>
      </c>
      <c r="B1742">
        <v>3183732.0114257098</v>
      </c>
      <c r="C1742">
        <v>13642977.661040099</v>
      </c>
    </row>
    <row r="1743" spans="1:3" x14ac:dyDescent="0.25">
      <c r="A1743">
        <v>20150225</v>
      </c>
      <c r="B1743">
        <v>1899770.30196988</v>
      </c>
      <c r="C1743">
        <v>536528.77936443</v>
      </c>
    </row>
    <row r="1744" spans="1:3" x14ac:dyDescent="0.25">
      <c r="A1744">
        <v>20150226</v>
      </c>
      <c r="B1744">
        <v>10415071.499103</v>
      </c>
      <c r="C1744">
        <v>-5217846.9687624499</v>
      </c>
    </row>
    <row r="1745" spans="1:3" x14ac:dyDescent="0.25">
      <c r="A1745">
        <v>20150227</v>
      </c>
      <c r="B1745">
        <v>9543454.6264354009</v>
      </c>
      <c r="C1745">
        <v>-5732078.8697930602</v>
      </c>
    </row>
    <row r="1746" spans="1:3" x14ac:dyDescent="0.25">
      <c r="A1746">
        <v>20150302</v>
      </c>
      <c r="B1746">
        <v>8968046.1979162898</v>
      </c>
      <c r="C1746">
        <v>-11788255.740871301</v>
      </c>
    </row>
    <row r="1747" spans="1:3" x14ac:dyDescent="0.25">
      <c r="A1747">
        <v>20150303</v>
      </c>
      <c r="B1747">
        <v>7099575.9486539001</v>
      </c>
      <c r="C1747">
        <v>-24595120.991330899</v>
      </c>
    </row>
    <row r="1748" spans="1:3" x14ac:dyDescent="0.25">
      <c r="A1748">
        <v>20150304</v>
      </c>
      <c r="B1748">
        <v>14588300.3015793</v>
      </c>
      <c r="C1748">
        <v>-15429352.834245199</v>
      </c>
    </row>
    <row r="1749" spans="1:3" x14ac:dyDescent="0.25">
      <c r="A1749">
        <v>20150305</v>
      </c>
      <c r="B1749">
        <v>15412206.1461911</v>
      </c>
      <c r="C1749">
        <v>-19427981.0397355</v>
      </c>
    </row>
    <row r="1750" spans="1:3" x14ac:dyDescent="0.25">
      <c r="A1750">
        <v>20150306</v>
      </c>
      <c r="B1750">
        <v>22886021.287424002</v>
      </c>
      <c r="C1750">
        <v>-16979706.211300399</v>
      </c>
    </row>
    <row r="1751" spans="1:3" x14ac:dyDescent="0.25">
      <c r="A1751">
        <v>20150309</v>
      </c>
      <c r="B1751">
        <v>24160815.3079708</v>
      </c>
      <c r="C1751">
        <v>-24998082.895452298</v>
      </c>
    </row>
    <row r="1752" spans="1:3" x14ac:dyDescent="0.25">
      <c r="A1752">
        <v>20150310</v>
      </c>
      <c r="B1752">
        <v>30724837.398709301</v>
      </c>
      <c r="C1752">
        <v>-15938009.534956999</v>
      </c>
    </row>
    <row r="1753" spans="1:3" x14ac:dyDescent="0.25">
      <c r="A1753">
        <v>20150311</v>
      </c>
      <c r="B1753">
        <v>31733408.163734801</v>
      </c>
      <c r="C1753">
        <v>5374872.8101523798</v>
      </c>
    </row>
    <row r="1754" spans="1:3" x14ac:dyDescent="0.25">
      <c r="A1754">
        <v>20150312</v>
      </c>
      <c r="B1754">
        <v>20923962.303736299</v>
      </c>
      <c r="C1754">
        <v>2048790.5569581101</v>
      </c>
    </row>
    <row r="1755" spans="1:3" x14ac:dyDescent="0.25">
      <c r="A1755">
        <v>20150313</v>
      </c>
      <c r="B1755">
        <v>16453522.8562507</v>
      </c>
      <c r="C1755">
        <v>-391121.899047299</v>
      </c>
    </row>
    <row r="1756" spans="1:3" x14ac:dyDescent="0.25">
      <c r="A1756">
        <v>20150316</v>
      </c>
      <c r="B1756">
        <v>10176566.581056399</v>
      </c>
      <c r="C1756">
        <v>2083275.8859381401</v>
      </c>
    </row>
    <row r="1757" spans="1:3" x14ac:dyDescent="0.25">
      <c r="A1757">
        <v>20150317</v>
      </c>
      <c r="B1757">
        <v>341496.36236447399</v>
      </c>
      <c r="C1757">
        <v>9731444.0777458493</v>
      </c>
    </row>
    <row r="1758" spans="1:3" x14ac:dyDescent="0.25">
      <c r="A1758">
        <v>20150318</v>
      </c>
      <c r="B1758">
        <v>-9364203.2463760208</v>
      </c>
      <c r="C1758">
        <v>-2909800.4157758201</v>
      </c>
    </row>
    <row r="1759" spans="1:3" x14ac:dyDescent="0.25">
      <c r="A1759">
        <v>20150319</v>
      </c>
      <c r="B1759">
        <v>-4765441.1388209201</v>
      </c>
      <c r="C1759">
        <v>7759329.0332971001</v>
      </c>
    </row>
    <row r="1760" spans="1:3" x14ac:dyDescent="0.25">
      <c r="A1760">
        <v>20150320</v>
      </c>
      <c r="B1760">
        <v>-17131384.563949201</v>
      </c>
      <c r="C1760">
        <v>1330895.2923661901</v>
      </c>
    </row>
    <row r="1761" spans="1:3" x14ac:dyDescent="0.25">
      <c r="A1761">
        <v>20150323</v>
      </c>
      <c r="B1761">
        <v>-19961623.733663399</v>
      </c>
      <c r="C1761">
        <v>5549905.1054220898</v>
      </c>
    </row>
    <row r="1762" spans="1:3" x14ac:dyDescent="0.25">
      <c r="A1762">
        <v>20150324</v>
      </c>
      <c r="B1762">
        <v>-14543351.2615867</v>
      </c>
      <c r="C1762">
        <v>3210792.5422708001</v>
      </c>
    </row>
    <row r="1763" spans="1:3" x14ac:dyDescent="0.25">
      <c r="A1763">
        <v>20150325</v>
      </c>
      <c r="B1763">
        <v>-19355603.542593699</v>
      </c>
      <c r="C1763">
        <v>-2046823.3653869799</v>
      </c>
    </row>
    <row r="1764" spans="1:3" x14ac:dyDescent="0.25">
      <c r="A1764">
        <v>20150326</v>
      </c>
      <c r="B1764">
        <v>-16372468.6138492</v>
      </c>
      <c r="C1764">
        <v>-21917766.345568798</v>
      </c>
    </row>
    <row r="1765" spans="1:3" x14ac:dyDescent="0.25">
      <c r="A1765">
        <v>20150327</v>
      </c>
      <c r="B1765">
        <v>-9288235.0508193094</v>
      </c>
      <c r="C1765">
        <v>-6372956.2317011598</v>
      </c>
    </row>
    <row r="1766" spans="1:3" x14ac:dyDescent="0.25">
      <c r="A1766">
        <v>20150330</v>
      </c>
      <c r="B1766">
        <v>2391968.6075903401</v>
      </c>
      <c r="C1766">
        <v>1308360.0771371999</v>
      </c>
    </row>
    <row r="1767" spans="1:3" x14ac:dyDescent="0.25">
      <c r="A1767">
        <v>20150331</v>
      </c>
      <c r="B1767">
        <v>5472402.4786898801</v>
      </c>
      <c r="C1767">
        <v>-1685321.6911772001</v>
      </c>
    </row>
    <row r="1768" spans="1:3" x14ac:dyDescent="0.25">
      <c r="A1768">
        <v>20150401</v>
      </c>
      <c r="B1768">
        <v>9089831.1542442795</v>
      </c>
      <c r="C1768">
        <v>4464185.4423265401</v>
      </c>
    </row>
    <row r="1769" spans="1:3" x14ac:dyDescent="0.25">
      <c r="A1769">
        <v>20150402</v>
      </c>
      <c r="B1769">
        <v>-3309669.0956351198</v>
      </c>
      <c r="C1769">
        <v>17129773.380899299</v>
      </c>
    </row>
    <row r="1770" spans="1:3" x14ac:dyDescent="0.25">
      <c r="A1770">
        <v>20150403</v>
      </c>
      <c r="B1770">
        <v>-2551264.3355797101</v>
      </c>
      <c r="C1770">
        <v>11422594.9962835</v>
      </c>
    </row>
    <row r="1771" spans="1:3" x14ac:dyDescent="0.25">
      <c r="A1771">
        <v>20150406</v>
      </c>
      <c r="B1771">
        <v>-13297573.4177076</v>
      </c>
      <c r="C1771">
        <v>493919.68572668103</v>
      </c>
    </row>
    <row r="1772" spans="1:3" x14ac:dyDescent="0.25">
      <c r="A1772">
        <v>20150407</v>
      </c>
      <c r="B1772">
        <v>-10738244.2860144</v>
      </c>
      <c r="C1772">
        <v>-839862.527052889</v>
      </c>
    </row>
    <row r="1773" spans="1:3" x14ac:dyDescent="0.25">
      <c r="A1773">
        <v>20150408</v>
      </c>
      <c r="B1773">
        <v>-3985975.29641954</v>
      </c>
      <c r="C1773">
        <v>3289992.43726192</v>
      </c>
    </row>
    <row r="1774" spans="1:3" x14ac:dyDescent="0.25">
      <c r="A1774">
        <v>20150409</v>
      </c>
      <c r="B1774">
        <v>11134291.142985599</v>
      </c>
      <c r="C1774">
        <v>12971888.4813613</v>
      </c>
    </row>
    <row r="1775" spans="1:3" x14ac:dyDescent="0.25">
      <c r="A1775">
        <v>20150410</v>
      </c>
      <c r="B1775">
        <v>13378177.407838499</v>
      </c>
      <c r="C1775">
        <v>5391092.9512630599</v>
      </c>
    </row>
    <row r="1776" spans="1:3" x14ac:dyDescent="0.25">
      <c r="A1776">
        <v>20150413</v>
      </c>
      <c r="B1776">
        <v>22131317.9485204</v>
      </c>
      <c r="C1776">
        <v>4590918.1288259998</v>
      </c>
    </row>
    <row r="1777" spans="1:3" x14ac:dyDescent="0.25">
      <c r="A1777">
        <v>20150414</v>
      </c>
      <c r="B1777">
        <v>8329033.7630382599</v>
      </c>
      <c r="C1777">
        <v>-4465876.0415760204</v>
      </c>
    </row>
    <row r="1778" spans="1:3" x14ac:dyDescent="0.25">
      <c r="A1778">
        <v>20150415</v>
      </c>
      <c r="B1778">
        <v>10958928.940678401</v>
      </c>
      <c r="C1778">
        <v>-17877732.870544501</v>
      </c>
    </row>
    <row r="1779" spans="1:3" x14ac:dyDescent="0.25">
      <c r="A1779">
        <v>20150416</v>
      </c>
      <c r="B1779">
        <v>-253254.00525478201</v>
      </c>
      <c r="C1779">
        <v>-40283508.358814798</v>
      </c>
    </row>
    <row r="1780" spans="1:3" x14ac:dyDescent="0.25">
      <c r="A1780">
        <v>20150417</v>
      </c>
      <c r="B1780">
        <v>-5060030.3622866096</v>
      </c>
      <c r="C1780">
        <v>-37328831.042143002</v>
      </c>
    </row>
    <row r="1781" spans="1:3" x14ac:dyDescent="0.25">
      <c r="A1781">
        <v>20150420</v>
      </c>
      <c r="B1781">
        <v>-3519462.0097096902</v>
      </c>
      <c r="C1781">
        <v>-35272076.454237998</v>
      </c>
    </row>
    <row r="1782" spans="1:3" x14ac:dyDescent="0.25">
      <c r="A1782">
        <v>20150421</v>
      </c>
      <c r="B1782">
        <v>819730.10363734199</v>
      </c>
      <c r="C1782">
        <v>-14006846.9919836</v>
      </c>
    </row>
    <row r="1783" spans="1:3" x14ac:dyDescent="0.25">
      <c r="A1783">
        <v>20150422</v>
      </c>
      <c r="B1783">
        <v>-9055257.1568252593</v>
      </c>
      <c r="C1783">
        <v>-11993909.9871074</v>
      </c>
    </row>
    <row r="1784" spans="1:3" x14ac:dyDescent="0.25">
      <c r="A1784">
        <v>20150423</v>
      </c>
      <c r="B1784">
        <v>-8968823.4545669407</v>
      </c>
      <c r="C1784">
        <v>-11001778.274895201</v>
      </c>
    </row>
    <row r="1785" spans="1:3" x14ac:dyDescent="0.25">
      <c r="A1785">
        <v>20150424</v>
      </c>
      <c r="B1785">
        <v>-8751602.3978326507</v>
      </c>
      <c r="C1785">
        <v>-6505825.6244339095</v>
      </c>
    </row>
    <row r="1786" spans="1:3" x14ac:dyDescent="0.25">
      <c r="A1786">
        <v>20150427</v>
      </c>
      <c r="B1786">
        <v>-12380904.0071752</v>
      </c>
      <c r="C1786">
        <v>-8162450.8029997097</v>
      </c>
    </row>
    <row r="1787" spans="1:3" x14ac:dyDescent="0.25">
      <c r="A1787">
        <v>20150428</v>
      </c>
      <c r="B1787">
        <v>-13356148.878922001</v>
      </c>
      <c r="C1787">
        <v>-19382301.760411199</v>
      </c>
    </row>
    <row r="1788" spans="1:3" x14ac:dyDescent="0.25">
      <c r="A1788">
        <v>20150429</v>
      </c>
      <c r="B1788">
        <v>-22884879.449974101</v>
      </c>
      <c r="C1788">
        <v>-24006707.251890901</v>
      </c>
    </row>
    <row r="1789" spans="1:3" x14ac:dyDescent="0.25">
      <c r="A1789">
        <v>20150430</v>
      </c>
      <c r="B1789">
        <v>-24370490.848480102</v>
      </c>
      <c r="C1789">
        <v>-1664724.77543126</v>
      </c>
    </row>
    <row r="1790" spans="1:3" x14ac:dyDescent="0.25">
      <c r="A1790">
        <v>20150501</v>
      </c>
      <c r="B1790">
        <v>-23033960.259487599</v>
      </c>
      <c r="C1790">
        <v>-554849.30456322001</v>
      </c>
    </row>
    <row r="1791" spans="1:3" x14ac:dyDescent="0.25">
      <c r="A1791">
        <v>20150504</v>
      </c>
      <c r="B1791">
        <v>-19477902.496010698</v>
      </c>
      <c r="C1791">
        <v>-5458627.6223275997</v>
      </c>
    </row>
    <row r="1792" spans="1:3" x14ac:dyDescent="0.25">
      <c r="A1792">
        <v>20150505</v>
      </c>
      <c r="B1792">
        <v>-16925295.515586399</v>
      </c>
      <c r="C1792">
        <v>-17163121.420779899</v>
      </c>
    </row>
    <row r="1793" spans="1:3" x14ac:dyDescent="0.25">
      <c r="A1793">
        <v>20150506</v>
      </c>
      <c r="B1793">
        <v>-14718445.3488602</v>
      </c>
      <c r="C1793">
        <v>-13400829.9834207</v>
      </c>
    </row>
    <row r="1794" spans="1:3" x14ac:dyDescent="0.25">
      <c r="A1794">
        <v>20150507</v>
      </c>
      <c r="B1794">
        <v>-3990124.1565825301</v>
      </c>
      <c r="C1794">
        <v>-11747701.3820832</v>
      </c>
    </row>
    <row r="1795" spans="1:3" x14ac:dyDescent="0.25">
      <c r="A1795">
        <v>20150508</v>
      </c>
      <c r="B1795">
        <v>-777453.27124795294</v>
      </c>
      <c r="C1795">
        <v>-9762728.9247967601</v>
      </c>
    </row>
    <row r="1796" spans="1:3" x14ac:dyDescent="0.25">
      <c r="A1796">
        <v>20150511</v>
      </c>
      <c r="B1796">
        <v>-4369736.7788664</v>
      </c>
      <c r="C1796">
        <v>-7139552.7409461904</v>
      </c>
    </row>
    <row r="1797" spans="1:3" x14ac:dyDescent="0.25">
      <c r="A1797">
        <v>20150512</v>
      </c>
      <c r="B1797">
        <v>-10926018.759274701</v>
      </c>
      <c r="C1797">
        <v>-7058007.3803179301</v>
      </c>
    </row>
    <row r="1798" spans="1:3" x14ac:dyDescent="0.25">
      <c r="A1798">
        <v>20150513</v>
      </c>
      <c r="B1798">
        <v>-7348835.5257664099</v>
      </c>
      <c r="C1798">
        <v>3252840.7926602601</v>
      </c>
    </row>
    <row r="1799" spans="1:3" x14ac:dyDescent="0.25">
      <c r="A1799">
        <v>20150514</v>
      </c>
      <c r="B1799">
        <v>-13309629.192588501</v>
      </c>
      <c r="C1799">
        <v>-2573648.5921401898</v>
      </c>
    </row>
    <row r="1800" spans="1:3" x14ac:dyDescent="0.25">
      <c r="A1800">
        <v>20150515</v>
      </c>
      <c r="B1800">
        <v>-16969951.580676399</v>
      </c>
      <c r="C1800">
        <v>2897816.5287310602</v>
      </c>
    </row>
    <row r="1801" spans="1:3" x14ac:dyDescent="0.25">
      <c r="A1801">
        <v>20150518</v>
      </c>
      <c r="B1801">
        <v>-15191735.5213951</v>
      </c>
      <c r="C1801">
        <v>18218854.124173202</v>
      </c>
    </row>
    <row r="1802" spans="1:3" x14ac:dyDescent="0.25">
      <c r="A1802">
        <v>20150519</v>
      </c>
      <c r="B1802">
        <v>4666215.9619650701</v>
      </c>
      <c r="C1802">
        <v>36935420.970690504</v>
      </c>
    </row>
    <row r="1803" spans="1:3" x14ac:dyDescent="0.25">
      <c r="A1803">
        <v>20150520</v>
      </c>
      <c r="B1803">
        <v>4868515.0284144897</v>
      </c>
      <c r="C1803">
        <v>28470935.9323771</v>
      </c>
    </row>
    <row r="1804" spans="1:3" x14ac:dyDescent="0.25">
      <c r="A1804">
        <v>20150521</v>
      </c>
      <c r="B1804">
        <v>4209616.2392935501</v>
      </c>
      <c r="C1804">
        <v>23912616.279143199</v>
      </c>
    </row>
    <row r="1805" spans="1:3" x14ac:dyDescent="0.25">
      <c r="A1805">
        <v>20150522</v>
      </c>
      <c r="B1805">
        <v>11088053.884840099</v>
      </c>
      <c r="C1805">
        <v>18930165.905825499</v>
      </c>
    </row>
    <row r="1806" spans="1:3" x14ac:dyDescent="0.25">
      <c r="A1806">
        <v>20150525</v>
      </c>
      <c r="B1806">
        <v>8218075.2032936504</v>
      </c>
      <c r="C1806">
        <v>10195603.225333299</v>
      </c>
    </row>
    <row r="1807" spans="1:3" x14ac:dyDescent="0.25">
      <c r="A1807">
        <v>20150526</v>
      </c>
      <c r="B1807">
        <v>1555210.88711515</v>
      </c>
      <c r="C1807">
        <v>3576590.94895392</v>
      </c>
    </row>
    <row r="1808" spans="1:3" x14ac:dyDescent="0.25">
      <c r="A1808">
        <v>20150527</v>
      </c>
      <c r="B1808">
        <v>5977184.1679143701</v>
      </c>
      <c r="C1808">
        <v>10451933.2137421</v>
      </c>
    </row>
    <row r="1809" spans="1:3" x14ac:dyDescent="0.25">
      <c r="A1809">
        <v>20150528</v>
      </c>
      <c r="B1809">
        <v>9923351.9410471898</v>
      </c>
      <c r="C1809">
        <v>12392638.8902604</v>
      </c>
    </row>
    <row r="1810" spans="1:3" x14ac:dyDescent="0.25">
      <c r="A1810">
        <v>20150529</v>
      </c>
      <c r="B1810">
        <v>2034565.91602292</v>
      </c>
      <c r="C1810">
        <v>4571067.5576646496</v>
      </c>
    </row>
    <row r="1811" spans="1:3" x14ac:dyDescent="0.25">
      <c r="A1811">
        <v>20150601</v>
      </c>
      <c r="B1811">
        <v>3741754.47853063</v>
      </c>
      <c r="C1811">
        <v>10172777.4858495</v>
      </c>
    </row>
    <row r="1812" spans="1:3" x14ac:dyDescent="0.25">
      <c r="A1812">
        <v>20150602</v>
      </c>
      <c r="B1812">
        <v>-15825748.0928274</v>
      </c>
      <c r="C1812">
        <v>953516.77349589602</v>
      </c>
    </row>
    <row r="1813" spans="1:3" x14ac:dyDescent="0.25">
      <c r="A1813">
        <v>20150603</v>
      </c>
      <c r="B1813">
        <v>-27190436.324811801</v>
      </c>
      <c r="C1813">
        <v>-4669767.8723347597</v>
      </c>
    </row>
    <row r="1814" spans="1:3" x14ac:dyDescent="0.25">
      <c r="A1814">
        <v>20150604</v>
      </c>
      <c r="B1814">
        <v>-29006089.414290499</v>
      </c>
      <c r="C1814">
        <v>-9869562.6002079397</v>
      </c>
    </row>
    <row r="1815" spans="1:3" x14ac:dyDescent="0.25">
      <c r="A1815">
        <v>20150605</v>
      </c>
      <c r="B1815">
        <v>-20350066.6603777</v>
      </c>
      <c r="C1815">
        <v>-11456008.7031525</v>
      </c>
    </row>
    <row r="1816" spans="1:3" x14ac:dyDescent="0.25">
      <c r="A1816">
        <v>20150608</v>
      </c>
      <c r="B1816">
        <v>-25869262.634954002</v>
      </c>
      <c r="C1816">
        <v>-21241950.7573337</v>
      </c>
    </row>
    <row r="1817" spans="1:3" x14ac:dyDescent="0.25">
      <c r="A1817">
        <v>20150609</v>
      </c>
      <c r="B1817">
        <v>-13927510.522527499</v>
      </c>
      <c r="C1817">
        <v>-19458938.217627801</v>
      </c>
    </row>
    <row r="1818" spans="1:3" x14ac:dyDescent="0.25">
      <c r="A1818">
        <v>20150610</v>
      </c>
      <c r="B1818">
        <v>-5519108.7776404396</v>
      </c>
      <c r="C1818">
        <v>-23656305.965192799</v>
      </c>
    </row>
    <row r="1819" spans="1:3" x14ac:dyDescent="0.25">
      <c r="A1819">
        <v>20150611</v>
      </c>
      <c r="B1819">
        <v>-1077465.2812725599</v>
      </c>
      <c r="C1819">
        <v>-19645984.5210323</v>
      </c>
    </row>
    <row r="1820" spans="1:3" x14ac:dyDescent="0.25">
      <c r="A1820">
        <v>20150612</v>
      </c>
      <c r="B1820">
        <v>-9836583.97524634</v>
      </c>
      <c r="C1820">
        <v>-17588921.007397301</v>
      </c>
    </row>
    <row r="1821" spans="1:3" x14ac:dyDescent="0.25">
      <c r="A1821">
        <v>20150615</v>
      </c>
      <c r="B1821">
        <v>-1750458.46741017</v>
      </c>
      <c r="C1821">
        <v>-10617258.142064</v>
      </c>
    </row>
    <row r="1822" spans="1:3" x14ac:dyDescent="0.25">
      <c r="A1822">
        <v>20150616</v>
      </c>
      <c r="B1822">
        <v>6080809.8650369002</v>
      </c>
      <c r="C1822">
        <v>-4819151.6181680998</v>
      </c>
    </row>
    <row r="1823" spans="1:3" x14ac:dyDescent="0.25">
      <c r="A1823">
        <v>20150617</v>
      </c>
      <c r="B1823">
        <v>5515406.81045675</v>
      </c>
      <c r="C1823">
        <v>-418362.45677967899</v>
      </c>
    </row>
    <row r="1824" spans="1:3" x14ac:dyDescent="0.25">
      <c r="A1824">
        <v>20150618</v>
      </c>
      <c r="B1824">
        <v>-4482463.3935696296</v>
      </c>
      <c r="C1824">
        <v>-4580924.6283844402</v>
      </c>
    </row>
    <row r="1825" spans="1:3" x14ac:dyDescent="0.25">
      <c r="A1825">
        <v>20150619</v>
      </c>
      <c r="B1825">
        <v>6771536.69480759</v>
      </c>
      <c r="C1825">
        <v>7735325.7663235003</v>
      </c>
    </row>
    <row r="1826" spans="1:3" x14ac:dyDescent="0.25">
      <c r="A1826">
        <v>20150622</v>
      </c>
      <c r="B1826">
        <v>-1743497.43016534</v>
      </c>
      <c r="C1826">
        <v>8240312.6566694099</v>
      </c>
    </row>
    <row r="1827" spans="1:3" x14ac:dyDescent="0.25">
      <c r="A1827">
        <v>20150623</v>
      </c>
      <c r="B1827">
        <v>4986737.7551855696</v>
      </c>
      <c r="C1827">
        <v>11653217.072493101</v>
      </c>
    </row>
    <row r="1828" spans="1:3" x14ac:dyDescent="0.25">
      <c r="A1828">
        <v>20150624</v>
      </c>
      <c r="B1828">
        <v>7472841.1891736202</v>
      </c>
      <c r="C1828">
        <v>20415474.526332099</v>
      </c>
    </row>
    <row r="1829" spans="1:3" x14ac:dyDescent="0.25">
      <c r="A1829">
        <v>20150625</v>
      </c>
      <c r="B1829">
        <v>13658479.015355799</v>
      </c>
      <c r="C1829">
        <v>16250189.4646338</v>
      </c>
    </row>
    <row r="1830" spans="1:3" x14ac:dyDescent="0.25">
      <c r="A1830">
        <v>20150626</v>
      </c>
      <c r="B1830">
        <v>9678487.3399080709</v>
      </c>
      <c r="C1830">
        <v>6277195.8926997297</v>
      </c>
    </row>
    <row r="1831" spans="1:3" x14ac:dyDescent="0.25">
      <c r="A1831">
        <v>20150629</v>
      </c>
      <c r="B1831">
        <v>20835051.401751</v>
      </c>
      <c r="C1831">
        <v>-339142.450914171</v>
      </c>
    </row>
    <row r="1832" spans="1:3" x14ac:dyDescent="0.25">
      <c r="A1832">
        <v>20150630</v>
      </c>
      <c r="B1832">
        <v>7509242.4872575104</v>
      </c>
      <c r="C1832">
        <v>13806924.417166499</v>
      </c>
    </row>
    <row r="1833" spans="1:3" x14ac:dyDescent="0.25">
      <c r="A1833">
        <v>20150701</v>
      </c>
      <c r="B1833">
        <v>10858552.1121107</v>
      </c>
      <c r="C1833">
        <v>11403958.6014625</v>
      </c>
    </row>
    <row r="1834" spans="1:3" x14ac:dyDescent="0.25">
      <c r="A1834">
        <v>20150702</v>
      </c>
      <c r="B1834">
        <v>13484376.525206899</v>
      </c>
      <c r="C1834">
        <v>20592102.626495998</v>
      </c>
    </row>
    <row r="1835" spans="1:3" x14ac:dyDescent="0.25">
      <c r="A1835">
        <v>20150703</v>
      </c>
      <c r="B1835">
        <v>14307944.723783599</v>
      </c>
      <c r="C1835">
        <v>21267918.172473699</v>
      </c>
    </row>
    <row r="1836" spans="1:3" x14ac:dyDescent="0.25">
      <c r="A1836">
        <v>20150706</v>
      </c>
      <c r="B1836">
        <v>9997457.5535657909</v>
      </c>
      <c r="C1836">
        <v>29974611.6791903</v>
      </c>
    </row>
    <row r="1837" spans="1:3" x14ac:dyDescent="0.25">
      <c r="A1837">
        <v>20150707</v>
      </c>
      <c r="B1837">
        <v>25241007.617342498</v>
      </c>
      <c r="C1837">
        <v>26028740.126636099</v>
      </c>
    </row>
    <row r="1838" spans="1:3" x14ac:dyDescent="0.25">
      <c r="A1838">
        <v>20150708</v>
      </c>
      <c r="B1838">
        <v>16065414.8409697</v>
      </c>
      <c r="C1838">
        <v>15366275.148445301</v>
      </c>
    </row>
    <row r="1839" spans="1:3" x14ac:dyDescent="0.25">
      <c r="A1839">
        <v>20150709</v>
      </c>
      <c r="B1839">
        <v>9889855.3569613099</v>
      </c>
      <c r="C1839">
        <v>14531131.2042858</v>
      </c>
    </row>
    <row r="1840" spans="1:3" x14ac:dyDescent="0.25">
      <c r="A1840">
        <v>20150710</v>
      </c>
      <c r="B1840">
        <v>-4659301.1583911097</v>
      </c>
      <c r="C1840">
        <v>15179654.180810001</v>
      </c>
    </row>
    <row r="1841" spans="1:3" x14ac:dyDescent="0.25">
      <c r="A1841">
        <v>20150713</v>
      </c>
      <c r="B1841">
        <v>4528.06274365633</v>
      </c>
      <c r="C1841">
        <v>14606423.9784058</v>
      </c>
    </row>
    <row r="1842" spans="1:3" x14ac:dyDescent="0.25">
      <c r="A1842">
        <v>20150714</v>
      </c>
      <c r="B1842">
        <v>-13139926.852508901</v>
      </c>
      <c r="C1842">
        <v>415914.677033988</v>
      </c>
    </row>
    <row r="1843" spans="1:3" x14ac:dyDescent="0.25">
      <c r="A1843">
        <v>20150715</v>
      </c>
      <c r="B1843">
        <v>-2016674.99710433</v>
      </c>
      <c r="C1843">
        <v>19208602.6852316</v>
      </c>
    </row>
    <row r="1844" spans="1:3" x14ac:dyDescent="0.25">
      <c r="A1844">
        <v>20150716</v>
      </c>
      <c r="B1844">
        <v>2763816.3254815401</v>
      </c>
      <c r="C1844">
        <v>21340659.629308298</v>
      </c>
    </row>
    <row r="1845" spans="1:3" x14ac:dyDescent="0.25">
      <c r="A1845">
        <v>20150717</v>
      </c>
      <c r="B1845">
        <v>12643292.8715623</v>
      </c>
      <c r="C1845">
        <v>22211952.3859304</v>
      </c>
    </row>
    <row r="1846" spans="1:3" x14ac:dyDescent="0.25">
      <c r="A1846">
        <v>20150720</v>
      </c>
      <c r="B1846">
        <v>5936017.0518672699</v>
      </c>
      <c r="C1846">
        <v>14555965.2530425</v>
      </c>
    </row>
    <row r="1847" spans="1:3" x14ac:dyDescent="0.25">
      <c r="A1847">
        <v>20150721</v>
      </c>
      <c r="B1847">
        <v>2004018.4268805899</v>
      </c>
      <c r="C1847">
        <v>13330440.683251601</v>
      </c>
    </row>
    <row r="1848" spans="1:3" x14ac:dyDescent="0.25">
      <c r="A1848">
        <v>20150722</v>
      </c>
      <c r="B1848">
        <v>-2075794.6506804801</v>
      </c>
      <c r="C1848">
        <v>6014329.2253004396</v>
      </c>
    </row>
    <row r="1849" spans="1:3" x14ac:dyDescent="0.25">
      <c r="A1849">
        <v>20150723</v>
      </c>
      <c r="B1849">
        <v>-14545862.039811701</v>
      </c>
      <c r="C1849">
        <v>-6022387.2636307999</v>
      </c>
    </row>
    <row r="1850" spans="1:3" x14ac:dyDescent="0.25">
      <c r="A1850">
        <v>20150724</v>
      </c>
      <c r="B1850">
        <v>-14020083.400613001</v>
      </c>
      <c r="C1850">
        <v>-7432554.6108227698</v>
      </c>
    </row>
    <row r="1851" spans="1:3" x14ac:dyDescent="0.25">
      <c r="A1851">
        <v>20150727</v>
      </c>
      <c r="B1851">
        <v>-16082295.912687499</v>
      </c>
      <c r="C1851">
        <v>-10898735.6530653</v>
      </c>
    </row>
    <row r="1852" spans="1:3" x14ac:dyDescent="0.25">
      <c r="A1852">
        <v>20150728</v>
      </c>
      <c r="B1852">
        <v>-9200339.9010029193</v>
      </c>
      <c r="C1852">
        <v>-10868649.552527299</v>
      </c>
    </row>
    <row r="1853" spans="1:3" x14ac:dyDescent="0.25">
      <c r="A1853">
        <v>20150729</v>
      </c>
      <c r="B1853">
        <v>-12248353.210206</v>
      </c>
      <c r="C1853">
        <v>-23192490.810095299</v>
      </c>
    </row>
    <row r="1854" spans="1:3" x14ac:dyDescent="0.25">
      <c r="A1854">
        <v>20150730</v>
      </c>
      <c r="B1854">
        <v>8608025.37137435</v>
      </c>
      <c r="C1854">
        <v>-7097473.7022025604</v>
      </c>
    </row>
    <row r="1855" spans="1:3" x14ac:dyDescent="0.25">
      <c r="A1855">
        <v>20150731</v>
      </c>
      <c r="B1855">
        <v>2618229.6418513302</v>
      </c>
      <c r="C1855">
        <v>-9911870.87507632</v>
      </c>
    </row>
    <row r="1856" spans="1:3" x14ac:dyDescent="0.25">
      <c r="A1856">
        <v>20150803</v>
      </c>
      <c r="B1856">
        <v>11661184.4944875</v>
      </c>
      <c r="C1856">
        <v>4447316.7148566302</v>
      </c>
    </row>
    <row r="1857" spans="1:3" x14ac:dyDescent="0.25">
      <c r="A1857">
        <v>20150804</v>
      </c>
      <c r="B1857">
        <v>9442582.1155668702</v>
      </c>
      <c r="C1857">
        <v>8607607.5836230591</v>
      </c>
    </row>
    <row r="1858" spans="1:3" x14ac:dyDescent="0.25">
      <c r="A1858">
        <v>20150805</v>
      </c>
      <c r="B1858">
        <v>16649556.050945999</v>
      </c>
      <c r="C1858">
        <v>13415642.318423299</v>
      </c>
    </row>
    <row r="1859" spans="1:3" x14ac:dyDescent="0.25">
      <c r="A1859">
        <v>20150806</v>
      </c>
      <c r="B1859">
        <v>3378207.11575227</v>
      </c>
      <c r="C1859">
        <v>4512436.3190342002</v>
      </c>
    </row>
    <row r="1860" spans="1:3" x14ac:dyDescent="0.25">
      <c r="A1860">
        <v>20150807</v>
      </c>
      <c r="B1860">
        <v>6387978.5566838896</v>
      </c>
      <c r="C1860">
        <v>-154070.748658069</v>
      </c>
    </row>
    <row r="1861" spans="1:3" x14ac:dyDescent="0.25">
      <c r="A1861">
        <v>20150810</v>
      </c>
      <c r="B1861">
        <v>-4674748.1826097798</v>
      </c>
      <c r="C1861">
        <v>-6784863.1186797498</v>
      </c>
    </row>
    <row r="1862" spans="1:3" x14ac:dyDescent="0.25">
      <c r="A1862">
        <v>20150811</v>
      </c>
      <c r="B1862">
        <v>-9012173.4777096994</v>
      </c>
      <c r="C1862">
        <v>-19830562.423888799</v>
      </c>
    </row>
    <row r="1863" spans="1:3" x14ac:dyDescent="0.25">
      <c r="A1863">
        <v>20150812</v>
      </c>
      <c r="B1863">
        <v>-21245067.353393201</v>
      </c>
      <c r="C1863">
        <v>-38477371.019666299</v>
      </c>
    </row>
    <row r="1864" spans="1:3" x14ac:dyDescent="0.25">
      <c r="A1864">
        <v>20150813</v>
      </c>
      <c r="B1864">
        <v>-15415200.023969101</v>
      </c>
      <c r="C1864">
        <v>-32053500.112926099</v>
      </c>
    </row>
    <row r="1865" spans="1:3" x14ac:dyDescent="0.25">
      <c r="A1865">
        <v>20150814</v>
      </c>
      <c r="B1865">
        <v>-11860496.714076901</v>
      </c>
      <c r="C1865">
        <v>-26292618.542438801</v>
      </c>
    </row>
    <row r="1866" spans="1:3" x14ac:dyDescent="0.25">
      <c r="A1866">
        <v>20150817</v>
      </c>
      <c r="B1866">
        <v>-7133231.9993965598</v>
      </c>
      <c r="C1866">
        <v>-26399490.1850571</v>
      </c>
    </row>
    <row r="1867" spans="1:3" x14ac:dyDescent="0.25">
      <c r="A1867">
        <v>20150818</v>
      </c>
      <c r="B1867">
        <v>2567719.0176842599</v>
      </c>
      <c r="C1867">
        <v>-21089680.269672502</v>
      </c>
    </row>
    <row r="1868" spans="1:3" x14ac:dyDescent="0.25">
      <c r="A1868">
        <v>20150819</v>
      </c>
      <c r="B1868">
        <v>8646608.0621766504</v>
      </c>
      <c r="C1868">
        <v>3662312.0168899698</v>
      </c>
    </row>
    <row r="1869" spans="1:3" x14ac:dyDescent="0.25">
      <c r="A1869">
        <v>20150820</v>
      </c>
      <c r="B1869">
        <v>283401.10652170301</v>
      </c>
      <c r="C1869">
        <v>-6485111.6594587499</v>
      </c>
    </row>
    <row r="1870" spans="1:3" x14ac:dyDescent="0.25">
      <c r="A1870">
        <v>20150821</v>
      </c>
      <c r="B1870">
        <v>-1749977.50352175</v>
      </c>
      <c r="C1870">
        <v>-6612508.5002439898</v>
      </c>
    </row>
    <row r="1871" spans="1:3" x14ac:dyDescent="0.25">
      <c r="A1871">
        <v>20150824</v>
      </c>
      <c r="B1871">
        <v>-15192037.913222199</v>
      </c>
      <c r="C1871">
        <v>-18711795.437870499</v>
      </c>
    </row>
    <row r="1872" spans="1:3" x14ac:dyDescent="0.25">
      <c r="A1872">
        <v>20150825</v>
      </c>
      <c r="B1872">
        <v>-6232640.9713260103</v>
      </c>
      <c r="C1872">
        <v>3100949.3816082501</v>
      </c>
    </row>
    <row r="1873" spans="1:3" x14ac:dyDescent="0.25">
      <c r="A1873">
        <v>20150826</v>
      </c>
      <c r="B1873">
        <v>-4615526.5358660296</v>
      </c>
      <c r="C1873">
        <v>-3392075.59068071</v>
      </c>
    </row>
    <row r="1874" spans="1:3" x14ac:dyDescent="0.25">
      <c r="A1874">
        <v>20150827</v>
      </c>
      <c r="B1874">
        <v>9114463.9907643907</v>
      </c>
      <c r="C1874">
        <v>4630145.7344555901</v>
      </c>
    </row>
    <row r="1875" spans="1:3" x14ac:dyDescent="0.25">
      <c r="A1875">
        <v>20150828</v>
      </c>
      <c r="B1875">
        <v>9686940.3089625798</v>
      </c>
      <c r="C1875">
        <v>3710257.3759320402</v>
      </c>
    </row>
    <row r="1876" spans="1:3" x14ac:dyDescent="0.25">
      <c r="A1876">
        <v>20150831</v>
      </c>
      <c r="B1876">
        <v>24580544.1448723</v>
      </c>
      <c r="C1876">
        <v>18274169.986245502</v>
      </c>
    </row>
    <row r="1877" spans="1:3" x14ac:dyDescent="0.25">
      <c r="A1877">
        <v>20150901</v>
      </c>
      <c r="B1877">
        <v>7540715.8557440899</v>
      </c>
      <c r="C1877">
        <v>-6624294.31590793</v>
      </c>
    </row>
    <row r="1878" spans="1:3" x14ac:dyDescent="0.25">
      <c r="A1878">
        <v>20150902</v>
      </c>
      <c r="B1878">
        <v>9065773.3403965794</v>
      </c>
      <c r="C1878">
        <v>-655342.38728972501</v>
      </c>
    </row>
    <row r="1879" spans="1:3" x14ac:dyDescent="0.25">
      <c r="A1879">
        <v>20150903</v>
      </c>
      <c r="B1879">
        <v>9811872.7239864692</v>
      </c>
      <c r="C1879">
        <v>-19448200.4433803</v>
      </c>
    </row>
    <row r="1880" spans="1:3" x14ac:dyDescent="0.25">
      <c r="A1880">
        <v>20150904</v>
      </c>
      <c r="B1880">
        <v>9330821.8233546298</v>
      </c>
      <c r="C1880">
        <v>-14647692.868254</v>
      </c>
    </row>
    <row r="1881" spans="1:3" x14ac:dyDescent="0.25">
      <c r="A1881">
        <v>20150907</v>
      </c>
      <c r="B1881">
        <v>3916573.8944855598</v>
      </c>
      <c r="C1881">
        <v>-23089757.1128355</v>
      </c>
    </row>
    <row r="1882" spans="1:3" x14ac:dyDescent="0.25">
      <c r="A1882">
        <v>20150908</v>
      </c>
      <c r="B1882">
        <v>2240617.11827324</v>
      </c>
      <c r="C1882">
        <v>-15797093.728697499</v>
      </c>
    </row>
    <row r="1883" spans="1:3" x14ac:dyDescent="0.25">
      <c r="A1883">
        <v>20150909</v>
      </c>
      <c r="B1883">
        <v>1455388.20538862</v>
      </c>
      <c r="C1883">
        <v>-22896135.3539791</v>
      </c>
    </row>
    <row r="1884" spans="1:3" x14ac:dyDescent="0.25">
      <c r="A1884">
        <v>20150910</v>
      </c>
      <c r="B1884">
        <v>-10883318.7327423</v>
      </c>
      <c r="C1884">
        <v>-5151925.4193263697</v>
      </c>
    </row>
    <row r="1885" spans="1:3" x14ac:dyDescent="0.25">
      <c r="A1885">
        <v>20150911</v>
      </c>
      <c r="B1885">
        <v>-11583538.3436531</v>
      </c>
      <c r="C1885">
        <v>-4077878.8173852698</v>
      </c>
    </row>
    <row r="1886" spans="1:3" x14ac:dyDescent="0.25">
      <c r="A1886">
        <v>20150914</v>
      </c>
      <c r="B1886">
        <v>-3648074.97824352</v>
      </c>
      <c r="C1886">
        <v>-50128.212770259903</v>
      </c>
    </row>
    <row r="1887" spans="1:3" x14ac:dyDescent="0.25">
      <c r="A1887">
        <v>20150915</v>
      </c>
      <c r="B1887">
        <v>-121472.71277817299</v>
      </c>
      <c r="C1887">
        <v>2445195.1015853798</v>
      </c>
    </row>
    <row r="1888" spans="1:3" x14ac:dyDescent="0.25">
      <c r="A1888">
        <v>20150916</v>
      </c>
      <c r="B1888">
        <v>-5103232.9026777605</v>
      </c>
      <c r="C1888">
        <v>1441664.8423957799</v>
      </c>
    </row>
    <row r="1889" spans="1:3" x14ac:dyDescent="0.25">
      <c r="A1889">
        <v>20150917</v>
      </c>
      <c r="B1889">
        <v>969682.18057410198</v>
      </c>
      <c r="C1889">
        <v>-3817936.7424929501</v>
      </c>
    </row>
    <row r="1890" spans="1:3" x14ac:dyDescent="0.25">
      <c r="A1890">
        <v>20150918</v>
      </c>
      <c r="B1890">
        <v>2859763.05286824</v>
      </c>
      <c r="C1890">
        <v>-8666047.8550910894</v>
      </c>
    </row>
    <row r="1891" spans="1:3" x14ac:dyDescent="0.25">
      <c r="A1891">
        <v>20150921</v>
      </c>
      <c r="B1891">
        <v>4910547.33229616</v>
      </c>
      <c r="C1891">
        <v>1455563.08884828</v>
      </c>
    </row>
    <row r="1892" spans="1:3" x14ac:dyDescent="0.25">
      <c r="A1892">
        <v>20150922</v>
      </c>
      <c r="B1892">
        <v>4298653.4197915001</v>
      </c>
      <c r="C1892">
        <v>-4387982.6319898302</v>
      </c>
    </row>
    <row r="1893" spans="1:3" x14ac:dyDescent="0.25">
      <c r="A1893">
        <v>20150923</v>
      </c>
      <c r="B1893">
        <v>6082659.0723625803</v>
      </c>
      <c r="C1893">
        <v>-8437154.4621909298</v>
      </c>
    </row>
    <row r="1894" spans="1:3" x14ac:dyDescent="0.25">
      <c r="A1894">
        <v>20150924</v>
      </c>
      <c r="B1894">
        <v>-2839680.2554373802</v>
      </c>
      <c r="C1894">
        <v>-1738835.29119994</v>
      </c>
    </row>
    <row r="1895" spans="1:3" x14ac:dyDescent="0.25">
      <c r="A1895">
        <v>20150925</v>
      </c>
      <c r="B1895">
        <v>9186761.3151060808</v>
      </c>
      <c r="C1895">
        <v>4830927.04111192</v>
      </c>
    </row>
    <row r="1896" spans="1:3" x14ac:dyDescent="0.25">
      <c r="A1896">
        <v>20150928</v>
      </c>
      <c r="B1896">
        <v>-995529.35741005803</v>
      </c>
      <c r="C1896">
        <v>-5055294.3369706003</v>
      </c>
    </row>
    <row r="1897" spans="1:3" x14ac:dyDescent="0.25">
      <c r="A1897">
        <v>20150929</v>
      </c>
      <c r="B1897">
        <v>556763.05599795596</v>
      </c>
      <c r="C1897">
        <v>5226740.9383270703</v>
      </c>
    </row>
    <row r="1898" spans="1:3" x14ac:dyDescent="0.25">
      <c r="A1898">
        <v>20150930</v>
      </c>
      <c r="B1898">
        <v>7483646.4751729099</v>
      </c>
      <c r="C1898">
        <v>25663770.557095401</v>
      </c>
    </row>
    <row r="1899" spans="1:3" x14ac:dyDescent="0.25">
      <c r="A1899">
        <v>20151001</v>
      </c>
      <c r="B1899">
        <v>11624632.7399462</v>
      </c>
      <c r="C1899">
        <v>6478434.1301877201</v>
      </c>
    </row>
    <row r="1900" spans="1:3" x14ac:dyDescent="0.25">
      <c r="A1900">
        <v>20151002</v>
      </c>
      <c r="B1900">
        <v>-134155.330971449</v>
      </c>
      <c r="C1900">
        <v>1274456.7971487499</v>
      </c>
    </row>
    <row r="1901" spans="1:3" x14ac:dyDescent="0.25">
      <c r="A1901">
        <v>20151005</v>
      </c>
      <c r="B1901">
        <v>6821934.2443759097</v>
      </c>
      <c r="C1901">
        <v>1662927.98916146</v>
      </c>
    </row>
    <row r="1902" spans="1:3" x14ac:dyDescent="0.25">
      <c r="A1902">
        <v>20151006</v>
      </c>
      <c r="B1902">
        <v>1035743.52504228</v>
      </c>
      <c r="C1902">
        <v>241057.54845337401</v>
      </c>
    </row>
    <row r="1903" spans="1:3" x14ac:dyDescent="0.25">
      <c r="A1903">
        <v>20151007</v>
      </c>
      <c r="B1903">
        <v>-71710.483367497101</v>
      </c>
      <c r="C1903">
        <v>-5349080.0209598001</v>
      </c>
    </row>
    <row r="1904" spans="1:3" x14ac:dyDescent="0.25">
      <c r="A1904">
        <v>20151008</v>
      </c>
      <c r="B1904">
        <v>-1864460.5928782001</v>
      </c>
      <c r="C1904">
        <v>11246263.6774021</v>
      </c>
    </row>
    <row r="1905" spans="1:3" x14ac:dyDescent="0.25">
      <c r="A1905">
        <v>20151009</v>
      </c>
      <c r="B1905">
        <v>-3612205.08476017</v>
      </c>
      <c r="C1905">
        <v>9613231.9203488007</v>
      </c>
    </row>
    <row r="1906" spans="1:3" x14ac:dyDescent="0.25">
      <c r="A1906">
        <v>20151012</v>
      </c>
      <c r="B1906">
        <v>-8836210.8554770797</v>
      </c>
      <c r="C1906">
        <v>13715800.0912991</v>
      </c>
    </row>
    <row r="1907" spans="1:3" x14ac:dyDescent="0.25">
      <c r="A1907">
        <v>20151013</v>
      </c>
      <c r="B1907">
        <v>-8530518.4778954405</v>
      </c>
      <c r="C1907">
        <v>1044123.30966204</v>
      </c>
    </row>
    <row r="1908" spans="1:3" x14ac:dyDescent="0.25">
      <c r="A1908">
        <v>20151014</v>
      </c>
      <c r="B1908">
        <v>-12211350.417927699</v>
      </c>
      <c r="C1908">
        <v>-405343.15226264001</v>
      </c>
    </row>
    <row r="1909" spans="1:3" x14ac:dyDescent="0.25">
      <c r="A1909">
        <v>20151015</v>
      </c>
      <c r="B1909">
        <v>-9350327.6776380893</v>
      </c>
      <c r="C1909">
        <v>-7643134.8031700598</v>
      </c>
    </row>
    <row r="1910" spans="1:3" x14ac:dyDescent="0.25">
      <c r="A1910">
        <v>20151016</v>
      </c>
      <c r="B1910">
        <v>-7178843.2526825601</v>
      </c>
      <c r="C1910">
        <v>-5373104.7015319401</v>
      </c>
    </row>
    <row r="1911" spans="1:3" x14ac:dyDescent="0.25">
      <c r="A1911">
        <v>20151019</v>
      </c>
      <c r="B1911">
        <v>-396537.10939866601</v>
      </c>
      <c r="C1911">
        <v>-6165516.1915320698</v>
      </c>
    </row>
    <row r="1912" spans="1:3" x14ac:dyDescent="0.25">
      <c r="A1912">
        <v>20151020</v>
      </c>
      <c r="B1912">
        <v>-3949368.43795243</v>
      </c>
      <c r="C1912">
        <v>-2320752.0714884098</v>
      </c>
    </row>
    <row r="1913" spans="1:3" x14ac:dyDescent="0.25">
      <c r="A1913">
        <v>20151021</v>
      </c>
      <c r="B1913">
        <v>18454.5567220374</v>
      </c>
      <c r="C1913">
        <v>2159910.7046615202</v>
      </c>
    </row>
    <row r="1914" spans="1:3" x14ac:dyDescent="0.25">
      <c r="A1914">
        <v>20151022</v>
      </c>
      <c r="B1914">
        <v>9954681.3968839291</v>
      </c>
      <c r="C1914">
        <v>10446821.828177899</v>
      </c>
    </row>
    <row r="1915" spans="1:3" x14ac:dyDescent="0.25">
      <c r="A1915">
        <v>20151023</v>
      </c>
      <c r="B1915">
        <v>16609204.765199799</v>
      </c>
      <c r="C1915">
        <v>16176111.1914389</v>
      </c>
    </row>
    <row r="1916" spans="1:3" x14ac:dyDescent="0.25">
      <c r="A1916">
        <v>20151026</v>
      </c>
      <c r="B1916">
        <v>11747895.2453638</v>
      </c>
      <c r="C1916">
        <v>12672078.429146601</v>
      </c>
    </row>
    <row r="1917" spans="1:3" x14ac:dyDescent="0.25">
      <c r="A1917">
        <v>20151027</v>
      </c>
      <c r="B1917">
        <v>17402423.578426801</v>
      </c>
      <c r="C1917">
        <v>28101949.9761879</v>
      </c>
    </row>
    <row r="1918" spans="1:3" x14ac:dyDescent="0.25">
      <c r="A1918">
        <v>20151028</v>
      </c>
      <c r="B1918">
        <v>13318498.109963899</v>
      </c>
      <c r="C1918">
        <v>13848157.8403467</v>
      </c>
    </row>
    <row r="1919" spans="1:3" x14ac:dyDescent="0.25">
      <c r="A1919">
        <v>20151029</v>
      </c>
      <c r="B1919">
        <v>5778828.9226727402</v>
      </c>
      <c r="C1919">
        <v>4118282.5871064798</v>
      </c>
    </row>
    <row r="1920" spans="1:3" x14ac:dyDescent="0.25">
      <c r="A1920">
        <v>20151030</v>
      </c>
      <c r="B1920">
        <v>-5156343.0884070396</v>
      </c>
      <c r="C1920">
        <v>-6516349.1374253398</v>
      </c>
    </row>
    <row r="1921" spans="1:3" x14ac:dyDescent="0.25">
      <c r="A1921">
        <v>20151102</v>
      </c>
      <c r="B1921">
        <v>-868395.81249458296</v>
      </c>
      <c r="C1921">
        <v>-6367479.2953645904</v>
      </c>
    </row>
    <row r="1922" spans="1:3" x14ac:dyDescent="0.25">
      <c r="A1922">
        <v>20151103</v>
      </c>
      <c r="B1922">
        <v>4999677.1478943797</v>
      </c>
      <c r="C1922">
        <v>-10075933.8288063</v>
      </c>
    </row>
    <row r="1923" spans="1:3" x14ac:dyDescent="0.25">
      <c r="A1923">
        <v>20151104</v>
      </c>
      <c r="B1923">
        <v>8159628.7374576004</v>
      </c>
      <c r="C1923">
        <v>-3070073.0721074902</v>
      </c>
    </row>
    <row r="1924" spans="1:3" x14ac:dyDescent="0.25">
      <c r="A1924">
        <v>20151105</v>
      </c>
      <c r="B1924">
        <v>2691995.3852762999</v>
      </c>
      <c r="C1924">
        <v>3872829.8526129699</v>
      </c>
    </row>
    <row r="1925" spans="1:3" x14ac:dyDescent="0.25">
      <c r="A1925">
        <v>20151106</v>
      </c>
      <c r="B1925">
        <v>12640075.991601501</v>
      </c>
      <c r="C1925">
        <v>11643733.621997001</v>
      </c>
    </row>
    <row r="1926" spans="1:3" x14ac:dyDescent="0.25">
      <c r="A1926">
        <v>20151109</v>
      </c>
      <c r="B1926">
        <v>6447253.9157451298</v>
      </c>
      <c r="C1926">
        <v>2660871.4449790702</v>
      </c>
    </row>
    <row r="1927" spans="1:3" x14ac:dyDescent="0.25">
      <c r="A1927">
        <v>20151110</v>
      </c>
      <c r="B1927">
        <v>2962349.6657336</v>
      </c>
      <c r="C1927">
        <v>-2809555.51061355</v>
      </c>
    </row>
    <row r="1928" spans="1:3" x14ac:dyDescent="0.25">
      <c r="A1928">
        <v>20151111</v>
      </c>
      <c r="B1928">
        <v>1083576.86122017</v>
      </c>
      <c r="C1928">
        <v>270028.93461233901</v>
      </c>
    </row>
    <row r="1929" spans="1:3" x14ac:dyDescent="0.25">
      <c r="A1929">
        <v>20151112</v>
      </c>
      <c r="B1929">
        <v>1329544.72726967</v>
      </c>
      <c r="C1929">
        <v>1814296.9400474301</v>
      </c>
    </row>
    <row r="1930" spans="1:3" x14ac:dyDescent="0.25">
      <c r="A1930">
        <v>20151113</v>
      </c>
      <c r="B1930">
        <v>4231979.0703670904</v>
      </c>
      <c r="C1930">
        <v>-783330.51759675995</v>
      </c>
    </row>
    <row r="1931" spans="1:3" x14ac:dyDescent="0.25">
      <c r="A1931">
        <v>20151116</v>
      </c>
      <c r="B1931">
        <v>3822154.6841738699</v>
      </c>
      <c r="C1931">
        <v>10673891.076247601</v>
      </c>
    </row>
    <row r="1932" spans="1:3" x14ac:dyDescent="0.25">
      <c r="A1932">
        <v>20151117</v>
      </c>
      <c r="B1932">
        <v>6631234.9850621298</v>
      </c>
      <c r="C1932">
        <v>6037858.90097252</v>
      </c>
    </row>
    <row r="1933" spans="1:3" x14ac:dyDescent="0.25">
      <c r="A1933">
        <v>20151118</v>
      </c>
      <c r="B1933">
        <v>8622361.8545584809</v>
      </c>
      <c r="C1933">
        <v>1560506.03691377</v>
      </c>
    </row>
    <row r="1934" spans="1:3" x14ac:dyDescent="0.25">
      <c r="A1934">
        <v>20151119</v>
      </c>
      <c r="B1934">
        <v>8418077.5228635706</v>
      </c>
      <c r="C1934">
        <v>-1206187.7686580501</v>
      </c>
    </row>
    <row r="1935" spans="1:3" x14ac:dyDescent="0.25">
      <c r="A1935">
        <v>20151120</v>
      </c>
      <c r="B1935">
        <v>9344832.3471848592</v>
      </c>
      <c r="C1935">
        <v>6247720.1298387302</v>
      </c>
    </row>
    <row r="1936" spans="1:3" x14ac:dyDescent="0.25">
      <c r="A1936">
        <v>20151123</v>
      </c>
      <c r="B1936">
        <v>16537900.5231454</v>
      </c>
      <c r="C1936">
        <v>2821039.7942520599</v>
      </c>
    </row>
    <row r="1937" spans="1:3" x14ac:dyDescent="0.25">
      <c r="A1937">
        <v>20151124</v>
      </c>
      <c r="B1937">
        <v>12897995.7806964</v>
      </c>
      <c r="C1937">
        <v>5346115.0340516297</v>
      </c>
    </row>
    <row r="1938" spans="1:3" x14ac:dyDescent="0.25">
      <c r="A1938">
        <v>20151125</v>
      </c>
      <c r="B1938">
        <v>13084472.671962</v>
      </c>
      <c r="C1938">
        <v>-477447.85391786002</v>
      </c>
    </row>
    <row r="1939" spans="1:3" x14ac:dyDescent="0.25">
      <c r="A1939">
        <v>20151126</v>
      </c>
      <c r="B1939">
        <v>13376569.3960163</v>
      </c>
      <c r="C1939">
        <v>-3365701.03949743</v>
      </c>
    </row>
    <row r="1940" spans="1:3" x14ac:dyDescent="0.25">
      <c r="A1940">
        <v>20151127</v>
      </c>
      <c r="B1940">
        <v>12379023.0113943</v>
      </c>
      <c r="C1940">
        <v>-10400261.064925101</v>
      </c>
    </row>
    <row r="1941" spans="1:3" x14ac:dyDescent="0.25">
      <c r="A1941">
        <v>20151130</v>
      </c>
      <c r="B1941">
        <v>19241562.965721</v>
      </c>
      <c r="C1941">
        <v>-19099501.516162399</v>
      </c>
    </row>
    <row r="1942" spans="1:3" x14ac:dyDescent="0.25">
      <c r="A1942">
        <v>20151201</v>
      </c>
      <c r="B1942">
        <v>16187335.4424542</v>
      </c>
      <c r="C1942">
        <v>-6231908.5695626</v>
      </c>
    </row>
    <row r="1943" spans="1:3" x14ac:dyDescent="0.25">
      <c r="A1943">
        <v>20151202</v>
      </c>
      <c r="B1943">
        <v>14750752.146718901</v>
      </c>
      <c r="C1943">
        <v>-4734885.3182735499</v>
      </c>
    </row>
    <row r="1944" spans="1:3" x14ac:dyDescent="0.25">
      <c r="A1944">
        <v>20151203</v>
      </c>
      <c r="B1944">
        <v>-10775630.2930378</v>
      </c>
      <c r="C1944">
        <v>6098304.8842014298</v>
      </c>
    </row>
    <row r="1945" spans="1:3" x14ac:dyDescent="0.25">
      <c r="A1945">
        <v>20151204</v>
      </c>
      <c r="B1945">
        <v>-17842177.706301</v>
      </c>
      <c r="C1945">
        <v>444916.27191849903</v>
      </c>
    </row>
    <row r="1946" spans="1:3" x14ac:dyDescent="0.25">
      <c r="A1946">
        <v>20151207</v>
      </c>
      <c r="B1946">
        <v>-29364933.151600901</v>
      </c>
      <c r="C1946">
        <v>18550121.379457802</v>
      </c>
    </row>
    <row r="1947" spans="1:3" x14ac:dyDescent="0.25">
      <c r="A1947">
        <v>20151208</v>
      </c>
      <c r="B1947">
        <v>-28435311.4647872</v>
      </c>
      <c r="C1947">
        <v>8932942.2669622898</v>
      </c>
    </row>
    <row r="1948" spans="1:3" x14ac:dyDescent="0.25">
      <c r="A1948">
        <v>20151209</v>
      </c>
      <c r="B1948">
        <v>-34239686.298208497</v>
      </c>
      <c r="C1948">
        <v>14297339.155512</v>
      </c>
    </row>
    <row r="1949" spans="1:3" x14ac:dyDescent="0.25">
      <c r="A1949">
        <v>20151210</v>
      </c>
      <c r="B1949">
        <v>-4338724.0339805102</v>
      </c>
      <c r="C1949">
        <v>2293630.8785238401</v>
      </c>
    </row>
    <row r="1950" spans="1:3" x14ac:dyDescent="0.25">
      <c r="A1950">
        <v>20151211</v>
      </c>
      <c r="B1950">
        <v>-5070589.2919803504</v>
      </c>
      <c r="C1950">
        <v>3286100.0200436702</v>
      </c>
    </row>
    <row r="1951" spans="1:3" x14ac:dyDescent="0.25">
      <c r="A1951">
        <v>20151214</v>
      </c>
      <c r="B1951">
        <v>-7942550.6047561197</v>
      </c>
      <c r="C1951">
        <v>-3946049.6949421801</v>
      </c>
    </row>
    <row r="1952" spans="1:3" x14ac:dyDescent="0.25">
      <c r="A1952">
        <v>20151215</v>
      </c>
      <c r="B1952">
        <v>-514637.753227729</v>
      </c>
      <c r="C1952">
        <v>516833.05898201099</v>
      </c>
    </row>
    <row r="1953" spans="1:3" x14ac:dyDescent="0.25">
      <c r="A1953">
        <v>20151216</v>
      </c>
      <c r="B1953">
        <v>5175764.4384554699</v>
      </c>
      <c r="C1953">
        <v>5782579.1377634099</v>
      </c>
    </row>
    <row r="1954" spans="1:3" x14ac:dyDescent="0.25">
      <c r="A1954">
        <v>20151217</v>
      </c>
      <c r="B1954">
        <v>9154351.1316756401</v>
      </c>
      <c r="C1954">
        <v>27624371.216292702</v>
      </c>
    </row>
    <row r="1955" spans="1:3" x14ac:dyDescent="0.25">
      <c r="A1955">
        <v>20151218</v>
      </c>
      <c r="B1955">
        <v>12540031.402619001</v>
      </c>
      <c r="C1955">
        <v>29976974.354356699</v>
      </c>
    </row>
    <row r="1956" spans="1:3" x14ac:dyDescent="0.25">
      <c r="A1956">
        <v>20151221</v>
      </c>
      <c r="B1956">
        <v>11345726.5016334</v>
      </c>
      <c r="C1956">
        <v>33409179.884617999</v>
      </c>
    </row>
    <row r="1957" spans="1:3" x14ac:dyDescent="0.25">
      <c r="A1957">
        <v>20151222</v>
      </c>
      <c r="B1957">
        <v>3170783.2706887401</v>
      </c>
      <c r="C1957">
        <v>22865354.675264198</v>
      </c>
    </row>
    <row r="1958" spans="1:3" x14ac:dyDescent="0.25">
      <c r="A1958">
        <v>20151223</v>
      </c>
      <c r="B1958">
        <v>6218386.8068282697</v>
      </c>
      <c r="C1958">
        <v>12096350.7332453</v>
      </c>
    </row>
    <row r="1959" spans="1:3" x14ac:dyDescent="0.25">
      <c r="A1959">
        <v>20151224</v>
      </c>
      <c r="B1959">
        <v>-967481.01750215096</v>
      </c>
      <c r="C1959">
        <v>-2807764.7394000199</v>
      </c>
    </row>
    <row r="1960" spans="1:3" x14ac:dyDescent="0.25">
      <c r="A1960">
        <v>20151225</v>
      </c>
      <c r="B1960">
        <v>-2535168.1979718502</v>
      </c>
      <c r="C1960">
        <v>-1609877.5930749299</v>
      </c>
    </row>
    <row r="1961" spans="1:3" x14ac:dyDescent="0.25">
      <c r="A1961">
        <v>20151228</v>
      </c>
      <c r="B1961">
        <v>1442396.02186539</v>
      </c>
      <c r="C1961">
        <v>-2968515.9067917899</v>
      </c>
    </row>
    <row r="1962" spans="1:3" x14ac:dyDescent="0.25">
      <c r="A1962">
        <v>20151229</v>
      </c>
      <c r="B1962">
        <v>4828759.5268043596</v>
      </c>
      <c r="C1962">
        <v>-4236963.2506657904</v>
      </c>
    </row>
    <row r="1963" spans="1:3" x14ac:dyDescent="0.25">
      <c r="A1963">
        <v>20151230</v>
      </c>
      <c r="B1963">
        <v>944995.19822504697</v>
      </c>
      <c r="C1963">
        <v>-3902744.9827904501</v>
      </c>
    </row>
    <row r="1964" spans="1:3" x14ac:dyDescent="0.25">
      <c r="A1964">
        <v>20151231</v>
      </c>
      <c r="B1964">
        <v>3607125.21711053</v>
      </c>
      <c r="C1964">
        <v>-3680018.9960647598</v>
      </c>
    </row>
    <row r="1965" spans="1:3" x14ac:dyDescent="0.25">
      <c r="A1965">
        <v>20160101</v>
      </c>
      <c r="B1965">
        <v>3827328.3273631199</v>
      </c>
      <c r="C1965">
        <v>-3160331.2336188299</v>
      </c>
    </row>
    <row r="1966" spans="1:3" x14ac:dyDescent="0.25">
      <c r="A1966">
        <v>20160104</v>
      </c>
      <c r="B1966">
        <v>10978020.0993213</v>
      </c>
      <c r="C1966">
        <v>-12448891.1632412</v>
      </c>
    </row>
    <row r="1967" spans="1:3" x14ac:dyDescent="0.25">
      <c r="A1967">
        <v>20160105</v>
      </c>
      <c r="B1967">
        <v>14043864.860281499</v>
      </c>
      <c r="C1967">
        <v>-3225620.9636995201</v>
      </c>
    </row>
    <row r="1968" spans="1:3" x14ac:dyDescent="0.25">
      <c r="A1968">
        <v>20160106</v>
      </c>
      <c r="B1968">
        <v>12265711.031527299</v>
      </c>
      <c r="C1968">
        <v>3418734.5002989699</v>
      </c>
    </row>
    <row r="1969" spans="1:3" x14ac:dyDescent="0.25">
      <c r="A1969">
        <v>20160107</v>
      </c>
      <c r="B1969">
        <v>10737051.1092455</v>
      </c>
      <c r="C1969">
        <v>-3855056.46773108</v>
      </c>
    </row>
    <row r="1970" spans="1:3" x14ac:dyDescent="0.25">
      <c r="A1970">
        <v>20160108</v>
      </c>
      <c r="B1970">
        <v>4721428.2259191796</v>
      </c>
      <c r="C1970">
        <v>3647567.9380405</v>
      </c>
    </row>
    <row r="1971" spans="1:3" x14ac:dyDescent="0.25">
      <c r="A1971">
        <v>20160111</v>
      </c>
      <c r="B1971">
        <v>7684072.0919423401</v>
      </c>
      <c r="C1971">
        <v>11984234.964064499</v>
      </c>
    </row>
    <row r="1972" spans="1:3" x14ac:dyDescent="0.25">
      <c r="A1972">
        <v>20160112</v>
      </c>
      <c r="B1972">
        <v>3692350.6829618402</v>
      </c>
      <c r="C1972">
        <v>16808939.681435999</v>
      </c>
    </row>
    <row r="1973" spans="1:3" x14ac:dyDescent="0.25">
      <c r="A1973">
        <v>20160113</v>
      </c>
      <c r="B1973">
        <v>5165351.8646505699</v>
      </c>
      <c r="C1973">
        <v>18874820.495799001</v>
      </c>
    </row>
    <row r="1974" spans="1:3" x14ac:dyDescent="0.25">
      <c r="A1974">
        <v>20160114</v>
      </c>
      <c r="B1974">
        <v>4019091.22632821</v>
      </c>
      <c r="C1974">
        <v>27686685.838562001</v>
      </c>
    </row>
    <row r="1975" spans="1:3" x14ac:dyDescent="0.25">
      <c r="A1975">
        <v>20160115</v>
      </c>
      <c r="B1975">
        <v>4274265.5936558098</v>
      </c>
      <c r="C1975">
        <v>23801605.763807099</v>
      </c>
    </row>
    <row r="1976" spans="1:3" x14ac:dyDescent="0.25">
      <c r="A1976">
        <v>20160118</v>
      </c>
      <c r="B1976">
        <v>-919879.03188987798</v>
      </c>
      <c r="C1976">
        <v>24104870.539196499</v>
      </c>
    </row>
    <row r="1977" spans="1:3" x14ac:dyDescent="0.25">
      <c r="A1977">
        <v>20160119</v>
      </c>
      <c r="B1977">
        <v>-6666124.6106389696</v>
      </c>
      <c r="C1977">
        <v>16285305.725437</v>
      </c>
    </row>
    <row r="1978" spans="1:3" x14ac:dyDescent="0.25">
      <c r="A1978">
        <v>20160120</v>
      </c>
      <c r="B1978">
        <v>-4595364.0586874802</v>
      </c>
      <c r="C1978">
        <v>13068841.523540599</v>
      </c>
    </row>
    <row r="1979" spans="1:3" x14ac:dyDescent="0.25">
      <c r="A1979">
        <v>20160121</v>
      </c>
      <c r="B1979">
        <v>5401974.54504437</v>
      </c>
      <c r="C1979">
        <v>-14258557.661521601</v>
      </c>
    </row>
    <row r="1980" spans="1:3" x14ac:dyDescent="0.25">
      <c r="A1980">
        <v>20160122</v>
      </c>
      <c r="B1980">
        <v>9174591.1875276398</v>
      </c>
      <c r="C1980">
        <v>-30201960.8952071</v>
      </c>
    </row>
    <row r="1981" spans="1:3" x14ac:dyDescent="0.25">
      <c r="A1981">
        <v>20160125</v>
      </c>
      <c r="B1981">
        <v>3588480.2707516798</v>
      </c>
      <c r="C1981">
        <v>-25931016.1098492</v>
      </c>
    </row>
    <row r="1982" spans="1:3" x14ac:dyDescent="0.25">
      <c r="A1982">
        <v>20160126</v>
      </c>
      <c r="B1982">
        <v>9280177.2741845101</v>
      </c>
      <c r="C1982">
        <v>-39146884.481040999</v>
      </c>
    </row>
    <row r="1983" spans="1:3" x14ac:dyDescent="0.25">
      <c r="A1983">
        <v>20160127</v>
      </c>
      <c r="B1983">
        <v>7895507.3458847404</v>
      </c>
      <c r="C1983">
        <v>-41336846.185336702</v>
      </c>
    </row>
    <row r="1984" spans="1:3" x14ac:dyDescent="0.25">
      <c r="A1984">
        <v>20160128</v>
      </c>
      <c r="B1984">
        <v>1103511.9363927599</v>
      </c>
      <c r="C1984">
        <v>-15352097.7584833</v>
      </c>
    </row>
    <row r="1985" spans="1:3" x14ac:dyDescent="0.25">
      <c r="A1985">
        <v>20160129</v>
      </c>
      <c r="B1985">
        <v>10474282.222953999</v>
      </c>
      <c r="C1985">
        <v>5621510.36225239</v>
      </c>
    </row>
    <row r="1986" spans="1:3" x14ac:dyDescent="0.25">
      <c r="A1986">
        <v>20160201</v>
      </c>
      <c r="B1986">
        <v>6777994.4070253503</v>
      </c>
      <c r="C1986">
        <v>-3459655.1575411898</v>
      </c>
    </row>
    <row r="1987" spans="1:3" x14ac:dyDescent="0.25">
      <c r="A1987">
        <v>20160202</v>
      </c>
      <c r="B1987">
        <v>729515.19724978495</v>
      </c>
      <c r="C1987">
        <v>7538859.7740667602</v>
      </c>
    </row>
    <row r="1988" spans="1:3" x14ac:dyDescent="0.25">
      <c r="A1988">
        <v>20160203</v>
      </c>
      <c r="B1988">
        <v>-6742030.5160634499</v>
      </c>
      <c r="C1988">
        <v>-11193540.4334227</v>
      </c>
    </row>
    <row r="1989" spans="1:3" x14ac:dyDescent="0.25">
      <c r="A1989">
        <v>20160204</v>
      </c>
      <c r="B1989">
        <v>-12908234.5430432</v>
      </c>
      <c r="C1989">
        <v>-18094141.7846312</v>
      </c>
    </row>
    <row r="1990" spans="1:3" x14ac:dyDescent="0.25">
      <c r="A1990">
        <v>20160205</v>
      </c>
      <c r="B1990">
        <v>-17933181.322745699</v>
      </c>
      <c r="C1990">
        <v>-14666995.6111343</v>
      </c>
    </row>
    <row r="1991" spans="1:3" x14ac:dyDescent="0.25">
      <c r="A1991">
        <v>20160208</v>
      </c>
      <c r="B1991">
        <v>-14515254.032068299</v>
      </c>
      <c r="C1991">
        <v>-3788185.5704631</v>
      </c>
    </row>
    <row r="1992" spans="1:3" x14ac:dyDescent="0.25">
      <c r="A1992">
        <v>20160209</v>
      </c>
      <c r="B1992">
        <v>-19531919.001209501</v>
      </c>
      <c r="C1992">
        <v>-16739662.936995801</v>
      </c>
    </row>
    <row r="1993" spans="1:3" x14ac:dyDescent="0.25">
      <c r="A1993">
        <v>20160210</v>
      </c>
      <c r="B1993">
        <v>-4907239.8930603899</v>
      </c>
      <c r="C1993">
        <v>15709820.572722901</v>
      </c>
    </row>
    <row r="1994" spans="1:3" x14ac:dyDescent="0.25">
      <c r="A1994">
        <v>20160211</v>
      </c>
      <c r="B1994">
        <v>-8453482.2036968898</v>
      </c>
      <c r="C1994">
        <v>22481373.4339584</v>
      </c>
    </row>
    <row r="1995" spans="1:3" x14ac:dyDescent="0.25">
      <c r="A1995">
        <v>20160212</v>
      </c>
      <c r="B1995">
        <v>-2192174.7996407198</v>
      </c>
      <c r="C1995">
        <v>1611633.49287577</v>
      </c>
    </row>
    <row r="1996" spans="1:3" x14ac:dyDescent="0.25">
      <c r="A1996">
        <v>20160215</v>
      </c>
      <c r="B1996">
        <v>1342962.71503727</v>
      </c>
      <c r="C1996">
        <v>-5664601.2661304604</v>
      </c>
    </row>
    <row r="1997" spans="1:3" x14ac:dyDescent="0.25">
      <c r="A1997">
        <v>20160216</v>
      </c>
      <c r="B1997">
        <v>6245239.1129022203</v>
      </c>
      <c r="C1997">
        <v>6952303.4100312497</v>
      </c>
    </row>
    <row r="1998" spans="1:3" x14ac:dyDescent="0.25">
      <c r="A1998">
        <v>20160217</v>
      </c>
      <c r="B1998">
        <v>-3746477.2145720902</v>
      </c>
      <c r="C1998">
        <v>-21210854.440759499</v>
      </c>
    </row>
    <row r="1999" spans="1:3" x14ac:dyDescent="0.25">
      <c r="A1999">
        <v>20160218</v>
      </c>
      <c r="B1999">
        <v>9144164.6299210005</v>
      </c>
      <c r="C1999">
        <v>-20543628.258517802</v>
      </c>
    </row>
    <row r="2000" spans="1:3" x14ac:dyDescent="0.25">
      <c r="A2000">
        <v>20160219</v>
      </c>
      <c r="B2000">
        <v>925645.37810884696</v>
      </c>
      <c r="C2000">
        <v>-1939952.9958226599</v>
      </c>
    </row>
    <row r="2001" spans="1:3" x14ac:dyDescent="0.25">
      <c r="A2001">
        <v>20160222</v>
      </c>
      <c r="B2001">
        <v>1286017.7618963299</v>
      </c>
      <c r="C2001">
        <v>-12343515.1100445</v>
      </c>
    </row>
    <row r="2002" spans="1:3" x14ac:dyDescent="0.25">
      <c r="A2002">
        <v>20160223</v>
      </c>
      <c r="B2002">
        <v>5912026.5005301703</v>
      </c>
      <c r="C2002">
        <v>-4065314.9105362999</v>
      </c>
    </row>
    <row r="2003" spans="1:3" x14ac:dyDescent="0.25">
      <c r="A2003">
        <v>20160224</v>
      </c>
      <c r="B2003">
        <v>6339845.3316485696</v>
      </c>
      <c r="C2003">
        <v>4801466.49602501</v>
      </c>
    </row>
    <row r="2004" spans="1:3" x14ac:dyDescent="0.25">
      <c r="A2004">
        <v>20160225</v>
      </c>
      <c r="B2004">
        <v>7175019.3573792502</v>
      </c>
      <c r="C2004">
        <v>-14167064.4209341</v>
      </c>
    </row>
    <row r="2005" spans="1:3" x14ac:dyDescent="0.25">
      <c r="A2005">
        <v>20160226</v>
      </c>
      <c r="B2005">
        <v>14943100.0340758</v>
      </c>
      <c r="C2005">
        <v>-33494398.6951482</v>
      </c>
    </row>
    <row r="2006" spans="1:3" x14ac:dyDescent="0.25">
      <c r="A2006">
        <v>20160229</v>
      </c>
      <c r="B2006">
        <v>16822971.851858299</v>
      </c>
      <c r="C2006">
        <v>-17708025.685491301</v>
      </c>
    </row>
    <row r="2007" spans="1:3" x14ac:dyDescent="0.25">
      <c r="A2007">
        <v>20160301</v>
      </c>
      <c r="B2007">
        <v>13770590.153068701</v>
      </c>
      <c r="C2007">
        <v>-28838594.6032793</v>
      </c>
    </row>
    <row r="2008" spans="1:3" x14ac:dyDescent="0.25">
      <c r="A2008">
        <v>20160302</v>
      </c>
      <c r="B2008">
        <v>17629279.7443153</v>
      </c>
      <c r="C2008">
        <v>-17057611.0930246</v>
      </c>
    </row>
    <row r="2009" spans="1:3" x14ac:dyDescent="0.25">
      <c r="A2009">
        <v>20160303</v>
      </c>
      <c r="B2009">
        <v>7439223.2424361696</v>
      </c>
      <c r="C2009">
        <v>-1255515.23348022</v>
      </c>
    </row>
    <row r="2010" spans="1:3" x14ac:dyDescent="0.25">
      <c r="A2010">
        <v>20160304</v>
      </c>
      <c r="B2010">
        <v>-386825.83825073298</v>
      </c>
      <c r="C2010">
        <v>17804598.611342601</v>
      </c>
    </row>
    <row r="2011" spans="1:3" x14ac:dyDescent="0.25">
      <c r="A2011">
        <v>20160307</v>
      </c>
      <c r="B2011">
        <v>-6761801.0393700004</v>
      </c>
      <c r="C2011">
        <v>4293279.3773821797</v>
      </c>
    </row>
    <row r="2012" spans="1:3" x14ac:dyDescent="0.25">
      <c r="A2012">
        <v>20160308</v>
      </c>
      <c r="B2012">
        <v>-9300375.9896052107</v>
      </c>
      <c r="C2012">
        <v>17840318.931002799</v>
      </c>
    </row>
    <row r="2013" spans="1:3" x14ac:dyDescent="0.25">
      <c r="A2013">
        <v>20160309</v>
      </c>
      <c r="B2013">
        <v>-5407878.6827475596</v>
      </c>
      <c r="C2013">
        <v>6943231.8035280798</v>
      </c>
    </row>
    <row r="2014" spans="1:3" x14ac:dyDescent="0.25">
      <c r="A2014">
        <v>20160310</v>
      </c>
      <c r="B2014">
        <v>-10121368.839836501</v>
      </c>
      <c r="C2014">
        <v>12854393.631451599</v>
      </c>
    </row>
    <row r="2015" spans="1:3" x14ac:dyDescent="0.25">
      <c r="A2015">
        <v>20160311</v>
      </c>
      <c r="B2015">
        <v>-7405449.7330685696</v>
      </c>
      <c r="C2015">
        <v>1644392.74402789</v>
      </c>
    </row>
    <row r="2016" spans="1:3" x14ac:dyDescent="0.25">
      <c r="A2016">
        <v>20160314</v>
      </c>
      <c r="B2016">
        <v>-7468061.8255962199</v>
      </c>
      <c r="C2016">
        <v>12421414.523814499</v>
      </c>
    </row>
    <row r="2017" spans="1:3" x14ac:dyDescent="0.25">
      <c r="A2017">
        <v>20160315</v>
      </c>
      <c r="B2017">
        <v>-3337501.3874276401</v>
      </c>
      <c r="C2017">
        <v>-1286094.82477591</v>
      </c>
    </row>
    <row r="2018" spans="1:3" x14ac:dyDescent="0.25">
      <c r="A2018">
        <v>20160316</v>
      </c>
      <c r="B2018">
        <v>-2875222.2011439502</v>
      </c>
      <c r="C2018">
        <v>-856388.24444941303</v>
      </c>
    </row>
    <row r="2019" spans="1:3" x14ac:dyDescent="0.25">
      <c r="A2019">
        <v>20160317</v>
      </c>
      <c r="B2019">
        <v>-4662157.3300775504</v>
      </c>
      <c r="C2019">
        <v>-17871626.876327202</v>
      </c>
    </row>
    <row r="2020" spans="1:3" x14ac:dyDescent="0.25">
      <c r="A2020">
        <v>20160318</v>
      </c>
      <c r="B2020">
        <v>-10798448.7495734</v>
      </c>
      <c r="C2020">
        <v>-14118279.6074448</v>
      </c>
    </row>
    <row r="2021" spans="1:3" x14ac:dyDescent="0.25">
      <c r="A2021">
        <v>20160321</v>
      </c>
      <c r="B2021">
        <v>-10911781.2715746</v>
      </c>
      <c r="C2021">
        <v>-10454559.3417408</v>
      </c>
    </row>
    <row r="2022" spans="1:3" x14ac:dyDescent="0.25">
      <c r="A2022">
        <v>20160322</v>
      </c>
      <c r="B2022">
        <v>-8615966.8653138597</v>
      </c>
      <c r="C2022">
        <v>-8267384.0779301999</v>
      </c>
    </row>
    <row r="2023" spans="1:3" x14ac:dyDescent="0.25">
      <c r="A2023">
        <v>20160323</v>
      </c>
      <c r="B2023">
        <v>-10008806.5190676</v>
      </c>
      <c r="C2023">
        <v>5630506.48805755</v>
      </c>
    </row>
    <row r="2024" spans="1:3" x14ac:dyDescent="0.25">
      <c r="A2024">
        <v>20160324</v>
      </c>
      <c r="B2024">
        <v>2974940.3619497102</v>
      </c>
      <c r="C2024">
        <v>18772150.589122601</v>
      </c>
    </row>
    <row r="2025" spans="1:3" x14ac:dyDescent="0.25">
      <c r="A2025">
        <v>20160325</v>
      </c>
      <c r="B2025">
        <v>5073066.1002952699</v>
      </c>
      <c r="C2025">
        <v>16564063.757488601</v>
      </c>
    </row>
    <row r="2026" spans="1:3" x14ac:dyDescent="0.25">
      <c r="A2026">
        <v>20160328</v>
      </c>
      <c r="B2026">
        <v>4706685.0878170598</v>
      </c>
      <c r="C2026">
        <v>3605964.8518061098</v>
      </c>
    </row>
    <row r="2027" spans="1:3" x14ac:dyDescent="0.25">
      <c r="A2027">
        <v>20160329</v>
      </c>
      <c r="B2027">
        <v>7310323.4573017098</v>
      </c>
      <c r="C2027">
        <v>3914371.4301733002</v>
      </c>
    </row>
    <row r="2028" spans="1:3" x14ac:dyDescent="0.25">
      <c r="A2028">
        <v>20160330</v>
      </c>
      <c r="B2028">
        <v>-3776252.8260660199</v>
      </c>
      <c r="C2028">
        <v>-14323190.855902599</v>
      </c>
    </row>
    <row r="2029" spans="1:3" x14ac:dyDescent="0.25">
      <c r="A2029">
        <v>20160331</v>
      </c>
      <c r="B2029">
        <v>-6614658.8680683495</v>
      </c>
      <c r="C2029">
        <v>-9546879.6383079793</v>
      </c>
    </row>
    <row r="2030" spans="1:3" x14ac:dyDescent="0.25">
      <c r="A2030">
        <v>20160401</v>
      </c>
      <c r="B2030">
        <v>-3708252.44743504</v>
      </c>
      <c r="C2030">
        <v>4383954.9244132601</v>
      </c>
    </row>
    <row r="2031" spans="1:3" x14ac:dyDescent="0.25">
      <c r="A2031">
        <v>20160404</v>
      </c>
      <c r="B2031">
        <v>-4930014.3614910999</v>
      </c>
      <c r="C2031">
        <v>6067220.2188953999</v>
      </c>
    </row>
    <row r="2032" spans="1:3" x14ac:dyDescent="0.25">
      <c r="A2032">
        <v>20160405</v>
      </c>
      <c r="B2032">
        <v>-11670424.412972501</v>
      </c>
      <c r="C2032">
        <v>11596509.0885136</v>
      </c>
    </row>
    <row r="2033" spans="1:3" x14ac:dyDescent="0.25">
      <c r="A2033">
        <v>20160406</v>
      </c>
      <c r="B2033">
        <v>-3747383.2235083301</v>
      </c>
      <c r="C2033">
        <v>14022710.870516401</v>
      </c>
    </row>
    <row r="2034" spans="1:3" x14ac:dyDescent="0.25">
      <c r="A2034">
        <v>20160407</v>
      </c>
      <c r="B2034">
        <v>-1085139.8928708199</v>
      </c>
      <c r="C2034">
        <v>9099174.6138812993</v>
      </c>
    </row>
    <row r="2035" spans="1:3" x14ac:dyDescent="0.25">
      <c r="A2035">
        <v>20160408</v>
      </c>
      <c r="B2035">
        <v>-5174331.2328082202</v>
      </c>
      <c r="C2035">
        <v>-16584149.1412565</v>
      </c>
    </row>
    <row r="2036" spans="1:3" x14ac:dyDescent="0.25">
      <c r="A2036">
        <v>20160411</v>
      </c>
      <c r="B2036">
        <v>-4741215.2450756999</v>
      </c>
      <c r="C2036">
        <v>-12301979.4716154</v>
      </c>
    </row>
    <row r="2037" spans="1:3" x14ac:dyDescent="0.25">
      <c r="A2037">
        <v>20160412</v>
      </c>
      <c r="B2037">
        <v>-1026032.45940432</v>
      </c>
      <c r="C2037">
        <v>-21532582.807565</v>
      </c>
    </row>
    <row r="2038" spans="1:3" x14ac:dyDescent="0.25">
      <c r="A2038">
        <v>20160413</v>
      </c>
      <c r="B2038">
        <v>2128037.6997965099</v>
      </c>
      <c r="C2038">
        <v>-22874223.1413817</v>
      </c>
    </row>
    <row r="2039" spans="1:3" x14ac:dyDescent="0.25">
      <c r="A2039">
        <v>20160414</v>
      </c>
      <c r="B2039">
        <v>3890458.96458861</v>
      </c>
      <c r="C2039">
        <v>-17509721.354185201</v>
      </c>
    </row>
    <row r="2040" spans="1:3" x14ac:dyDescent="0.25">
      <c r="A2040">
        <v>20160415</v>
      </c>
      <c r="B2040">
        <v>4432858.2945021698</v>
      </c>
      <c r="C2040">
        <v>-3626296.2392053902</v>
      </c>
    </row>
    <row r="2041" spans="1:3" x14ac:dyDescent="0.25">
      <c r="A2041">
        <v>20160418</v>
      </c>
      <c r="B2041">
        <v>6418135.7385567501</v>
      </c>
      <c r="C2041">
        <v>-6550973.3871260704</v>
      </c>
    </row>
    <row r="2042" spans="1:3" x14ac:dyDescent="0.25">
      <c r="A2042">
        <v>20160419</v>
      </c>
      <c r="B2042">
        <v>1916019.9763048999</v>
      </c>
      <c r="C2042">
        <v>-15460862.418594001</v>
      </c>
    </row>
    <row r="2043" spans="1:3" x14ac:dyDescent="0.25">
      <c r="A2043">
        <v>20160420</v>
      </c>
      <c r="B2043">
        <v>4962219.2054332998</v>
      </c>
      <c r="C2043">
        <v>-6675177.0839807596</v>
      </c>
    </row>
    <row r="2044" spans="1:3" x14ac:dyDescent="0.25">
      <c r="A2044">
        <v>20160421</v>
      </c>
      <c r="B2044">
        <v>3951900.39049822</v>
      </c>
      <c r="C2044">
        <v>-10837769.066048</v>
      </c>
    </row>
    <row r="2045" spans="1:3" x14ac:dyDescent="0.25">
      <c r="A2045">
        <v>20160422</v>
      </c>
      <c r="B2045">
        <v>3186156.8049072502</v>
      </c>
      <c r="C2045">
        <v>-26370944.929320399</v>
      </c>
    </row>
    <row r="2046" spans="1:3" x14ac:dyDescent="0.25">
      <c r="A2046">
        <v>20160425</v>
      </c>
      <c r="B2046">
        <v>1080958.6218181199</v>
      </c>
      <c r="C2046">
        <v>-27152792.338152099</v>
      </c>
    </row>
    <row r="2047" spans="1:3" x14ac:dyDescent="0.25">
      <c r="A2047">
        <v>20160426</v>
      </c>
      <c r="B2047">
        <v>434475.75142960198</v>
      </c>
      <c r="C2047">
        <v>-11623267.870959099</v>
      </c>
    </row>
    <row r="2048" spans="1:3" x14ac:dyDescent="0.25">
      <c r="A2048">
        <v>20160427</v>
      </c>
      <c r="B2048">
        <v>-6197061.2451680098</v>
      </c>
      <c r="C2048">
        <v>-9891270.1950610001</v>
      </c>
    </row>
    <row r="2049" spans="1:3" x14ac:dyDescent="0.25">
      <c r="A2049">
        <v>20160428</v>
      </c>
      <c r="B2049">
        <v>-6497383.2755755298</v>
      </c>
      <c r="C2049">
        <v>-17490301.921174299</v>
      </c>
    </row>
    <row r="2050" spans="1:3" x14ac:dyDescent="0.25">
      <c r="A2050">
        <v>20160429</v>
      </c>
      <c r="B2050">
        <v>-11458849.905723101</v>
      </c>
      <c r="C2050">
        <v>-1896654.6428511899</v>
      </c>
    </row>
    <row r="2051" spans="1:3" x14ac:dyDescent="0.25">
      <c r="A2051">
        <v>20160502</v>
      </c>
      <c r="B2051">
        <v>-11662515.2602068</v>
      </c>
      <c r="C2051">
        <v>-1328480.6079186001</v>
      </c>
    </row>
    <row r="2052" spans="1:3" x14ac:dyDescent="0.25">
      <c r="A2052">
        <v>20160503</v>
      </c>
      <c r="B2052">
        <v>-9991351.0358750205</v>
      </c>
      <c r="C2052">
        <v>7738046.6265868396</v>
      </c>
    </row>
    <row r="2053" spans="1:3" x14ac:dyDescent="0.25">
      <c r="A2053">
        <v>20160504</v>
      </c>
      <c r="B2053">
        <v>-9757554.3444943894</v>
      </c>
      <c r="C2053">
        <v>16313059.1718468</v>
      </c>
    </row>
    <row r="2054" spans="1:3" x14ac:dyDescent="0.25">
      <c r="A2054">
        <v>20160505</v>
      </c>
      <c r="B2054">
        <v>-5135436.0031668898</v>
      </c>
      <c r="C2054">
        <v>19250515.824708201</v>
      </c>
    </row>
    <row r="2055" spans="1:3" x14ac:dyDescent="0.25">
      <c r="A2055">
        <v>20160506</v>
      </c>
      <c r="B2055">
        <v>2759212.8771188399</v>
      </c>
      <c r="C2055">
        <v>23040724.3035115</v>
      </c>
    </row>
    <row r="2056" spans="1:3" x14ac:dyDescent="0.25">
      <c r="A2056">
        <v>20160509</v>
      </c>
      <c r="B2056">
        <v>6317262.7222420396</v>
      </c>
      <c r="C2056">
        <v>27914388.313905802</v>
      </c>
    </row>
    <row r="2057" spans="1:3" x14ac:dyDescent="0.25">
      <c r="A2057">
        <v>20160510</v>
      </c>
      <c r="B2057">
        <v>9495145.3851056304</v>
      </c>
      <c r="C2057">
        <v>15913057.780837201</v>
      </c>
    </row>
    <row r="2058" spans="1:3" x14ac:dyDescent="0.25">
      <c r="A2058">
        <v>20160511</v>
      </c>
      <c r="B2058">
        <v>8677786.4730222896</v>
      </c>
      <c r="C2058">
        <v>-2584100.1261918098</v>
      </c>
    </row>
    <row r="2059" spans="1:3" x14ac:dyDescent="0.25">
      <c r="A2059">
        <v>20160512</v>
      </c>
      <c r="B2059">
        <v>2464776.3234213302</v>
      </c>
      <c r="C2059">
        <v>-4024711.80482719</v>
      </c>
    </row>
    <row r="2060" spans="1:3" x14ac:dyDescent="0.25">
      <c r="A2060">
        <v>20160513</v>
      </c>
      <c r="B2060">
        <v>7491097.3582462398</v>
      </c>
      <c r="C2060">
        <v>-4782869.9594056001</v>
      </c>
    </row>
    <row r="2061" spans="1:3" x14ac:dyDescent="0.25">
      <c r="A2061">
        <v>20160516</v>
      </c>
      <c r="B2061">
        <v>3277625.5149215199</v>
      </c>
      <c r="C2061">
        <v>-13274783.841773501</v>
      </c>
    </row>
    <row r="2062" spans="1:3" x14ac:dyDescent="0.25">
      <c r="A2062">
        <v>20160517</v>
      </c>
      <c r="B2062">
        <v>2212846.6793977702</v>
      </c>
      <c r="C2062">
        <v>-11457409.156241501</v>
      </c>
    </row>
    <row r="2063" spans="1:3" x14ac:dyDescent="0.25">
      <c r="A2063">
        <v>20160518</v>
      </c>
      <c r="B2063">
        <v>8506890.96535974</v>
      </c>
      <c r="C2063">
        <v>-8603224.7496685795</v>
      </c>
    </row>
    <row r="2064" spans="1:3" x14ac:dyDescent="0.25">
      <c r="A2064">
        <v>20160519</v>
      </c>
      <c r="B2064">
        <v>11035362.1265512</v>
      </c>
      <c r="C2064">
        <v>6598804.0222011004</v>
      </c>
    </row>
    <row r="2065" spans="1:3" x14ac:dyDescent="0.25">
      <c r="A2065">
        <v>20160520</v>
      </c>
      <c r="B2065">
        <v>5768042.23358397</v>
      </c>
      <c r="C2065">
        <v>2474882.1603176799</v>
      </c>
    </row>
    <row r="2066" spans="1:3" x14ac:dyDescent="0.25">
      <c r="A2066">
        <v>20160523</v>
      </c>
      <c r="B2066">
        <v>9281109.9146750197</v>
      </c>
      <c r="C2066">
        <v>7800400.7517290199</v>
      </c>
    </row>
    <row r="2067" spans="1:3" x14ac:dyDescent="0.25">
      <c r="A2067">
        <v>20160524</v>
      </c>
      <c r="B2067">
        <v>9530379.3265751004</v>
      </c>
      <c r="C2067">
        <v>2167999.2508931998</v>
      </c>
    </row>
    <row r="2068" spans="1:3" x14ac:dyDescent="0.25">
      <c r="A2068">
        <v>20160525</v>
      </c>
      <c r="B2068">
        <v>9061231.8716270309</v>
      </c>
      <c r="C2068">
        <v>5300007.5453646099</v>
      </c>
    </row>
    <row r="2069" spans="1:3" x14ac:dyDescent="0.25">
      <c r="A2069">
        <v>20160526</v>
      </c>
      <c r="B2069">
        <v>4537399.47593218</v>
      </c>
      <c r="C2069">
        <v>-13105451.8775727</v>
      </c>
    </row>
    <row r="2070" spans="1:3" x14ac:dyDescent="0.25">
      <c r="A2070">
        <v>20160527</v>
      </c>
      <c r="B2070">
        <v>3952315.2230067099</v>
      </c>
      <c r="C2070">
        <v>-11555602.2023765</v>
      </c>
    </row>
    <row r="2071" spans="1:3" x14ac:dyDescent="0.25">
      <c r="A2071">
        <v>20160530</v>
      </c>
      <c r="B2071">
        <v>4197790.0336399898</v>
      </c>
      <c r="C2071">
        <v>-9745945.8655928709</v>
      </c>
    </row>
    <row r="2072" spans="1:3" x14ac:dyDescent="0.25">
      <c r="A2072">
        <v>20160531</v>
      </c>
      <c r="B2072">
        <v>2156951.5902335099</v>
      </c>
      <c r="C2072">
        <v>-4377500.6211597202</v>
      </c>
    </row>
    <row r="2073" spans="1:3" x14ac:dyDescent="0.25">
      <c r="A2073">
        <v>20160601</v>
      </c>
      <c r="B2073">
        <v>-3528559.3248735601</v>
      </c>
      <c r="C2073">
        <v>-1978506.05546764</v>
      </c>
    </row>
    <row r="2074" spans="1:3" x14ac:dyDescent="0.25">
      <c r="A2074">
        <v>20160602</v>
      </c>
      <c r="B2074">
        <v>404258.30554184102</v>
      </c>
      <c r="C2074">
        <v>8458720.4859633707</v>
      </c>
    </row>
    <row r="2075" spans="1:3" x14ac:dyDescent="0.25">
      <c r="A2075">
        <v>20160603</v>
      </c>
      <c r="B2075">
        <v>-7832961.1841522902</v>
      </c>
      <c r="C2075">
        <v>-3519847.1105456599</v>
      </c>
    </row>
    <row r="2076" spans="1:3" x14ac:dyDescent="0.25">
      <c r="A2076">
        <v>20160606</v>
      </c>
      <c r="B2076">
        <v>-9816397.7300347202</v>
      </c>
      <c r="C2076">
        <v>-6616322.6511467202</v>
      </c>
    </row>
    <row r="2077" spans="1:3" x14ac:dyDescent="0.25">
      <c r="A2077">
        <v>20160607</v>
      </c>
      <c r="B2077">
        <v>-6323225.8095172802</v>
      </c>
      <c r="C2077">
        <v>-6236210.3734073797</v>
      </c>
    </row>
    <row r="2078" spans="1:3" x14ac:dyDescent="0.25">
      <c r="A2078">
        <v>20160608</v>
      </c>
      <c r="B2078">
        <v>-5352665.5990935601</v>
      </c>
      <c r="C2078">
        <v>-11150907.7818966</v>
      </c>
    </row>
    <row r="2079" spans="1:3" x14ac:dyDescent="0.25">
      <c r="A2079">
        <v>20160609</v>
      </c>
      <c r="B2079">
        <v>-3012790.8882739302</v>
      </c>
      <c r="C2079">
        <v>-12025748.2898717</v>
      </c>
    </row>
    <row r="2080" spans="1:3" x14ac:dyDescent="0.25">
      <c r="A2080">
        <v>20160610</v>
      </c>
      <c r="B2080">
        <v>5290761.1163272401</v>
      </c>
      <c r="C2080">
        <v>-8097302.88278725</v>
      </c>
    </row>
    <row r="2081" spans="1:3" x14ac:dyDescent="0.25">
      <c r="A2081">
        <v>20160613</v>
      </c>
      <c r="B2081">
        <v>8550077.5654899403</v>
      </c>
      <c r="C2081">
        <v>-9337933.4967326205</v>
      </c>
    </row>
    <row r="2082" spans="1:3" x14ac:dyDescent="0.25">
      <c r="A2082">
        <v>20160614</v>
      </c>
      <c r="B2082">
        <v>11252837.7658573</v>
      </c>
      <c r="C2082">
        <v>-6518942.5233244002</v>
      </c>
    </row>
    <row r="2083" spans="1:3" x14ac:dyDescent="0.25">
      <c r="A2083">
        <v>20160615</v>
      </c>
      <c r="B2083">
        <v>10835817.4402381</v>
      </c>
      <c r="C2083">
        <v>5059859.12659017</v>
      </c>
    </row>
    <row r="2084" spans="1:3" x14ac:dyDescent="0.25">
      <c r="A2084">
        <v>20160616</v>
      </c>
      <c r="B2084">
        <v>9589952.5995961502</v>
      </c>
      <c r="C2084">
        <v>11361975.650757801</v>
      </c>
    </row>
    <row r="2085" spans="1:3" x14ac:dyDescent="0.25">
      <c r="A2085">
        <v>20160617</v>
      </c>
      <c r="B2085">
        <v>3926310.4454547102</v>
      </c>
      <c r="C2085">
        <v>5475413.4469042402</v>
      </c>
    </row>
    <row r="2086" spans="1:3" x14ac:dyDescent="0.25">
      <c r="A2086">
        <v>20160620</v>
      </c>
      <c r="B2086">
        <v>-3250688.7407374601</v>
      </c>
      <c r="C2086">
        <v>7498678.3375395201</v>
      </c>
    </row>
    <row r="2087" spans="1:3" x14ac:dyDescent="0.25">
      <c r="A2087">
        <v>20160621</v>
      </c>
      <c r="B2087">
        <v>-3949065.62731092</v>
      </c>
      <c r="C2087">
        <v>4989004.3544487804</v>
      </c>
    </row>
    <row r="2088" spans="1:3" x14ac:dyDescent="0.25">
      <c r="A2088">
        <v>20160622</v>
      </c>
      <c r="B2088">
        <v>-4500605.6718959296</v>
      </c>
      <c r="C2088">
        <v>507861.85227835801</v>
      </c>
    </row>
    <row r="2089" spans="1:3" x14ac:dyDescent="0.25">
      <c r="A2089">
        <v>20160623</v>
      </c>
      <c r="B2089">
        <v>-4089796.78415085</v>
      </c>
      <c r="C2089">
        <v>-7232414.83210357</v>
      </c>
    </row>
    <row r="2090" spans="1:3" x14ac:dyDescent="0.25">
      <c r="A2090">
        <v>20160624</v>
      </c>
      <c r="B2090">
        <v>11609608.534303101</v>
      </c>
      <c r="C2090">
        <v>3314775.81260711</v>
      </c>
    </row>
    <row r="2091" spans="1:3" x14ac:dyDescent="0.25">
      <c r="A2091">
        <v>20160627</v>
      </c>
      <c r="B2091">
        <v>29487571.429984599</v>
      </c>
      <c r="C2091">
        <v>18493802.869020302</v>
      </c>
    </row>
    <row r="2092" spans="1:3" x14ac:dyDescent="0.25">
      <c r="A2092">
        <v>20160628</v>
      </c>
      <c r="B2092">
        <v>18389911.4349158</v>
      </c>
      <c r="C2092">
        <v>24737766.130420599</v>
      </c>
    </row>
    <row r="2093" spans="1:3" x14ac:dyDescent="0.25">
      <c r="A2093">
        <v>20160629</v>
      </c>
      <c r="B2093">
        <v>17197093.666399099</v>
      </c>
      <c r="C2093">
        <v>23557850.338142999</v>
      </c>
    </row>
    <row r="2094" spans="1:3" x14ac:dyDescent="0.25">
      <c r="A2094">
        <v>20160630</v>
      </c>
      <c r="B2094">
        <v>17194564.205020301</v>
      </c>
      <c r="C2094">
        <v>26298118.3219775</v>
      </c>
    </row>
    <row r="2095" spans="1:3" x14ac:dyDescent="0.25">
      <c r="A2095">
        <v>20160701</v>
      </c>
      <c r="B2095">
        <v>-326929.36619798001</v>
      </c>
      <c r="C2095">
        <v>17901169.005155601</v>
      </c>
    </row>
    <row r="2096" spans="1:3" x14ac:dyDescent="0.25">
      <c r="A2096">
        <v>20160704</v>
      </c>
      <c r="B2096">
        <v>-11345565.511845199</v>
      </c>
      <c r="C2096">
        <v>-3578277.8711095001</v>
      </c>
    </row>
    <row r="2097" spans="1:3" x14ac:dyDescent="0.25">
      <c r="A2097">
        <v>20160705</v>
      </c>
      <c r="B2097">
        <v>-4151923.6046862002</v>
      </c>
      <c r="C2097">
        <v>-5672120.3634245396</v>
      </c>
    </row>
    <row r="2098" spans="1:3" x14ac:dyDescent="0.25">
      <c r="A2098">
        <v>20160706</v>
      </c>
      <c r="B2098">
        <v>-1659906.24570071</v>
      </c>
      <c r="C2098">
        <v>-4753293.6201974396</v>
      </c>
    </row>
    <row r="2099" spans="1:3" x14ac:dyDescent="0.25">
      <c r="A2099">
        <v>20160707</v>
      </c>
      <c r="B2099">
        <v>-3815078.9371474902</v>
      </c>
      <c r="C2099">
        <v>-13597781.0131233</v>
      </c>
    </row>
    <row r="2100" spans="1:3" x14ac:dyDescent="0.25">
      <c r="A2100">
        <v>20160708</v>
      </c>
      <c r="B2100">
        <v>4817636.2022079099</v>
      </c>
      <c r="C2100">
        <v>13086356.102453699</v>
      </c>
    </row>
    <row r="2101" spans="1:3" x14ac:dyDescent="0.25">
      <c r="A2101">
        <v>20160711</v>
      </c>
      <c r="B2101">
        <v>4024286.1066024601</v>
      </c>
      <c r="C2101">
        <v>27538114.698859598</v>
      </c>
    </row>
    <row r="2102" spans="1:3" x14ac:dyDescent="0.25">
      <c r="A2102">
        <v>20160712</v>
      </c>
      <c r="B2102">
        <v>279585.36012111598</v>
      </c>
      <c r="C2102">
        <v>18254990.290101599</v>
      </c>
    </row>
    <row r="2103" spans="1:3" x14ac:dyDescent="0.25">
      <c r="A2103">
        <v>20160713</v>
      </c>
      <c r="B2103">
        <v>-1796726.18733532</v>
      </c>
      <c r="C2103">
        <v>9569414.6014768705</v>
      </c>
    </row>
    <row r="2104" spans="1:3" x14ac:dyDescent="0.25">
      <c r="A2104">
        <v>20160714</v>
      </c>
      <c r="B2104">
        <v>-3592062.7150799502</v>
      </c>
      <c r="C2104">
        <v>15122172.501147499</v>
      </c>
    </row>
    <row r="2105" spans="1:3" x14ac:dyDescent="0.25">
      <c r="A2105">
        <v>20160715</v>
      </c>
      <c r="B2105">
        <v>-4568239.6670880998</v>
      </c>
      <c r="C2105">
        <v>-6156622.3257485796</v>
      </c>
    </row>
    <row r="2106" spans="1:3" x14ac:dyDescent="0.25">
      <c r="A2106">
        <v>20160718</v>
      </c>
      <c r="B2106">
        <v>-3524645.8093723701</v>
      </c>
      <c r="C2106">
        <v>-10376642.527546201</v>
      </c>
    </row>
    <row r="2107" spans="1:3" x14ac:dyDescent="0.25">
      <c r="A2107">
        <v>20160719</v>
      </c>
      <c r="B2107">
        <v>-468233.38954108697</v>
      </c>
      <c r="C2107">
        <v>-5492825.3253868502</v>
      </c>
    </row>
    <row r="2108" spans="1:3" x14ac:dyDescent="0.25">
      <c r="A2108">
        <v>20160720</v>
      </c>
      <c r="B2108">
        <v>1231759.7048953399</v>
      </c>
      <c r="C2108">
        <v>4015702.7614147901</v>
      </c>
    </row>
    <row r="2109" spans="1:3" x14ac:dyDescent="0.25">
      <c r="A2109">
        <v>20160721</v>
      </c>
      <c r="B2109">
        <v>3122254.35395389</v>
      </c>
      <c r="C2109">
        <v>3686070.5220249002</v>
      </c>
    </row>
    <row r="2110" spans="1:3" x14ac:dyDescent="0.25">
      <c r="A2110">
        <v>20160722</v>
      </c>
      <c r="B2110">
        <v>2876769.4077748801</v>
      </c>
      <c r="C2110">
        <v>18429463.058512501</v>
      </c>
    </row>
    <row r="2111" spans="1:3" x14ac:dyDescent="0.25">
      <c r="A2111">
        <v>20160725</v>
      </c>
      <c r="B2111">
        <v>2718202.569255</v>
      </c>
      <c r="C2111">
        <v>18456779.694131698</v>
      </c>
    </row>
    <row r="2112" spans="1:3" x14ac:dyDescent="0.25">
      <c r="A2112">
        <v>20160726</v>
      </c>
      <c r="B2112">
        <v>2353840.1850404898</v>
      </c>
      <c r="C2112">
        <v>15780068.4579782</v>
      </c>
    </row>
    <row r="2113" spans="1:3" x14ac:dyDescent="0.25">
      <c r="A2113">
        <v>20160727</v>
      </c>
      <c r="B2113">
        <v>7313106.08517987</v>
      </c>
      <c r="C2113">
        <v>14618683.6425425</v>
      </c>
    </row>
    <row r="2114" spans="1:3" x14ac:dyDescent="0.25">
      <c r="A2114">
        <v>20160728</v>
      </c>
      <c r="B2114">
        <v>4840087.9184488803</v>
      </c>
      <c r="C2114">
        <v>17635783.177253</v>
      </c>
    </row>
    <row r="2115" spans="1:3" x14ac:dyDescent="0.25">
      <c r="A2115">
        <v>20160729</v>
      </c>
      <c r="B2115">
        <v>-2534451.30834474</v>
      </c>
      <c r="C2115">
        <v>-2918679.3295386001</v>
      </c>
    </row>
    <row r="2116" spans="1:3" x14ac:dyDescent="0.25">
      <c r="A2116">
        <v>20160801</v>
      </c>
      <c r="B2116">
        <v>-732059.48803561903</v>
      </c>
      <c r="C2116">
        <v>2182998.73043101</v>
      </c>
    </row>
    <row r="2117" spans="1:3" x14ac:dyDescent="0.25">
      <c r="A2117">
        <v>20160802</v>
      </c>
      <c r="B2117">
        <v>-4658388.0179053396</v>
      </c>
      <c r="C2117">
        <v>-417325.28577948001</v>
      </c>
    </row>
    <row r="2118" spans="1:3" x14ac:dyDescent="0.25">
      <c r="A2118">
        <v>20160803</v>
      </c>
      <c r="B2118">
        <v>-6997591.4489532504</v>
      </c>
      <c r="C2118">
        <v>-2484993.2775258399</v>
      </c>
    </row>
    <row r="2119" spans="1:3" x14ac:dyDescent="0.25">
      <c r="A2119">
        <v>20160804</v>
      </c>
      <c r="B2119">
        <v>-2127679.4361997698</v>
      </c>
      <c r="C2119">
        <v>-6090754.6162956497</v>
      </c>
    </row>
    <row r="2120" spans="1:3" x14ac:dyDescent="0.25">
      <c r="A2120">
        <v>20160805</v>
      </c>
      <c r="B2120">
        <v>8409185.8225455098</v>
      </c>
      <c r="C2120">
        <v>17088293.508882798</v>
      </c>
    </row>
    <row r="2121" spans="1:3" x14ac:dyDescent="0.25">
      <c r="A2121">
        <v>20160808</v>
      </c>
      <c r="B2121">
        <v>7550044.4707970796</v>
      </c>
      <c r="C2121">
        <v>10529430.409391301</v>
      </c>
    </row>
    <row r="2122" spans="1:3" x14ac:dyDescent="0.25">
      <c r="A2122">
        <v>20160809</v>
      </c>
      <c r="B2122">
        <v>9721943.8564142101</v>
      </c>
      <c r="C2122">
        <v>15163949.097062699</v>
      </c>
    </row>
    <row r="2123" spans="1:3" x14ac:dyDescent="0.25">
      <c r="A2123">
        <v>20160810</v>
      </c>
      <c r="B2123">
        <v>5223357.6544549903</v>
      </c>
      <c r="C2123">
        <v>14669268.4131249</v>
      </c>
    </row>
    <row r="2124" spans="1:3" x14ac:dyDescent="0.25">
      <c r="A2124">
        <v>20160811</v>
      </c>
      <c r="B2124">
        <v>632052.06999220699</v>
      </c>
      <c r="C2124">
        <v>13604665.703506101</v>
      </c>
    </row>
    <row r="2125" spans="1:3" x14ac:dyDescent="0.25">
      <c r="A2125">
        <v>20160812</v>
      </c>
      <c r="B2125">
        <v>-5336308.9732262501</v>
      </c>
      <c r="C2125">
        <v>-11714774.3339586</v>
      </c>
    </row>
    <row r="2126" spans="1:3" x14ac:dyDescent="0.25">
      <c r="A2126">
        <v>20160815</v>
      </c>
      <c r="B2126">
        <v>-7662596.77809704</v>
      </c>
      <c r="C2126">
        <v>-13048278.281196199</v>
      </c>
    </row>
    <row r="2127" spans="1:3" x14ac:dyDescent="0.25">
      <c r="A2127">
        <v>20160816</v>
      </c>
      <c r="B2127">
        <v>-11177054.622247601</v>
      </c>
      <c r="C2127">
        <v>-14931941.6165346</v>
      </c>
    </row>
    <row r="2128" spans="1:3" x14ac:dyDescent="0.25">
      <c r="A2128">
        <v>20160817</v>
      </c>
      <c r="B2128">
        <v>-10196894.447838699</v>
      </c>
      <c r="C2128">
        <v>-19802419.664700001</v>
      </c>
    </row>
    <row r="2129" spans="1:3" x14ac:dyDescent="0.25">
      <c r="A2129">
        <v>20160818</v>
      </c>
      <c r="B2129">
        <v>-9791676.2138721794</v>
      </c>
      <c r="C2129">
        <v>-25788746.338296801</v>
      </c>
    </row>
    <row r="2130" spans="1:3" x14ac:dyDescent="0.25">
      <c r="A2130">
        <v>20160819</v>
      </c>
      <c r="B2130">
        <v>-11883902.268002501</v>
      </c>
      <c r="C2130">
        <v>-9388436.4732223991</v>
      </c>
    </row>
    <row r="2131" spans="1:3" x14ac:dyDescent="0.25">
      <c r="A2131">
        <v>20160822</v>
      </c>
      <c r="B2131">
        <v>-5324031.9500803398</v>
      </c>
      <c r="C2131">
        <v>-8931248.5951699801</v>
      </c>
    </row>
    <row r="2132" spans="1:3" x14ac:dyDescent="0.25">
      <c r="A2132">
        <v>20160823</v>
      </c>
      <c r="B2132">
        <v>-757721.41362781601</v>
      </c>
      <c r="C2132">
        <v>-11110991.7304869</v>
      </c>
    </row>
    <row r="2133" spans="1:3" x14ac:dyDescent="0.25">
      <c r="A2133">
        <v>20160824</v>
      </c>
      <c r="B2133">
        <v>3893186.82961741</v>
      </c>
      <c r="C2133">
        <v>-7627318.69110661</v>
      </c>
    </row>
    <row r="2134" spans="1:3" x14ac:dyDescent="0.25">
      <c r="A2134">
        <v>20160825</v>
      </c>
      <c r="B2134">
        <v>1806189.52192561</v>
      </c>
      <c r="C2134">
        <v>351211.15136073</v>
      </c>
    </row>
    <row r="2135" spans="1:3" x14ac:dyDescent="0.25">
      <c r="A2135">
        <v>20160826</v>
      </c>
      <c r="B2135">
        <v>3359936.0192006901</v>
      </c>
      <c r="C2135">
        <v>-8352319.4369765399</v>
      </c>
    </row>
    <row r="2136" spans="1:3" x14ac:dyDescent="0.25">
      <c r="A2136">
        <v>20160829</v>
      </c>
      <c r="B2136">
        <v>8792011.1533995196</v>
      </c>
      <c r="C2136">
        <v>-2297622.09094573</v>
      </c>
    </row>
    <row r="2137" spans="1:3" x14ac:dyDescent="0.25">
      <c r="A2137">
        <v>20160830</v>
      </c>
      <c r="B2137">
        <v>9009091.4259307999</v>
      </c>
      <c r="C2137">
        <v>4822007.1531455005</v>
      </c>
    </row>
    <row r="2138" spans="1:3" x14ac:dyDescent="0.25">
      <c r="A2138">
        <v>20160831</v>
      </c>
      <c r="B2138">
        <v>3971548.40577573</v>
      </c>
      <c r="C2138">
        <v>11482574.613720199</v>
      </c>
    </row>
    <row r="2139" spans="1:3" x14ac:dyDescent="0.25">
      <c r="A2139">
        <v>20160901</v>
      </c>
      <c r="B2139">
        <v>4087714.46195328</v>
      </c>
      <c r="C2139">
        <v>8825241.4584948495</v>
      </c>
    </row>
    <row r="2140" spans="1:3" x14ac:dyDescent="0.25">
      <c r="A2140">
        <v>20160902</v>
      </c>
      <c r="B2140">
        <v>5961562.8839386804</v>
      </c>
      <c r="C2140">
        <v>6071004.4608967099</v>
      </c>
    </row>
    <row r="2141" spans="1:3" x14ac:dyDescent="0.25">
      <c r="A2141">
        <v>20160905</v>
      </c>
      <c r="B2141">
        <v>880098.75424025697</v>
      </c>
      <c r="C2141">
        <v>-7567446.38672191</v>
      </c>
    </row>
    <row r="2142" spans="1:3" x14ac:dyDescent="0.25">
      <c r="A2142">
        <v>20160906</v>
      </c>
      <c r="B2142">
        <v>-2780373.4931884999</v>
      </c>
      <c r="C2142">
        <v>-11290050.640983</v>
      </c>
    </row>
    <row r="2143" spans="1:3" x14ac:dyDescent="0.25">
      <c r="A2143">
        <v>20160907</v>
      </c>
      <c r="B2143">
        <v>-3544518.9334279601</v>
      </c>
      <c r="C2143">
        <v>-3832861.2983584101</v>
      </c>
    </row>
    <row r="2144" spans="1:3" x14ac:dyDescent="0.25">
      <c r="A2144">
        <v>20160908</v>
      </c>
      <c r="B2144">
        <v>-4455646.7998521402</v>
      </c>
      <c r="C2144">
        <v>-1014938.0525821201</v>
      </c>
    </row>
    <row r="2145" spans="1:3" x14ac:dyDescent="0.25">
      <c r="A2145">
        <v>20160909</v>
      </c>
      <c r="B2145">
        <v>-4278862.8494523298</v>
      </c>
      <c r="C2145">
        <v>3536164.3431436499</v>
      </c>
    </row>
    <row r="2146" spans="1:3" x14ac:dyDescent="0.25">
      <c r="A2146">
        <v>20160912</v>
      </c>
      <c r="B2146">
        <v>-4558048.0156574296</v>
      </c>
      <c r="C2146">
        <v>13279826.0281613</v>
      </c>
    </row>
    <row r="2147" spans="1:3" x14ac:dyDescent="0.25">
      <c r="A2147">
        <v>20160913</v>
      </c>
      <c r="B2147">
        <v>-4104529.1732941698</v>
      </c>
      <c r="C2147">
        <v>19272279.752161901</v>
      </c>
    </row>
    <row r="2148" spans="1:3" x14ac:dyDescent="0.25">
      <c r="A2148">
        <v>20160914</v>
      </c>
      <c r="B2148">
        <v>-4259420.0774384504</v>
      </c>
      <c r="C2148">
        <v>9860977.5300255604</v>
      </c>
    </row>
    <row r="2149" spans="1:3" x14ac:dyDescent="0.25">
      <c r="A2149">
        <v>20160915</v>
      </c>
      <c r="B2149">
        <v>2004815.18958214</v>
      </c>
      <c r="C2149">
        <v>7468055.5759227201</v>
      </c>
    </row>
    <row r="2150" spans="1:3" x14ac:dyDescent="0.25">
      <c r="A2150">
        <v>20160916</v>
      </c>
      <c r="B2150">
        <v>6210576.9407316903</v>
      </c>
      <c r="C2150">
        <v>13011143.7779791</v>
      </c>
    </row>
    <row r="2151" spans="1:3" x14ac:dyDescent="0.25">
      <c r="A2151">
        <v>20160919</v>
      </c>
      <c r="B2151">
        <v>2300865.5466564298</v>
      </c>
      <c r="C2151">
        <v>11848345.328134701</v>
      </c>
    </row>
    <row r="2152" spans="1:3" x14ac:dyDescent="0.25">
      <c r="A2152">
        <v>20160920</v>
      </c>
      <c r="B2152">
        <v>13113274.021588501</v>
      </c>
      <c r="C2152">
        <v>10417840.559151299</v>
      </c>
    </row>
    <row r="2153" spans="1:3" x14ac:dyDescent="0.25">
      <c r="A2153">
        <v>20160921</v>
      </c>
      <c r="B2153">
        <v>13224238.602173399</v>
      </c>
      <c r="C2153">
        <v>7216897.6192468302</v>
      </c>
    </row>
    <row r="2154" spans="1:3" x14ac:dyDescent="0.25">
      <c r="A2154">
        <v>20160922</v>
      </c>
      <c r="B2154">
        <v>7404399.79390678</v>
      </c>
      <c r="C2154">
        <v>1331928.35760415</v>
      </c>
    </row>
    <row r="2155" spans="1:3" x14ac:dyDescent="0.25">
      <c r="A2155">
        <v>20160923</v>
      </c>
      <c r="B2155">
        <v>3809841.86356145</v>
      </c>
      <c r="C2155">
        <v>4321719.1844337704</v>
      </c>
    </row>
    <row r="2156" spans="1:3" x14ac:dyDescent="0.25">
      <c r="A2156">
        <v>20160926</v>
      </c>
      <c r="B2156">
        <v>5722098.3859492</v>
      </c>
      <c r="C2156">
        <v>6283820.0098268697</v>
      </c>
    </row>
    <row r="2157" spans="1:3" x14ac:dyDescent="0.25">
      <c r="A2157">
        <v>20160927</v>
      </c>
      <c r="B2157">
        <v>-1663652.7254668199</v>
      </c>
      <c r="C2157">
        <v>13999219.924760301</v>
      </c>
    </row>
    <row r="2158" spans="1:3" x14ac:dyDescent="0.25">
      <c r="A2158">
        <v>20160928</v>
      </c>
      <c r="B2158">
        <v>-342814.25103066099</v>
      </c>
      <c r="C2158">
        <v>14352780.6683766</v>
      </c>
    </row>
    <row r="2159" spans="1:3" x14ac:dyDescent="0.25">
      <c r="A2159">
        <v>20160929</v>
      </c>
      <c r="B2159">
        <v>4941644.0186288999</v>
      </c>
      <c r="C2159">
        <v>3737674.9839484901</v>
      </c>
    </row>
    <row r="2160" spans="1:3" x14ac:dyDescent="0.25">
      <c r="A2160">
        <v>20160930</v>
      </c>
      <c r="B2160">
        <v>-299326.75710261398</v>
      </c>
      <c r="C2160">
        <v>372288.82738496998</v>
      </c>
    </row>
    <row r="2161" spans="1:3" x14ac:dyDescent="0.25">
      <c r="A2161">
        <v>20161003</v>
      </c>
      <c r="B2161">
        <v>-2944939.65849707</v>
      </c>
      <c r="C2161">
        <v>-979040.84861578594</v>
      </c>
    </row>
    <row r="2162" spans="1:3" x14ac:dyDescent="0.25">
      <c r="A2162">
        <v>20161004</v>
      </c>
      <c r="B2162">
        <v>37951.170013807699</v>
      </c>
      <c r="C2162">
        <v>-8920719.0078820009</v>
      </c>
    </row>
    <row r="2163" spans="1:3" x14ac:dyDescent="0.25">
      <c r="A2163">
        <v>20161005</v>
      </c>
      <c r="B2163">
        <v>-3098494.1662540198</v>
      </c>
      <c r="C2163">
        <v>-6825670.2597867204</v>
      </c>
    </row>
    <row r="2164" spans="1:3" x14ac:dyDescent="0.25">
      <c r="A2164">
        <v>20161006</v>
      </c>
      <c r="B2164">
        <v>-2972500.1621673098</v>
      </c>
      <c r="C2164">
        <v>15060048.181369999</v>
      </c>
    </row>
    <row r="2165" spans="1:3" x14ac:dyDescent="0.25">
      <c r="A2165">
        <v>20161007</v>
      </c>
      <c r="B2165">
        <v>-263455.40757178498</v>
      </c>
      <c r="C2165">
        <v>11573569.5658461</v>
      </c>
    </row>
    <row r="2166" spans="1:3" x14ac:dyDescent="0.25">
      <c r="A2166">
        <v>20161010</v>
      </c>
      <c r="B2166">
        <v>3648518.1520295199</v>
      </c>
      <c r="C2166">
        <v>-570615.22471271001</v>
      </c>
    </row>
    <row r="2167" spans="1:3" x14ac:dyDescent="0.25">
      <c r="A2167">
        <v>20161011</v>
      </c>
      <c r="B2167">
        <v>-447257.98964694102</v>
      </c>
      <c r="C2167">
        <v>-3430705.3536141999</v>
      </c>
    </row>
    <row r="2168" spans="1:3" x14ac:dyDescent="0.25">
      <c r="A2168">
        <v>20161012</v>
      </c>
      <c r="B2168">
        <v>6438781.8567194603</v>
      </c>
      <c r="C2168">
        <v>401951.7135439</v>
      </c>
    </row>
    <row r="2169" spans="1:3" x14ac:dyDescent="0.25">
      <c r="A2169">
        <v>20161013</v>
      </c>
      <c r="B2169">
        <v>3917586.9933211701</v>
      </c>
      <c r="C2169">
        <v>-10459678.7888931</v>
      </c>
    </row>
    <row r="2170" spans="1:3" x14ac:dyDescent="0.25">
      <c r="A2170">
        <v>20161014</v>
      </c>
      <c r="B2170">
        <v>7150489.2006903403</v>
      </c>
      <c r="C2170">
        <v>-17885509.166379299</v>
      </c>
    </row>
    <row r="2171" spans="1:3" x14ac:dyDescent="0.25">
      <c r="A2171">
        <v>20161017</v>
      </c>
      <c r="B2171">
        <v>8422380.6573862396</v>
      </c>
      <c r="C2171">
        <v>-10330732.4918178</v>
      </c>
    </row>
    <row r="2172" spans="1:3" x14ac:dyDescent="0.25">
      <c r="A2172">
        <v>20161018</v>
      </c>
      <c r="B2172">
        <v>7191740.1671079304</v>
      </c>
      <c r="C2172">
        <v>-8315251.8146711905</v>
      </c>
    </row>
    <row r="2173" spans="1:3" x14ac:dyDescent="0.25">
      <c r="A2173">
        <v>20161019</v>
      </c>
      <c r="B2173">
        <v>4022099.06810808</v>
      </c>
      <c r="C2173">
        <v>-22798785.094203301</v>
      </c>
    </row>
    <row r="2174" spans="1:3" x14ac:dyDescent="0.25">
      <c r="A2174">
        <v>20161020</v>
      </c>
      <c r="B2174">
        <v>6927672.1204081802</v>
      </c>
      <c r="C2174">
        <v>3448260.9577506701</v>
      </c>
    </row>
    <row r="2175" spans="1:3" x14ac:dyDescent="0.25">
      <c r="A2175">
        <v>20161021</v>
      </c>
      <c r="B2175">
        <v>8639502.9199462496</v>
      </c>
      <c r="C2175">
        <v>16745671.7787925</v>
      </c>
    </row>
    <row r="2176" spans="1:3" x14ac:dyDescent="0.25">
      <c r="A2176">
        <v>20161024</v>
      </c>
      <c r="B2176">
        <v>4639779.7546003498</v>
      </c>
      <c r="C2176">
        <v>22937159.2270259</v>
      </c>
    </row>
    <row r="2177" spans="1:3" x14ac:dyDescent="0.25">
      <c r="A2177">
        <v>20161025</v>
      </c>
      <c r="B2177">
        <v>5861557.0138424598</v>
      </c>
      <c r="C2177">
        <v>19972694.838289</v>
      </c>
    </row>
    <row r="2178" spans="1:3" x14ac:dyDescent="0.25">
      <c r="A2178">
        <v>20161026</v>
      </c>
      <c r="B2178">
        <v>2000706.2725338801</v>
      </c>
      <c r="C2178">
        <v>26065148.6044164</v>
      </c>
    </row>
    <row r="2179" spans="1:3" x14ac:dyDescent="0.25">
      <c r="A2179">
        <v>20161027</v>
      </c>
      <c r="B2179">
        <v>-1647063.4526903401</v>
      </c>
      <c r="C2179">
        <v>7447920.4349943902</v>
      </c>
    </row>
    <row r="2180" spans="1:3" x14ac:dyDescent="0.25">
      <c r="A2180">
        <v>20161028</v>
      </c>
      <c r="B2180">
        <v>-3923566.23222089</v>
      </c>
      <c r="C2180">
        <v>-2845346.6716173198</v>
      </c>
    </row>
    <row r="2181" spans="1:3" x14ac:dyDescent="0.25">
      <c r="A2181">
        <v>20161031</v>
      </c>
      <c r="B2181">
        <v>-4127258.49129275</v>
      </c>
      <c r="C2181">
        <v>-743668.471113106</v>
      </c>
    </row>
    <row r="2182" spans="1:3" x14ac:dyDescent="0.25">
      <c r="A2182">
        <v>20161101</v>
      </c>
      <c r="B2182">
        <v>-13196866.4430249</v>
      </c>
      <c r="C2182">
        <v>-7067896.0761110997</v>
      </c>
    </row>
    <row r="2183" spans="1:3" x14ac:dyDescent="0.25">
      <c r="A2183">
        <v>20161102</v>
      </c>
      <c r="B2183">
        <v>-11705127.3350567</v>
      </c>
      <c r="C2183">
        <v>-4867786.9418710303</v>
      </c>
    </row>
    <row r="2184" spans="1:3" x14ac:dyDescent="0.25">
      <c r="A2184">
        <v>20161103</v>
      </c>
      <c r="B2184">
        <v>-9519944.7353143599</v>
      </c>
      <c r="C2184">
        <v>-3035461.4972443702</v>
      </c>
    </row>
    <row r="2185" spans="1:3" x14ac:dyDescent="0.25">
      <c r="A2185">
        <v>20161104</v>
      </c>
      <c r="B2185">
        <v>-10957757.7794737</v>
      </c>
      <c r="C2185">
        <v>-28583.719141915499</v>
      </c>
    </row>
    <row r="2186" spans="1:3" x14ac:dyDescent="0.25">
      <c r="A2186">
        <v>20161107</v>
      </c>
      <c r="B2186">
        <v>-4463225.9117356399</v>
      </c>
      <c r="C2186">
        <v>-4658637.7917153602</v>
      </c>
    </row>
    <row r="2187" spans="1:3" x14ac:dyDescent="0.25">
      <c r="A2187">
        <v>20161108</v>
      </c>
      <c r="B2187">
        <v>1726581.6156448601</v>
      </c>
      <c r="C2187">
        <v>-1069870.6066743699</v>
      </c>
    </row>
    <row r="2188" spans="1:3" x14ac:dyDescent="0.25">
      <c r="A2188">
        <v>20161109</v>
      </c>
      <c r="B2188">
        <v>4904231.0374726504</v>
      </c>
      <c r="C2188">
        <v>242324.35275651101</v>
      </c>
    </row>
    <row r="2189" spans="1:3" x14ac:dyDescent="0.25">
      <c r="A2189">
        <v>20161110</v>
      </c>
      <c r="B2189">
        <v>1540347.78090171</v>
      </c>
      <c r="C2189">
        <v>-14918179.8089316</v>
      </c>
    </row>
    <row r="2190" spans="1:3" x14ac:dyDescent="0.25">
      <c r="A2190">
        <v>20161111</v>
      </c>
      <c r="B2190">
        <v>3442093.6025611698</v>
      </c>
      <c r="C2190">
        <v>-30807709.442831799</v>
      </c>
    </row>
    <row r="2191" spans="1:3" x14ac:dyDescent="0.25">
      <c r="A2191">
        <v>20161114</v>
      </c>
      <c r="B2191">
        <v>4341529.6555023696</v>
      </c>
      <c r="C2191">
        <v>-33396576.879192699</v>
      </c>
    </row>
    <row r="2192" spans="1:3" x14ac:dyDescent="0.25">
      <c r="A2192">
        <v>20161115</v>
      </c>
      <c r="B2192">
        <v>9011636.2499604207</v>
      </c>
      <c r="C2192">
        <v>-35713240.383470498</v>
      </c>
    </row>
    <row r="2193" spans="1:3" x14ac:dyDescent="0.25">
      <c r="A2193">
        <v>20161116</v>
      </c>
      <c r="B2193">
        <v>2030086.00952528</v>
      </c>
      <c r="C2193">
        <v>-41527363.869109899</v>
      </c>
    </row>
    <row r="2194" spans="1:3" x14ac:dyDescent="0.25">
      <c r="A2194">
        <v>20161117</v>
      </c>
      <c r="B2194">
        <v>6925543.0109904604</v>
      </c>
      <c r="C2194">
        <v>-31061928.970947798</v>
      </c>
    </row>
    <row r="2195" spans="1:3" x14ac:dyDescent="0.25">
      <c r="A2195">
        <v>20161118</v>
      </c>
      <c r="B2195">
        <v>15387766.703251099</v>
      </c>
      <c r="C2195">
        <v>-12478417.043855401</v>
      </c>
    </row>
    <row r="2196" spans="1:3" x14ac:dyDescent="0.25">
      <c r="A2196">
        <v>20161121</v>
      </c>
      <c r="B2196">
        <v>8947330.6556743197</v>
      </c>
      <c r="C2196">
        <v>-17114411.320751101</v>
      </c>
    </row>
    <row r="2197" spans="1:3" x14ac:dyDescent="0.25">
      <c r="A2197">
        <v>20161122</v>
      </c>
      <c r="B2197">
        <v>3438959.69674571</v>
      </c>
      <c r="C2197">
        <v>-9252143.6230570599</v>
      </c>
    </row>
    <row r="2198" spans="1:3" x14ac:dyDescent="0.25">
      <c r="A2198">
        <v>20161123</v>
      </c>
      <c r="B2198">
        <v>15296320.7193827</v>
      </c>
      <c r="C2198">
        <v>-4711441.7013670597</v>
      </c>
    </row>
    <row r="2199" spans="1:3" x14ac:dyDescent="0.25">
      <c r="A2199">
        <v>20161124</v>
      </c>
      <c r="B2199">
        <v>12007265.350871</v>
      </c>
      <c r="C2199">
        <v>-4422452.7863515504</v>
      </c>
    </row>
    <row r="2200" spans="1:3" x14ac:dyDescent="0.25">
      <c r="A2200">
        <v>20161125</v>
      </c>
      <c r="B2200">
        <v>-2238794.9179247199</v>
      </c>
      <c r="C2200">
        <v>-6380928.2388917301</v>
      </c>
    </row>
    <row r="2201" spans="1:3" x14ac:dyDescent="0.25">
      <c r="A2201">
        <v>20161128</v>
      </c>
      <c r="B2201">
        <v>5623302.8851003796</v>
      </c>
      <c r="C2201">
        <v>-4940508.2591286199</v>
      </c>
    </row>
    <row r="2202" spans="1:3" x14ac:dyDescent="0.25">
      <c r="A2202">
        <v>20161129</v>
      </c>
      <c r="B2202">
        <v>6193022.77224248</v>
      </c>
      <c r="C2202">
        <v>-7047151.4372611102</v>
      </c>
    </row>
    <row r="2203" spans="1:3" x14ac:dyDescent="0.25">
      <c r="A2203">
        <v>20161130</v>
      </c>
      <c r="B2203">
        <v>-680012.91281278199</v>
      </c>
      <c r="C2203">
        <v>-3967055.6035859901</v>
      </c>
    </row>
    <row r="2204" spans="1:3" x14ac:dyDescent="0.25">
      <c r="A2204">
        <v>20161201</v>
      </c>
      <c r="B2204">
        <v>-1914447.4294088001</v>
      </c>
      <c r="C2204">
        <v>-20353882.694659699</v>
      </c>
    </row>
    <row r="2205" spans="1:3" x14ac:dyDescent="0.25">
      <c r="A2205">
        <v>20161202</v>
      </c>
      <c r="B2205">
        <v>2389490.2701527001</v>
      </c>
      <c r="C2205">
        <v>-22086095.850497801</v>
      </c>
    </row>
    <row r="2206" spans="1:3" x14ac:dyDescent="0.25">
      <c r="A2206">
        <v>20161205</v>
      </c>
      <c r="B2206">
        <v>-7665638.8613958601</v>
      </c>
      <c r="C2206">
        <v>-19112206.161986701</v>
      </c>
    </row>
    <row r="2207" spans="1:3" x14ac:dyDescent="0.25">
      <c r="A2207">
        <v>20161206</v>
      </c>
      <c r="B2207">
        <v>-9284950.7889551204</v>
      </c>
      <c r="C2207">
        <v>-8969240.3900874499</v>
      </c>
    </row>
    <row r="2208" spans="1:3" x14ac:dyDescent="0.25">
      <c r="A2208">
        <v>20161207</v>
      </c>
      <c r="B2208">
        <v>-10478741.0015551</v>
      </c>
      <c r="C2208">
        <v>-11973451.0633588</v>
      </c>
    </row>
    <row r="2209" spans="1:3" x14ac:dyDescent="0.25">
      <c r="A2209">
        <v>20161208</v>
      </c>
      <c r="B2209">
        <v>1112606.9855146799</v>
      </c>
      <c r="C2209">
        <v>6607883.2209455296</v>
      </c>
    </row>
    <row r="2210" spans="1:3" x14ac:dyDescent="0.25">
      <c r="A2210">
        <v>20161209</v>
      </c>
      <c r="B2210">
        <v>5498111.1296755699</v>
      </c>
      <c r="C2210">
        <v>-3440295.3232874</v>
      </c>
    </row>
    <row r="2211" spans="1:3" x14ac:dyDescent="0.25">
      <c r="A2211">
        <v>20161212</v>
      </c>
      <c r="B2211">
        <v>12430588.167654701</v>
      </c>
      <c r="C2211">
        <v>-5710488.7310945103</v>
      </c>
    </row>
    <row r="2212" spans="1:3" x14ac:dyDescent="0.25">
      <c r="A2212">
        <v>20161213</v>
      </c>
      <c r="B2212">
        <v>11644020.303157801</v>
      </c>
      <c r="C2212">
        <v>-16111751.3705405</v>
      </c>
    </row>
    <row r="2213" spans="1:3" x14ac:dyDescent="0.25">
      <c r="A2213">
        <v>20161214</v>
      </c>
      <c r="B2213">
        <v>14507619.4320409</v>
      </c>
      <c r="C2213">
        <v>-18111891.777564101</v>
      </c>
    </row>
    <row r="2214" spans="1:3" x14ac:dyDescent="0.25">
      <c r="A2214">
        <v>20161215</v>
      </c>
      <c r="B2214">
        <v>19304953.858452398</v>
      </c>
      <c r="C2214">
        <v>-7516797.7061692299</v>
      </c>
    </row>
    <row r="2215" spans="1:3" x14ac:dyDescent="0.25">
      <c r="A2215">
        <v>20161216</v>
      </c>
      <c r="B2215">
        <v>15696353.6228425</v>
      </c>
      <c r="C2215">
        <v>-261850.65425974</v>
      </c>
    </row>
    <row r="2216" spans="1:3" x14ac:dyDescent="0.25">
      <c r="A2216">
        <v>20161219</v>
      </c>
      <c r="B2216">
        <v>17021395.650707401</v>
      </c>
      <c r="C2216">
        <v>7380701.57614002</v>
      </c>
    </row>
    <row r="2217" spans="1:3" x14ac:dyDescent="0.25">
      <c r="A2217">
        <v>20161220</v>
      </c>
      <c r="B2217">
        <v>21215205.173527401</v>
      </c>
      <c r="C2217">
        <v>4558448.7205245998</v>
      </c>
    </row>
    <row r="2218" spans="1:3" x14ac:dyDescent="0.25">
      <c r="A2218">
        <v>20161221</v>
      </c>
      <c r="B2218">
        <v>18115104.232964601</v>
      </c>
      <c r="C2218">
        <v>13713538.4106015</v>
      </c>
    </row>
    <row r="2219" spans="1:3" x14ac:dyDescent="0.25">
      <c r="A2219">
        <v>20161222</v>
      </c>
      <c r="B2219">
        <v>4830880.21986169</v>
      </c>
      <c r="C2219">
        <v>12373744.836393399</v>
      </c>
    </row>
    <row r="2220" spans="1:3" x14ac:dyDescent="0.25">
      <c r="A2220">
        <v>20161223</v>
      </c>
      <c r="B2220">
        <v>1465128.0020729899</v>
      </c>
      <c r="C2220">
        <v>21243791.742823601</v>
      </c>
    </row>
    <row r="2221" spans="1:3" x14ac:dyDescent="0.25">
      <c r="A2221">
        <v>20161226</v>
      </c>
      <c r="B2221">
        <v>-531871.27723641205</v>
      </c>
      <c r="C2221">
        <v>17591189.354279999</v>
      </c>
    </row>
    <row r="2222" spans="1:3" x14ac:dyDescent="0.25">
      <c r="A2222">
        <v>20161227</v>
      </c>
      <c r="B2222">
        <v>-799440.73954059498</v>
      </c>
      <c r="C2222">
        <v>19491692.2177145</v>
      </c>
    </row>
    <row r="2223" spans="1:3" x14ac:dyDescent="0.25">
      <c r="A2223">
        <v>20161228</v>
      </c>
      <c r="B2223">
        <v>7055401.9029151602</v>
      </c>
      <c r="C2223">
        <v>12337153.222154601</v>
      </c>
    </row>
    <row r="2224" spans="1:3" x14ac:dyDescent="0.25">
      <c r="A2224">
        <v>20161229</v>
      </c>
      <c r="B2224">
        <v>5709819.5511547504</v>
      </c>
      <c r="C2224">
        <v>1839925.4363172699</v>
      </c>
    </row>
    <row r="2225" spans="1:3" x14ac:dyDescent="0.25">
      <c r="A2225">
        <v>20161230</v>
      </c>
      <c r="B2225">
        <v>-703994.02161683806</v>
      </c>
      <c r="C2225">
        <v>-9251415.3614654001</v>
      </c>
    </row>
    <row r="2226" spans="1:3" x14ac:dyDescent="0.25">
      <c r="A2226">
        <v>20170102</v>
      </c>
      <c r="B2226">
        <v>-1659961.5066024801</v>
      </c>
      <c r="C2226">
        <v>-6465883.7597022103</v>
      </c>
    </row>
    <row r="2227" spans="1:3" x14ac:dyDescent="0.25">
      <c r="A2227">
        <v>20170103</v>
      </c>
      <c r="B2227">
        <v>5339038.5110499803</v>
      </c>
      <c r="C2227">
        <v>-13696449.352614701</v>
      </c>
    </row>
    <row r="2228" spans="1:3" x14ac:dyDescent="0.25">
      <c r="A2228">
        <v>20170104</v>
      </c>
      <c r="B2228">
        <v>-6757608.3199613802</v>
      </c>
      <c r="C2228">
        <v>-19484392.660137501</v>
      </c>
    </row>
    <row r="2229" spans="1:3" x14ac:dyDescent="0.25">
      <c r="A2229">
        <v>20170105</v>
      </c>
      <c r="B2229">
        <v>-10088637.9105643</v>
      </c>
      <c r="C2229">
        <v>-18560354.518867899</v>
      </c>
    </row>
    <row r="2230" spans="1:3" x14ac:dyDescent="0.25">
      <c r="A2230">
        <v>20170106</v>
      </c>
      <c r="B2230">
        <v>-3711913.17894575</v>
      </c>
      <c r="C2230">
        <v>-14365782.831576001</v>
      </c>
    </row>
    <row r="2231" spans="1:3" x14ac:dyDescent="0.25">
      <c r="A2231">
        <v>20170109</v>
      </c>
      <c r="B2231">
        <v>-111192.944321496</v>
      </c>
      <c r="C2231">
        <v>-19463756.523927201</v>
      </c>
    </row>
    <row r="2232" spans="1:3" x14ac:dyDescent="0.25">
      <c r="A2232">
        <v>20170110</v>
      </c>
      <c r="B2232">
        <v>-12991097.0338393</v>
      </c>
      <c r="C2232">
        <v>-9453777.2156502008</v>
      </c>
    </row>
    <row r="2233" spans="1:3" x14ac:dyDescent="0.25">
      <c r="A2233">
        <v>20170111</v>
      </c>
      <c r="B2233">
        <v>36023.9271798357</v>
      </c>
      <c r="C2233">
        <v>-6678173.6499070404</v>
      </c>
    </row>
    <row r="2234" spans="1:3" x14ac:dyDescent="0.25">
      <c r="A2234">
        <v>20170112</v>
      </c>
      <c r="B2234">
        <v>296486.42377742002</v>
      </c>
      <c r="C2234">
        <v>-2226976.1649108701</v>
      </c>
    </row>
    <row r="2235" spans="1:3" x14ac:dyDescent="0.25">
      <c r="A2235">
        <v>20170113</v>
      </c>
      <c r="B2235">
        <v>1238557.2823339701</v>
      </c>
      <c r="C2235">
        <v>-4237440.1279224204</v>
      </c>
    </row>
    <row r="2236" spans="1:3" x14ac:dyDescent="0.25">
      <c r="A2236">
        <v>20170116</v>
      </c>
      <c r="B2236">
        <v>-737322.61769669503</v>
      </c>
      <c r="C2236">
        <v>-2593063.6049430799</v>
      </c>
    </row>
    <row r="2237" spans="1:3" x14ac:dyDescent="0.25">
      <c r="A2237">
        <v>20170117</v>
      </c>
      <c r="B2237">
        <v>2892787.1127663702</v>
      </c>
      <c r="C2237">
        <v>-8666457.0445748698</v>
      </c>
    </row>
    <row r="2238" spans="1:3" x14ac:dyDescent="0.25">
      <c r="A2238">
        <v>20170118</v>
      </c>
      <c r="B2238">
        <v>-2909368.10153929</v>
      </c>
      <c r="C2238">
        <v>206649.25161112999</v>
      </c>
    </row>
    <row r="2239" spans="1:3" x14ac:dyDescent="0.25">
      <c r="A2239">
        <v>20170119</v>
      </c>
      <c r="B2239">
        <v>12138479.6949629</v>
      </c>
      <c r="C2239">
        <v>12990765.0103123</v>
      </c>
    </row>
    <row r="2240" spans="1:3" x14ac:dyDescent="0.25">
      <c r="A2240">
        <v>20170120</v>
      </c>
      <c r="B2240">
        <v>5282257.9687745096</v>
      </c>
      <c r="C2240">
        <v>20904189.762596101</v>
      </c>
    </row>
    <row r="2241" spans="1:3" x14ac:dyDescent="0.25">
      <c r="A2241">
        <v>20170123</v>
      </c>
      <c r="B2241">
        <v>1637918.9723052499</v>
      </c>
      <c r="C2241">
        <v>25936068.441465002</v>
      </c>
    </row>
    <row r="2242" spans="1:3" x14ac:dyDescent="0.25">
      <c r="A2242">
        <v>20170124</v>
      </c>
      <c r="B2242">
        <v>4113536.47211402</v>
      </c>
      <c r="C2242">
        <v>17789062.575223699</v>
      </c>
    </row>
    <row r="2243" spans="1:3" x14ac:dyDescent="0.25">
      <c r="A2243">
        <v>20170125</v>
      </c>
      <c r="B2243">
        <v>5606449.1465960797</v>
      </c>
      <c r="C2243">
        <v>-2813868.7019602698</v>
      </c>
    </row>
    <row r="2244" spans="1:3" x14ac:dyDescent="0.25">
      <c r="A2244">
        <v>20170126</v>
      </c>
      <c r="B2244">
        <v>6827419.06022147</v>
      </c>
      <c r="C2244">
        <v>-19029468.309921902</v>
      </c>
    </row>
    <row r="2245" spans="1:3" x14ac:dyDescent="0.25">
      <c r="A2245">
        <v>20170127</v>
      </c>
      <c r="B2245">
        <v>5553462.6878132802</v>
      </c>
      <c r="C2245">
        <v>-18929335.2799448</v>
      </c>
    </row>
    <row r="2246" spans="1:3" x14ac:dyDescent="0.25">
      <c r="A2246">
        <v>20170130</v>
      </c>
      <c r="B2246">
        <v>4683087.7554471903</v>
      </c>
      <c r="C2246">
        <v>-21913687.8229944</v>
      </c>
    </row>
    <row r="2247" spans="1:3" x14ac:dyDescent="0.25">
      <c r="A2247">
        <v>20170131</v>
      </c>
      <c r="B2247">
        <v>-3072.4518786557001</v>
      </c>
      <c r="C2247">
        <v>-14135874.907669101</v>
      </c>
    </row>
    <row r="2248" spans="1:3" x14ac:dyDescent="0.25">
      <c r="A2248">
        <v>20170201</v>
      </c>
      <c r="B2248">
        <v>11905584.9804962</v>
      </c>
      <c r="C2248">
        <v>5499418.3039475996</v>
      </c>
    </row>
    <row r="2249" spans="1:3" x14ac:dyDescent="0.25">
      <c r="A2249">
        <v>20170202</v>
      </c>
      <c r="B2249">
        <v>-14168938.1801049</v>
      </c>
      <c r="C2249">
        <v>4381445.9718090398</v>
      </c>
    </row>
    <row r="2250" spans="1:3" x14ac:dyDescent="0.25">
      <c r="A2250">
        <v>20170203</v>
      </c>
      <c r="B2250">
        <v>-15641927.8512908</v>
      </c>
      <c r="C2250">
        <v>-530884.14114704996</v>
      </c>
    </row>
    <row r="2251" spans="1:3" x14ac:dyDescent="0.25">
      <c r="A2251">
        <v>20170206</v>
      </c>
      <c r="B2251">
        <v>-4436497.6813163301</v>
      </c>
      <c r="C2251">
        <v>9965283.1824877895</v>
      </c>
    </row>
    <row r="2252" spans="1:3" x14ac:dyDescent="0.25">
      <c r="A2252">
        <v>20170207</v>
      </c>
      <c r="B2252">
        <v>-71752.519039999606</v>
      </c>
      <c r="C2252">
        <v>13628786.3926512</v>
      </c>
    </row>
    <row r="2253" spans="1:3" x14ac:dyDescent="0.25">
      <c r="A2253">
        <v>20170208</v>
      </c>
      <c r="B2253">
        <v>-11104692.8972375</v>
      </c>
      <c r="C2253">
        <v>5140694.3998436499</v>
      </c>
    </row>
    <row r="2254" spans="1:3" x14ac:dyDescent="0.25">
      <c r="A2254">
        <v>20170209</v>
      </c>
      <c r="B2254">
        <v>2220058.4539779401</v>
      </c>
      <c r="C2254">
        <v>6738671.2632627003</v>
      </c>
    </row>
    <row r="2255" spans="1:3" x14ac:dyDescent="0.25">
      <c r="A2255">
        <v>20170210</v>
      </c>
      <c r="B2255">
        <v>7831098.8177292896</v>
      </c>
      <c r="C2255">
        <v>1963078.0692619099</v>
      </c>
    </row>
    <row r="2256" spans="1:3" x14ac:dyDescent="0.25">
      <c r="A2256">
        <v>20170213</v>
      </c>
      <c r="B2256">
        <v>330862.783037077</v>
      </c>
      <c r="C2256">
        <v>-8588944.7870930098</v>
      </c>
    </row>
    <row r="2257" spans="1:3" x14ac:dyDescent="0.25">
      <c r="A2257">
        <v>20170214</v>
      </c>
      <c r="B2257">
        <v>5521473.7904357603</v>
      </c>
      <c r="C2257">
        <v>-5931249.45680926</v>
      </c>
    </row>
    <row r="2258" spans="1:3" x14ac:dyDescent="0.25">
      <c r="A2258">
        <v>20170215</v>
      </c>
      <c r="B2258">
        <v>12613.279773697201</v>
      </c>
      <c r="C2258">
        <v>-1309272.06223495</v>
      </c>
    </row>
    <row r="2259" spans="1:3" x14ac:dyDescent="0.25">
      <c r="A2259">
        <v>20170216</v>
      </c>
      <c r="B2259">
        <v>-7236151.8566378998</v>
      </c>
      <c r="C2259">
        <v>-1874067.5486045</v>
      </c>
    </row>
    <row r="2260" spans="1:3" x14ac:dyDescent="0.25">
      <c r="A2260">
        <v>20170217</v>
      </c>
      <c r="B2260">
        <v>-6766784.7911365097</v>
      </c>
      <c r="C2260">
        <v>5569780.0451892801</v>
      </c>
    </row>
    <row r="2261" spans="1:3" x14ac:dyDescent="0.25">
      <c r="A2261">
        <v>20170220</v>
      </c>
      <c r="B2261">
        <v>-7671157.93113783</v>
      </c>
      <c r="C2261">
        <v>4148548.3288081801</v>
      </c>
    </row>
    <row r="2262" spans="1:3" x14ac:dyDescent="0.25">
      <c r="A2262">
        <v>20170221</v>
      </c>
      <c r="B2262">
        <v>-15069416.081785699</v>
      </c>
      <c r="C2262">
        <v>3822905.3018406299</v>
      </c>
    </row>
    <row r="2263" spans="1:3" x14ac:dyDescent="0.25">
      <c r="A2263">
        <v>20170222</v>
      </c>
      <c r="B2263">
        <v>-7501493.98822801</v>
      </c>
      <c r="C2263">
        <v>11868814.7840108</v>
      </c>
    </row>
    <row r="2264" spans="1:3" x14ac:dyDescent="0.25">
      <c r="A2264">
        <v>20170223</v>
      </c>
      <c r="B2264">
        <v>-496874.03374749399</v>
      </c>
      <c r="C2264">
        <v>8320591.8618355496</v>
      </c>
    </row>
    <row r="2265" spans="1:3" x14ac:dyDescent="0.25">
      <c r="A2265">
        <v>20170224</v>
      </c>
      <c r="B2265">
        <v>2120304.7074477598</v>
      </c>
      <c r="C2265">
        <v>2960071.3261586302</v>
      </c>
    </row>
    <row r="2266" spans="1:3" x14ac:dyDescent="0.25">
      <c r="A2266">
        <v>20170227</v>
      </c>
      <c r="B2266">
        <v>-5050881.6813544501</v>
      </c>
      <c r="C2266">
        <v>5190919.3738140203</v>
      </c>
    </row>
    <row r="2267" spans="1:3" x14ac:dyDescent="0.25">
      <c r="A2267">
        <v>20170228</v>
      </c>
      <c r="B2267">
        <v>-24544448.193280999</v>
      </c>
      <c r="C2267">
        <v>15873260.7080952</v>
      </c>
    </row>
    <row r="2268" spans="1:3" x14ac:dyDescent="0.25">
      <c r="A2268">
        <v>20170301</v>
      </c>
      <c r="B2268">
        <v>-10618234.739421999</v>
      </c>
      <c r="C2268">
        <v>13012173.7132932</v>
      </c>
    </row>
    <row r="2269" spans="1:3" x14ac:dyDescent="0.25">
      <c r="A2269">
        <v>20170302</v>
      </c>
      <c r="B2269">
        <v>1262495.90743247</v>
      </c>
      <c r="C2269">
        <v>17450025.747642901</v>
      </c>
    </row>
    <row r="2270" spans="1:3" x14ac:dyDescent="0.25">
      <c r="A2270">
        <v>20170303</v>
      </c>
      <c r="B2270">
        <v>2631423.29115882</v>
      </c>
      <c r="C2270">
        <v>24562022.372187901</v>
      </c>
    </row>
    <row r="2271" spans="1:3" x14ac:dyDescent="0.25">
      <c r="A2271">
        <v>20170306</v>
      </c>
      <c r="B2271">
        <v>-13849493.0332956</v>
      </c>
      <c r="C2271">
        <v>23031295.829866599</v>
      </c>
    </row>
    <row r="2272" spans="1:3" x14ac:dyDescent="0.25">
      <c r="A2272">
        <v>20170307</v>
      </c>
      <c r="B2272">
        <v>11026712.7242421</v>
      </c>
      <c r="C2272">
        <v>12033606.322859401</v>
      </c>
    </row>
    <row r="2273" spans="1:3" x14ac:dyDescent="0.25">
      <c r="A2273">
        <v>20170308</v>
      </c>
      <c r="B2273">
        <v>-4108759.01389133</v>
      </c>
      <c r="C2273">
        <v>6289422.6934717</v>
      </c>
    </row>
    <row r="2274" spans="1:3" x14ac:dyDescent="0.25">
      <c r="A2274">
        <v>20170309</v>
      </c>
      <c r="B2274">
        <v>-21535001.521343399</v>
      </c>
      <c r="C2274">
        <v>4455916.0888730902</v>
      </c>
    </row>
    <row r="2275" spans="1:3" x14ac:dyDescent="0.25">
      <c r="A2275">
        <v>20170310</v>
      </c>
      <c r="B2275">
        <v>-28182393.676691201</v>
      </c>
      <c r="C2275">
        <v>-953010.51636007603</v>
      </c>
    </row>
    <row r="2276" spans="1:3" x14ac:dyDescent="0.25">
      <c r="A2276">
        <v>20170313</v>
      </c>
      <c r="B2276">
        <v>-6147831.3784667198</v>
      </c>
      <c r="C2276">
        <v>41897.266316388901</v>
      </c>
    </row>
    <row r="2277" spans="1:3" x14ac:dyDescent="0.25">
      <c r="A2277">
        <v>20170314</v>
      </c>
      <c r="B2277">
        <v>-16656919.978633</v>
      </c>
      <c r="C2277">
        <v>1821225.7735224899</v>
      </c>
    </row>
    <row r="2278" spans="1:3" x14ac:dyDescent="0.25">
      <c r="A2278">
        <v>20170315</v>
      </c>
      <c r="B2278">
        <v>12982649.9191796</v>
      </c>
      <c r="C2278">
        <v>6678444.8369316803</v>
      </c>
    </row>
    <row r="2279" spans="1:3" x14ac:dyDescent="0.25">
      <c r="A2279">
        <v>20170316</v>
      </c>
      <c r="B2279">
        <v>18691296.9109082</v>
      </c>
      <c r="C2279">
        <v>5123694.2024566904</v>
      </c>
    </row>
    <row r="2280" spans="1:3" x14ac:dyDescent="0.25">
      <c r="A2280">
        <v>20170317</v>
      </c>
      <c r="B2280">
        <v>21268289.239618801</v>
      </c>
      <c r="C2280">
        <v>11716860.018593701</v>
      </c>
    </row>
    <row r="2281" spans="1:3" x14ac:dyDescent="0.25">
      <c r="A2281">
        <v>20170320</v>
      </c>
      <c r="B2281">
        <v>28147466.374066699</v>
      </c>
      <c r="C2281">
        <v>12405775.809356401</v>
      </c>
    </row>
    <row r="2282" spans="1:3" x14ac:dyDescent="0.25">
      <c r="A2282">
        <v>20170321</v>
      </c>
      <c r="B2282">
        <v>29903434.206942301</v>
      </c>
      <c r="C2282">
        <v>7148041.3663093802</v>
      </c>
    </row>
    <row r="2283" spans="1:3" x14ac:dyDescent="0.25">
      <c r="A2283">
        <v>20170322</v>
      </c>
      <c r="B2283">
        <v>-9654411.5622827001</v>
      </c>
      <c r="C2283">
        <v>7996509.94883959</v>
      </c>
    </row>
    <row r="2284" spans="1:3" x14ac:dyDescent="0.25">
      <c r="A2284">
        <v>20170323</v>
      </c>
      <c r="B2284">
        <v>-7487834.7598981103</v>
      </c>
      <c r="C2284">
        <v>6989304.5128150797</v>
      </c>
    </row>
    <row r="2285" spans="1:3" x14ac:dyDescent="0.25">
      <c r="A2285">
        <v>20170324</v>
      </c>
      <c r="B2285">
        <v>-39686462.462027803</v>
      </c>
      <c r="C2285">
        <v>10100965.2328222</v>
      </c>
    </row>
    <row r="2286" spans="1:3" x14ac:dyDescent="0.25">
      <c r="A2286">
        <v>20170327</v>
      </c>
      <c r="B2286">
        <v>-45058001.872489803</v>
      </c>
      <c r="C2286">
        <v>11564440.850115901</v>
      </c>
    </row>
    <row r="2287" spans="1:3" x14ac:dyDescent="0.25">
      <c r="A2287">
        <v>20170328</v>
      </c>
      <c r="B2287">
        <v>-35900238.285924003</v>
      </c>
      <c r="C2287">
        <v>12662319.1110534</v>
      </c>
    </row>
    <row r="2288" spans="1:3" x14ac:dyDescent="0.25">
      <c r="A2288">
        <v>20170329</v>
      </c>
      <c r="B2288">
        <v>-11338896.828001199</v>
      </c>
      <c r="C2288">
        <v>4734064.3693931401</v>
      </c>
    </row>
    <row r="2289" spans="1:3" x14ac:dyDescent="0.25">
      <c r="A2289">
        <v>20170330</v>
      </c>
      <c r="B2289">
        <v>-17010532.470204301</v>
      </c>
      <c r="C2289">
        <v>4111963.4687044802</v>
      </c>
    </row>
    <row r="2290" spans="1:3" x14ac:dyDescent="0.25">
      <c r="A2290">
        <v>20170331</v>
      </c>
      <c r="B2290">
        <v>20145858.5277544</v>
      </c>
      <c r="C2290">
        <v>-6012602.50242317</v>
      </c>
    </row>
    <row r="2291" spans="1:3" x14ac:dyDescent="0.25">
      <c r="A2291">
        <v>20170403</v>
      </c>
      <c r="B2291">
        <v>27996732.167402498</v>
      </c>
      <c r="C2291">
        <v>-1979116.1652067101</v>
      </c>
    </row>
    <row r="2292" spans="1:3" x14ac:dyDescent="0.25">
      <c r="A2292">
        <v>20170404</v>
      </c>
      <c r="B2292">
        <v>10438053.8732085</v>
      </c>
      <c r="C2292">
        <v>2195093.7011250802</v>
      </c>
    </row>
    <row r="2293" spans="1:3" x14ac:dyDescent="0.25">
      <c r="A2293">
        <v>20170405</v>
      </c>
      <c r="B2293">
        <v>1988831.56947082</v>
      </c>
      <c r="C2293">
        <v>2411522.4906772901</v>
      </c>
    </row>
    <row r="2294" spans="1:3" x14ac:dyDescent="0.25">
      <c r="A2294">
        <v>20170406</v>
      </c>
      <c r="B2294">
        <v>-1609315.38276082</v>
      </c>
      <c r="C2294">
        <v>3283472.1601053001</v>
      </c>
    </row>
    <row r="2295" spans="1:3" x14ac:dyDescent="0.25">
      <c r="A2295">
        <v>20170407</v>
      </c>
      <c r="B2295">
        <v>-8583595.7137646694</v>
      </c>
      <c r="C2295">
        <v>4644524.3696414996</v>
      </c>
    </row>
    <row r="2296" spans="1:3" x14ac:dyDescent="0.25">
      <c r="A2296">
        <v>20170410</v>
      </c>
      <c r="B2296">
        <v>-7793318.7090866296</v>
      </c>
      <c r="C2296">
        <v>-8974210.9228364192</v>
      </c>
    </row>
    <row r="2297" spans="1:3" x14ac:dyDescent="0.25">
      <c r="A2297">
        <v>20170411</v>
      </c>
      <c r="B2297">
        <v>12306298.887089301</v>
      </c>
      <c r="C2297">
        <v>-13174795.6060302</v>
      </c>
    </row>
    <row r="2298" spans="1:3" x14ac:dyDescent="0.25">
      <c r="A2298">
        <v>20170412</v>
      </c>
      <c r="B2298">
        <v>5540370.7360158497</v>
      </c>
      <c r="C2298">
        <v>-15556556.8829004</v>
      </c>
    </row>
    <row r="2299" spans="1:3" x14ac:dyDescent="0.25">
      <c r="A2299">
        <v>20170413</v>
      </c>
      <c r="B2299">
        <v>-2884722.27053353</v>
      </c>
      <c r="C2299">
        <v>-7311726.9063055897</v>
      </c>
    </row>
    <row r="2300" spans="1:3" x14ac:dyDescent="0.25">
      <c r="A2300">
        <v>20170414</v>
      </c>
      <c r="B2300">
        <v>1135400.0749454999</v>
      </c>
      <c r="C2300">
        <v>-6903297.1745908502</v>
      </c>
    </row>
    <row r="2301" spans="1:3" x14ac:dyDescent="0.25">
      <c r="A2301">
        <v>20170417</v>
      </c>
      <c r="B2301">
        <v>-10822351.2249646</v>
      </c>
      <c r="C2301">
        <v>144082.88620070799</v>
      </c>
    </row>
    <row r="2302" spans="1:3" x14ac:dyDescent="0.25">
      <c r="A2302">
        <v>20170418</v>
      </c>
      <c r="B2302">
        <v>-9469591.9544485491</v>
      </c>
      <c r="C2302">
        <v>10546542.2106819</v>
      </c>
    </row>
    <row r="2303" spans="1:3" x14ac:dyDescent="0.25">
      <c r="A2303">
        <v>20170419</v>
      </c>
      <c r="B2303">
        <v>-16486093.3656903</v>
      </c>
      <c r="C2303">
        <v>19129972.7615024</v>
      </c>
    </row>
    <row r="2304" spans="1:3" x14ac:dyDescent="0.25">
      <c r="A2304">
        <v>20170420</v>
      </c>
      <c r="B2304">
        <v>-6040734.0310536996</v>
      </c>
      <c r="C2304">
        <v>19530606.515207</v>
      </c>
    </row>
    <row r="2305" spans="1:3" x14ac:dyDescent="0.25">
      <c r="A2305">
        <v>20170421</v>
      </c>
      <c r="B2305">
        <v>-11136878.789557001</v>
      </c>
      <c r="C2305">
        <v>21073778.1436412</v>
      </c>
    </row>
    <row r="2306" spans="1:3" x14ac:dyDescent="0.25">
      <c r="A2306">
        <v>20170424</v>
      </c>
      <c r="B2306">
        <v>-11361175.8092524</v>
      </c>
      <c r="C2306">
        <v>22119245.281183701</v>
      </c>
    </row>
    <row r="2307" spans="1:3" x14ac:dyDescent="0.25">
      <c r="A2307">
        <v>20170425</v>
      </c>
      <c r="B2307">
        <v>-22023760.1701281</v>
      </c>
      <c r="C2307">
        <v>22473422.610667501</v>
      </c>
    </row>
    <row r="2308" spans="1:3" x14ac:dyDescent="0.25">
      <c r="A2308">
        <v>20170426</v>
      </c>
      <c r="B2308">
        <v>-3641977.5460898699</v>
      </c>
      <c r="C2308">
        <v>11114569.1704401</v>
      </c>
    </row>
    <row r="2309" spans="1:3" x14ac:dyDescent="0.25">
      <c r="A2309">
        <v>20170427</v>
      </c>
      <c r="B2309">
        <v>281424.70572154201</v>
      </c>
      <c r="C2309">
        <v>15039541.751827899</v>
      </c>
    </row>
    <row r="2310" spans="1:3" x14ac:dyDescent="0.25">
      <c r="A2310">
        <v>20170428</v>
      </c>
      <c r="B2310">
        <v>5664499.1459371597</v>
      </c>
      <c r="C2310">
        <v>13770166.1259593</v>
      </c>
    </row>
    <row r="2311" spans="1:3" x14ac:dyDescent="0.25">
      <c r="A2311">
        <v>20170501</v>
      </c>
      <c r="B2311">
        <v>8404765.08424359</v>
      </c>
      <c r="C2311">
        <v>12747554.4904628</v>
      </c>
    </row>
    <row r="2312" spans="1:3" x14ac:dyDescent="0.25">
      <c r="A2312">
        <v>20170502</v>
      </c>
      <c r="B2312">
        <v>15645589.3552623</v>
      </c>
      <c r="C2312">
        <v>11022506.972059799</v>
      </c>
    </row>
    <row r="2313" spans="1:3" x14ac:dyDescent="0.25">
      <c r="A2313">
        <v>20170503</v>
      </c>
      <c r="B2313">
        <v>-7247412.5809152499</v>
      </c>
      <c r="C2313">
        <v>16969512.171647601</v>
      </c>
    </row>
    <row r="2314" spans="1:3" x14ac:dyDescent="0.25">
      <c r="A2314">
        <v>20170504</v>
      </c>
      <c r="B2314">
        <v>-668035.87894291396</v>
      </c>
      <c r="C2314">
        <v>3696980.4582356201</v>
      </c>
    </row>
    <row r="2315" spans="1:3" x14ac:dyDescent="0.25">
      <c r="A2315">
        <v>20170505</v>
      </c>
      <c r="B2315">
        <v>-2663412.93660805</v>
      </c>
      <c r="C2315">
        <v>624819.44297842798</v>
      </c>
    </row>
    <row r="2316" spans="1:3" x14ac:dyDescent="0.25">
      <c r="A2316">
        <v>20170508</v>
      </c>
      <c r="B2316">
        <v>3048607.14770388</v>
      </c>
      <c r="C2316">
        <v>-24111.1857172704</v>
      </c>
    </row>
    <row r="2317" spans="1:3" x14ac:dyDescent="0.25">
      <c r="A2317">
        <v>20170509</v>
      </c>
      <c r="B2317">
        <v>2634652.4289003601</v>
      </c>
      <c r="C2317">
        <v>-12522372.6593432</v>
      </c>
    </row>
    <row r="2318" spans="1:3" x14ac:dyDescent="0.25">
      <c r="A2318">
        <v>20170510</v>
      </c>
      <c r="B2318">
        <v>11486203.936778899</v>
      </c>
      <c r="C2318">
        <v>-15532122.464192901</v>
      </c>
    </row>
    <row r="2319" spans="1:3" x14ac:dyDescent="0.25">
      <c r="A2319">
        <v>20170511</v>
      </c>
      <c r="B2319">
        <v>11793425.812830999</v>
      </c>
      <c r="C2319">
        <v>-5743836.3566324199</v>
      </c>
    </row>
    <row r="2320" spans="1:3" x14ac:dyDescent="0.25">
      <c r="A2320">
        <v>20170512</v>
      </c>
      <c r="B2320">
        <v>786121.05004576501</v>
      </c>
      <c r="C2320">
        <v>4688146.3151970003</v>
      </c>
    </row>
    <row r="2321" spans="1:3" x14ac:dyDescent="0.25">
      <c r="A2321">
        <v>20170515</v>
      </c>
      <c r="B2321">
        <v>-7326455.6568138599</v>
      </c>
      <c r="C2321">
        <v>7086603.8914768398</v>
      </c>
    </row>
    <row r="2322" spans="1:3" x14ac:dyDescent="0.25">
      <c r="A2322">
        <v>20170516</v>
      </c>
      <c r="B2322">
        <v>-16317241.107029499</v>
      </c>
      <c r="C2322">
        <v>9416287.5412827898</v>
      </c>
    </row>
    <row r="2323" spans="1:3" x14ac:dyDescent="0.25">
      <c r="A2323">
        <v>20170517</v>
      </c>
      <c r="B2323">
        <v>-20043708.015181702</v>
      </c>
      <c r="C2323">
        <v>11540237.900569201</v>
      </c>
    </row>
    <row r="2324" spans="1:3" x14ac:dyDescent="0.25">
      <c r="A2324">
        <v>20170518</v>
      </c>
      <c r="B2324">
        <v>-31350790.946621601</v>
      </c>
      <c r="C2324">
        <v>-13793103.9310522</v>
      </c>
    </row>
    <row r="2325" spans="1:3" x14ac:dyDescent="0.25">
      <c r="A2325">
        <v>20170519</v>
      </c>
      <c r="B2325">
        <v>-20283015.556884501</v>
      </c>
      <c r="C2325">
        <v>-19686462.129198901</v>
      </c>
    </row>
    <row r="2326" spans="1:3" x14ac:dyDescent="0.25">
      <c r="A2326">
        <v>20170522</v>
      </c>
      <c r="B2326">
        <v>-20520952.9448536</v>
      </c>
      <c r="C2326">
        <v>-25133165.705599502</v>
      </c>
    </row>
    <row r="2327" spans="1:3" x14ac:dyDescent="0.25">
      <c r="A2327">
        <v>20170523</v>
      </c>
      <c r="B2327">
        <v>-9332030.6968703493</v>
      </c>
      <c r="C2327">
        <v>-21795425.889143299</v>
      </c>
    </row>
    <row r="2328" spans="1:3" x14ac:dyDescent="0.25">
      <c r="A2328">
        <v>20170524</v>
      </c>
      <c r="B2328">
        <v>7563357.3944722498</v>
      </c>
      <c r="C2328">
        <v>-21754159.329673499</v>
      </c>
    </row>
    <row r="2329" spans="1:3" x14ac:dyDescent="0.25">
      <c r="A2329">
        <v>20170525</v>
      </c>
      <c r="B2329">
        <v>-8311171.2332285298</v>
      </c>
      <c r="C2329">
        <v>1655522.9448377099</v>
      </c>
    </row>
    <row r="2330" spans="1:3" x14ac:dyDescent="0.25">
      <c r="A2330">
        <v>20170526</v>
      </c>
      <c r="B2330">
        <v>2465742.17155632</v>
      </c>
      <c r="C2330">
        <v>4589453.3585618297</v>
      </c>
    </row>
    <row r="2331" spans="1:3" x14ac:dyDescent="0.25">
      <c r="A2331">
        <v>20170529</v>
      </c>
      <c r="B2331">
        <v>3942828.8379440601</v>
      </c>
      <c r="C2331">
        <v>4635898.4687232198</v>
      </c>
    </row>
    <row r="2332" spans="1:3" x14ac:dyDescent="0.25">
      <c r="A2332">
        <v>20170530</v>
      </c>
      <c r="B2332">
        <v>9003857.8203576393</v>
      </c>
      <c r="C2332">
        <v>4451101.74843386</v>
      </c>
    </row>
    <row r="2333" spans="1:3" x14ac:dyDescent="0.25">
      <c r="A2333">
        <v>20170531</v>
      </c>
      <c r="B2333">
        <v>-11229453.711786499</v>
      </c>
      <c r="C2333">
        <v>17073836.599594399</v>
      </c>
    </row>
    <row r="2334" spans="1:3" x14ac:dyDescent="0.25">
      <c r="A2334">
        <v>20170601</v>
      </c>
      <c r="B2334">
        <v>14887264.961590299</v>
      </c>
      <c r="C2334">
        <v>14321284.004789701</v>
      </c>
    </row>
    <row r="2335" spans="1:3" x14ac:dyDescent="0.25">
      <c r="A2335">
        <v>20170602</v>
      </c>
      <c r="B2335">
        <v>-1558456.6512261699</v>
      </c>
      <c r="C2335">
        <v>14364887.2208582</v>
      </c>
    </row>
    <row r="2336" spans="1:3" x14ac:dyDescent="0.25">
      <c r="A2336">
        <v>20170605</v>
      </c>
      <c r="B2336">
        <v>2734144.3087370102</v>
      </c>
      <c r="C2336">
        <v>17088780.980969001</v>
      </c>
    </row>
    <row r="2337" spans="1:3" x14ac:dyDescent="0.25">
      <c r="A2337">
        <v>20170606</v>
      </c>
      <c r="B2337">
        <v>-9243947.1788023207</v>
      </c>
      <c r="C2337">
        <v>14350565.9875245</v>
      </c>
    </row>
    <row r="2338" spans="1:3" x14ac:dyDescent="0.25">
      <c r="A2338">
        <v>20170607</v>
      </c>
      <c r="B2338">
        <v>-5714898.83931881</v>
      </c>
      <c r="C2338">
        <v>7007224.5213579303</v>
      </c>
    </row>
    <row r="2339" spans="1:3" x14ac:dyDescent="0.25">
      <c r="A2339">
        <v>20170608</v>
      </c>
      <c r="B2339">
        <v>2236927.9149894002</v>
      </c>
      <c r="C2339">
        <v>5644172.92687093</v>
      </c>
    </row>
    <row r="2340" spans="1:3" x14ac:dyDescent="0.25">
      <c r="A2340">
        <v>20170609</v>
      </c>
      <c r="B2340">
        <v>8257815.2789438404</v>
      </c>
      <c r="C2340">
        <v>-3822154.3103809399</v>
      </c>
    </row>
    <row r="2341" spans="1:3" x14ac:dyDescent="0.25">
      <c r="A2341">
        <v>20170612</v>
      </c>
      <c r="B2341">
        <v>-217063.090254476</v>
      </c>
      <c r="C2341">
        <v>-2031305.8426938299</v>
      </c>
    </row>
    <row r="2342" spans="1:3" x14ac:dyDescent="0.25">
      <c r="A2342">
        <v>20170613</v>
      </c>
      <c r="B2342">
        <v>4874621.0529263997</v>
      </c>
      <c r="C2342">
        <v>-21455408.489472501</v>
      </c>
    </row>
    <row r="2343" spans="1:3" x14ac:dyDescent="0.25">
      <c r="A2343">
        <v>20170614</v>
      </c>
      <c r="B2343">
        <v>-6565795.9000407001</v>
      </c>
      <c r="C2343">
        <v>-20338772.937853999</v>
      </c>
    </row>
    <row r="2344" spans="1:3" x14ac:dyDescent="0.25">
      <c r="A2344">
        <v>20170615</v>
      </c>
      <c r="B2344">
        <v>196445.187768492</v>
      </c>
      <c r="C2344">
        <v>-16703667.311915601</v>
      </c>
    </row>
    <row r="2345" spans="1:3" x14ac:dyDescent="0.25">
      <c r="A2345">
        <v>20170616</v>
      </c>
      <c r="B2345">
        <v>-9160232.80180775</v>
      </c>
      <c r="C2345">
        <v>-17469641.560657699</v>
      </c>
    </row>
    <row r="2346" spans="1:3" x14ac:dyDescent="0.25">
      <c r="A2346">
        <v>20170619</v>
      </c>
      <c r="B2346">
        <v>4659149.7077406496</v>
      </c>
      <c r="C2346">
        <v>-22477805.416806702</v>
      </c>
    </row>
    <row r="2347" spans="1:3" x14ac:dyDescent="0.25">
      <c r="A2347">
        <v>20170620</v>
      </c>
      <c r="B2347">
        <v>12389770.597918199</v>
      </c>
      <c r="C2347">
        <v>547491.05268534902</v>
      </c>
    </row>
    <row r="2348" spans="1:3" x14ac:dyDescent="0.25">
      <c r="A2348">
        <v>20170621</v>
      </c>
      <c r="B2348">
        <v>26918877.644746199</v>
      </c>
      <c r="C2348">
        <v>-4016899.2117834198</v>
      </c>
    </row>
    <row r="2349" spans="1:3" x14ac:dyDescent="0.25">
      <c r="A2349">
        <v>20170622</v>
      </c>
      <c r="B2349">
        <v>12900436.2188459</v>
      </c>
      <c r="C2349">
        <v>-14228981.400376599</v>
      </c>
    </row>
    <row r="2350" spans="1:3" x14ac:dyDescent="0.25">
      <c r="A2350">
        <v>20170623</v>
      </c>
      <c r="B2350">
        <v>17283314.208106801</v>
      </c>
      <c r="C2350">
        <v>-2204410.7209493201</v>
      </c>
    </row>
    <row r="2351" spans="1:3" x14ac:dyDescent="0.25">
      <c r="A2351">
        <v>20170626</v>
      </c>
      <c r="B2351">
        <v>-1721590.7387665</v>
      </c>
      <c r="C2351">
        <v>3853667.0633550999</v>
      </c>
    </row>
    <row r="2352" spans="1:3" x14ac:dyDescent="0.25">
      <c r="A2352">
        <v>20170627</v>
      </c>
      <c r="B2352">
        <v>-12145590.0036122</v>
      </c>
      <c r="C2352">
        <v>-1942184.88274354</v>
      </c>
    </row>
    <row r="2353" spans="1:3" x14ac:dyDescent="0.25">
      <c r="A2353">
        <v>20170628</v>
      </c>
      <c r="B2353">
        <v>11124998.752751799</v>
      </c>
      <c r="C2353">
        <v>-14981653.7596993</v>
      </c>
    </row>
    <row r="2354" spans="1:3" x14ac:dyDescent="0.25">
      <c r="A2354">
        <v>20170629</v>
      </c>
      <c r="B2354">
        <v>-5814445.4802368497</v>
      </c>
      <c r="C2354">
        <v>-15372816.722342899</v>
      </c>
    </row>
    <row r="2355" spans="1:3" x14ac:dyDescent="0.25">
      <c r="A2355">
        <v>20170630</v>
      </c>
      <c r="B2355">
        <v>-779766.20148801804</v>
      </c>
      <c r="C2355">
        <v>-25586161.399366099</v>
      </c>
    </row>
    <row r="2356" spans="1:3" x14ac:dyDescent="0.25">
      <c r="A2356">
        <v>20170703</v>
      </c>
      <c r="B2356">
        <v>11705171.274698799</v>
      </c>
      <c r="C2356">
        <v>-31737866.6865821</v>
      </c>
    </row>
    <row r="2357" spans="1:3" x14ac:dyDescent="0.25">
      <c r="A2357">
        <v>20170704</v>
      </c>
      <c r="B2357">
        <v>23350085.651300799</v>
      </c>
      <c r="C2357">
        <v>-35842489.750333898</v>
      </c>
    </row>
    <row r="2358" spans="1:3" x14ac:dyDescent="0.25">
      <c r="A2358">
        <v>20170705</v>
      </c>
      <c r="B2358">
        <v>-6732656.91711808</v>
      </c>
      <c r="C2358">
        <v>-16859592.108338699</v>
      </c>
    </row>
    <row r="2359" spans="1:3" x14ac:dyDescent="0.25">
      <c r="A2359">
        <v>20170706</v>
      </c>
      <c r="B2359">
        <v>-1454712.9014272001</v>
      </c>
      <c r="C2359">
        <v>-17617832.883916602</v>
      </c>
    </row>
    <row r="2360" spans="1:3" x14ac:dyDescent="0.25">
      <c r="A2360">
        <v>20170707</v>
      </c>
      <c r="B2360">
        <v>-8432661.0153689403</v>
      </c>
      <c r="C2360">
        <v>-17761379.919640899</v>
      </c>
    </row>
    <row r="2361" spans="1:3" x14ac:dyDescent="0.25">
      <c r="A2361">
        <v>20170710</v>
      </c>
      <c r="B2361">
        <v>-5110639.8389614997</v>
      </c>
      <c r="C2361">
        <v>-11155651.6607459</v>
      </c>
    </row>
    <row r="2362" spans="1:3" x14ac:dyDescent="0.25">
      <c r="A2362">
        <v>20170711</v>
      </c>
      <c r="B2362">
        <v>-19956012.181092799</v>
      </c>
      <c r="C2362">
        <v>306312.59213396802</v>
      </c>
    </row>
    <row r="2363" spans="1:3" x14ac:dyDescent="0.25">
      <c r="A2363">
        <v>20170712</v>
      </c>
      <c r="B2363">
        <v>-5599856.8350200905</v>
      </c>
      <c r="C2363">
        <v>-7750315.0377464704</v>
      </c>
    </row>
    <row r="2364" spans="1:3" x14ac:dyDescent="0.25">
      <c r="A2364">
        <v>20170713</v>
      </c>
      <c r="B2364">
        <v>2152441.8095029802</v>
      </c>
      <c r="C2364">
        <v>-4612638.1692344397</v>
      </c>
    </row>
    <row r="2365" spans="1:3" x14ac:dyDescent="0.25">
      <c r="A2365">
        <v>20170714</v>
      </c>
      <c r="B2365">
        <v>-18100350.9098401</v>
      </c>
      <c r="C2365">
        <v>-4094523.9302313002</v>
      </c>
    </row>
    <row r="2366" spans="1:3" x14ac:dyDescent="0.25">
      <c r="A2366">
        <v>20170717</v>
      </c>
      <c r="B2366">
        <v>6564945.75855109</v>
      </c>
      <c r="C2366">
        <v>-4415360.1184477797</v>
      </c>
    </row>
    <row r="2367" spans="1:3" x14ac:dyDescent="0.25">
      <c r="A2367">
        <v>20170718</v>
      </c>
      <c r="B2367">
        <v>10168860.626544399</v>
      </c>
      <c r="C2367">
        <v>-7639646.4286783999</v>
      </c>
    </row>
    <row r="2368" spans="1:3" x14ac:dyDescent="0.25">
      <c r="A2368">
        <v>20170719</v>
      </c>
      <c r="B2368">
        <v>-12868313.118403601</v>
      </c>
      <c r="C2368">
        <v>-8928571.6559409592</v>
      </c>
    </row>
    <row r="2369" spans="1:3" x14ac:dyDescent="0.25">
      <c r="A2369">
        <v>20170720</v>
      </c>
      <c r="B2369">
        <v>-18294092.656794202</v>
      </c>
      <c r="C2369">
        <v>-8017323.5629574796</v>
      </c>
    </row>
    <row r="2370" spans="1:3" x14ac:dyDescent="0.25">
      <c r="A2370">
        <v>20170721</v>
      </c>
      <c r="B2370">
        <v>4876406.0169713898</v>
      </c>
      <c r="C2370">
        <v>-6209558.4515463402</v>
      </c>
    </row>
    <row r="2371" spans="1:3" x14ac:dyDescent="0.25">
      <c r="A2371">
        <v>20170724</v>
      </c>
      <c r="B2371">
        <v>-17849915.447989799</v>
      </c>
      <c r="C2371">
        <v>-10069604.1337731</v>
      </c>
    </row>
    <row r="2372" spans="1:3" x14ac:dyDescent="0.25">
      <c r="A2372">
        <v>20170725</v>
      </c>
      <c r="B2372">
        <v>-24944886.291065499</v>
      </c>
      <c r="C2372">
        <v>-10960277.74767</v>
      </c>
    </row>
    <row r="2373" spans="1:3" x14ac:dyDescent="0.25">
      <c r="A2373">
        <v>20170726</v>
      </c>
      <c r="B2373">
        <v>9158529.7585069407</v>
      </c>
      <c r="C2373">
        <v>-8378552.4622529699</v>
      </c>
    </row>
    <row r="2374" spans="1:3" x14ac:dyDescent="0.25">
      <c r="A2374">
        <v>20170727</v>
      </c>
      <c r="B2374">
        <v>-3543843.3412952302</v>
      </c>
      <c r="C2374">
        <v>-2498741.3040108499</v>
      </c>
    </row>
    <row r="2375" spans="1:3" x14ac:dyDescent="0.25">
      <c r="A2375">
        <v>20170728</v>
      </c>
      <c r="B2375">
        <v>5555678.20134978</v>
      </c>
      <c r="C2375">
        <v>-9776906.7084352393</v>
      </c>
    </row>
    <row r="2376" spans="1:3" x14ac:dyDescent="0.25">
      <c r="A2376">
        <v>20170731</v>
      </c>
      <c r="B2376">
        <v>-11526297.887618899</v>
      </c>
      <c r="C2376">
        <v>1093386.93181855</v>
      </c>
    </row>
    <row r="2377" spans="1:3" x14ac:dyDescent="0.25">
      <c r="A2377">
        <v>20170801</v>
      </c>
      <c r="B2377">
        <v>-4122135.4119369099</v>
      </c>
      <c r="C2377">
        <v>1701532.72609736</v>
      </c>
    </row>
    <row r="2378" spans="1:3" x14ac:dyDescent="0.25">
      <c r="A2378">
        <v>20170802</v>
      </c>
      <c r="B2378">
        <v>-42602073.919233099</v>
      </c>
      <c r="C2378">
        <v>12473436.170340501</v>
      </c>
    </row>
    <row r="2379" spans="1:3" x14ac:dyDescent="0.25">
      <c r="A2379">
        <v>20170803</v>
      </c>
      <c r="B2379">
        <v>-18423170.072107501</v>
      </c>
      <c r="C2379">
        <v>9238628.7851277199</v>
      </c>
    </row>
    <row r="2380" spans="1:3" x14ac:dyDescent="0.25">
      <c r="A2380">
        <v>20170804</v>
      </c>
      <c r="B2380">
        <v>-18750771.3003157</v>
      </c>
      <c r="C2380">
        <v>28087818.612070799</v>
      </c>
    </row>
    <row r="2381" spans="1:3" x14ac:dyDescent="0.25">
      <c r="A2381">
        <v>20170807</v>
      </c>
      <c r="B2381">
        <v>-15090959.544645499</v>
      </c>
      <c r="C2381">
        <v>21147236.8090843</v>
      </c>
    </row>
    <row r="2382" spans="1:3" x14ac:dyDescent="0.25">
      <c r="A2382">
        <v>20170808</v>
      </c>
      <c r="B2382">
        <v>-12737333.922384201</v>
      </c>
      <c r="C2382">
        <v>21717619.7752655</v>
      </c>
    </row>
    <row r="2383" spans="1:3" x14ac:dyDescent="0.25">
      <c r="A2383">
        <v>20170809</v>
      </c>
      <c r="B2383">
        <v>-33681137.490263402</v>
      </c>
      <c r="C2383">
        <v>12646250.707683099</v>
      </c>
    </row>
    <row r="2384" spans="1:3" x14ac:dyDescent="0.25">
      <c r="A2384">
        <v>20170810</v>
      </c>
      <c r="B2384">
        <v>-23262886.341134101</v>
      </c>
      <c r="C2384">
        <v>14125223.592692699</v>
      </c>
    </row>
    <row r="2385" spans="1:3" x14ac:dyDescent="0.25">
      <c r="A2385">
        <v>20170811</v>
      </c>
      <c r="B2385">
        <v>-44313889.530440196</v>
      </c>
      <c r="C2385">
        <v>758480.17922827299</v>
      </c>
    </row>
    <row r="2386" spans="1:3" x14ac:dyDescent="0.25">
      <c r="A2386">
        <v>20170814</v>
      </c>
      <c r="B2386">
        <v>-32491231.9277361</v>
      </c>
      <c r="C2386">
        <v>42890.2365984512</v>
      </c>
    </row>
    <row r="2387" spans="1:3" x14ac:dyDescent="0.25">
      <c r="A2387">
        <v>20170815</v>
      </c>
      <c r="B2387">
        <v>-33413572.168362901</v>
      </c>
      <c r="C2387">
        <v>3623659.1748135099</v>
      </c>
    </row>
    <row r="2388" spans="1:3" x14ac:dyDescent="0.25">
      <c r="A2388">
        <v>20170816</v>
      </c>
      <c r="B2388">
        <v>19305176.9183992</v>
      </c>
      <c r="C2388">
        <v>-2537933.0525964</v>
      </c>
    </row>
    <row r="2389" spans="1:3" x14ac:dyDescent="0.25">
      <c r="A2389">
        <v>20170817</v>
      </c>
      <c r="B2389">
        <v>-1490809.1587765</v>
      </c>
      <c r="C2389">
        <v>-6549725.1201108899</v>
      </c>
    </row>
    <row r="2390" spans="1:3" x14ac:dyDescent="0.25">
      <c r="A2390">
        <v>20170818</v>
      </c>
      <c r="B2390">
        <v>-403125.20626059698</v>
      </c>
      <c r="C2390">
        <v>-7942244.93711357</v>
      </c>
    </row>
    <row r="2391" spans="1:3" x14ac:dyDescent="0.25">
      <c r="A2391">
        <v>20170821</v>
      </c>
      <c r="B2391">
        <v>739674.56059504999</v>
      </c>
      <c r="C2391">
        <v>-7786978.11674265</v>
      </c>
    </row>
    <row r="2392" spans="1:3" x14ac:dyDescent="0.25">
      <c r="A2392">
        <v>20170822</v>
      </c>
      <c r="B2392">
        <v>-1605859.35496506</v>
      </c>
      <c r="C2392">
        <v>-16829947.590963401</v>
      </c>
    </row>
    <row r="2393" spans="1:3" x14ac:dyDescent="0.25">
      <c r="A2393">
        <v>20170823</v>
      </c>
      <c r="B2393">
        <v>-8601225.5657393392</v>
      </c>
      <c r="C2393">
        <v>-10186416.962272201</v>
      </c>
    </row>
    <row r="2394" spans="1:3" x14ac:dyDescent="0.25">
      <c r="A2394">
        <v>20170824</v>
      </c>
      <c r="B2394">
        <v>-12299285.9537031</v>
      </c>
      <c r="C2394">
        <v>-9362636.2798079699</v>
      </c>
    </row>
    <row r="2395" spans="1:3" x14ac:dyDescent="0.25">
      <c r="A2395">
        <v>20170825</v>
      </c>
      <c r="B2395">
        <v>4544420.5971288001</v>
      </c>
      <c r="C2395">
        <v>-3960442.04041046</v>
      </c>
    </row>
    <row r="2396" spans="1:3" x14ac:dyDescent="0.25">
      <c r="A2396">
        <v>20170828</v>
      </c>
      <c r="B2396">
        <v>-6189953.8925607204</v>
      </c>
      <c r="C2396">
        <v>-5710316.5239144601</v>
      </c>
    </row>
    <row r="2397" spans="1:3" x14ac:dyDescent="0.25">
      <c r="A2397">
        <v>20170829</v>
      </c>
      <c r="B2397">
        <v>-6909972.4763764199</v>
      </c>
      <c r="C2397">
        <v>3680924.4897915502</v>
      </c>
    </row>
    <row r="2398" spans="1:3" x14ac:dyDescent="0.25">
      <c r="A2398">
        <v>20170830</v>
      </c>
      <c r="B2398">
        <v>-3185050.3368692398</v>
      </c>
      <c r="C2398">
        <v>13888523.1186931</v>
      </c>
    </row>
    <row r="2399" spans="1:3" x14ac:dyDescent="0.25">
      <c r="A2399">
        <v>20170831</v>
      </c>
      <c r="B2399">
        <v>9429492.3562060092</v>
      </c>
      <c r="C2399">
        <v>10037928.3514759</v>
      </c>
    </row>
    <row r="2400" spans="1:3" x14ac:dyDescent="0.25">
      <c r="A2400">
        <v>20170901</v>
      </c>
      <c r="B2400">
        <v>2065064.2870113901</v>
      </c>
      <c r="C2400">
        <v>-2210271.4792537699</v>
      </c>
    </row>
    <row r="2401" spans="1:3" x14ac:dyDescent="0.25">
      <c r="A2401">
        <v>20170904</v>
      </c>
      <c r="B2401">
        <v>-4101039.8774707802</v>
      </c>
      <c r="C2401">
        <v>3975979.15842119</v>
      </c>
    </row>
    <row r="2402" spans="1:3" x14ac:dyDescent="0.25">
      <c r="A2402">
        <v>20170905</v>
      </c>
      <c r="B2402">
        <v>10479728.268587699</v>
      </c>
      <c r="C2402">
        <v>-9195943.7969935499</v>
      </c>
    </row>
    <row r="2403" spans="1:3" x14ac:dyDescent="0.25">
      <c r="A2403">
        <v>20170906</v>
      </c>
      <c r="B2403">
        <v>-18383555.324368201</v>
      </c>
      <c r="C2403">
        <v>-28921868.806479499</v>
      </c>
    </row>
    <row r="2404" spans="1:3" x14ac:dyDescent="0.25">
      <c r="A2404">
        <v>20170907</v>
      </c>
      <c r="B2404">
        <v>-14722558.316559</v>
      </c>
      <c r="C2404">
        <v>-25232636.317238599</v>
      </c>
    </row>
    <row r="2405" spans="1:3" x14ac:dyDescent="0.25">
      <c r="A2405">
        <v>20170908</v>
      </c>
      <c r="B2405">
        <v>-5438828.5530573204</v>
      </c>
      <c r="C2405">
        <v>-7303528.4356448101</v>
      </c>
    </row>
    <row r="2406" spans="1:3" x14ac:dyDescent="0.25">
      <c r="A2406">
        <v>20170911</v>
      </c>
      <c r="B2406">
        <v>-173921.37527371</v>
      </c>
      <c r="C2406">
        <v>-19285067.289193399</v>
      </c>
    </row>
    <row r="2407" spans="1:3" x14ac:dyDescent="0.25">
      <c r="A2407">
        <v>20170912</v>
      </c>
      <c r="B2407">
        <v>-11522872.943414001</v>
      </c>
      <c r="C2407">
        <v>-15232762.052981401</v>
      </c>
    </row>
    <row r="2408" spans="1:3" x14ac:dyDescent="0.25">
      <c r="A2408">
        <v>20170913</v>
      </c>
      <c r="B2408">
        <v>14465873.1603167</v>
      </c>
      <c r="C2408">
        <v>-4581221.0418740101</v>
      </c>
    </row>
    <row r="2409" spans="1:3" x14ac:dyDescent="0.25">
      <c r="A2409">
        <v>20170914</v>
      </c>
      <c r="B2409">
        <v>4609451.3478130298</v>
      </c>
      <c r="C2409">
        <v>-3943838.8365816399</v>
      </c>
    </row>
    <row r="2410" spans="1:3" x14ac:dyDescent="0.25">
      <c r="A2410">
        <v>20170915</v>
      </c>
      <c r="B2410">
        <v>-6758255.0566772502</v>
      </c>
      <c r="C2410">
        <v>-9822182.6237144992</v>
      </c>
    </row>
    <row r="2411" spans="1:3" x14ac:dyDescent="0.25">
      <c r="A2411">
        <v>20170918</v>
      </c>
      <c r="B2411">
        <v>30107338.500005402</v>
      </c>
      <c r="C2411">
        <v>-3283680.5881845299</v>
      </c>
    </row>
    <row r="2412" spans="1:3" x14ac:dyDescent="0.25">
      <c r="A2412">
        <v>20170919</v>
      </c>
      <c r="B2412">
        <v>29358015.846226498</v>
      </c>
      <c r="C2412">
        <v>5831361.0235111704</v>
      </c>
    </row>
    <row r="2413" spans="1:3" x14ac:dyDescent="0.25">
      <c r="A2413">
        <v>20170920</v>
      </c>
      <c r="B2413">
        <v>-23250536.274366301</v>
      </c>
      <c r="C2413">
        <v>2102036.97317487</v>
      </c>
    </row>
    <row r="2414" spans="1:3" x14ac:dyDescent="0.25">
      <c r="A2414">
        <v>20170921</v>
      </c>
      <c r="B2414">
        <v>20607338.964754701</v>
      </c>
      <c r="C2414">
        <v>6081985.5584247196</v>
      </c>
    </row>
    <row r="2415" spans="1:3" x14ac:dyDescent="0.25">
      <c r="A2415">
        <v>20170922</v>
      </c>
      <c r="B2415">
        <v>29718961.317328598</v>
      </c>
      <c r="C2415">
        <v>4091018.5222441601</v>
      </c>
    </row>
    <row r="2416" spans="1:3" x14ac:dyDescent="0.25">
      <c r="A2416">
        <v>20170925</v>
      </c>
      <c r="B2416">
        <v>-19810710.8815488</v>
      </c>
      <c r="C2416">
        <v>1726142.8576269201</v>
      </c>
    </row>
    <row r="2417" spans="1:3" x14ac:dyDescent="0.25">
      <c r="A2417">
        <v>20170926</v>
      </c>
      <c r="B2417">
        <v>-13954357.0729938</v>
      </c>
      <c r="C2417">
        <v>-4721210.8880468402</v>
      </c>
    </row>
    <row r="2418" spans="1:3" x14ac:dyDescent="0.25">
      <c r="A2418">
        <v>20170927</v>
      </c>
      <c r="B2418">
        <v>56378610.102868497</v>
      </c>
      <c r="C2418">
        <v>-12235081.365343399</v>
      </c>
    </row>
    <row r="2419" spans="1:3" x14ac:dyDescent="0.25">
      <c r="A2419">
        <v>20170928</v>
      </c>
      <c r="B2419">
        <v>21839694.378752202</v>
      </c>
      <c r="C2419">
        <v>-5866027.9958961597</v>
      </c>
    </row>
    <row r="2420" spans="1:3" x14ac:dyDescent="0.25">
      <c r="A2420">
        <v>20170929</v>
      </c>
      <c r="B2420">
        <v>8662680.8040417992</v>
      </c>
      <c r="C2420">
        <v>5615895.68565387</v>
      </c>
    </row>
    <row r="2421" spans="1:3" x14ac:dyDescent="0.25">
      <c r="A2421">
        <v>20171002</v>
      </c>
      <c r="B2421">
        <v>33274523.810789298</v>
      </c>
      <c r="C2421">
        <v>3756442.5023241998</v>
      </c>
    </row>
    <row r="2422" spans="1:3" x14ac:dyDescent="0.25">
      <c r="A2422">
        <v>20171003</v>
      </c>
      <c r="B2422">
        <v>23769255.8181208</v>
      </c>
      <c r="C2422">
        <v>5465856.3506763801</v>
      </c>
    </row>
    <row r="2423" spans="1:3" x14ac:dyDescent="0.25">
      <c r="A2423">
        <v>20171004</v>
      </c>
      <c r="B2423">
        <v>-2619160.0120783402</v>
      </c>
      <c r="C2423">
        <v>14097885.578723</v>
      </c>
    </row>
    <row r="2424" spans="1:3" x14ac:dyDescent="0.25">
      <c r="A2424">
        <v>20171005</v>
      </c>
      <c r="B2424">
        <v>-5633502.3162845597</v>
      </c>
      <c r="C2424">
        <v>9625577.6916627605</v>
      </c>
    </row>
    <row r="2425" spans="1:3" x14ac:dyDescent="0.25">
      <c r="A2425">
        <v>20171006</v>
      </c>
      <c r="B2425">
        <v>14644307.5995938</v>
      </c>
      <c r="C2425">
        <v>-5313585.2947977502</v>
      </c>
    </row>
    <row r="2426" spans="1:3" x14ac:dyDescent="0.25">
      <c r="A2426">
        <v>20171009</v>
      </c>
      <c r="B2426">
        <v>-2079089.5582600699</v>
      </c>
      <c r="C2426">
        <v>-3758551.0159074701</v>
      </c>
    </row>
    <row r="2427" spans="1:3" x14ac:dyDescent="0.25">
      <c r="A2427">
        <v>20171010</v>
      </c>
      <c r="B2427">
        <v>-10533109.0322465</v>
      </c>
      <c r="C2427">
        <v>-1308429.1115534201</v>
      </c>
    </row>
    <row r="2428" spans="1:3" x14ac:dyDescent="0.25">
      <c r="A2428">
        <v>20171011</v>
      </c>
      <c r="B2428">
        <v>14278703.0323589</v>
      </c>
      <c r="C2428">
        <v>1004517.29734823</v>
      </c>
    </row>
    <row r="2429" spans="1:3" x14ac:dyDescent="0.25">
      <c r="A2429">
        <v>20171012</v>
      </c>
      <c r="B2429">
        <v>-9825341.4489831608</v>
      </c>
      <c r="C2429">
        <v>-6698525.0566265602</v>
      </c>
    </row>
    <row r="2430" spans="1:3" x14ac:dyDescent="0.25">
      <c r="A2430">
        <v>20171013</v>
      </c>
      <c r="B2430">
        <v>-45626531.107925698</v>
      </c>
      <c r="C2430">
        <v>2144229.1058422802</v>
      </c>
    </row>
    <row r="2431" spans="1:3" x14ac:dyDescent="0.25">
      <c r="A2431">
        <v>20171016</v>
      </c>
      <c r="B2431">
        <v>-42574014.143594399</v>
      </c>
      <c r="C2431">
        <v>9442909.4655054603</v>
      </c>
    </row>
    <row r="2432" spans="1:3" x14ac:dyDescent="0.25">
      <c r="A2432">
        <v>20171017</v>
      </c>
      <c r="B2432">
        <v>-30626611.1645361</v>
      </c>
      <c r="C2432">
        <v>4533558.2942548897</v>
      </c>
    </row>
    <row r="2433" spans="1:3" x14ac:dyDescent="0.25">
      <c r="A2433">
        <v>20171018</v>
      </c>
      <c r="B2433">
        <v>-57362666.452520601</v>
      </c>
      <c r="C2433">
        <v>-8441081.6149959303</v>
      </c>
    </row>
    <row r="2434" spans="1:3" x14ac:dyDescent="0.25">
      <c r="A2434">
        <v>20171019</v>
      </c>
      <c r="B2434">
        <v>-36912802.919728003</v>
      </c>
      <c r="C2434">
        <v>-4961190.1823237399</v>
      </c>
    </row>
    <row r="2435" spans="1:3" x14ac:dyDescent="0.25">
      <c r="A2435">
        <v>20171020</v>
      </c>
      <c r="B2435">
        <v>27500866.102419801</v>
      </c>
      <c r="C2435">
        <v>3220891.6332983002</v>
      </c>
    </row>
    <row r="2436" spans="1:3" x14ac:dyDescent="0.25">
      <c r="A2436">
        <v>20171023</v>
      </c>
      <c r="B2436">
        <v>29348786.050456598</v>
      </c>
      <c r="C2436">
        <v>-2943727.7339850399</v>
      </c>
    </row>
    <row r="2437" spans="1:3" x14ac:dyDescent="0.25">
      <c r="A2437">
        <v>20171024</v>
      </c>
      <c r="B2437">
        <v>23268736.2959949</v>
      </c>
      <c r="C2437">
        <v>-1437815.99593282</v>
      </c>
    </row>
    <row r="2438" spans="1:3" x14ac:dyDescent="0.25">
      <c r="A2438">
        <v>20171025</v>
      </c>
      <c r="B2438">
        <v>21170827.891451299</v>
      </c>
      <c r="C2438">
        <v>17608647.115424499</v>
      </c>
    </row>
    <row r="2439" spans="1:3" x14ac:dyDescent="0.25">
      <c r="A2439">
        <v>20171026</v>
      </c>
      <c r="B2439">
        <v>13214209.3984346</v>
      </c>
      <c r="C2439">
        <v>18680758.7118233</v>
      </c>
    </row>
    <row r="2440" spans="1:3" x14ac:dyDescent="0.25">
      <c r="A2440">
        <v>20171027</v>
      </c>
      <c r="B2440">
        <v>-20647764.4760856</v>
      </c>
      <c r="C2440">
        <v>10003411.840897599</v>
      </c>
    </row>
    <row r="2441" spans="1:3" x14ac:dyDescent="0.25">
      <c r="A2441">
        <v>20171030</v>
      </c>
      <c r="B2441">
        <v>-13605541.9855473</v>
      </c>
      <c r="C2441">
        <v>7059351.5615233397</v>
      </c>
    </row>
    <row r="2442" spans="1:3" x14ac:dyDescent="0.25">
      <c r="A2442">
        <v>20171031</v>
      </c>
      <c r="B2442">
        <v>-18294427.522560801</v>
      </c>
      <c r="C2442">
        <v>15258679.980941201</v>
      </c>
    </row>
    <row r="2443" spans="1:3" x14ac:dyDescent="0.25">
      <c r="A2443">
        <v>20171101</v>
      </c>
      <c r="B2443">
        <v>-13889178.8760562</v>
      </c>
      <c r="C2443">
        <v>6608073.85345071</v>
      </c>
    </row>
    <row r="2444" spans="1:3" x14ac:dyDescent="0.25">
      <c r="A2444">
        <v>20171102</v>
      </c>
      <c r="B2444">
        <v>-6344803.5786281098</v>
      </c>
      <c r="C2444">
        <v>-122540.43927919101</v>
      </c>
    </row>
    <row r="2445" spans="1:3" x14ac:dyDescent="0.25">
      <c r="A2445">
        <v>20171103</v>
      </c>
      <c r="B2445">
        <v>-9504241.6605091598</v>
      </c>
      <c r="C2445">
        <v>-14000461.162737301</v>
      </c>
    </row>
    <row r="2446" spans="1:3" x14ac:dyDescent="0.25">
      <c r="A2446">
        <v>20171106</v>
      </c>
      <c r="B2446">
        <v>-12755822.124649599</v>
      </c>
      <c r="C2446">
        <v>-7477238.9460651996</v>
      </c>
    </row>
    <row r="2447" spans="1:3" x14ac:dyDescent="0.25">
      <c r="A2447">
        <v>20171107</v>
      </c>
      <c r="B2447">
        <v>4851216.9193092901</v>
      </c>
      <c r="C2447">
        <v>-14472981.9982516</v>
      </c>
    </row>
    <row r="2448" spans="1:3" x14ac:dyDescent="0.25">
      <c r="A2448">
        <v>20171108</v>
      </c>
      <c r="B2448">
        <v>-501334.15393895999</v>
      </c>
      <c r="C2448">
        <v>-18136343.287230901</v>
      </c>
    </row>
    <row r="2449" spans="1:3" x14ac:dyDescent="0.25">
      <c r="A2449">
        <v>20171109</v>
      </c>
      <c r="B2449">
        <v>1919555.3617613299</v>
      </c>
      <c r="C2449">
        <v>-16259511.1904062</v>
      </c>
    </row>
    <row r="2450" spans="1:3" x14ac:dyDescent="0.25">
      <c r="A2450">
        <v>20171110</v>
      </c>
      <c r="B2450">
        <v>-2701041.6722576902</v>
      </c>
      <c r="C2450">
        <v>-10283278.7663623</v>
      </c>
    </row>
    <row r="2451" spans="1:3" x14ac:dyDescent="0.25">
      <c r="A2451">
        <v>20171113</v>
      </c>
      <c r="B2451">
        <v>-6173202.5038496098</v>
      </c>
      <c r="C2451">
        <v>-13513860.8404587</v>
      </c>
    </row>
    <row r="2452" spans="1:3" x14ac:dyDescent="0.25">
      <c r="A2452">
        <v>20171114</v>
      </c>
      <c r="B2452">
        <v>-4132291.2021670798</v>
      </c>
      <c r="C2452">
        <v>-11558449.0045566</v>
      </c>
    </row>
    <row r="2453" spans="1:3" x14ac:dyDescent="0.25">
      <c r="A2453">
        <v>20171115</v>
      </c>
      <c r="B2453">
        <v>5137316.4455475099</v>
      </c>
      <c r="C2453">
        <v>-3552913.6815876602</v>
      </c>
    </row>
    <row r="2454" spans="1:3" x14ac:dyDescent="0.25">
      <c r="A2454">
        <v>20171116</v>
      </c>
      <c r="B2454">
        <v>-4245185.2096228497</v>
      </c>
      <c r="C2454">
        <v>-1573037.14404188</v>
      </c>
    </row>
    <row r="2455" spans="1:3" x14ac:dyDescent="0.25">
      <c r="A2455">
        <v>20171117</v>
      </c>
      <c r="B2455">
        <v>6952178.6215729602</v>
      </c>
      <c r="C2455">
        <v>14384697.936155699</v>
      </c>
    </row>
    <row r="2456" spans="1:3" x14ac:dyDescent="0.25">
      <c r="A2456">
        <v>20171120</v>
      </c>
      <c r="B2456">
        <v>9218112.8192955293</v>
      </c>
      <c r="C2456">
        <v>15704033.8720176</v>
      </c>
    </row>
    <row r="2457" spans="1:3" x14ac:dyDescent="0.25">
      <c r="A2457">
        <v>20171121</v>
      </c>
      <c r="B2457">
        <v>4012464.3487168499</v>
      </c>
      <c r="C2457">
        <v>10719107.465728199</v>
      </c>
    </row>
    <row r="2458" spans="1:3" x14ac:dyDescent="0.25">
      <c r="A2458">
        <v>20171122</v>
      </c>
      <c r="B2458">
        <v>-3381400.7926816</v>
      </c>
      <c r="C2458">
        <v>5762762.3921167096</v>
      </c>
    </row>
    <row r="2459" spans="1:3" x14ac:dyDescent="0.25">
      <c r="A2459">
        <v>20171123</v>
      </c>
      <c r="B2459">
        <v>1233362.20554354</v>
      </c>
      <c r="C2459">
        <v>13272992.9026122</v>
      </c>
    </row>
    <row r="2460" spans="1:3" x14ac:dyDescent="0.25">
      <c r="A2460">
        <v>20171124</v>
      </c>
      <c r="B2460">
        <v>-11135590.464576701</v>
      </c>
      <c r="C2460">
        <v>-789898.20807733398</v>
      </c>
    </row>
    <row r="2461" spans="1:3" x14ac:dyDescent="0.25">
      <c r="A2461">
        <v>20171127</v>
      </c>
      <c r="B2461">
        <v>-2022530.87172366</v>
      </c>
      <c r="C2461">
        <v>3396365.5392576898</v>
      </c>
    </row>
    <row r="2462" spans="1:3" x14ac:dyDescent="0.25">
      <c r="A2462">
        <v>20171128</v>
      </c>
      <c r="B2462">
        <v>-12869816.0534468</v>
      </c>
      <c r="C2462">
        <v>15678945.2469607</v>
      </c>
    </row>
    <row r="2463" spans="1:3" x14ac:dyDescent="0.25">
      <c r="A2463">
        <v>20171129</v>
      </c>
      <c r="B2463">
        <v>21992465.461143699</v>
      </c>
      <c r="C2463">
        <v>19712264.697882</v>
      </c>
    </row>
    <row r="2464" spans="1:3" x14ac:dyDescent="0.25">
      <c r="A2464">
        <v>20171130</v>
      </c>
      <c r="B2464">
        <v>17350128.554972701</v>
      </c>
      <c r="C2464">
        <v>15200393.15206</v>
      </c>
    </row>
    <row r="2465" spans="1:3" x14ac:dyDescent="0.25">
      <c r="A2465">
        <v>20171201</v>
      </c>
      <c r="B2465">
        <v>23512642.719659001</v>
      </c>
      <c r="C2465">
        <v>2169673.24591872</v>
      </c>
    </row>
    <row r="2466" spans="1:3" x14ac:dyDescent="0.25">
      <c r="A2466">
        <v>20171204</v>
      </c>
      <c r="B2466">
        <v>-7108.1860105358001</v>
      </c>
      <c r="C2466">
        <v>-2753123.4358168398</v>
      </c>
    </row>
    <row r="2467" spans="1:3" x14ac:dyDescent="0.25">
      <c r="A2467">
        <v>20171205</v>
      </c>
      <c r="B2467">
        <v>12444404.9341351</v>
      </c>
      <c r="C2467">
        <v>-11871996.2841834</v>
      </c>
    </row>
    <row r="2468" spans="1:3" x14ac:dyDescent="0.25">
      <c r="A2468">
        <v>20171206</v>
      </c>
      <c r="B2468">
        <v>-25117251.206225999</v>
      </c>
      <c r="C2468">
        <v>-8812291.5525991004</v>
      </c>
    </row>
    <row r="2469" spans="1:3" x14ac:dyDescent="0.25">
      <c r="A2469">
        <v>20171207</v>
      </c>
      <c r="B2469">
        <v>-19409994.557119299</v>
      </c>
      <c r="C2469">
        <v>-6464159.5830716202</v>
      </c>
    </row>
    <row r="2470" spans="1:3" x14ac:dyDescent="0.25">
      <c r="A2470">
        <v>20171208</v>
      </c>
      <c r="B2470">
        <v>-10533782.474241801</v>
      </c>
      <c r="C2470">
        <v>10819693.011925099</v>
      </c>
    </row>
    <row r="2471" spans="1:3" x14ac:dyDescent="0.25">
      <c r="A2471">
        <v>20171211</v>
      </c>
      <c r="B2471">
        <v>-3956087.5040748399</v>
      </c>
      <c r="C2471">
        <v>10329600.8011794</v>
      </c>
    </row>
    <row r="2472" spans="1:3" x14ac:dyDescent="0.25">
      <c r="A2472">
        <v>20171212</v>
      </c>
      <c r="B2472">
        <v>5523750.8609934701</v>
      </c>
      <c r="C2472">
        <v>6455360.4132140996</v>
      </c>
    </row>
    <row r="2473" spans="1:3" x14ac:dyDescent="0.25">
      <c r="A2473">
        <v>20171213</v>
      </c>
      <c r="B2473">
        <v>25927886.031632598</v>
      </c>
      <c r="C2473">
        <v>873205.46338815999</v>
      </c>
    </row>
    <row r="2474" spans="1:3" x14ac:dyDescent="0.25">
      <c r="A2474">
        <v>20171214</v>
      </c>
      <c r="B2474">
        <v>24602282.839461301</v>
      </c>
      <c r="C2474">
        <v>-2255034.9870998701</v>
      </c>
    </row>
    <row r="2475" spans="1:3" x14ac:dyDescent="0.25">
      <c r="A2475">
        <v>20171215</v>
      </c>
      <c r="B2475">
        <v>6914775.6463793898</v>
      </c>
      <c r="C2475">
        <v>-1683596.00423549</v>
      </c>
    </row>
    <row r="2476" spans="1:3" x14ac:dyDescent="0.25">
      <c r="A2476">
        <v>20171218</v>
      </c>
      <c r="B2476">
        <v>6867425.0220354097</v>
      </c>
      <c r="C2476">
        <v>6324052.3283221396</v>
      </c>
    </row>
    <row r="2477" spans="1:3" x14ac:dyDescent="0.25">
      <c r="A2477">
        <v>20171219</v>
      </c>
      <c r="B2477">
        <v>12776385.6277171</v>
      </c>
      <c r="C2477">
        <v>13030541.786428399</v>
      </c>
    </row>
    <row r="2478" spans="1:3" x14ac:dyDescent="0.25">
      <c r="A2478">
        <v>20171220</v>
      </c>
      <c r="B2478">
        <v>-2290334.3781647999</v>
      </c>
      <c r="C2478">
        <v>11621397.1908045</v>
      </c>
    </row>
    <row r="2479" spans="1:3" x14ac:dyDescent="0.25">
      <c r="A2479">
        <v>20171221</v>
      </c>
      <c r="B2479">
        <v>9276527.6832026001</v>
      </c>
      <c r="C2479">
        <v>-3730610.3518105801</v>
      </c>
    </row>
    <row r="2480" spans="1:3" x14ac:dyDescent="0.25">
      <c r="A2480">
        <v>20171222</v>
      </c>
      <c r="B2480">
        <v>18247578.7183684</v>
      </c>
      <c r="C2480">
        <v>-3267799.8072967702</v>
      </c>
    </row>
    <row r="2481" spans="1:3" x14ac:dyDescent="0.25">
      <c r="A2481">
        <v>20171225</v>
      </c>
      <c r="B2481">
        <v>26539372.107148599</v>
      </c>
      <c r="C2481">
        <v>-9585727.4996416792</v>
      </c>
    </row>
    <row r="2482" spans="1:3" x14ac:dyDescent="0.25">
      <c r="A2482">
        <v>20171226</v>
      </c>
      <c r="B2482">
        <v>3074600.01392195</v>
      </c>
      <c r="C2482">
        <v>-16129978.6272592</v>
      </c>
    </row>
    <row r="2483" spans="1:3" x14ac:dyDescent="0.25">
      <c r="A2483">
        <v>20171227</v>
      </c>
      <c r="B2483">
        <v>16384389.558088301</v>
      </c>
      <c r="C2483">
        <v>-18400986.480237901</v>
      </c>
    </row>
    <row r="2484" spans="1:3" x14ac:dyDescent="0.25">
      <c r="A2484">
        <v>20171228</v>
      </c>
      <c r="B2484">
        <v>-1309007.6928052199</v>
      </c>
      <c r="C2484">
        <v>-9250578.8544819597</v>
      </c>
    </row>
    <row r="2485" spans="1:3" x14ac:dyDescent="0.25">
      <c r="A2485">
        <v>20171229</v>
      </c>
      <c r="B2485">
        <v>-4694792.7273585796</v>
      </c>
      <c r="C2485">
        <v>-13332840.365775</v>
      </c>
    </row>
    <row r="2486" spans="1:3" x14ac:dyDescent="0.25">
      <c r="A2486">
        <v>20180101</v>
      </c>
      <c r="B2486">
        <v>-3647070.98437717</v>
      </c>
      <c r="C2486">
        <v>-14482701.436365301</v>
      </c>
    </row>
    <row r="2487" spans="1:3" x14ac:dyDescent="0.25">
      <c r="A2487">
        <v>20180102</v>
      </c>
      <c r="B2487">
        <v>-5216296.7701438898</v>
      </c>
      <c r="C2487">
        <v>-5973412.1579708401</v>
      </c>
    </row>
    <row r="2488" spans="1:3" x14ac:dyDescent="0.25">
      <c r="A2488">
        <v>20180103</v>
      </c>
      <c r="B2488">
        <v>-14961449.159522099</v>
      </c>
      <c r="C2488">
        <v>2703833.1683257101</v>
      </c>
    </row>
    <row r="2489" spans="1:3" x14ac:dyDescent="0.25">
      <c r="A2489">
        <v>20180104</v>
      </c>
      <c r="B2489">
        <v>-5389408.3292803699</v>
      </c>
      <c r="C2489">
        <v>12934486.5773036</v>
      </c>
    </row>
    <row r="2490" spans="1:3" x14ac:dyDescent="0.25">
      <c r="A2490">
        <v>20180105</v>
      </c>
      <c r="B2490">
        <v>-10383187.5467522</v>
      </c>
      <c r="C2490">
        <v>2630834.4833083102</v>
      </c>
    </row>
    <row r="2491" spans="1:3" x14ac:dyDescent="0.25">
      <c r="A2491">
        <v>20180108</v>
      </c>
      <c r="B2491">
        <v>-6875144.13031343</v>
      </c>
      <c r="C2491">
        <v>3267225.4214657098</v>
      </c>
    </row>
    <row r="2492" spans="1:3" x14ac:dyDescent="0.25">
      <c r="A2492">
        <v>20180109</v>
      </c>
      <c r="B2492">
        <v>16962362.7695815</v>
      </c>
      <c r="C2492">
        <v>-3191808.5443248199</v>
      </c>
    </row>
    <row r="2493" spans="1:3" x14ac:dyDescent="0.25">
      <c r="A2493">
        <v>20180110</v>
      </c>
      <c r="B2493">
        <v>36021354.446037702</v>
      </c>
      <c r="C2493">
        <v>-8332800.4723741403</v>
      </c>
    </row>
    <row r="2494" spans="1:3" x14ac:dyDescent="0.25">
      <c r="A2494">
        <v>20180111</v>
      </c>
      <c r="B2494">
        <v>8730740.9453239702</v>
      </c>
      <c r="C2494">
        <v>-4595848.5763889896</v>
      </c>
    </row>
    <row r="2495" spans="1:3" x14ac:dyDescent="0.25">
      <c r="A2495">
        <v>20180112</v>
      </c>
      <c r="B2495">
        <v>10170663.565651201</v>
      </c>
      <c r="C2495">
        <v>11840510.2835765</v>
      </c>
    </row>
    <row r="2496" spans="1:3" x14ac:dyDescent="0.25">
      <c r="A2496">
        <v>20180115</v>
      </c>
      <c r="B2496">
        <v>-9859093.0874628294</v>
      </c>
      <c r="C2496">
        <v>6236230.9771293299</v>
      </c>
    </row>
    <row r="2497" spans="1:3" x14ac:dyDescent="0.25">
      <c r="A2497">
        <v>20180116</v>
      </c>
      <c r="B2497">
        <v>-19898673.600716598</v>
      </c>
      <c r="C2497">
        <v>2020649.6402848</v>
      </c>
    </row>
    <row r="2498" spans="1:3" x14ac:dyDescent="0.25">
      <c r="A2498">
        <v>20180117</v>
      </c>
      <c r="B2498">
        <v>-44455795.194950096</v>
      </c>
      <c r="C2498">
        <v>11013074.451045901</v>
      </c>
    </row>
    <row r="2499" spans="1:3" x14ac:dyDescent="0.25">
      <c r="A2499">
        <v>20180118</v>
      </c>
      <c r="B2499">
        <v>-12556580.9346934</v>
      </c>
      <c r="C2499">
        <v>5539538.1660337597</v>
      </c>
    </row>
    <row r="2500" spans="1:3" x14ac:dyDescent="0.25">
      <c r="A2500">
        <v>20180119</v>
      </c>
      <c r="B2500">
        <v>-13528114.541598801</v>
      </c>
      <c r="C2500">
        <v>338460.10049754998</v>
      </c>
    </row>
    <row r="2501" spans="1:3" x14ac:dyDescent="0.25">
      <c r="A2501">
        <v>20180122</v>
      </c>
      <c r="B2501">
        <v>5476827.3909205096</v>
      </c>
      <c r="C2501">
        <v>6377019.6108482601</v>
      </c>
    </row>
    <row r="2502" spans="1:3" x14ac:dyDescent="0.25">
      <c r="A2502">
        <v>20180123</v>
      </c>
      <c r="B2502">
        <v>-5794821.7797192503</v>
      </c>
      <c r="C2502">
        <v>11314677.309477</v>
      </c>
    </row>
    <row r="2503" spans="1:3" x14ac:dyDescent="0.25">
      <c r="A2503">
        <v>20180124</v>
      </c>
      <c r="B2503">
        <v>-10245869.4991356</v>
      </c>
      <c r="C2503">
        <v>1056481.32194546</v>
      </c>
    </row>
    <row r="2504" spans="1:3" x14ac:dyDescent="0.25">
      <c r="A2504">
        <v>20180125</v>
      </c>
      <c r="B2504">
        <v>-4077707.5502271801</v>
      </c>
      <c r="C2504">
        <v>-37839.692210659799</v>
      </c>
    </row>
    <row r="2505" spans="1:3" x14ac:dyDescent="0.25">
      <c r="A2505">
        <v>20180126</v>
      </c>
      <c r="B2505">
        <v>-21682896.9934927</v>
      </c>
      <c r="C2505">
        <v>3448950.5918712001</v>
      </c>
    </row>
    <row r="2506" spans="1:3" x14ac:dyDescent="0.25">
      <c r="A2506">
        <v>20180129</v>
      </c>
      <c r="B2506">
        <v>-16689341.2791964</v>
      </c>
      <c r="C2506">
        <v>-4008919.9182328102</v>
      </c>
    </row>
    <row r="2507" spans="1:3" x14ac:dyDescent="0.25">
      <c r="A2507">
        <v>20180130</v>
      </c>
      <c r="B2507">
        <v>-16566134.0424856</v>
      </c>
      <c r="C2507">
        <v>-6721334.4797094604</v>
      </c>
    </row>
    <row r="2508" spans="1:3" x14ac:dyDescent="0.25">
      <c r="A2508">
        <v>20180131</v>
      </c>
      <c r="B2508">
        <v>-14924406.5933317</v>
      </c>
      <c r="C2508">
        <v>-3892836.5435546702</v>
      </c>
    </row>
    <row r="2509" spans="1:3" x14ac:dyDescent="0.25">
      <c r="A2509">
        <v>20180201</v>
      </c>
      <c r="B2509">
        <v>-33328932.473237101</v>
      </c>
      <c r="C2509">
        <v>-5921767.6389926402</v>
      </c>
    </row>
    <row r="2510" spans="1:3" x14ac:dyDescent="0.25">
      <c r="A2510">
        <v>20180202</v>
      </c>
      <c r="B2510">
        <v>-9525877.8514743093</v>
      </c>
      <c r="C2510">
        <v>-2569808.6508892202</v>
      </c>
    </row>
    <row r="2511" spans="1:3" x14ac:dyDescent="0.25">
      <c r="A2511">
        <v>20180205</v>
      </c>
      <c r="B2511">
        <v>12327251.5199368</v>
      </c>
      <c r="C2511">
        <v>9139273.5733841993</v>
      </c>
    </row>
    <row r="2512" spans="1:3" x14ac:dyDescent="0.25">
      <c r="A2512">
        <v>20180206</v>
      </c>
      <c r="B2512">
        <v>-7662684.0965279201</v>
      </c>
      <c r="C2512">
        <v>17675240.660339799</v>
      </c>
    </row>
    <row r="2513" spans="1:3" x14ac:dyDescent="0.25">
      <c r="A2513">
        <v>20180207</v>
      </c>
      <c r="B2513">
        <v>-2602385.0266801701</v>
      </c>
      <c r="C2513">
        <v>18900571.198303498</v>
      </c>
    </row>
    <row r="2514" spans="1:3" x14ac:dyDescent="0.25">
      <c r="A2514">
        <v>20180208</v>
      </c>
      <c r="B2514">
        <v>28217983.555121399</v>
      </c>
      <c r="C2514">
        <v>16607004.112924499</v>
      </c>
    </row>
    <row r="2515" spans="1:3" x14ac:dyDescent="0.25">
      <c r="A2515">
        <v>20180209</v>
      </c>
      <c r="B2515">
        <v>13472867.8978763</v>
      </c>
      <c r="C2515">
        <v>11510717.285826201</v>
      </c>
    </row>
    <row r="2516" spans="1:3" x14ac:dyDescent="0.25">
      <c r="A2516">
        <v>20180212</v>
      </c>
      <c r="B2516">
        <v>-21502284.651273299</v>
      </c>
      <c r="C2516">
        <v>6076027.8805944202</v>
      </c>
    </row>
    <row r="2517" spans="1:3" x14ac:dyDescent="0.25">
      <c r="A2517">
        <v>20180213</v>
      </c>
      <c r="B2517">
        <v>8625158.33695646</v>
      </c>
      <c r="C2517">
        <v>-1461824.7061499399</v>
      </c>
    </row>
    <row r="2518" spans="1:3" x14ac:dyDescent="0.25">
      <c r="A2518">
        <v>20180214</v>
      </c>
      <c r="B2518">
        <v>-1285163.82782003</v>
      </c>
      <c r="C2518">
        <v>-4289973.8036063705</v>
      </c>
    </row>
    <row r="2519" spans="1:3" x14ac:dyDescent="0.25">
      <c r="A2519">
        <v>20180215</v>
      </c>
      <c r="B2519">
        <v>-35665920.766672403</v>
      </c>
      <c r="C2519">
        <v>-278913.56413947901</v>
      </c>
    </row>
    <row r="2520" spans="1:3" x14ac:dyDescent="0.25">
      <c r="A2520">
        <v>20180216</v>
      </c>
      <c r="B2520">
        <v>-15847614.6336533</v>
      </c>
      <c r="C2520">
        <v>1187313.3854348499</v>
      </c>
    </row>
    <row r="2521" spans="1:3" x14ac:dyDescent="0.25">
      <c r="A2521">
        <v>20180219</v>
      </c>
      <c r="B2521">
        <v>1321267.7969368401</v>
      </c>
      <c r="C2521">
        <v>4142037.4576813099</v>
      </c>
    </row>
    <row r="2522" spans="1:3" x14ac:dyDescent="0.25">
      <c r="A2522">
        <v>20180220</v>
      </c>
      <c r="B2522">
        <v>-7188875.8542893399</v>
      </c>
      <c r="C2522">
        <v>2543017.3799068099</v>
      </c>
    </row>
    <row r="2523" spans="1:3" x14ac:dyDescent="0.25">
      <c r="A2523">
        <v>20180221</v>
      </c>
      <c r="B2523">
        <v>-11198611.6131789</v>
      </c>
      <c r="C2523">
        <v>7869832.3439976899</v>
      </c>
    </row>
    <row r="2524" spans="1:3" x14ac:dyDescent="0.25">
      <c r="A2524">
        <v>20180222</v>
      </c>
      <c r="B2524">
        <v>12477661.646714401</v>
      </c>
      <c r="C2524">
        <v>6125499.3235265501</v>
      </c>
    </row>
    <row r="2525" spans="1:3" x14ac:dyDescent="0.25">
      <c r="A2525">
        <v>20180223</v>
      </c>
      <c r="B2525">
        <v>14880484.380984601</v>
      </c>
      <c r="C2525">
        <v>7444122.1543157296</v>
      </c>
    </row>
    <row r="2526" spans="1:3" x14ac:dyDescent="0.25">
      <c r="A2526">
        <v>20180226</v>
      </c>
      <c r="B2526">
        <v>-7287595.5480162697</v>
      </c>
      <c r="C2526">
        <v>11094794.8058304</v>
      </c>
    </row>
    <row r="2527" spans="1:3" x14ac:dyDescent="0.25">
      <c r="A2527">
        <v>20180227</v>
      </c>
      <c r="B2527">
        <v>4302334.0569010004</v>
      </c>
      <c r="C2527">
        <v>17077463.4519393</v>
      </c>
    </row>
    <row r="2528" spans="1:3" x14ac:dyDescent="0.25">
      <c r="A2528">
        <v>20180228</v>
      </c>
      <c r="B2528">
        <v>26209984.229587201</v>
      </c>
      <c r="C2528">
        <v>10961507.8555636</v>
      </c>
    </row>
    <row r="2529" spans="1:3" x14ac:dyDescent="0.25">
      <c r="A2529">
        <v>20180301</v>
      </c>
      <c r="B2529">
        <v>43008410.7836226</v>
      </c>
      <c r="C2529">
        <v>12052159.8046559</v>
      </c>
    </row>
    <row r="2530" spans="1:3" x14ac:dyDescent="0.25">
      <c r="A2530">
        <v>20180302</v>
      </c>
      <c r="B2530">
        <v>14083891.6897645</v>
      </c>
      <c r="C2530">
        <v>11919659.785038199</v>
      </c>
    </row>
    <row r="2531" spans="1:3" x14ac:dyDescent="0.25">
      <c r="A2531">
        <v>20180305</v>
      </c>
      <c r="B2531">
        <v>32455232.392547399</v>
      </c>
      <c r="C2531">
        <v>15367428.9756315</v>
      </c>
    </row>
    <row r="2532" spans="1:3" x14ac:dyDescent="0.25">
      <c r="A2532">
        <v>20180306</v>
      </c>
      <c r="B2532">
        <v>9417194.47299226</v>
      </c>
      <c r="C2532">
        <v>9759779.6303686891</v>
      </c>
    </row>
    <row r="2533" spans="1:3" x14ac:dyDescent="0.25">
      <c r="A2533">
        <v>20180307</v>
      </c>
      <c r="B2533">
        <v>4967613.8704612898</v>
      </c>
      <c r="C2533">
        <v>19985066.103616301</v>
      </c>
    </row>
    <row r="2534" spans="1:3" x14ac:dyDescent="0.25">
      <c r="A2534">
        <v>20180308</v>
      </c>
      <c r="B2534">
        <v>-1527485.9406542</v>
      </c>
      <c r="C2534">
        <v>12650952.595255001</v>
      </c>
    </row>
    <row r="2535" spans="1:3" x14ac:dyDescent="0.25">
      <c r="A2535">
        <v>20180309</v>
      </c>
      <c r="B2535">
        <v>-403793.36436289299</v>
      </c>
      <c r="C2535">
        <v>-525942.11425072898</v>
      </c>
    </row>
    <row r="2536" spans="1:3" x14ac:dyDescent="0.25">
      <c r="A2536">
        <v>20180312</v>
      </c>
      <c r="B2536">
        <v>5970198.2980217002</v>
      </c>
      <c r="C2536">
        <v>-9405045.4906996898</v>
      </c>
    </row>
    <row r="2537" spans="1:3" x14ac:dyDescent="0.25">
      <c r="A2537">
        <v>20180313</v>
      </c>
      <c r="B2537">
        <v>14703235.1033032</v>
      </c>
      <c r="C2537">
        <v>5354053.3731560698</v>
      </c>
    </row>
    <row r="2538" spans="1:3" x14ac:dyDescent="0.25">
      <c r="A2538">
        <v>20180314</v>
      </c>
      <c r="B2538">
        <v>12827712.210100699</v>
      </c>
      <c r="C2538">
        <v>-2657752.0918741198</v>
      </c>
    </row>
    <row r="2539" spans="1:3" x14ac:dyDescent="0.25">
      <c r="A2539">
        <v>20180315</v>
      </c>
      <c r="B2539">
        <v>-3510189.1993020899</v>
      </c>
      <c r="C2539">
        <v>13006518.346464699</v>
      </c>
    </row>
    <row r="2540" spans="1:3" x14ac:dyDescent="0.25">
      <c r="A2540">
        <v>20180316</v>
      </c>
      <c r="B2540">
        <v>29172869.043254402</v>
      </c>
      <c r="C2540">
        <v>25599509.387307301</v>
      </c>
    </row>
    <row r="2541" spans="1:3" x14ac:dyDescent="0.25">
      <c r="A2541">
        <v>20180319</v>
      </c>
      <c r="B2541">
        <v>16845545.701312799</v>
      </c>
      <c r="C2541">
        <v>21693135.935150601</v>
      </c>
    </row>
    <row r="2542" spans="1:3" x14ac:dyDescent="0.25">
      <c r="A2542">
        <v>20180320</v>
      </c>
      <c r="B2542">
        <v>19681565.488685999</v>
      </c>
      <c r="C2542">
        <v>10250749.842250399</v>
      </c>
    </row>
    <row r="2543" spans="1:3" x14ac:dyDescent="0.25">
      <c r="A2543">
        <v>20180321</v>
      </c>
      <c r="B2543">
        <v>21447761.704773899</v>
      </c>
      <c r="C2543">
        <v>-3406186.7768313298</v>
      </c>
    </row>
    <row r="2544" spans="1:3" x14ac:dyDescent="0.25">
      <c r="A2544">
        <v>20180322</v>
      </c>
      <c r="B2544">
        <v>21461249.4948119</v>
      </c>
      <c r="C2544">
        <v>-12200844.0181849</v>
      </c>
    </row>
    <row r="2545" spans="1:3" x14ac:dyDescent="0.25">
      <c r="A2545">
        <v>20180323</v>
      </c>
      <c r="B2545">
        <v>11628018.455721</v>
      </c>
      <c r="C2545">
        <v>-21778940.335745901</v>
      </c>
    </row>
    <row r="2546" spans="1:3" x14ac:dyDescent="0.25">
      <c r="A2546">
        <v>20180326</v>
      </c>
      <c r="B2546">
        <v>-2302713.2418356799</v>
      </c>
      <c r="C2546">
        <v>-7703550.2152327104</v>
      </c>
    </row>
    <row r="2547" spans="1:3" x14ac:dyDescent="0.25">
      <c r="A2547">
        <v>20180327</v>
      </c>
      <c r="B2547">
        <v>16103819.703153299</v>
      </c>
      <c r="C2547">
        <v>-5886155.0935426196</v>
      </c>
    </row>
    <row r="2548" spans="1:3" x14ac:dyDescent="0.25">
      <c r="A2548">
        <v>20180328</v>
      </c>
      <c r="B2548">
        <v>6210677.7136169802</v>
      </c>
      <c r="C2548">
        <v>2514527.2994764699</v>
      </c>
    </row>
    <row r="2549" spans="1:3" x14ac:dyDescent="0.25">
      <c r="A2549">
        <v>20180329</v>
      </c>
      <c r="B2549">
        <v>8873468.6094153691</v>
      </c>
      <c r="C2549">
        <v>4275760.9762848699</v>
      </c>
    </row>
    <row r="2550" spans="1:3" x14ac:dyDescent="0.25">
      <c r="A2550">
        <v>20180330</v>
      </c>
      <c r="B2550">
        <v>6069705.1334146103</v>
      </c>
      <c r="C2550">
        <v>11422002.6657624</v>
      </c>
    </row>
    <row r="2551" spans="1:3" x14ac:dyDescent="0.25">
      <c r="A2551">
        <v>20180402</v>
      </c>
      <c r="B2551">
        <v>12432134.6674738</v>
      </c>
      <c r="C2551">
        <v>2404035.9525109301</v>
      </c>
    </row>
    <row r="2552" spans="1:3" x14ac:dyDescent="0.25">
      <c r="A2552">
        <v>20180403</v>
      </c>
      <c r="B2552">
        <v>-3927631.4761729399</v>
      </c>
      <c r="C2552">
        <v>-7603564.78465869</v>
      </c>
    </row>
    <row r="2553" spans="1:3" x14ac:dyDescent="0.25">
      <c r="A2553">
        <v>20180404</v>
      </c>
      <c r="B2553">
        <v>1574235.9070635799</v>
      </c>
      <c r="C2553">
        <v>-5711619.1646036599</v>
      </c>
    </row>
    <row r="2554" spans="1:3" x14ac:dyDescent="0.25">
      <c r="A2554">
        <v>20180405</v>
      </c>
      <c r="B2554">
        <v>399643.56254924397</v>
      </c>
      <c r="C2554">
        <v>-7177774.4574332098</v>
      </c>
    </row>
    <row r="2555" spans="1:3" x14ac:dyDescent="0.25">
      <c r="A2555">
        <v>20180406</v>
      </c>
      <c r="B2555">
        <v>4963368.5682229502</v>
      </c>
      <c r="C2555">
        <v>-12709734.260618901</v>
      </c>
    </row>
    <row r="2556" spans="1:3" x14ac:dyDescent="0.25">
      <c r="A2556">
        <v>20180409</v>
      </c>
      <c r="B2556">
        <v>10084087.9114346</v>
      </c>
      <c r="C2556">
        <v>-21076634.759353299</v>
      </c>
    </row>
    <row r="2557" spans="1:3" x14ac:dyDescent="0.25">
      <c r="A2557">
        <v>20180410</v>
      </c>
      <c r="B2557">
        <v>-3042303.0988497101</v>
      </c>
      <c r="C2557">
        <v>-26385525.334539302</v>
      </c>
    </row>
    <row r="2558" spans="1:3" x14ac:dyDescent="0.25">
      <c r="A2558">
        <v>20180411</v>
      </c>
      <c r="B2558">
        <v>-1049604.77572572</v>
      </c>
      <c r="C2558">
        <v>-31367724.935621999</v>
      </c>
    </row>
    <row r="2559" spans="1:3" x14ac:dyDescent="0.25">
      <c r="A2559">
        <v>20180412</v>
      </c>
      <c r="B2559">
        <v>-61099.286661446</v>
      </c>
      <c r="C2559">
        <v>-25434889.0221527</v>
      </c>
    </row>
    <row r="2560" spans="1:3" x14ac:dyDescent="0.25">
      <c r="A2560">
        <v>20180413</v>
      </c>
      <c r="B2560">
        <v>-7186570.9316108599</v>
      </c>
      <c r="C2560">
        <v>-20944195.285948101</v>
      </c>
    </row>
    <row r="2561" spans="1:3" x14ac:dyDescent="0.25">
      <c r="A2561">
        <v>20180416</v>
      </c>
      <c r="B2561">
        <v>-5726266.7924851896</v>
      </c>
      <c r="C2561">
        <v>-20863350.7488073</v>
      </c>
    </row>
    <row r="2562" spans="1:3" x14ac:dyDescent="0.25">
      <c r="A2562">
        <v>20180417</v>
      </c>
      <c r="B2562">
        <v>8588193.0728760902</v>
      </c>
      <c r="C2562">
        <v>-6083424.3894956196</v>
      </c>
    </row>
    <row r="2563" spans="1:3" x14ac:dyDescent="0.25">
      <c r="A2563">
        <v>20180418</v>
      </c>
      <c r="B2563">
        <v>7234357.3757505296</v>
      </c>
      <c r="C2563">
        <v>5369403.1147563197</v>
      </c>
    </row>
    <row r="2564" spans="1:3" x14ac:dyDescent="0.25">
      <c r="A2564">
        <v>20180419</v>
      </c>
      <c r="B2564">
        <v>1371380.3542476001</v>
      </c>
      <c r="C2564">
        <v>-2649391.9563651201</v>
      </c>
    </row>
    <row r="2565" spans="1:3" x14ac:dyDescent="0.25">
      <c r="A2565">
        <v>20180420</v>
      </c>
      <c r="B2565">
        <v>3161429.42787022</v>
      </c>
      <c r="C2565">
        <v>433963.55260614702</v>
      </c>
    </row>
    <row r="2566" spans="1:3" x14ac:dyDescent="0.25">
      <c r="A2566">
        <v>20180423</v>
      </c>
      <c r="B2566">
        <v>-284302.02812182897</v>
      </c>
      <c r="C2566">
        <v>7824758.8139527598</v>
      </c>
    </row>
    <row r="2567" spans="1:3" x14ac:dyDescent="0.25">
      <c r="A2567">
        <v>20180424</v>
      </c>
      <c r="B2567">
        <v>9035192.2393652909</v>
      </c>
      <c r="C2567">
        <v>3774311.6431083698</v>
      </c>
    </row>
    <row r="2568" spans="1:3" x14ac:dyDescent="0.25">
      <c r="A2568">
        <v>20180425</v>
      </c>
      <c r="B2568">
        <v>-16087758.9054562</v>
      </c>
      <c r="C2568">
        <v>-2746460.2901586201</v>
      </c>
    </row>
    <row r="2569" spans="1:3" x14ac:dyDescent="0.25">
      <c r="A2569">
        <v>20180426</v>
      </c>
      <c r="B2569">
        <v>25921156.113677401</v>
      </c>
      <c r="C2569">
        <v>-353292.16940699902</v>
      </c>
    </row>
    <row r="2570" spans="1:3" x14ac:dyDescent="0.25">
      <c r="A2570">
        <v>20180427</v>
      </c>
      <c r="B2570">
        <v>18022208.994391698</v>
      </c>
      <c r="C2570">
        <v>-1979975.43723556</v>
      </c>
    </row>
    <row r="2571" spans="1:3" x14ac:dyDescent="0.25">
      <c r="A2571">
        <v>20180430</v>
      </c>
      <c r="B2571">
        <v>24761967.829066101</v>
      </c>
      <c r="C2571">
        <v>-9626316.4810842797</v>
      </c>
    </row>
    <row r="2572" spans="1:3" x14ac:dyDescent="0.25">
      <c r="A2572">
        <v>20180501</v>
      </c>
      <c r="B2572">
        <v>14352132.426369701</v>
      </c>
      <c r="C2572">
        <v>-1688720.6517932599</v>
      </c>
    </row>
    <row r="2573" spans="1:3" x14ac:dyDescent="0.25">
      <c r="A2573">
        <v>20180502</v>
      </c>
      <c r="B2573">
        <v>42335037.145733997</v>
      </c>
      <c r="C2573">
        <v>-12350356.951017801</v>
      </c>
    </row>
    <row r="2574" spans="1:3" x14ac:dyDescent="0.25">
      <c r="A2574">
        <v>20180503</v>
      </c>
      <c r="B2574">
        <v>548734.97961034998</v>
      </c>
      <c r="C2574">
        <v>-9766309.8671220001</v>
      </c>
    </row>
    <row r="2575" spans="1:3" x14ac:dyDescent="0.25">
      <c r="A2575">
        <v>20180504</v>
      </c>
      <c r="B2575">
        <v>4522442.7327163797</v>
      </c>
      <c r="C2575">
        <v>-13672090.3248684</v>
      </c>
    </row>
    <row r="2576" spans="1:3" x14ac:dyDescent="0.25">
      <c r="A2576">
        <v>20180507</v>
      </c>
      <c r="B2576">
        <v>1817062.3018573101</v>
      </c>
      <c r="C2576">
        <v>-11528821.1462886</v>
      </c>
    </row>
    <row r="2577" spans="1:3" x14ac:dyDescent="0.25">
      <c r="A2577">
        <v>20180508</v>
      </c>
      <c r="B2577">
        <v>5347068.2560710004</v>
      </c>
      <c r="C2577">
        <v>-10855627.271385601</v>
      </c>
    </row>
    <row r="2578" spans="1:3" x14ac:dyDescent="0.25">
      <c r="A2578">
        <v>20180509</v>
      </c>
      <c r="B2578">
        <v>187529.43699816801</v>
      </c>
      <c r="C2578">
        <v>-14085533.426896101</v>
      </c>
    </row>
    <row r="2579" spans="1:3" x14ac:dyDescent="0.25">
      <c r="A2579">
        <v>20180510</v>
      </c>
      <c r="B2579">
        <v>-1888377.2307537401</v>
      </c>
      <c r="C2579">
        <v>-17040412.007507298</v>
      </c>
    </row>
    <row r="2580" spans="1:3" x14ac:dyDescent="0.25">
      <c r="A2580">
        <v>20180511</v>
      </c>
      <c r="B2580">
        <v>1328181.8420315499</v>
      </c>
      <c r="C2580">
        <v>-13058775.422079001</v>
      </c>
    </row>
    <row r="2581" spans="1:3" x14ac:dyDescent="0.25">
      <c r="A2581">
        <v>20180514</v>
      </c>
      <c r="B2581">
        <v>-10453846.3179911</v>
      </c>
      <c r="C2581">
        <v>-16750854.6747634</v>
      </c>
    </row>
    <row r="2582" spans="1:3" x14ac:dyDescent="0.25">
      <c r="A2582">
        <v>20180515</v>
      </c>
      <c r="B2582">
        <v>-20222112.015196301</v>
      </c>
      <c r="C2582">
        <v>-24769133.296857599</v>
      </c>
    </row>
    <row r="2583" spans="1:3" x14ac:dyDescent="0.25">
      <c r="A2583">
        <v>20180516</v>
      </c>
      <c r="B2583">
        <v>-2117615.1443976699</v>
      </c>
      <c r="C2583">
        <v>-18997552.0509702</v>
      </c>
    </row>
    <row r="2584" spans="1:3" x14ac:dyDescent="0.25">
      <c r="A2584">
        <v>20180517</v>
      </c>
      <c r="B2584">
        <v>-11497151.854075201</v>
      </c>
      <c r="C2584">
        <v>-20941549.451228499</v>
      </c>
    </row>
    <row r="2585" spans="1:3" x14ac:dyDescent="0.25">
      <c r="A2585">
        <v>20180518</v>
      </c>
      <c r="B2585">
        <v>19338034.814712401</v>
      </c>
      <c r="C2585">
        <v>-22424408.272006199</v>
      </c>
    </row>
    <row r="2586" spans="1:3" x14ac:dyDescent="0.25">
      <c r="A2586">
        <v>20180521</v>
      </c>
      <c r="B2586">
        <v>25036167.5834806</v>
      </c>
      <c r="C2586">
        <v>-19242754.1006772</v>
      </c>
    </row>
    <row r="2587" spans="1:3" x14ac:dyDescent="0.25">
      <c r="A2587">
        <v>20180522</v>
      </c>
      <c r="B2587">
        <v>26793040.514545299</v>
      </c>
      <c r="C2587">
        <v>-19095391.196444999</v>
      </c>
    </row>
    <row r="2588" spans="1:3" x14ac:dyDescent="0.25">
      <c r="A2588">
        <v>20180523</v>
      </c>
      <c r="B2588">
        <v>22968417.558070298</v>
      </c>
      <c r="C2588">
        <v>-6824572.0534749404</v>
      </c>
    </row>
    <row r="2589" spans="1:3" x14ac:dyDescent="0.25">
      <c r="A2589">
        <v>20180524</v>
      </c>
      <c r="B2589">
        <v>28048179.730943602</v>
      </c>
      <c r="C2589">
        <v>-187331.95870136999</v>
      </c>
    </row>
    <row r="2590" spans="1:3" x14ac:dyDescent="0.25">
      <c r="A2590">
        <v>20180525</v>
      </c>
      <c r="B2590">
        <v>-3631551.0760710598</v>
      </c>
      <c r="C2590">
        <v>12892372.7484318</v>
      </c>
    </row>
    <row r="2591" spans="1:3" x14ac:dyDescent="0.25">
      <c r="A2591">
        <v>20180528</v>
      </c>
      <c r="B2591">
        <v>-10475975.4505943</v>
      </c>
      <c r="C2591">
        <v>27829945.2094272</v>
      </c>
    </row>
    <row r="2592" spans="1:3" x14ac:dyDescent="0.25">
      <c r="A2592">
        <v>20180529</v>
      </c>
      <c r="B2592">
        <v>7924747.2477170201</v>
      </c>
      <c r="C2592">
        <v>23264486.610707801</v>
      </c>
    </row>
    <row r="2593" spans="1:3" x14ac:dyDescent="0.25">
      <c r="A2593">
        <v>20180530</v>
      </c>
      <c r="B2593">
        <v>-10714311.139761399</v>
      </c>
      <c r="C2593">
        <v>9523732.6964301895</v>
      </c>
    </row>
    <row r="2594" spans="1:3" x14ac:dyDescent="0.25">
      <c r="A2594">
        <v>20180531</v>
      </c>
      <c r="B2594">
        <v>-14523017.298587101</v>
      </c>
      <c r="C2594">
        <v>14644142.6385922</v>
      </c>
    </row>
    <row r="2595" spans="1:3" x14ac:dyDescent="0.25">
      <c r="A2595">
        <v>20180601</v>
      </c>
      <c r="B2595">
        <v>-13864109.481970999</v>
      </c>
      <c r="C2595">
        <v>-938770.60160681896</v>
      </c>
    </row>
    <row r="2596" spans="1:3" x14ac:dyDescent="0.25">
      <c r="A2596">
        <v>20180604</v>
      </c>
      <c r="B2596">
        <v>-2703344.2176246298</v>
      </c>
      <c r="C2596">
        <v>-12922694.1483254</v>
      </c>
    </row>
    <row r="2597" spans="1:3" x14ac:dyDescent="0.25">
      <c r="A2597">
        <v>20180605</v>
      </c>
      <c r="B2597">
        <v>-23593852.9244949</v>
      </c>
      <c r="C2597">
        <v>-1879107.79828634</v>
      </c>
    </row>
    <row r="2598" spans="1:3" x14ac:dyDescent="0.25">
      <c r="A2598">
        <v>20180606</v>
      </c>
      <c r="B2598">
        <v>18753131.3494404</v>
      </c>
      <c r="C2598">
        <v>-103742.213372439</v>
      </c>
    </row>
    <row r="2599" spans="1:3" x14ac:dyDescent="0.25">
      <c r="A2599">
        <v>20180607</v>
      </c>
      <c r="B2599">
        <v>18319792.052916698</v>
      </c>
      <c r="C2599">
        <v>-8668625.1736879405</v>
      </c>
    </row>
    <row r="2600" spans="1:3" x14ac:dyDescent="0.25">
      <c r="A2600">
        <v>20180608</v>
      </c>
      <c r="B2600">
        <v>-16295570.5247229</v>
      </c>
      <c r="C2600">
        <v>-8811707.1483773999</v>
      </c>
    </row>
    <row r="2601" spans="1:3" x14ac:dyDescent="0.25">
      <c r="A2601">
        <v>20180611</v>
      </c>
      <c r="B2601">
        <v>4930572.9820978399</v>
      </c>
      <c r="C2601">
        <v>1119452.03801178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Q20"/>
  <sheetViews>
    <sheetView zoomScale="85" zoomScaleNormal="85" workbookViewId="0">
      <selection activeCell="F22" sqref="F22"/>
    </sheetView>
  </sheetViews>
  <sheetFormatPr defaultRowHeight="15" x14ac:dyDescent="0.25"/>
  <cols>
    <col min="1" max="1" width="20.140625" bestFit="1" customWidth="1"/>
    <col min="2" max="2" width="32.42578125" style="36" bestFit="1" customWidth="1"/>
    <col min="3" max="3" width="20.140625" style="36" customWidth="1"/>
    <col min="5" max="5" width="20.140625" bestFit="1" customWidth="1"/>
    <col min="6" max="6" width="32.42578125" style="36" bestFit="1" customWidth="1"/>
    <col min="7" max="7" width="17" style="36" customWidth="1"/>
  </cols>
  <sheetData>
    <row r="1" spans="1:17" x14ac:dyDescent="0.25">
      <c r="A1" s="36" t="s">
        <v>121</v>
      </c>
      <c r="B1" s="36" t="s">
        <v>129</v>
      </c>
      <c r="C1" s="36" t="s">
        <v>18</v>
      </c>
      <c r="E1" s="36" t="s">
        <v>122</v>
      </c>
      <c r="F1" s="36" t="s">
        <v>128</v>
      </c>
      <c r="G1" s="36" t="s">
        <v>18</v>
      </c>
      <c r="L1" s="50" t="s">
        <v>127</v>
      </c>
    </row>
    <row r="2" spans="1:17" ht="15" customHeight="1" x14ac:dyDescent="0.25">
      <c r="A2" s="3" t="s">
        <v>124</v>
      </c>
      <c r="B2" s="36" t="s">
        <v>223</v>
      </c>
      <c r="C2" s="36" t="s">
        <v>1</v>
      </c>
      <c r="E2" s="36" t="s">
        <v>123</v>
      </c>
      <c r="F2" s="36" t="s">
        <v>223</v>
      </c>
      <c r="G2" s="36" t="s">
        <v>1</v>
      </c>
      <c r="L2" s="66" t="s">
        <v>226</v>
      </c>
      <c r="M2" s="66"/>
      <c r="N2" s="66"/>
      <c r="O2" s="66"/>
      <c r="P2" s="66"/>
      <c r="Q2" s="66"/>
    </row>
    <row r="3" spans="1:17" x14ac:dyDescent="0.25">
      <c r="A3" s="3" t="s">
        <v>125</v>
      </c>
      <c r="B3" s="36" t="s">
        <v>223</v>
      </c>
      <c r="C3" s="36" t="s">
        <v>1</v>
      </c>
      <c r="E3" s="3" t="s">
        <v>124</v>
      </c>
      <c r="F3" s="36" t="s">
        <v>223</v>
      </c>
      <c r="G3" s="36" t="s">
        <v>1</v>
      </c>
      <c r="L3" s="66"/>
      <c r="M3" s="66"/>
      <c r="N3" s="66"/>
      <c r="O3" s="66"/>
      <c r="P3" s="66"/>
      <c r="Q3" s="66"/>
    </row>
    <row r="4" spans="1:17" x14ac:dyDescent="0.25">
      <c r="A4" s="3" t="s">
        <v>126</v>
      </c>
      <c r="B4" s="36" t="s">
        <v>223</v>
      </c>
      <c r="C4" s="36" t="s">
        <v>1</v>
      </c>
      <c r="E4" s="3" t="s">
        <v>125</v>
      </c>
      <c r="F4" s="36" t="s">
        <v>223</v>
      </c>
      <c r="G4" s="36" t="s">
        <v>1</v>
      </c>
      <c r="L4" s="66"/>
      <c r="M4" s="66"/>
      <c r="N4" s="66"/>
      <c r="O4" s="66"/>
      <c r="P4" s="66"/>
      <c r="Q4" s="66"/>
    </row>
    <row r="5" spans="1:17" x14ac:dyDescent="0.25">
      <c r="E5" s="3" t="s">
        <v>126</v>
      </c>
      <c r="F5" s="36" t="s">
        <v>223</v>
      </c>
      <c r="G5" s="36" t="s">
        <v>1</v>
      </c>
      <c r="L5" s="66"/>
      <c r="M5" s="66"/>
      <c r="N5" s="66"/>
      <c r="O5" s="66"/>
      <c r="P5" s="66"/>
      <c r="Q5" s="66"/>
    </row>
    <row r="6" spans="1:17" x14ac:dyDescent="0.25">
      <c r="L6" s="66"/>
      <c r="M6" s="66"/>
      <c r="N6" s="66"/>
      <c r="O6" s="66"/>
      <c r="P6" s="66"/>
      <c r="Q6" s="66"/>
    </row>
    <row r="7" spans="1:17" x14ac:dyDescent="0.25">
      <c r="L7" s="66"/>
      <c r="M7" s="66"/>
      <c r="N7" s="66"/>
      <c r="O7" s="66"/>
      <c r="P7" s="66"/>
      <c r="Q7" s="66"/>
    </row>
    <row r="8" spans="1:17" ht="19.5" x14ac:dyDescent="0.3">
      <c r="A8" s="54" t="s">
        <v>130</v>
      </c>
      <c r="D8" s="36"/>
      <c r="L8" s="66"/>
      <c r="M8" s="66"/>
      <c r="N8" s="66"/>
      <c r="O8" s="66"/>
      <c r="P8" s="66"/>
      <c r="Q8" s="66"/>
    </row>
    <row r="9" spans="1:17" x14ac:dyDescent="0.25">
      <c r="A9" s="36" t="s">
        <v>131</v>
      </c>
      <c r="B9" s="36" t="s">
        <v>132</v>
      </c>
      <c r="C9" s="36" t="s">
        <v>133</v>
      </c>
      <c r="D9" s="36" t="s">
        <v>18</v>
      </c>
      <c r="L9" s="66"/>
      <c r="M9" s="66"/>
      <c r="N9" s="66"/>
      <c r="O9" s="66"/>
      <c r="P9" s="66"/>
      <c r="Q9" s="66"/>
    </row>
    <row r="10" spans="1:17" x14ac:dyDescent="0.25">
      <c r="A10" s="36" t="s">
        <v>134</v>
      </c>
      <c r="B10" s="36" t="s">
        <v>135</v>
      </c>
      <c r="C10" s="36" t="s">
        <v>135</v>
      </c>
      <c r="D10" s="36" t="s">
        <v>1</v>
      </c>
      <c r="L10" s="66"/>
      <c r="M10" s="66"/>
      <c r="N10" s="66"/>
      <c r="O10" s="66"/>
      <c r="P10" s="66"/>
      <c r="Q10" s="66"/>
    </row>
    <row r="11" spans="1:17" x14ac:dyDescent="0.25">
      <c r="L11" s="66"/>
      <c r="M11" s="66"/>
      <c r="N11" s="66"/>
      <c r="O11" s="66"/>
      <c r="P11" s="66"/>
      <c r="Q11" s="66"/>
    </row>
    <row r="12" spans="1:17" x14ac:dyDescent="0.25">
      <c r="L12" s="66"/>
      <c r="M12" s="66"/>
      <c r="N12" s="66"/>
      <c r="O12" s="66"/>
      <c r="P12" s="66"/>
      <c r="Q12" s="66"/>
    </row>
    <row r="13" spans="1:17" x14ac:dyDescent="0.25">
      <c r="L13" s="66"/>
      <c r="M13" s="66"/>
      <c r="N13" s="66"/>
      <c r="O13" s="66"/>
      <c r="P13" s="66"/>
      <c r="Q13" s="66"/>
    </row>
    <row r="14" spans="1:17" x14ac:dyDescent="0.25">
      <c r="L14" s="66"/>
      <c r="M14" s="66"/>
      <c r="N14" s="66"/>
      <c r="O14" s="66"/>
      <c r="P14" s="66"/>
      <c r="Q14" s="66"/>
    </row>
    <row r="15" spans="1:17" x14ac:dyDescent="0.25">
      <c r="L15" s="66"/>
      <c r="M15" s="66"/>
      <c r="N15" s="66"/>
      <c r="O15" s="66"/>
      <c r="P15" s="66"/>
      <c r="Q15" s="66"/>
    </row>
    <row r="16" spans="1:17" x14ac:dyDescent="0.25">
      <c r="L16" s="66"/>
      <c r="M16" s="66"/>
      <c r="N16" s="66"/>
      <c r="O16" s="66"/>
      <c r="P16" s="66"/>
      <c r="Q16" s="66"/>
    </row>
    <row r="17" spans="12:17" x14ac:dyDescent="0.25">
      <c r="L17" s="66"/>
      <c r="M17" s="66"/>
      <c r="N17" s="66"/>
      <c r="O17" s="66"/>
      <c r="P17" s="66"/>
      <c r="Q17" s="66"/>
    </row>
    <row r="18" spans="12:17" x14ac:dyDescent="0.25">
      <c r="L18" s="66"/>
      <c r="M18" s="66"/>
      <c r="N18" s="66"/>
      <c r="O18" s="66"/>
      <c r="P18" s="66"/>
      <c r="Q18" s="66"/>
    </row>
    <row r="19" spans="12:17" x14ac:dyDescent="0.25">
      <c r="L19" s="66"/>
      <c r="M19" s="66"/>
      <c r="N19" s="66"/>
      <c r="O19" s="66"/>
      <c r="P19" s="66"/>
      <c r="Q19" s="66"/>
    </row>
    <row r="20" spans="12:17" x14ac:dyDescent="0.25">
      <c r="L20" s="66"/>
      <c r="M20" s="66"/>
      <c r="N20" s="66"/>
      <c r="O20" s="66"/>
      <c r="P20" s="66"/>
      <c r="Q20" s="66"/>
    </row>
  </sheetData>
  <mergeCells count="1">
    <mergeCell ref="L2:Q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UIExportModule">
                <anchor moveWithCells="1" sizeWithCells="1">
                  <from>
                    <xdr:col>8</xdr:col>
                    <xdr:colOff>57150</xdr:colOff>
                    <xdr:row>0</xdr:row>
                    <xdr:rowOff>28575</xdr:rowOff>
                  </from>
                  <to>
                    <xdr:col>9</xdr:col>
                    <xdr:colOff>476250</xdr:colOff>
                    <xdr:row>1</xdr:row>
                    <xdr:rowOff>142875</xdr:rowOff>
                  </to>
                </anchor>
              </controlPr>
            </control>
          </mc:Choice>
        </mc:AlternateContent>
        <mc:AlternateContent xmlns:mc="http://schemas.openxmlformats.org/markup-compatibility/2006">
          <mc:Choice Requires="x14">
            <control shapeId="2050" r:id="rId4" name="Button 2">
              <controlPr defaultSize="0" print="0" autoFill="0" autoPict="0" macro="[0]!UIImportModule">
                <anchor moveWithCells="1" sizeWithCells="1">
                  <from>
                    <xdr:col>8</xdr:col>
                    <xdr:colOff>66675</xdr:colOff>
                    <xdr:row>2</xdr:row>
                    <xdr:rowOff>152400</xdr:rowOff>
                  </from>
                  <to>
                    <xdr:col>9</xdr:col>
                    <xdr:colOff>485775</xdr:colOff>
                    <xdr:row>4</xdr:row>
                    <xdr:rowOff>76200</xdr:rowOff>
                  </to>
                </anchor>
              </controlPr>
            </control>
          </mc:Choice>
        </mc:AlternateContent>
        <mc:AlternateContent xmlns:mc="http://schemas.openxmlformats.org/markup-compatibility/2006">
          <mc:Choice Requires="x14">
            <control shapeId="2051" r:id="rId5" name="Button 3">
              <controlPr defaultSize="0" print="0" autoFill="0" autoPict="0" macro="[0]!UIHideMenu">
                <anchor moveWithCells="1" sizeWithCells="1">
                  <from>
                    <xdr:col>8</xdr:col>
                    <xdr:colOff>76200</xdr:colOff>
                    <xdr:row>5</xdr:row>
                    <xdr:rowOff>76200</xdr:rowOff>
                  </from>
                  <to>
                    <xdr:col>9</xdr:col>
                    <xdr:colOff>495300</xdr:colOff>
                    <xdr:row>7</xdr:row>
                    <xdr:rowOff>0</xdr:rowOff>
                  </to>
                </anchor>
              </controlPr>
            </control>
          </mc:Choice>
        </mc:AlternateContent>
        <mc:AlternateContent xmlns:mc="http://schemas.openxmlformats.org/markup-compatibility/2006">
          <mc:Choice Requires="x14">
            <control shapeId="2052" r:id="rId6" name="Button 4">
              <controlPr defaultSize="0" print="0" autoFill="0" autoPict="0" macro="[0]!UISyncTables">
                <anchor moveWithCells="1" sizeWithCells="1">
                  <from>
                    <xdr:col>8</xdr:col>
                    <xdr:colOff>85725</xdr:colOff>
                    <xdr:row>7</xdr:row>
                    <xdr:rowOff>171450</xdr:rowOff>
                  </from>
                  <to>
                    <xdr:col>9</xdr:col>
                    <xdr:colOff>504825</xdr:colOff>
                    <xdr:row>9</xdr:row>
                    <xdr:rowOff>104775</xdr:rowOff>
                  </to>
                </anchor>
              </controlPr>
            </control>
          </mc:Choice>
        </mc:AlternateContent>
      </controls>
    </mc:Choice>
  </mc:AlternateContent>
  <tableParts count="3">
    <tablePart r:id="rId7"/>
    <tablePart r:id="rId8"/>
    <tablePart r:id="rId9"/>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Control</vt:lpstr>
      <vt:lpstr>MappingandWarnings</vt:lpstr>
      <vt:lpstr>Report</vt:lpstr>
      <vt:lpstr>PivotCalcs</vt:lpstr>
      <vt:lpstr>Trend</vt:lpstr>
      <vt:lpstr>PV</vt:lpstr>
      <vt:lpstr>PnL</vt:lpstr>
      <vt:lpstr>DEV Menu</vt:lpstr>
      <vt:lpstr>DEVIMPORTLog</vt:lpstr>
      <vt:lpstr>DEVLog</vt:lpstr>
      <vt:lpstr>MSGLOG</vt:lpstr>
      <vt:lpstr>trend</vt:lpstr>
    </vt:vector>
  </TitlesOfParts>
  <Company>CPP Investment Board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Mascherpa</dc:creator>
  <cp:lastModifiedBy>Wong, Ronald</cp:lastModifiedBy>
  <cp:lastPrinted>2016-12-19T14:39:13Z</cp:lastPrinted>
  <dcterms:created xsi:type="dcterms:W3CDTF">2015-05-29T14:44:32Z</dcterms:created>
  <dcterms:modified xsi:type="dcterms:W3CDTF">2018-06-12T17:31:05Z</dcterms:modified>
</cp:coreProperties>
</file>